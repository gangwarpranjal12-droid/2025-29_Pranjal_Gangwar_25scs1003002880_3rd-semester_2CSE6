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hidden" name="DO NOT DELETE - AutoCrat Job Se" sheetId="2" r:id="rId6"/>
  </sheets>
  <definedNames/>
  <calcPr/>
</workbook>
</file>

<file path=xl/sharedStrings.xml><?xml version="1.0" encoding="utf-8"?>
<sst xmlns="http://schemas.openxmlformats.org/spreadsheetml/2006/main" count="45871" uniqueCount="17581">
  <si>
    <t>Job ID</t>
  </si>
  <si>
    <t>Job Name</t>
  </si>
  <si>
    <t>Template ID</t>
  </si>
  <si>
    <t>Data Sheet ID</t>
  </si>
  <si>
    <t>Header Row</t>
  </si>
  <si>
    <t>First Data Row</t>
  </si>
  <si>
    <t>File Name</t>
  </si>
  <si>
    <t>File Type</t>
  </si>
  <si>
    <t>Share As</t>
  </si>
  <si>
    <t>Folders</t>
  </si>
  <si>
    <t>Dynamic Folder Reference</t>
  </si>
  <si>
    <t>Conditionals</t>
  </si>
  <si>
    <t>Mode</t>
  </si>
  <si>
    <t>Append Breaks</t>
  </si>
  <si>
    <t>Tags</t>
  </si>
  <si>
    <t>Run On Time Trigger</t>
  </si>
  <si>
    <t>Time Trigger Frequency</t>
  </si>
  <si>
    <t>Run On Form Trigger</t>
  </si>
  <si>
    <t>Send Email And Share</t>
  </si>
  <si>
    <t>Email To</t>
  </si>
  <si>
    <t>Email CC</t>
  </si>
  <si>
    <t>Email BCC</t>
  </si>
  <si>
    <t>Email Reply To</t>
  </si>
  <si>
    <t>Email No Reply</t>
  </si>
  <si>
    <t>Email Subject</t>
  </si>
  <si>
    <t>Email Body</t>
  </si>
  <si>
    <t>Prevent Resharing</t>
  </si>
  <si>
    <t>Time Trigger Timestamp</t>
  </si>
  <si>
    <t>Form Trigger Timestamp</t>
  </si>
  <si>
    <t>_1783418936093</t>
  </si>
  <si>
    <t>OFFER LETTER</t>
  </si>
  <si>
    <t>1pQVpxXbtzjWy1cF_-ODnMt2MOV-bG89uRWy2u07KcDo</t>
  </si>
  <si>
    <t>PDF</t>
  </si>
  <si>
    <t>["1HQHQrMCEL0SQ5A2czQEzYT-Pn0z0x1S6"]</t>
  </si>
  <si>
    <t>[]</t>
  </si>
  <si>
    <t>MULTIPLE_OUTPUT</t>
  </si>
  <si>
    <t>[{"type":"STANDARD","details":{"isUnmapped":false,"headerMap":"Name"},"tag":"Name"},{"type":"STANDARD","details":{"isUnmapped":false,"headerMap":"Internship Duration"},"tag":"Duration"},{"type":"STANDARD","details":{"isUnmapped":false,"headerMap":"Internship Domain"},"tag":"Internship Domain"},{"type":"STANDARD","details":{"isUnmapped":false,"headerMap":"Date of Joining"},"tag":"Date of Joining"},{"type":"STANDARD","details":{"isUnmapped":false,"headerMap":"Date of Ending  "},"tag":"Date of Ending"},{"type":"STANDARD","details":{"isUnmapped":false,"headerMap":"Date of Joining"},"tag":"Issue Date"}]</t>
  </si>
  <si>
    <t>&lt;&lt;Email&gt;&gt;</t>
  </si>
  <si>
    <t>HR Offer-Letter of Internship</t>
  </si>
  <si>
    <t>🏆 Welcome to Codec Technologies – Your Internship Journey Begins!
Dear Intern,
Congratulations and welcome to Codec Technologies! We're excited to have you on board as an intern and look forward to working with you. This is a meaningful opportunity, and we're eager to support your growth as you train with us.
Codec Technologies is dedicated to nurturing talent and fostering growth and innovation. During your internship, you'll gain hands-on experience, work on industry-level projects, and collaborate with our talented team. Completing all training lectures and projects is required to maximize your learning and progress.
🎖️ Apply for your Internship Certificate after Completion Date.
✅ Login to your Dashboard and visit last module of Internship for Internship Certificate .
🎁 Claim Your Free Internship Kit:
Link- https://codectechnologies.in/free-internship-kit
Assigned Guide Name -
Ms. Vaishali Shrivastava [M.Tech in Computer Science]
E-Mail: vaishali@codectechnologies.in
Designation - HR and Training Officer</t>
  </si>
  <si>
    <t>2026-09-10T17:22:37.248Z</t>
  </si>
  <si>
    <t>Timestamp</t>
  </si>
  <si>
    <t>Name</t>
  </si>
  <si>
    <t>Internship Domain</t>
  </si>
  <si>
    <t>Internship Duration</t>
  </si>
  <si>
    <t>Date of Joining</t>
  </si>
  <si>
    <t xml:space="preserve">Date of Ending  </t>
  </si>
  <si>
    <t>Email</t>
  </si>
  <si>
    <t>Contact Number</t>
  </si>
  <si>
    <t>Gender</t>
  </si>
  <si>
    <t xml:space="preserve"> Interested in Requesting a Letter of Recommendation?  </t>
  </si>
  <si>
    <t>Current Education</t>
  </si>
  <si>
    <t>Current Year</t>
  </si>
  <si>
    <t>College Name</t>
  </si>
  <si>
    <t xml:space="preserve">How did you hear about this internship? </t>
  </si>
  <si>
    <t>Do you enrolled in this internship domain?</t>
  </si>
  <si>
    <t>Merged Doc ID - OFFER LETTER</t>
  </si>
  <si>
    <t>Merged Doc URL - OFFER LETTER</t>
  </si>
  <si>
    <t>Link to merged Doc - OFFER LETTER</t>
  </si>
  <si>
    <t>Document Merge Status - OFFER LETTER</t>
  </si>
  <si>
    <t>.</t>
  </si>
  <si>
    <t>Refresh &amp; search your name</t>
  </si>
  <si>
    <t>1Q3Lutx8Ws2z11znF1z84WuoektfKM5Bg</t>
  </si>
  <si>
    <t>Check again after 12 hrs</t>
  </si>
  <si>
    <t>Download Offer-Letter</t>
  </si>
  <si>
    <t>Document successfully created; Document successfully merged; PDF created; !!Error Sending Emails: Invalid email: .; Manually run by codectechnologies0@gmail.com; Timestamp: Jun 9, 2026 10:42 AM</t>
  </si>
  <si>
    <t>Akshada Adke</t>
  </si>
  <si>
    <t>Data Science Intern</t>
  </si>
  <si>
    <t>1 Month</t>
  </si>
  <si>
    <t>adkeakshada14@gmail.com</t>
  </si>
  <si>
    <t>Female</t>
  </si>
  <si>
    <t>Yes</t>
  </si>
  <si>
    <t>B.E/B.Tech</t>
  </si>
  <si>
    <t>Third year</t>
  </si>
  <si>
    <t xml:space="preserve">Matoshri College of engineering nashik </t>
  </si>
  <si>
    <t>LinkedIn</t>
  </si>
  <si>
    <t>1UMzypiil0Xw0jcfDLG39ReKAuZ7Lr1m7</t>
  </si>
  <si>
    <t>https://drive.google.com/file/d/1UMzypiil0Xw0jcfDLG39ReKAuZ7Lr1m7/view?usp=drivesdk</t>
  </si>
  <si>
    <t>Document successfully created; Document successfully merged; PDF created; Emails Sent: [To: adkeakshada14@gmail.com]; Run via form trigger as codectechnologies0@gmail.com; Timestamp: Aug 21, 2026 1:18 AM</t>
  </si>
  <si>
    <t>Shyam G R</t>
  </si>
  <si>
    <t>Digital Electronics &amp; VLSI Intern</t>
  </si>
  <si>
    <t>shyamgr2008@gmail.com</t>
  </si>
  <si>
    <t>Male</t>
  </si>
  <si>
    <t>Maybe</t>
  </si>
  <si>
    <t>Second year</t>
  </si>
  <si>
    <t xml:space="preserve">Sri Shakthi Institute of Engineering and Technology </t>
  </si>
  <si>
    <t>Friend</t>
  </si>
  <si>
    <t>1iKUEKfuCW0QWgHBnz7jO1AFepyAfwhLZ</t>
  </si>
  <si>
    <t>https://drive.google.com/file/d/1iKUEKfuCW0QWgHBnz7jO1AFepyAfwhLZ/view?usp=drivesdk</t>
  </si>
  <si>
    <t>Document successfully created; Document successfully merged; PDF created; Emails Sent: [To: shyamgr2008@gmail.com]; Run via form trigger as codectechnologies0@gmail.com; Timestamp: Aug 21, 2026 1:19 AM</t>
  </si>
  <si>
    <t>Burra Arjun Goud</t>
  </si>
  <si>
    <t>Full Stack Developer Intern</t>
  </si>
  <si>
    <t>arjunburra99@gmail.com</t>
  </si>
  <si>
    <t>MALLA REDDY DEEMED TO BE UNIVERSITY</t>
  </si>
  <si>
    <t>1obQIJN3kcJs9IFUqsCxy8KO4FCNAY_tg</t>
  </si>
  <si>
    <t>https://drive.google.com/file/d/1obQIJN3kcJs9IFUqsCxy8KO4FCNAY_tg/view?usp=drivesdk</t>
  </si>
  <si>
    <t>Document successfully created; Document successfully merged; PDF created; Emails Sent: [To: arjunburra99@gmail.com]; Run via form trigger as codectechnologies0@gmail.com; Timestamp: Aug 21, 2026 1:19 AM</t>
  </si>
  <si>
    <t>Gorantla Yeswanth</t>
  </si>
  <si>
    <t>yeswanthchowdary03@gmail.com</t>
  </si>
  <si>
    <t>Malla Reddy(MR) Deemed To Be University</t>
  </si>
  <si>
    <t>1wq0yfnu702QFPLPcIgC0qQSW47hvM8Kf</t>
  </si>
  <si>
    <t>https://drive.google.com/file/d/1wq0yfnu702QFPLPcIgC0qQSW47hvM8Kf/view?usp=drivesdk</t>
  </si>
  <si>
    <t>Document successfully created; Document successfully merged; PDF created; Emails Sent: [To: yeswanthchowdary03@gmail.com]; Run via form trigger as codectechnologies0@gmail.com; Timestamp: Aug 21, 2026 1:21 AM</t>
  </si>
  <si>
    <t>1A2i0PUhShdLusMDncOTmDr7ecsgW_LHT</t>
  </si>
  <si>
    <t>https://drive.google.com/file/d/1A2i0PUhShdLusMDncOTmDr7ecsgW_LHT/view?usp=drivesdk</t>
  </si>
  <si>
    <t>Document successfully created; Document successfully merged; PDF created; Emails Sent: [To: adkeakshada14@gmail.com]; Run via form trigger as codectechnologies0@gmail.com; Timestamp: Aug 21, 2026 1:23 AM</t>
  </si>
  <si>
    <t>GAURAV SINGH BISHT</t>
  </si>
  <si>
    <t>Data Analytics Intern</t>
  </si>
  <si>
    <t>2 Month</t>
  </si>
  <si>
    <t>gauravbisht.403404@gmail.com</t>
  </si>
  <si>
    <t>BCS/BCA</t>
  </si>
  <si>
    <t>SRM IST</t>
  </si>
  <si>
    <t>1XJxL-ejno9kEay0xeTyzIoq8_XtrYw_M</t>
  </si>
  <si>
    <t>https://drive.google.com/file/d/1XJxL-ejno9kEay0xeTyzIoq8_XtrYw_M/view?usp=drivesdk</t>
  </si>
  <si>
    <t>Document successfully created; Document successfully merged; PDF created; Emails Sent: [To: gauravbisht.403404@gmail.com]; Run via form trigger as codectechnologies0@gmail.com; Timestamp: Aug 21, 2026 1:26 AM</t>
  </si>
  <si>
    <t>Yashwar Kapoor</t>
  </si>
  <si>
    <t>kapooryashwar59@gmail.com</t>
  </si>
  <si>
    <t>SRM-IST</t>
  </si>
  <si>
    <t>1btsG2ej4WT7O3WzaH2FRU1NijtBlnopL</t>
  </si>
  <si>
    <t>https://drive.google.com/file/d/1btsG2ej4WT7O3WzaH2FRU1NijtBlnopL/view?usp=drivesdk</t>
  </si>
  <si>
    <t>Document successfully created; Document successfully merged; PDF created; Emails Sent: [To: kapooryashwar59@gmail.com]; Run via form trigger as codectechnologies0@gmail.com; Timestamp: Aug 21, 2026 1:28 AM</t>
  </si>
  <si>
    <t>Chittaboina Sandeep</t>
  </si>
  <si>
    <t>chittaboinasandeep@gmail.com</t>
  </si>
  <si>
    <t>MALLA REDDY(MR) DEEMED TO BE UNIVERSITY</t>
  </si>
  <si>
    <t>1eWVpwItPx19q1iMxcWVRnwO0__UDci05</t>
  </si>
  <si>
    <t>https://drive.google.com/file/d/1eWVpwItPx19q1iMxcWVRnwO0__UDci05/view?usp=drivesdk</t>
  </si>
  <si>
    <t>Document successfully created; Document successfully merged; PDF created; Emails Sent: [To: chittaboinasandeep@gmail.com]; Run via form trigger as codectechnologies0@gmail.com; Timestamp: Aug 21, 2026 1:28 AM</t>
  </si>
  <si>
    <t>MATAM MUNI LIKITH KUMAR</t>
  </si>
  <si>
    <t>Python Developer Intern</t>
  </si>
  <si>
    <t>matam.likithkumar@gmail.com</t>
  </si>
  <si>
    <t>No</t>
  </si>
  <si>
    <t>Forth year</t>
  </si>
  <si>
    <t>MOHAN BABU UNIVERSITY</t>
  </si>
  <si>
    <t>Friend, AICTE/Indeed</t>
  </si>
  <si>
    <t>12jygtJiYc7CaslsrLjekIQhbiwDXJWT6</t>
  </si>
  <si>
    <t>DOUBLE FORM</t>
  </si>
  <si>
    <t>INTERNSHIP SUSPENDED</t>
  </si>
  <si>
    <t>Document successfully created; Document successfully merged; PDF created; Emails Sent: [To: matam.likithkumar@gmail.com]; Run via form trigger as codectechnologies0@gmail.com; Timestamp: Aug 21, 2026 1:32 AM</t>
  </si>
  <si>
    <t>PAJJURI KARTHIK</t>
  </si>
  <si>
    <t>goudk5841@gmail.com</t>
  </si>
  <si>
    <t>MALLA REDDY (MR) DEEMED TO BE UNIVERSITY</t>
  </si>
  <si>
    <t>15JSEtAn3_7OG976ItK_VFuK2jmkU0H4c</t>
  </si>
  <si>
    <t>https://drive.google.com/file/d/15JSEtAn3_7OG976ItK_VFuK2jmkU0H4c/view?usp=drivesdk</t>
  </si>
  <si>
    <t>Document successfully created; Document successfully merged; PDF created; Emails Sent: [To: goudk5841@gmail.com]; Run via form trigger as codectechnologies0@gmail.com; Timestamp: Aug 21, 2026 1:32 AM</t>
  </si>
  <si>
    <t>Md Iklakhul</t>
  </si>
  <si>
    <t>mdiklakhul007@gmail.com</t>
  </si>
  <si>
    <t>1CFxXsElGbHTUaH2Hr0m92uXc01B3NKxS</t>
  </si>
  <si>
    <t>https://drive.google.com/file/d/1CFxXsElGbHTUaH2Hr0m92uXc01B3NKxS/view?usp=drivesdk</t>
  </si>
  <si>
    <t>Document successfully created; Document successfully merged; PDF created; Emails Sent: [To: mdiklakhul007@gmail.com]; Run via form trigger as codectechnologies0@gmail.com; Timestamp: Aug 21, 2026 1:35 AM</t>
  </si>
  <si>
    <t>harshit singh</t>
  </si>
  <si>
    <t>singhharshit3644@gmail.com</t>
  </si>
  <si>
    <t>SRMIST</t>
  </si>
  <si>
    <t>1ifwKR1SIivrqz4ovPA4NHjRUVP8WL0L0</t>
  </si>
  <si>
    <t>https://drive.google.com/file/d/1ifwKR1SIivrqz4ovPA4NHjRUVP8WL0L0/view?usp=drivesdk</t>
  </si>
  <si>
    <t>Document successfully created; Document successfully merged; PDF created; Emails Sent: [To: singhharshit3644@gmail.com]; Run via form trigger as codectechnologies0@gmail.com; Timestamp: Aug 21, 2026 1:39 AM</t>
  </si>
  <si>
    <t>AICTE/Indeed</t>
  </si>
  <si>
    <t>1mt37FUEpSX3HpjBnq7EmOgqYeD9gGgO7</t>
  </si>
  <si>
    <t>Document successfully created; Document successfully merged; PDF created; Emails Sent: [To: matam.likithkumar@gmail.com]; Run via form trigger as codectechnologies0@gmail.com; Timestamp: Aug 21, 2026 1:44 AM</t>
  </si>
  <si>
    <t>GANNAVARAPU RAMCHARAN</t>
  </si>
  <si>
    <t>ramcharangannavarapu2008@gmail.com</t>
  </si>
  <si>
    <t>MALLA REEDY(MR) DEEMED TO BE UNIVERSITY</t>
  </si>
  <si>
    <t>1RZ6IYCm2V8IjJ25WZJrkE5i2iJLqbj4h</t>
  </si>
  <si>
    <t>https://drive.google.com/file/d/1RZ6IYCm2V8IjJ25WZJrkE5i2iJLqbj4h/view?usp=drivesdk</t>
  </si>
  <si>
    <t>Document successfully created; Document successfully merged; PDF created; Emails Sent: [To: ramcharangannavarapu2008@gmail.com]; Run via form trigger as codectechnologies0@gmail.com; Timestamp: Aug 21, 2026 1:44 AM</t>
  </si>
  <si>
    <t xml:space="preserve">Ajinkya Rajendra Jadhav </t>
  </si>
  <si>
    <t>Business Analytics Intern</t>
  </si>
  <si>
    <t>ajinkyajadhav5988@gmail.com</t>
  </si>
  <si>
    <t>Others</t>
  </si>
  <si>
    <t xml:space="preserve">Sandip institute of technology and research centre </t>
  </si>
  <si>
    <t>1HeAeG8zkMtQRHnAYMc5ZFymXzF4_HZcT</t>
  </si>
  <si>
    <t>https://drive.google.com/file/d/1HeAeG8zkMtQRHnAYMc5ZFymXzF4_HZcT/view?usp=drivesdk</t>
  </si>
  <si>
    <t>Document successfully created; Document successfully merged; PDF created; Emails Sent: [To: ajinkyajadhav5988@gmail.com]; Run via form trigger as codectechnologies0@gmail.com; Timestamp: Aug 21, 2026 1:48 AM</t>
  </si>
  <si>
    <t>Himanshu Verma</t>
  </si>
  <si>
    <t>Web Developer Intern</t>
  </si>
  <si>
    <t>hv661435@gmail.com</t>
  </si>
  <si>
    <t xml:space="preserve">Rajkiya Engineering College Azamgarh </t>
  </si>
  <si>
    <t>11UsfIaAtuMqe0xOTvecJus7dkjuGanTZ</t>
  </si>
  <si>
    <t>https://drive.google.com/file/d/11UsfIaAtuMqe0xOTvecJus7dkjuGanTZ/view?usp=drivesdk</t>
  </si>
  <si>
    <t>Document successfully created; Document successfully merged; PDF created; Emails Sent: [To: hv661435@gmail.com]; Run via form trigger as codectechnologies0@gmail.com; Timestamp: Aug 21, 2026 1:54 AM</t>
  </si>
  <si>
    <t>TUMMA SHASHANK</t>
  </si>
  <si>
    <t>shashanktumma25@gmail.com</t>
  </si>
  <si>
    <t>1bBwq0zwatmTTzTkshQ4s_nfT2RGHUY1h</t>
  </si>
  <si>
    <t>https://drive.google.com/file/d/1bBwq0zwatmTTzTkshQ4s_nfT2RGHUY1h/view?usp=drivesdk</t>
  </si>
  <si>
    <t>Document successfully created; Document successfully merged; PDF created; Emails Sent: [To: shashanktumma25@gmail.com]; Run via form trigger as codectechnologies0@gmail.com; Timestamp: Aug 21, 2026 1:59 AM</t>
  </si>
  <si>
    <t>AGURLA ABHIRAM</t>
  </si>
  <si>
    <t>abhiramagurla@gmail.com</t>
  </si>
  <si>
    <t>1PWVfCJ0QUdPvoEp8G9L2ApPNJ0FIDtSW</t>
  </si>
  <si>
    <t>https://drive.google.com/file/d/1PWVfCJ0QUdPvoEp8G9L2ApPNJ0FIDtSW/view?usp=drivesdk</t>
  </si>
  <si>
    <t>Document successfully created; Document successfully merged; PDF created; Emails Sent: [To: abhiramagurla@gmail.com]; Run via form trigger as codectechnologies0@gmail.com; Timestamp: Aug 21, 2026 2:06 AM</t>
  </si>
  <si>
    <t>Dontula Santhosh</t>
  </si>
  <si>
    <t>santhoshdontula2007@gmail.com</t>
  </si>
  <si>
    <t>1eOd2jhXxcxD8PyTb49rx_eGapDRVuw7h</t>
  </si>
  <si>
    <t>https://drive.google.com/file/d/1eOd2jhXxcxD8PyTb49rx_eGapDRVuw7h/view?usp=drivesdk</t>
  </si>
  <si>
    <t>Document successfully created; Document successfully merged; PDF created; Emails Sent: [To: santhoshdontula2007@gmail.com]; Run via form trigger as codectechnologies0@gmail.com; Timestamp: Aug 21, 2026 2:13 AM</t>
  </si>
  <si>
    <t xml:space="preserve">Amrendra Yadav </t>
  </si>
  <si>
    <t>Artificial Intelligence Intern</t>
  </si>
  <si>
    <t>amarendrayadav99050@gmail.com</t>
  </si>
  <si>
    <t xml:space="preserve">Noida Institute of Engineering and Technology </t>
  </si>
  <si>
    <t>Other</t>
  </si>
  <si>
    <t>18zyolrrLG6W3K2VpoUR5Oo6j_s4y7nWO</t>
  </si>
  <si>
    <t>https://drive.google.com/file/d/18zyolrrLG6W3K2VpoUR5Oo6j_s4y7nWO/view?usp=drivesdk</t>
  </si>
  <si>
    <t>Document successfully created; Document successfully merged; PDF created; Emails Sent: [To: amarendrayadav99050@gmail.com]; Run via form trigger as codectechnologies0@gmail.com; Timestamp: Aug 21, 2026 2:17 AM</t>
  </si>
  <si>
    <t>Srinik Reddy</t>
  </si>
  <si>
    <t>srinikreddy104@gmail.com</t>
  </si>
  <si>
    <t>1PCjRqjA2kD1uLtN9h_JmhaJL1JK-GbWv</t>
  </si>
  <si>
    <t>https://drive.google.com/file/d/1PCjRqjA2kD1uLtN9h_JmhaJL1JK-GbWv/view?usp=drivesdk</t>
  </si>
  <si>
    <t>Document successfully created; Document successfully merged; PDF created; Emails Sent: [To: srinikreddy104@gmail.com]; Run via form trigger as codectechnologies0@gmail.com; Timestamp: Aug 21, 2026 2:21 AM</t>
  </si>
  <si>
    <t>1iDoyI-r7ixhFrCmOA_ReA7Cvfykp_xyc</t>
  </si>
  <si>
    <t>https://drive.google.com/file/d/1iDoyI-r7ixhFrCmOA_ReA7Cvfykp_xyc/view?usp=drivesdk</t>
  </si>
  <si>
    <t>Document successfully created; Document successfully merged; PDF created; Emails Sent: [To: abhiramagurla@gmail.com]; Run via form trigger as codectechnologies0@gmail.com; Timestamp: Aug 21, 2026 2:24 AM</t>
  </si>
  <si>
    <t>DUDEKULA CHARISHMA</t>
  </si>
  <si>
    <t>24am1a3118@svrec.ac.in</t>
  </si>
  <si>
    <t>SVR ENGINEERING COLLEGE</t>
  </si>
  <si>
    <t>1QUMy9dFwSjdehIbad6dkvRPDxZhakaHL</t>
  </si>
  <si>
    <t>https://drive.google.com/file/d/1QUMy9dFwSjdehIbad6dkvRPDxZhakaHL/view?usp=drivesdk</t>
  </si>
  <si>
    <t>Document successfully created; Document successfully merged; PDF created; Emails Sent: [To: 24am1a3118@svrec.ac.in]; Run via form trigger as codectechnologies0@gmail.com; Timestamp: Aug 21, 2026 2:34 AM</t>
  </si>
  <si>
    <t>Vishal Kumar</t>
  </si>
  <si>
    <t>Vishalprajapati83688@gmail.com</t>
  </si>
  <si>
    <t>SRM IST NCR</t>
  </si>
  <si>
    <t>Instagram</t>
  </si>
  <si>
    <t>1JmFujo5enrWa9bdn6UszAAh_iVGNWzyj</t>
  </si>
  <si>
    <t>https://drive.google.com/file/d/1JmFujo5enrWa9bdn6UszAAh_iVGNWzyj/view?usp=drivesdk</t>
  </si>
  <si>
    <t>Document successfully created; Document successfully merged; PDF created; Emails Sent: [To: Vishalprajapati83688@gmail.com]; Run via form trigger as codectechnologies0@gmail.com; Timestamp: Aug 21, 2026 2:41 AM</t>
  </si>
  <si>
    <t>Anshika Johari</t>
  </si>
  <si>
    <t>anshikajohari903@gmail.com</t>
  </si>
  <si>
    <t>Bareilly College Bareilly</t>
  </si>
  <si>
    <t>Google</t>
  </si>
  <si>
    <t>1EpU99q4kCt_IEdUXa60bBURLwz1bYIy2</t>
  </si>
  <si>
    <t>https://drive.google.com/file/d/1EpU99q4kCt_IEdUXa60bBURLwz1bYIy2/view?usp=drivesdk</t>
  </si>
  <si>
    <t>Document successfully created; Document successfully merged; PDF created; Emails Sent: [To: anshikajohari903@gmail.com]; Run via form trigger as codectechnologies0@gmail.com; Timestamp: Aug 21, 2026 3:49 AM</t>
  </si>
  <si>
    <t>Ankush Singh</t>
  </si>
  <si>
    <t>ankushsingh157t@gmail.com</t>
  </si>
  <si>
    <t xml:space="preserve">Allenhouse business school kanpur </t>
  </si>
  <si>
    <t>1z22MeThJLeu-nLN4fWjGonID-ypcIq8e</t>
  </si>
  <si>
    <t>https://drive.google.com/file/d/1z22MeThJLeu-nLN4fWjGonID-ypcIq8e/view?usp=drivesdk</t>
  </si>
  <si>
    <t>Document successfully created; Document successfully merged; PDF created; Emails Sent: [To: ankushsingh157t@gmail.com]; Run via form trigger as codectechnologies0@gmail.com; Timestamp: Aug 21, 2026 3:53 AM</t>
  </si>
  <si>
    <t>SUDIP PRAMANICK</t>
  </si>
  <si>
    <t>Electric Vehicle (EV) Technology  Intern</t>
  </si>
  <si>
    <t>3 Month</t>
  </si>
  <si>
    <t>pramanicksudip0@gmail.com</t>
  </si>
  <si>
    <t xml:space="preserve">Global Institute of Management and Technology </t>
  </si>
  <si>
    <t>WhatsApp</t>
  </si>
  <si>
    <t>1pzTumrCmX9hbxWrzFKU1MNCAHNIHtlfn</t>
  </si>
  <si>
    <t>https://drive.google.com/file/d/1pzTumrCmX9hbxWrzFKU1MNCAHNIHtlfn/view?usp=drivesdk</t>
  </si>
  <si>
    <t>Document successfully created; Document successfully merged; PDF created; Emails Sent: [To: pramanicksudip0@gmail.com]; Run via form trigger as codectechnologies0@gmail.com; Timestamp: Aug 21, 2026 4:00 AM</t>
  </si>
  <si>
    <t>Siddhi Bhor</t>
  </si>
  <si>
    <t>siddhibhor14@gmail.com</t>
  </si>
  <si>
    <t>Passout</t>
  </si>
  <si>
    <t>Siddhant collage of application studies</t>
  </si>
  <si>
    <t>10NGET9yd_cLojvdVSBeyGbA2yaJfNf76</t>
  </si>
  <si>
    <t>https://drive.google.com/file/d/10NGET9yd_cLojvdVSBeyGbA2yaJfNf76/view?usp=drivesdk</t>
  </si>
  <si>
    <t>Document successfully created; Document successfully merged; PDF created; Emails Sent: [To: siddhibhor14@gmail.com]; Run via form trigger as codectechnologies0@gmail.com; Timestamp: Aug 21, 2026 4:01 AM</t>
  </si>
  <si>
    <t xml:space="preserve">RUDRA RISHI CHAKRABORTY </t>
  </si>
  <si>
    <t>chakrabortyrudrarishi@gmail.com</t>
  </si>
  <si>
    <t xml:space="preserve">Global Institute of management &amp; Technology </t>
  </si>
  <si>
    <t>13gF6R3jigqfcsx0N6sjk2TYYaoAQPVwl</t>
  </si>
  <si>
    <t>https://drive.google.com/file/d/13gF6R3jigqfcsx0N6sjk2TYYaoAQPVwl/view?usp=drivesdk</t>
  </si>
  <si>
    <t>Document successfully created; Document successfully merged; PDF created; Emails Sent: [To: chakrabortyrudrarishi@gmail.com]; Run via form trigger as codectechnologies0@gmail.com; Timestamp: Aug 21, 2026 4:05 AM</t>
  </si>
  <si>
    <t>DEVESH MATHUR</t>
  </si>
  <si>
    <t>Cyber Security Intern</t>
  </si>
  <si>
    <t>Deveshmathur199@gmail.com</t>
  </si>
  <si>
    <t>Poddar International College</t>
  </si>
  <si>
    <t>LinkedIn, Instagram, AICTE/Indeed, Internshala</t>
  </si>
  <si>
    <t>Enroll Now - https://codectechnologies.in/internships</t>
  </si>
  <si>
    <t>14BhH_KqLpSYgcslkCsxxEascuXe5aOIU</t>
  </si>
  <si>
    <t>https://drive.google.com/file/d/14BhH_KqLpSYgcslkCsxxEascuXe5aOIU/view?usp=drivesdk</t>
  </si>
  <si>
    <t>Document successfully created; Document successfully merged; PDF created; Emails Sent: [To: Deveshmathur199@gmail.com]; Run via form trigger as codectechnologies0@gmail.com; Timestamp: Aug 21, 2026 4:16 AM</t>
  </si>
  <si>
    <t>POOSALA ABHISHEK</t>
  </si>
  <si>
    <t>abhipoosala1234@gmail.com</t>
  </si>
  <si>
    <t>1482KXppSVik1BAid8AvO3zPaw9NEMMOy</t>
  </si>
  <si>
    <t>https://drive.google.com/file/d/1482KXppSVik1BAid8AvO3zPaw9NEMMOy/view?usp=drivesdk</t>
  </si>
  <si>
    <t>Document successfully created; Document successfully merged; PDF created; Emails Sent: [To: abhipoosala1234@gmail.com]; Run via form trigger as codectechnologies0@gmail.com; Timestamp: Aug 21, 2026 4:23 AM</t>
  </si>
  <si>
    <t>Harshita sahu</t>
  </si>
  <si>
    <t>harshitasahu621@gmail.com</t>
  </si>
  <si>
    <t>07307590066</t>
  </si>
  <si>
    <t xml:space="preserve">Kanpur institute of technology </t>
  </si>
  <si>
    <t>1zbZ6kwkcFPl3-AM7UtXA05K4fV_64Wf7</t>
  </si>
  <si>
    <t>https://drive.google.com/file/d/1zbZ6kwkcFPl3-AM7UtXA05K4fV_64Wf7/view?usp=drivesdk</t>
  </si>
  <si>
    <t>Document successfully created; Document successfully merged; PDF created; Emails Sent: [To: harshitasahu621@gmail.com]; Run via form trigger as codectechnologies0@gmail.com; Timestamp: Aug 21, 2026 4:39 AM</t>
  </si>
  <si>
    <t>GUDDINITI ABHILASH</t>
  </si>
  <si>
    <t>guddintiabhilash@gmail.com</t>
  </si>
  <si>
    <t>MALLA REDDY (MR) DEEMED TO UNIVERSITY</t>
  </si>
  <si>
    <t>1fFtAAEWVyS-ACkj19vpNurWm9TVCQxqv</t>
  </si>
  <si>
    <t>https://drive.google.com/file/d/1fFtAAEWVyS-ACkj19vpNurWm9TVCQxqv/view?usp=drivesdk</t>
  </si>
  <si>
    <t>Document successfully created; Document successfully merged; PDF created; Emails Sent: [To: guddintiabhilash@gmail.com]; Run via form trigger as codectechnologies0@gmail.com; Timestamp: Aug 21, 2026 4:46 AM</t>
  </si>
  <si>
    <t>Riya Gupta</t>
  </si>
  <si>
    <t>griya920@gmail.com</t>
  </si>
  <si>
    <t>Kanpur Institute of Technology</t>
  </si>
  <si>
    <t>1SAcI5iof4HahkrO8XKBWyCoF4tUWNHeB</t>
  </si>
  <si>
    <t>https://drive.google.com/file/d/1SAcI5iof4HahkrO8XKBWyCoF4tUWNHeB/view?usp=drivesdk</t>
  </si>
  <si>
    <t>Document successfully created; Document successfully merged; PDF created; Emails Sent: [To: griya920@gmail.com]; Run via form trigger as codectechnologies0@gmail.com; Timestamp: Aug 21, 2026 5:01 AM</t>
  </si>
  <si>
    <t xml:space="preserve">Peddi Shivateja </t>
  </si>
  <si>
    <t>peddishivateja77@gmail.com</t>
  </si>
  <si>
    <t>WhatsApp, Friend, Email, AICTE/Indeed</t>
  </si>
  <si>
    <t>1U8_HER9H3DiLUptGC5nOzI2eUf3EL-Q9</t>
  </si>
  <si>
    <t>https://drive.google.com/file/d/1U8_HER9H3DiLUptGC5nOzI2eUf3EL-Q9/view?usp=drivesdk</t>
  </si>
  <si>
    <t>Document successfully created; Document successfully merged; PDF created; Emails Sent: [To: peddishivateja77@gmail.com]; Run via form trigger as codectechnologies0@gmail.com; Timestamp: Aug 21, 2026 5:04 AM</t>
  </si>
  <si>
    <t>Dipin</t>
  </si>
  <si>
    <t>Java Developer Intern</t>
  </si>
  <si>
    <t>Dipin3900@gmail.com</t>
  </si>
  <si>
    <t>07877514551</t>
  </si>
  <si>
    <t xml:space="preserve">Uttaranchal University </t>
  </si>
  <si>
    <t>1x9sU0cQhMqDWUTx0L8CEgG753CA0aVOw</t>
  </si>
  <si>
    <t>https://drive.google.com/file/d/1x9sU0cQhMqDWUTx0L8CEgG753CA0aVOw/view?usp=drivesdk</t>
  </si>
  <si>
    <t>Document successfully created; Document successfully merged; PDF created; Emails Sent: [To: Dipin3900@gmail.com]; Run via form trigger as codectechnologies0@gmail.com; Timestamp: Aug 21, 2026 5:15 AM</t>
  </si>
  <si>
    <t>N.Abhiram Reddy</t>
  </si>
  <si>
    <t>abhiramreddynagelli@gmail.com</t>
  </si>
  <si>
    <t>LinkedIn, WhatsApp, Friend, Email, Google</t>
  </si>
  <si>
    <t>19PviKfnxxyqfq03jPQb5lNHyRjv_nbr4</t>
  </si>
  <si>
    <t>https://drive.google.com/file/d/19PviKfnxxyqfq03jPQb5lNHyRjv_nbr4/view?usp=drivesdk</t>
  </si>
  <si>
    <t>Document successfully created; Document successfully merged; PDF created; Emails Sent: [To: abhiramreddynagelli@gmail.com]; Run via form trigger as codectechnologies0@gmail.com; Timestamp: Aug 21, 2026 5:19 AM</t>
  </si>
  <si>
    <t>Mohit  Kushwaha</t>
  </si>
  <si>
    <t>232485@kit.ac.in</t>
  </si>
  <si>
    <t>Kanpur Institute Of Technology</t>
  </si>
  <si>
    <t>1_DF0h3KZ4cRhvo8PPVFvqIH2WvvEEM9P</t>
  </si>
  <si>
    <t>https://drive.google.com/file/d/1_DF0h3KZ4cRhvo8PPVFvqIH2WvvEEM9P/view?usp=drivesdk</t>
  </si>
  <si>
    <t>Document successfully created; Document successfully merged; PDF created; Emails Sent: [To: 232485@kit.ac.in]; Run via form trigger as codectechnologies0@gmail.com; Timestamp: Aug 21, 2026 5:39 AM</t>
  </si>
  <si>
    <t>Anushka Gupta</t>
  </si>
  <si>
    <t>anushkagupta043@gmail.com</t>
  </si>
  <si>
    <t xml:space="preserve">Rajkumar Goel Institute of technology, Ghaziabad </t>
  </si>
  <si>
    <t>Google, AICTE/Indeed</t>
  </si>
  <si>
    <t>1UTtEak660_EP0tpoBK_bmaoDeRV-54ZN</t>
  </si>
  <si>
    <t>https://drive.google.com/file/d/1UTtEak660_EP0tpoBK_bmaoDeRV-54ZN/view?usp=drivesdk</t>
  </si>
  <si>
    <t>Document successfully created; Document successfully merged; PDF created; Emails Sent: [To: anushkagupta043@gmail.com]; Run via form trigger as codectechnologies0@gmail.com; Timestamp: Aug 21, 2026 5:42 AM</t>
  </si>
  <si>
    <t xml:space="preserve">MANDAPATI GURU MEGHANA </t>
  </si>
  <si>
    <t>24am1a3124@svrec.ac.in</t>
  </si>
  <si>
    <t xml:space="preserve">SVR ENGINEERING COLLEGE </t>
  </si>
  <si>
    <t>1gD_rreMll8CQqqv0t6TvVX_xvWQIqllE</t>
  </si>
  <si>
    <t>https://drive.google.com/file/d/1gD_rreMll8CQqqv0t6TvVX_xvWQIqllE/view?usp=drivesdk</t>
  </si>
  <si>
    <t>Document successfully created; Document successfully merged; PDF created; Emails Sent: [To: 24am1a3124@svrec.ac.in]; Run via form trigger as codectechnologies0@gmail.com; Timestamp: Aug 21, 2026 5:42 AM</t>
  </si>
  <si>
    <t>Lamha Gupta</t>
  </si>
  <si>
    <t>lamhagupta87@gmail.com</t>
  </si>
  <si>
    <t>1-PyRwrP4fq3ZypPuKdK4IMUNae6XrwM_</t>
  </si>
  <si>
    <t>https://drive.google.com/file/d/1-PyRwrP4fq3ZypPuKdK4IMUNae6XrwM_/view?usp=drivesdk</t>
  </si>
  <si>
    <t>Document successfully created; Document successfully merged; PDF created; Emails Sent: [To: lamhagupta87@gmail.com]; Run via form trigger as codectechnologies0@gmail.com; Timestamp: Aug 21, 2026 5:53 AM</t>
  </si>
  <si>
    <t>Nandivardhan U Amminabhavi</t>
  </si>
  <si>
    <t>nandivardhan341@gmail.com</t>
  </si>
  <si>
    <t xml:space="preserve">G.M University </t>
  </si>
  <si>
    <t>19kDNgva3bb4wfHRxGLopDXQ-DLCvm32V</t>
  </si>
  <si>
    <t>https://drive.google.com/file/d/19kDNgva3bb4wfHRxGLopDXQ-DLCvm32V/view?usp=drivesdk</t>
  </si>
  <si>
    <t>Document successfully created; Document successfully merged; PDF created; Emails Sent: [To: nandivardhan341@gmail.com]; Run via form trigger as codectechnologies0@gmail.com; Timestamp: Aug 21, 2026 6:17 AM</t>
  </si>
  <si>
    <t>Kishan Singh</t>
  </si>
  <si>
    <t>singhkishan20045@gmail.com</t>
  </si>
  <si>
    <t>IIT BHU</t>
  </si>
  <si>
    <t>15-IVofeaCzdob-oNHz7bvuU_ZwcOFxmN</t>
  </si>
  <si>
    <t>https://drive.google.com/file/d/15-IVofeaCzdob-oNHz7bvuU_ZwcOFxmN/view?usp=drivesdk</t>
  </si>
  <si>
    <t>Document successfully created; Document successfully merged; PDF created; Emails Sent: [To: singhkishan20045@gmail.com]; Run via form trigger as codectechnologies0@gmail.com; Timestamp: Aug 21, 2026 6:19 AM</t>
  </si>
  <si>
    <t>Vedant Chavan</t>
  </si>
  <si>
    <t>vedantchavan78332@gmail.com</t>
  </si>
  <si>
    <t xml:space="preserve">Nagpur Institute of Technology </t>
  </si>
  <si>
    <t>1STVk-_RgQmEIIJZ3Ywj32w-dLGPOIs_B</t>
  </si>
  <si>
    <t>https://drive.google.com/file/d/1STVk-_RgQmEIIJZ3Ywj32w-dLGPOIs_B/view?usp=drivesdk</t>
  </si>
  <si>
    <t>Document successfully created; Document successfully merged; PDF created; Emails Sent: [To: vedantchavan78332@gmail.com]; Run via form trigger as codectechnologies0@gmail.com; Timestamp: Aug 21, 2026 6:35 AM</t>
  </si>
  <si>
    <t>Talape Sahil Dhondu</t>
  </si>
  <si>
    <t>Cloud Computing Intern</t>
  </si>
  <si>
    <t>sahiltalape2701@gmail.com</t>
  </si>
  <si>
    <t>MCS/MCA</t>
  </si>
  <si>
    <t>First year</t>
  </si>
  <si>
    <t>Yashaswi IIMS Chinchwad</t>
  </si>
  <si>
    <t>1BJNRuxlPg9Ch1TN7Ej9EyYqC9xYv_u5b</t>
  </si>
  <si>
    <t>https://drive.google.com/file/d/1BJNRuxlPg9Ch1TN7Ej9EyYqC9xYv_u5b/view?usp=drivesdk</t>
  </si>
  <si>
    <t>Document successfully created; Document successfully merged; PDF created; Emails Sent: [To: sahiltalape2701@gmail.com]; Run via form trigger as codectechnologies0@gmail.com; Timestamp: Aug 21, 2026 6:37 AM</t>
  </si>
  <si>
    <t xml:space="preserve">Vikash </t>
  </si>
  <si>
    <t>vikashsuryavanshi2616@gmail.com</t>
  </si>
  <si>
    <t xml:space="preserve">IIT BHU </t>
  </si>
  <si>
    <t>1f4QBAogh-3_Q_UkaUwgA2hR-un4PVz_e</t>
  </si>
  <si>
    <t>https://drive.google.com/file/d/1f4QBAogh-3_Q_UkaUwgA2hR-un4PVz_e/view?usp=drivesdk</t>
  </si>
  <si>
    <t>Document successfully created; Document successfully merged; PDF created; Emails Sent: [To: vikashsuryavanshi2616@gmail.com]; Run via form trigger as codectechnologies0@gmail.com; Timestamp: Aug 21, 2026 6:54 AM</t>
  </si>
  <si>
    <t>Yuvraj Kokate</t>
  </si>
  <si>
    <t>kokateyuraj2020@gmail.com</t>
  </si>
  <si>
    <t>Modern college Arts,Science and Commerce Ganeshkhind, pune.</t>
  </si>
  <si>
    <t>1x4XQsEsOVBgW-EbtStwR_5hVL0NKKGo_</t>
  </si>
  <si>
    <t>https://drive.google.com/file/d/1x4XQsEsOVBgW-EbtStwR_5hVL0NKKGo_/view?usp=drivesdk</t>
  </si>
  <si>
    <t>Document successfully created; Document successfully merged; PDF created; Emails Sent: [To: kokateyuraj2020@gmail.com]; Run via form trigger as codectechnologies0@gmail.com; Timestamp: Aug 21, 2026 6:58 AM</t>
  </si>
  <si>
    <t>Vivek Kumar</t>
  </si>
  <si>
    <t>Kumarvivekraj36@gmail.com</t>
  </si>
  <si>
    <t xml:space="preserve">Swami vivekanand Subharti university Meerut </t>
  </si>
  <si>
    <t>1LpR8jHlJ7eXJeGbeNwUJtlzY_yDRbNIw</t>
  </si>
  <si>
    <t>https://drive.google.com/file/d/1LpR8jHlJ7eXJeGbeNwUJtlzY_yDRbNIw/view?usp=drivesdk</t>
  </si>
  <si>
    <t>Document successfully created; Document successfully merged; PDF created; Emails Sent: [To: Kumarvivekraj36@gmail.com]; Run via form trigger as codectechnologies0@gmail.com; Timestamp: Aug 21, 2026 7:01 AM</t>
  </si>
  <si>
    <t>DARSHAN K N</t>
  </si>
  <si>
    <t>kolimadudarshan@gmail.com</t>
  </si>
  <si>
    <t>KVG College of Engineering</t>
  </si>
  <si>
    <t>1O1unHcOv-vKUo8whFPjCz-sE7NdHk98-</t>
  </si>
  <si>
    <t>https://drive.google.com/file/d/1O1unHcOv-vKUo8whFPjCz-sE7NdHk98-/view?usp=drivesdk</t>
  </si>
  <si>
    <t>Document successfully created; Document successfully merged; PDF created; Emails Sent: [To: kolimadudarshan@gmail.com]; Run via form trigger as codectechnologies0@gmail.com; Timestamp: Aug 21, 2026 7:05 AM</t>
  </si>
  <si>
    <t>JATIN KATIYAR</t>
  </si>
  <si>
    <t>jatinkatiyar2506@gmail.com</t>
  </si>
  <si>
    <t>sgtbimit</t>
  </si>
  <si>
    <t>1pKlQwPoln7rDHGD670Yrc4XHFN45VMGW</t>
  </si>
  <si>
    <t>https://drive.google.com/file/d/1pKlQwPoln7rDHGD670Yrc4XHFN45VMGW/view?usp=drivesdk</t>
  </si>
  <si>
    <t>Document successfully created; Document successfully merged; PDF created; Emails Sent: [To: jatinkatiyar2506@gmail.com]; Run via form trigger as codectechnologies0@gmail.com; Timestamp: Aug 21, 2026 7:06 AM</t>
  </si>
  <si>
    <t xml:space="preserve">Aashish sajwan </t>
  </si>
  <si>
    <t>ashishsajwan705@gmail.com</t>
  </si>
  <si>
    <t xml:space="preserve">Quantum university </t>
  </si>
  <si>
    <t>1aTlq9lSI2mC315-EdmJM2i6BfYm-WWs2</t>
  </si>
  <si>
    <t>https://drive.google.com/file/d/1aTlq9lSI2mC315-EdmJM2i6BfYm-WWs2/view?usp=drivesdk</t>
  </si>
  <si>
    <t>Document successfully created; Document successfully merged; PDF created; Emails Sent: [To: ashishsajwan705@gmail.com]; Run via form trigger as codectechnologies0@gmail.com; Timestamp: Aug 21, 2026 9:55 AM</t>
  </si>
  <si>
    <t>MORRAM REDDY HARSHITH REDDY</t>
  </si>
  <si>
    <t>harshithr831@gmail.com</t>
  </si>
  <si>
    <t>malla reddy deemed university</t>
  </si>
  <si>
    <t>15Ek7X6wFVza3wEDFjgKwAdTUktamRimI</t>
  </si>
  <si>
    <t>https://drive.google.com/file/d/15Ek7X6wFVza3wEDFjgKwAdTUktamRimI/view?usp=drivesdk</t>
  </si>
  <si>
    <t>Document successfully created; Document successfully merged; PDF created; Emails Sent: [To: harshithr831@gmail.com]; Run via form trigger as codectechnologies0@gmail.com; Timestamp: Aug 21, 2026 10:00 AM</t>
  </si>
  <si>
    <t>Shraddha Dhopate</t>
  </si>
  <si>
    <t>shraddhadhopate07@gmail.com</t>
  </si>
  <si>
    <t>Alard School of Bussiness and Management</t>
  </si>
  <si>
    <t>1tGdxrmkaIJ9ID5-rdglxxueO2H5HUKeN</t>
  </si>
  <si>
    <t>https://drive.google.com/file/d/1tGdxrmkaIJ9ID5-rdglxxueO2H5HUKeN/view?usp=drivesdk</t>
  </si>
  <si>
    <t>Document successfully created; Document successfully merged; PDF created; Emails Sent: [To: shraddhadhopate07@gmail.com]; Run via form trigger as codectechnologies0@gmail.com; Timestamp: Aug 21, 2026 10:04 AM</t>
  </si>
  <si>
    <t>Mala Deepa</t>
  </si>
  <si>
    <t>deepasamudrala16@gmail.com</t>
  </si>
  <si>
    <t>G Pullaiah College of Engineering and Science</t>
  </si>
  <si>
    <t>1JbOyFDuaP-6CUulRYhDoo8qlFCkMocVv</t>
  </si>
  <si>
    <t>https://drive.google.com/file/d/1JbOyFDuaP-6CUulRYhDoo8qlFCkMocVv/view?usp=drivesdk</t>
  </si>
  <si>
    <t>Document successfully created; Document successfully merged; PDF created; Emails Sent: [To: deepasamudrala16@gmail.com]; Run via form trigger as codectechnologies0@gmail.com; Timestamp: Aug 21, 2026 10:08 AM</t>
  </si>
  <si>
    <t>Rahul Shinde</t>
  </si>
  <si>
    <t>Application Developer Intern</t>
  </si>
  <si>
    <t>rahulrakshak361@gmail.com</t>
  </si>
  <si>
    <t>Presidency College</t>
  </si>
  <si>
    <t>Friend, Other</t>
  </si>
  <si>
    <t>1kLyWFLxGEKmMzDWl6N5wLELQ8OlDu527</t>
  </si>
  <si>
    <t>https://drive.google.com/file/d/1kLyWFLxGEKmMzDWl6N5wLELQ8OlDu527/view?usp=drivesdk</t>
  </si>
  <si>
    <t>Document successfully created; Document successfully merged; PDF created; Emails Sent: [To: rahulrakshak361@gmail.com]; Run via form trigger as codectechnologies0@gmail.com; Timestamp: Aug 21, 2026 10:22 AM</t>
  </si>
  <si>
    <t xml:space="preserve">Vikas Kumar Prajapati </t>
  </si>
  <si>
    <t>vk9103813@gmail.com</t>
  </si>
  <si>
    <t xml:space="preserve">Dronacharya government college </t>
  </si>
  <si>
    <t>1jG8OFmOHv2pOMcsxIylNkPZg87v6a6iL</t>
  </si>
  <si>
    <t>https://drive.google.com/file/d/1jG8OFmOHv2pOMcsxIylNkPZg87v6a6iL/view?usp=drivesdk</t>
  </si>
  <si>
    <t>Document successfully created; Document successfully merged; PDF created; Emails Sent: [To: vk9103813@gmail.com]; Run via form trigger as codectechnologies0@gmail.com; Timestamp: Aug 21, 2026 10:26 AM</t>
  </si>
  <si>
    <t>Somu Kakhandaki</t>
  </si>
  <si>
    <t>kakhandakisomu@gmail.com</t>
  </si>
  <si>
    <t>1-Meu4WfPOEOTj42cz9vv83ilsKySR9bG</t>
  </si>
  <si>
    <t>https://drive.google.com/file/d/1-Meu4WfPOEOTj42cz9vv83ilsKySR9bG/view?usp=drivesdk</t>
  </si>
  <si>
    <t>Document successfully created; Document successfully merged; PDF created; Emails Sent: [To: kakhandakisomu@gmail.com]; Run via form trigger as codectechnologies0@gmail.com; Timestamp: Aug 21, 2026 10:43 AM</t>
  </si>
  <si>
    <t>Aryan Raj</t>
  </si>
  <si>
    <t>aryan012a@gmail.com</t>
  </si>
  <si>
    <t xml:space="preserve">Noida institute of engineering and technology </t>
  </si>
  <si>
    <t>1c_FJM7dhnB3XAYwSvr6tahmXdPrjOFoo</t>
  </si>
  <si>
    <t>https://drive.google.com/file/d/1c_FJM7dhnB3XAYwSvr6tahmXdPrjOFoo/view?usp=drivesdk</t>
  </si>
  <si>
    <t>Document successfully created; Document successfully merged; PDF created; Emails Sent: [To: aryan012a@gmail.com]; Run via form trigger as codectechnologies0@gmail.com; Timestamp: Aug 21, 2026 11:06 AM</t>
  </si>
  <si>
    <t>Gogrey Shraddha</t>
  </si>
  <si>
    <t>shraddhagogrey@gmail.com</t>
  </si>
  <si>
    <t>B.Sc/B.Com</t>
  </si>
  <si>
    <t xml:space="preserve">St. Ann's college for women </t>
  </si>
  <si>
    <t>1y7zrlX8Q_M2jtwDKPfY42zSX4DT1Z3dl</t>
  </si>
  <si>
    <t>https://drive.google.com/file/d/1y7zrlX8Q_M2jtwDKPfY42zSX4DT1Z3dl/view?usp=drivesdk</t>
  </si>
  <si>
    <t>Document successfully created; Document successfully merged; PDF created; Emails Sent: [To: shraddhagogrey@gmail.com]; Run via form trigger as codectechnologies0@gmail.com; Timestamp: Aug 21, 2026 11:38 AM</t>
  </si>
  <si>
    <t>Jeevan T Marad</t>
  </si>
  <si>
    <t>maradjeevan@gmail.com</t>
  </si>
  <si>
    <t xml:space="preserve">Presidency college autonomous bangalore </t>
  </si>
  <si>
    <t>1a3PHrKNduNNyzS0vnkFRmZrnt_AH84-3</t>
  </si>
  <si>
    <t>https://drive.google.com/file/d/1a3PHrKNduNNyzS0vnkFRmZrnt_AH84-3/view?usp=drivesdk</t>
  </si>
  <si>
    <t>Document successfully created; Document successfully merged; PDF created; Emails Sent: [To: maradjeevan@gmail.com]; Run via form trigger as codectechnologies0@gmail.com; Timestamp: Aug 21, 2026 11:55 AM</t>
  </si>
  <si>
    <t>Tauheed Nafees</t>
  </si>
  <si>
    <t>tauheednafees1@gmail.com</t>
  </si>
  <si>
    <t>Allenhouse institute of technology</t>
  </si>
  <si>
    <t>LinkedIn, Email</t>
  </si>
  <si>
    <t>13LcQT4OVqaiZUvIEuvueOaoDGMJP24CB</t>
  </si>
  <si>
    <t>https://drive.google.com/file/d/13LcQT4OVqaiZUvIEuvueOaoDGMJP24CB/view?usp=drivesdk</t>
  </si>
  <si>
    <t>Document successfully created; Document successfully merged; PDF created; Emails Sent: [To: tauheednafees1@gmail.com]; Run via form trigger as codectechnologies0@gmail.com; Timestamp: Aug 21, 2026 12:01 PM</t>
  </si>
  <si>
    <t>PRIYAM PRATYUSH PANDA</t>
  </si>
  <si>
    <t>priyampratyushpanda@gmail.com</t>
  </si>
  <si>
    <t>Centurion University of Technology and Management</t>
  </si>
  <si>
    <t>1Y03xVcJCPK3ANx97zdQX4cFE79KsBGCv</t>
  </si>
  <si>
    <t>https://drive.google.com/file/d/1Y03xVcJCPK3ANx97zdQX4cFE79KsBGCv/view?usp=drivesdk</t>
  </si>
  <si>
    <t>Document successfully created; Document successfully merged; PDF created; Emails Sent: [To: priyampratyushpanda@gmail.com]; Run via form trigger as codectechnologies0@gmail.com; Timestamp: Aug 21, 2026 12:44 PM</t>
  </si>
  <si>
    <t xml:space="preserve">Harshit Kumar Swain </t>
  </si>
  <si>
    <t>harshitswain2007@gmail.com</t>
  </si>
  <si>
    <t xml:space="preserve">Centurion University of Technology And Management </t>
  </si>
  <si>
    <t>1-UWtkcGESJmGBh7Pp8o9ujDSex6vxX8T</t>
  </si>
  <si>
    <t>https://drive.google.com/file/d/1-UWtkcGESJmGBh7Pp8o9ujDSex6vxX8T/view?usp=drivesdk</t>
  </si>
  <si>
    <t>Document successfully created; Document successfully merged; PDF created; Emails Sent: [To: harshitswain2007@gmail.com]; Run via form trigger as codectechnologies0@gmail.com; Timestamp: Aug 21, 2026 12:55 PM</t>
  </si>
  <si>
    <t>Amit Kumar Ranjan</t>
  </si>
  <si>
    <t>amitkumarranjancpr@gmail.com</t>
  </si>
  <si>
    <t>Gnanamani College of Technology</t>
  </si>
  <si>
    <t>13npMvLYhEGkx5YXkRX7NVUQSU8_icYYC</t>
  </si>
  <si>
    <t>https://drive.google.com/file/d/13npMvLYhEGkx5YXkRX7NVUQSU8_icYYC/view?usp=drivesdk</t>
  </si>
  <si>
    <t>Document successfully created; Document successfully merged; PDF created; Emails Sent: [To: amitkumarranjancpr@gmail.com]; Run via form trigger as codectechnologies0@gmail.com; Timestamp: Aug 21, 2026 12:58 PM</t>
  </si>
  <si>
    <t xml:space="preserve">Prakash Pradhan </t>
  </si>
  <si>
    <t>prakashpradhan3269@gmail.com</t>
  </si>
  <si>
    <t xml:space="preserve">Centurion university of technology and management </t>
  </si>
  <si>
    <t>1FZYsa9gzlsdcO2Bu5nGuxblvIqoQWuF9</t>
  </si>
  <si>
    <t>https://drive.google.com/file/d/1FZYsa9gzlsdcO2Bu5nGuxblvIqoQWuF9/view?usp=drivesdk</t>
  </si>
  <si>
    <t>Document successfully created; Document successfully merged; PDF created; Emails Sent: [To: prakashpradhan3269@gmail.com]; Run via form trigger as codectechnologies0@gmail.com; Timestamp: Aug 21, 2026 12:59 PM</t>
  </si>
  <si>
    <t>Nikhil Tripathi</t>
  </si>
  <si>
    <t>nikhiltripathint7@gmail.com</t>
  </si>
  <si>
    <t>Kanpur institute of technology</t>
  </si>
  <si>
    <t>1bDrEtVBruvk6FV8HqFKve339-ZfPMM_p</t>
  </si>
  <si>
    <t>https://drive.google.com/file/d/1bDrEtVBruvk6FV8HqFKve339-ZfPMM_p/view?usp=drivesdk</t>
  </si>
  <si>
    <t>Document successfully created; Document successfully merged; PDF created; Emails Sent: [To: nikhiltripathint7@gmail.com]; Run via form trigger as codectechnologies0@gmail.com; Timestamp: Aug 21, 2026 1:01 PM</t>
  </si>
  <si>
    <t>Khushi Rawat</t>
  </si>
  <si>
    <t>khushirawat9675@gmail.com</t>
  </si>
  <si>
    <t>Graphic Era Hill University</t>
  </si>
  <si>
    <t>1sz9JwTyxIWSLlsk1CvCK7lh8jW0fMbYi</t>
  </si>
  <si>
    <t>https://drive.google.com/file/d/1sz9JwTyxIWSLlsk1CvCK7lh8jW0fMbYi/view?usp=drivesdk</t>
  </si>
  <si>
    <t>Document successfully created; Document successfully merged; PDF created; Emails Sent: [To: khushirawat9675@gmail.com]; Run via form trigger as codectechnologies0@gmail.com; Timestamp: Aug 21, 2026 1:05 PM</t>
  </si>
  <si>
    <t xml:space="preserve">Kamlesh Sankeshwar </t>
  </si>
  <si>
    <t>kalmeshsankeshwar4@gmail.com</t>
  </si>
  <si>
    <t>+91 82961 01599</t>
  </si>
  <si>
    <t xml:space="preserve">Presidency College autonomous banglore </t>
  </si>
  <si>
    <t>1i8hlj-ajdOEgZc8uuHuKdhXIPPs94GDN</t>
  </si>
  <si>
    <t>https://drive.google.com/file/d/1i8hlj-ajdOEgZc8uuHuKdhXIPPs94GDN/view?usp=drivesdk</t>
  </si>
  <si>
    <t>Document successfully created; Document successfully merged; PDF created; Emails Sent: [To: kalmeshsankeshwar4@gmail.com]; Run via form trigger as codectechnologies0@gmail.com; Timestamp: Aug 21, 2026 1:09 PM</t>
  </si>
  <si>
    <t>Anshuman Shivharey</t>
  </si>
  <si>
    <t>shivhareyanshuman@gmail.com</t>
  </si>
  <si>
    <t xml:space="preserve">Mahatma Gandhi Gramoday vishwavidyalay satna Madhya Pradesh </t>
  </si>
  <si>
    <t>1VzPdp4FeqP1QTQbJqQLEaPxtazM-cflY</t>
  </si>
  <si>
    <t>https://drive.google.com/file/d/1VzPdp4FeqP1QTQbJqQLEaPxtazM-cflY/view?usp=drivesdk</t>
  </si>
  <si>
    <t>Document successfully created; Document successfully merged; PDF created; Emails Sent: [To: shivhareyanshuman@gmail.com]; Run via form trigger as codectechnologies0@gmail.com; Timestamp: Aug 21, 2026 1:14 PM</t>
  </si>
  <si>
    <t>Rohit Ranjan Mohapatra</t>
  </si>
  <si>
    <t>rohitranjan1903@gmail.com</t>
  </si>
  <si>
    <t>Centurion University Of technology and management</t>
  </si>
  <si>
    <t>1AxwX3pjcsbyLbf2NqV_XEwTanj0uR59M</t>
  </si>
  <si>
    <t>https://drive.google.com/file/d/1AxwX3pjcsbyLbf2NqV_XEwTanj0uR59M/view?usp=drivesdk</t>
  </si>
  <si>
    <t>Document successfully created; Document successfully merged; PDF created; Emails Sent: [To: rohitranjan1903@gmail.com]; Run via form trigger as codectechnologies0@gmail.com; Timestamp: Aug 21, 2026 1:17 PM</t>
  </si>
  <si>
    <t>Swaroop Mandal</t>
  </si>
  <si>
    <t>swaroopmandal1301@gmail.com</t>
  </si>
  <si>
    <t>A C PATIL COLLEGE OF ENGINEERING</t>
  </si>
  <si>
    <t>1WIpywABzWsEF0olXl9jsQDp4Dh-WlseU</t>
  </si>
  <si>
    <t>https://drive.google.com/file/d/1WIpywABzWsEF0olXl9jsQDp4Dh-WlseU/view?usp=drivesdk</t>
  </si>
  <si>
    <t>Document successfully created; Document successfully merged; PDF created; Emails Sent: [To: swaroopmandal1301@gmail.com]; Run via form trigger as codectechnologies0@gmail.com; Timestamp: Aug 21, 2026 1:39 PM</t>
  </si>
  <si>
    <t>RIYA RAJPOOT</t>
  </si>
  <si>
    <t>rajpootriya690@gmail.com</t>
  </si>
  <si>
    <t xml:space="preserve">Bareilly college Bareilly </t>
  </si>
  <si>
    <t>1_iY-o4ieHxoIL-QNLslYOGjM4TeK-ghm</t>
  </si>
  <si>
    <t>https://drive.google.com/file/d/1_iY-o4ieHxoIL-QNLslYOGjM4TeK-ghm/view?usp=drivesdk</t>
  </si>
  <si>
    <t>Document successfully created; Document successfully merged; PDF created; Emails Sent: [To: rajpootriya690@gmail.com]; Run via form trigger as codectechnologies0@gmail.com; Timestamp: Aug 21, 2026 1:49 PM</t>
  </si>
  <si>
    <t>Ahmed Mubashir</t>
  </si>
  <si>
    <t>prideseason0305@gmail.com</t>
  </si>
  <si>
    <t xml:space="preserve">Nawab shah alam khan college of engineering and technology </t>
  </si>
  <si>
    <t>1e-Wt3yXpAJvw2OkfPcL_4Tn3inanW48G</t>
  </si>
  <si>
    <t>https://drive.google.com/file/d/1e-Wt3yXpAJvw2OkfPcL_4Tn3inanW48G/view?usp=drivesdk</t>
  </si>
  <si>
    <t>Document successfully created; Document successfully merged; PDF created; Emails Sent: [To: prideseason0305@gmail.com]; Run via form trigger as codectechnologies0@gmail.com; Timestamp: Aug 21, 2026 2:09 PM</t>
  </si>
  <si>
    <t>SHIVAM MISHRA</t>
  </si>
  <si>
    <t>k30023456@gmail.com</t>
  </si>
  <si>
    <t>Global Institute Of Technology And Management</t>
  </si>
  <si>
    <t>1i-Nive_8Ax1lUJWp6iUD39lqD15X3zxK</t>
  </si>
  <si>
    <t>https://drive.google.com/file/d/1i-Nive_8Ax1lUJWp6iUD39lqD15X3zxK/view?usp=drivesdk</t>
  </si>
  <si>
    <t>Document successfully created; Document successfully merged; PDF created; Emails Sent: [To: k30023456@gmail.com]; Run via form trigger as codectechnologies0@gmail.com; Timestamp: Aug 21, 2026 2:26 PM</t>
  </si>
  <si>
    <t>ayush baghel</t>
  </si>
  <si>
    <t>ayushbaghel0125@gmail.com</t>
  </si>
  <si>
    <t>dav centenary college</t>
  </si>
  <si>
    <t>1CleXOVST16CIiCHQ58dwhj7nFw9c-eIX</t>
  </si>
  <si>
    <t>https://drive.google.com/file/d/1CleXOVST16CIiCHQ58dwhj7nFw9c-eIX/view?usp=drivesdk</t>
  </si>
  <si>
    <t>Document successfully created; Document successfully merged; PDF created; Emails Sent: [To: ayushbaghel0125@gmail.com]; Run via form trigger as codectechnologies0@gmail.com; Timestamp: Aug 21, 2026 2:30 PM</t>
  </si>
  <si>
    <t>Ravi prakash</t>
  </si>
  <si>
    <t>raviprakash24042007@gmail.com</t>
  </si>
  <si>
    <t xml:space="preserve">Dr.bc roy engineering collage </t>
  </si>
  <si>
    <t>1Ws1ZUxtPcIduumgwTpoD4numIwqpnSZo</t>
  </si>
  <si>
    <t>https://drive.google.com/file/d/1Ws1ZUxtPcIduumgwTpoD4numIwqpnSZo/view?usp=drivesdk</t>
  </si>
  <si>
    <t>Document successfully created; Document successfully merged; PDF created; Emails Sent: [To: raviprakash24042007@gmail.com]; Run via form trigger as codectechnologies0@gmail.com; Timestamp: Aug 21, 2026 2:31 PM</t>
  </si>
  <si>
    <t>Shubham Gujjar</t>
  </si>
  <si>
    <t>shubhamgujjar503@gmail.com</t>
  </si>
  <si>
    <t>DY Patil University Nerul</t>
  </si>
  <si>
    <t>1BEKxWk3pq6Bkpd1HwrLDn0OYG2XDE6HV</t>
  </si>
  <si>
    <t>https://drive.google.com/file/d/1BEKxWk3pq6Bkpd1HwrLDn0OYG2XDE6HV/view?usp=drivesdk</t>
  </si>
  <si>
    <t>Document successfully created; Document successfully merged; PDF created; Emails Sent: [To: shubhamgujjar503@gmail.com]; Run via form trigger as codectechnologies0@gmail.com; Timestamp: Aug 21, 2026 3:26 PM</t>
  </si>
  <si>
    <t>Aditya Lodhi</t>
  </si>
  <si>
    <t>lodhiaditya976@gmail.com</t>
  </si>
  <si>
    <t>IILM University</t>
  </si>
  <si>
    <t>1Hss444XpTOI757iF47LG9h63hP8GNk5F</t>
  </si>
  <si>
    <t>https://drive.google.com/file/d/1Hss444XpTOI757iF47LG9h63hP8GNk5F/view?usp=drivesdk</t>
  </si>
  <si>
    <t>Document successfully created; Document successfully merged; PDF created; Emails Sent: [To: lodhiaditya976@gmail.com]; Run via form trigger as codectechnologies0@gmail.com; Timestamp: Aug 21, 2026 3:32 PM</t>
  </si>
  <si>
    <t>Hrishikesh Jha</t>
  </si>
  <si>
    <t>hrishikeshj526@gmail.com</t>
  </si>
  <si>
    <t>09967502856</t>
  </si>
  <si>
    <t>THAKUR COLLEGE OF ENGINEERING AND TECHNOLOGY</t>
  </si>
  <si>
    <t>1zO0hiKAoda5VTm035ePdSW-4BwTA9GGz</t>
  </si>
  <si>
    <t>https://drive.google.com/file/d/1zO0hiKAoda5VTm035ePdSW-4BwTA9GGz/view?usp=drivesdk</t>
  </si>
  <si>
    <t>Document successfully created; Document successfully merged; PDF created; Emails Sent: [To: hrishikeshj526@gmail.com]; Run via form trigger as codectechnologies0@gmail.com; Timestamp: Aug 21, 2026 6:57 PM</t>
  </si>
  <si>
    <t>VAGGALA HARSHA VARDHAN</t>
  </si>
  <si>
    <t>2400030519@kluniversity.in</t>
  </si>
  <si>
    <t>Koneru Lakshmaiah Education Foundation</t>
  </si>
  <si>
    <t>1Xg6Pu38mI4FkxYU2rd2p6w2GA3FeO83L</t>
  </si>
  <si>
    <t>https://drive.google.com/file/d/1Xg6Pu38mI4FkxYU2rd2p6w2GA3FeO83L/view?usp=drivesdk</t>
  </si>
  <si>
    <t>Document successfully created; Document successfully merged; PDF created; Emails Sent: [To: 2400030519@kluniversity.in]; Run via form trigger as codectechnologies0@gmail.com; Timestamp: Aug 21, 2026 11:00 PM</t>
  </si>
  <si>
    <t xml:space="preserve">Adil Khan </t>
  </si>
  <si>
    <t>m.adilkhan2565@gmail.com</t>
  </si>
  <si>
    <t xml:space="preserve">Mohan Babu university </t>
  </si>
  <si>
    <t>1u4NVP1kdwDfhGAWl8uZ3GzJE5kFxeYmW</t>
  </si>
  <si>
    <t>https://drive.google.com/file/d/1u4NVP1kdwDfhGAWl8uZ3GzJE5kFxeYmW/view?usp=drivesdk</t>
  </si>
  <si>
    <t>Document successfully created; Document successfully merged; PDF created; Emails Sent: [To: m.adilkhan2565@gmail.com]; Run via form trigger as codectechnologies0@gmail.com; Timestamp: Aug 21, 2026 11:08 PM</t>
  </si>
  <si>
    <t>KARTIKEYA DUBEY</t>
  </si>
  <si>
    <t>kartikeyad04@gmail.com</t>
  </si>
  <si>
    <t>Sarla Birla University</t>
  </si>
  <si>
    <t>182efA5rR0LMl8upnNuEmnnjiTTfD5agg</t>
  </si>
  <si>
    <t>https://drive.google.com/file/d/182efA5rR0LMl8upnNuEmnnjiTTfD5agg/view?usp=drivesdk</t>
  </si>
  <si>
    <t>Document successfully created; Document successfully merged; PDF created; Emails Sent: [To: kartikeyad04@gmail.com]; Run via form trigger as codectechnologies0@gmail.com; Timestamp: Aug 21, 2026 11:10 PM</t>
  </si>
  <si>
    <t xml:space="preserve">Ashish Bhandari </t>
  </si>
  <si>
    <t>ashishbhandari061205@gmail.com</t>
  </si>
  <si>
    <t xml:space="preserve">Himalayan Institute Of Technology </t>
  </si>
  <si>
    <t>101N2cuE6e5ykx_z90pSVz09Fzug-h1pw</t>
  </si>
  <si>
    <t>https://drive.google.com/file/d/101N2cuE6e5ykx_z90pSVz09Fzug-h1pw/view?usp=drivesdk</t>
  </si>
  <si>
    <t>Document successfully created; Document successfully merged; PDF created; Emails Sent: [To: ashishbhandari061205@gmail.com]; Run via form trigger as codectechnologies0@gmail.com; Timestamp: Aug 22, 2026 12:12 AM</t>
  </si>
  <si>
    <t>Chekka Rohit pramod srivatsa</t>
  </si>
  <si>
    <t>Machine Learning Intern</t>
  </si>
  <si>
    <t>akhil8309991301@gmail.com</t>
  </si>
  <si>
    <t>Parul university</t>
  </si>
  <si>
    <t>1-8cejfcPI1BkPe5PuoJPgOUCVW78Ts7F</t>
  </si>
  <si>
    <t>https://drive.google.com/file/d/1-8cejfcPI1BkPe5PuoJPgOUCVW78Ts7F/view?usp=drivesdk</t>
  </si>
  <si>
    <t>Document successfully created; Document successfully merged; PDF created; Emails Sent: [To: akhil8309991301@gmail.com]; Run via form trigger as codectechnologies0@gmail.com; Timestamp: Aug 22, 2026 12:19 AM</t>
  </si>
  <si>
    <t xml:space="preserve">Charulatha R </t>
  </si>
  <si>
    <t>charulatha7934@gmail.com</t>
  </si>
  <si>
    <t>1ecaZUba7-L3QL3hhX5tr7bwB6cXpSDoU</t>
  </si>
  <si>
    <t>https://drive.google.com/file/d/1ecaZUba7-L3QL3hhX5tr7bwB6cXpSDoU/view?usp=drivesdk</t>
  </si>
  <si>
    <t>Document successfully created; Document successfully merged; PDF created; Emails Sent: [To: charulatha7934@gmail.com]; Run via form trigger as codectechnologies0@gmail.com; Timestamp: Aug 22, 2026 12:39 AM</t>
  </si>
  <si>
    <t xml:space="preserve">Selina B </t>
  </si>
  <si>
    <t>selinababu32@gmail.com</t>
  </si>
  <si>
    <t xml:space="preserve">SRI SHAKTHI INSTITUTE OF ENGINEERING AND TECHNOLOGY </t>
  </si>
  <si>
    <t>1ELKNuxoZH0hD1QGT6JIPFiyOQI2COK9q</t>
  </si>
  <si>
    <t>https://drive.google.com/file/d/1ELKNuxoZH0hD1QGT6JIPFiyOQI2COK9q/view?usp=drivesdk</t>
  </si>
  <si>
    <t>Document successfully created; Document successfully merged; PDF created; Emails Sent: [To: selinababu32@gmail.com]; Run via form trigger as codectechnologies0@gmail.com; Timestamp: Aug 22, 2026 12:41 AM</t>
  </si>
  <si>
    <t xml:space="preserve">Nasrin Banu </t>
  </si>
  <si>
    <t>nasrinbanu7412@gmail.com</t>
  </si>
  <si>
    <t>1jU2MRoeCwCmmMGgSSQZf-sXNfxil1WoR</t>
  </si>
  <si>
    <t>https://drive.google.com/file/d/1jU2MRoeCwCmmMGgSSQZf-sXNfxil1WoR/view?usp=drivesdk</t>
  </si>
  <si>
    <t>Document successfully created; Document successfully merged; PDF created; Emails Sent: [To: nasrinbanu7412@gmail.com]; Run via form trigger as codectechnologies0@gmail.com; Timestamp: Aug 22, 2026 12:45 AM</t>
  </si>
  <si>
    <t>Pratiksha S S</t>
  </si>
  <si>
    <t>pratiksha.s.s.0203@gmail.com</t>
  </si>
  <si>
    <t>1JnRtaS0hi-imKTWQ7_3oT-ekUSyTzt8R</t>
  </si>
  <si>
    <t>https://drive.google.com/file/d/1JnRtaS0hi-imKTWQ7_3oT-ekUSyTzt8R/view?usp=drivesdk</t>
  </si>
  <si>
    <t>Document successfully created; Document successfully merged; PDF created; Emails Sent: [To: pratiksha.s.s.0203@gmail.com]; Run via form trigger as codectechnologies0@gmail.com; Timestamp: Aug 22, 2026 12:48 AM</t>
  </si>
  <si>
    <t xml:space="preserve">Quantum University </t>
  </si>
  <si>
    <t>16Rp3S9cOZgAVNvhQ8yKGy6uUzuAgbkZY</t>
  </si>
  <si>
    <t>https://drive.google.com/file/d/16Rp3S9cOZgAVNvhQ8yKGy6uUzuAgbkZY/view?usp=drivesdk</t>
  </si>
  <si>
    <t>Document successfully created; Document successfully merged; PDF created; Emails Sent: [To: ashishsajwan705@gmail.com]; Run via form trigger as codectechnologies0@gmail.com; Timestamp: Aug 22, 2026 12:51 AM</t>
  </si>
  <si>
    <t>Shravya Rama Harikant</t>
  </si>
  <si>
    <t>sshravyaharikant@gmail.com</t>
  </si>
  <si>
    <t>Yenepoya Institute of Technology,Mangalore</t>
  </si>
  <si>
    <t>WhatsApp, Friend</t>
  </si>
  <si>
    <t>1odr0Z2v_3rVxgNv8B0wreJuLEi-b_BsN</t>
  </si>
  <si>
    <t>https://drive.google.com/file/d/1odr0Z2v_3rVxgNv8B0wreJuLEi-b_BsN/view?usp=drivesdk</t>
  </si>
  <si>
    <t>Document successfully created; Document successfully merged; PDF created; Emails Sent: [To: sshravyaharikant@gmail.com]; Run via form trigger as codectechnologies0@gmail.com; Timestamp: Aug 22, 2026 1:03 AM</t>
  </si>
  <si>
    <t xml:space="preserve">Jama Gaahithi </t>
  </si>
  <si>
    <t>gahithichinnu@gmail.com</t>
  </si>
  <si>
    <t xml:space="preserve">Methodist college of engineering and technology </t>
  </si>
  <si>
    <t>1d6qjr4mkWDeMpYmnX58qhU4_WkYqSi9X</t>
  </si>
  <si>
    <t>https://drive.google.com/file/d/1d6qjr4mkWDeMpYmnX58qhU4_WkYqSi9X/view?usp=drivesdk</t>
  </si>
  <si>
    <t>Document successfully created; Document successfully merged; PDF created; Emails Sent: [To: gahithichinnu@gmail.com]; Run via form trigger as codectechnologies0@gmail.com; Timestamp: Aug 22, 2026 1:05 AM</t>
  </si>
  <si>
    <t>Jasmithaa PS</t>
  </si>
  <si>
    <t>psjasmithaa@gmail.com</t>
  </si>
  <si>
    <t xml:space="preserve">Sri Shakthi institute of engineering and technology </t>
  </si>
  <si>
    <t>1fStPY3XYdrN-iS80EyWC3IxfQwc496Ug</t>
  </si>
  <si>
    <t>https://drive.google.com/file/d/1fStPY3XYdrN-iS80EyWC3IxfQwc496Ug/view?usp=drivesdk</t>
  </si>
  <si>
    <t>Document successfully created; Document successfully merged; PDF created; Emails Sent: [To: psjasmithaa@gmail.com]; Run via form trigger as codectechnologies0@gmail.com; Timestamp: Aug 22, 2026 1:14 AM</t>
  </si>
  <si>
    <t>Tanmay Pathak</t>
  </si>
  <si>
    <t>tanmaypathak9838@gmail.com</t>
  </si>
  <si>
    <t xml:space="preserve">Institute of technology and management </t>
  </si>
  <si>
    <t>1ICas30Jlsgrm35ZPqtPr1N0j8mIk06bm</t>
  </si>
  <si>
    <t>https://drive.google.com/file/d/1ICas30Jlsgrm35ZPqtPr1N0j8mIk06bm/view?usp=drivesdk</t>
  </si>
  <si>
    <t>Document successfully created; Document successfully merged; PDF created; Emails Sent: [To: tanmaypathak9838@gmail.com]; Run via form trigger as codectechnologies0@gmail.com; Timestamp: Aug 22, 2026 1:19 AM</t>
  </si>
  <si>
    <t xml:space="preserve">S Vijay </t>
  </si>
  <si>
    <t>svijay69@jnn.edu.in</t>
  </si>
  <si>
    <t xml:space="preserve">JNN Institute of Engineering </t>
  </si>
  <si>
    <t>LinkedIn, Friend</t>
  </si>
  <si>
    <t>1FWRkSHgfOC5SVsjsIC0iPeCtm0DCCAbG</t>
  </si>
  <si>
    <t>https://drive.google.com/file/d/1FWRkSHgfOC5SVsjsIC0iPeCtm0DCCAbG/view?usp=drivesdk</t>
  </si>
  <si>
    <t>Document successfully created; Document successfully merged; PDF created; Emails Sent: [To: svijay69@jnn.edu.in]; Run via form trigger as codectechnologies0@gmail.com; Timestamp: Aug 22, 2026 1:23 AM</t>
  </si>
  <si>
    <t>Ansh singh</t>
  </si>
  <si>
    <t>anshsinghansj@gmail.com</t>
  </si>
  <si>
    <t>07985915447</t>
  </si>
  <si>
    <t xml:space="preserve">University of Lucknow </t>
  </si>
  <si>
    <t>1Uavb4oUVpLRRdwLiHv5DTNwEK6-inqU4</t>
  </si>
  <si>
    <t>https://drive.google.com/file/d/1Uavb4oUVpLRRdwLiHv5DTNwEK6-inqU4/view?usp=drivesdk</t>
  </si>
  <si>
    <t>Document successfully created; Document successfully merged; PDF created; Emails Sent: [To: anshsinghansj@gmail.com]; Run via form trigger as codectechnologies0@gmail.com; Timestamp: Aug 22, 2026 1:34 AM</t>
  </si>
  <si>
    <t xml:space="preserve">Saurabh Yadav </t>
  </si>
  <si>
    <t>saurabh2313yadav@gmail.com</t>
  </si>
  <si>
    <t xml:space="preserve">Allenhouse Business School </t>
  </si>
  <si>
    <t>1tvwqs9jMvmsdfVf9X360qt2MSmCkaN15</t>
  </si>
  <si>
    <t>https://drive.google.com/file/d/1tvwqs9jMvmsdfVf9X360qt2MSmCkaN15/view?usp=drivesdk</t>
  </si>
  <si>
    <t>Document successfully created; Document successfully merged; PDF created; Emails Sent: [To: saurabh2313yadav@gmail.com]; Run via form trigger as codectechnologies0@gmail.com; Timestamp: Aug 22, 2026 1:36 AM</t>
  </si>
  <si>
    <t>Shivam Ashok Mali</t>
  </si>
  <si>
    <t>shivammali308@gmail.com</t>
  </si>
  <si>
    <t>M.Sc/M.Com</t>
  </si>
  <si>
    <t>Dr. D. Y. Patil Arts, Commerce &amp; Science College,Pimpri, Pune</t>
  </si>
  <si>
    <t>1ZGdTn8YYbqokJz5PAW2j2eDEl37BBORA</t>
  </si>
  <si>
    <t>https://drive.google.com/file/d/1ZGdTn8YYbqokJz5PAW2j2eDEl37BBORA/view?usp=drivesdk</t>
  </si>
  <si>
    <t>Document successfully created; Document successfully merged; PDF created; Emails Sent: [To: shivammali308@gmail.com]; Run via form trigger as codectechnologies0@gmail.com; Timestamp: Aug 22, 2026 1:38 AM</t>
  </si>
  <si>
    <t>1zyGB1PMI7T7YN3FR6xDdMD--v20GE87Q</t>
  </si>
  <si>
    <t>https://drive.google.com/file/d/1zyGB1PMI7T7YN3FR6xDdMD--v20GE87Q/view?usp=drivesdk</t>
  </si>
  <si>
    <t>Document successfully created; Document successfully merged; PDF created; Emails Sent: [To: saurabh2313yadav@gmail.com]; Run via form trigger as codectechnologies0@gmail.com; Timestamp: Aug 22, 2026 1:39 AM</t>
  </si>
  <si>
    <t>Sourav Rout</t>
  </si>
  <si>
    <t>souravrout1706@gmail.com</t>
  </si>
  <si>
    <t>Rajalakshmi Engineering College</t>
  </si>
  <si>
    <t>1CdrFM_My5zYyD-DUdqmijOBKBiDKQ50T</t>
  </si>
  <si>
    <t>https://drive.google.com/file/d/1CdrFM_My5zYyD-DUdqmijOBKBiDKQ50T/view?usp=drivesdk</t>
  </si>
  <si>
    <t>Document successfully created; Document successfully merged; PDF created; Emails Sent: [To: souravrout1706@gmail.com]; Run via form trigger as codectechnologies0@gmail.com; Timestamp: Aug 22, 2026 1:59 AM</t>
  </si>
  <si>
    <t>Subham dakua</t>
  </si>
  <si>
    <t>santoshsubhamdakua@gmail.com</t>
  </si>
  <si>
    <t xml:space="preserve">Centurion university of technology and management bhubaneswar </t>
  </si>
  <si>
    <t>1CR4hYfdj-9-M7ZQhTTM9K61kK0w5AktJ</t>
  </si>
  <si>
    <t>https://drive.google.com/file/d/1CR4hYfdj-9-M7ZQhTTM9K61kK0w5AktJ/view?usp=drivesdk</t>
  </si>
  <si>
    <t>Document successfully created; Document successfully merged; PDF created; Emails Sent: [To: santoshsubhamdakua@gmail.com]; Run via form trigger as codectechnologies0@gmail.com; Timestamp: Aug 22, 2026 2:17 AM</t>
  </si>
  <si>
    <t>Somit Muduli</t>
  </si>
  <si>
    <t>ramamuduli0359@gmail.com</t>
  </si>
  <si>
    <t>Centurion university of technology and management</t>
  </si>
  <si>
    <t>1_U9BOV_kvJhqYxU6KZ-__5SftHgDOS2B</t>
  </si>
  <si>
    <t>https://drive.google.com/file/d/1_U9BOV_kvJhqYxU6KZ-__5SftHgDOS2B/view?usp=drivesdk</t>
  </si>
  <si>
    <t>Document successfully created; Document successfully merged; PDF created; Emails Sent: [To: ramamuduli0359@gmail.com]; Run via form trigger as codectechnologies0@gmail.com; Timestamp: Aug 22, 2026 2:26 AM</t>
  </si>
  <si>
    <t>Sonali Pradhan</t>
  </si>
  <si>
    <t>pradhansonali016@gamil.com</t>
  </si>
  <si>
    <t xml:space="preserve">Centurion university of technology management </t>
  </si>
  <si>
    <t>12CsVT7nl5AvuYA9QNHiPIDLd2yaoIXbv</t>
  </si>
  <si>
    <t>https://drive.google.com/file/d/12CsVT7nl5AvuYA9QNHiPIDLd2yaoIXbv/view?usp=drivesdk</t>
  </si>
  <si>
    <t>Document successfully created; Document successfully merged; PDF created; Emails Sent: [To: pradhansonali016@gamil.com]; Run via form trigger as codectechnologies0@gmail.com; Timestamp: Aug 22, 2026 2:26 AM</t>
  </si>
  <si>
    <t>Alaka Priyadarshini pradhan</t>
  </si>
  <si>
    <t>Pradhanalaka04@gmail.com</t>
  </si>
  <si>
    <t>18w4cGK8-k_1NIPV4PCad0AizKD8P1J-w</t>
  </si>
  <si>
    <t>https://drive.google.com/file/d/18w4cGK8-k_1NIPV4PCad0AizKD8P1J-w/view?usp=drivesdk</t>
  </si>
  <si>
    <t>Document successfully created; Document successfully merged; PDF created; Emails Sent: [To: Pradhanalaka04@gmail.com]; Run via form trigger as codectechnologies0@gmail.com; Timestamp: Aug 22, 2026 2:26 AM</t>
  </si>
  <si>
    <t xml:space="preserve">Nikita Samantaray </t>
  </si>
  <si>
    <t>nikitasamanataray5@gmail.com</t>
  </si>
  <si>
    <t xml:space="preserve">Centurian University </t>
  </si>
  <si>
    <t>1nbKSjYw5fza6aICxiYsoMeAvm3yioBNs</t>
  </si>
  <si>
    <t>https://drive.google.com/file/d/1nbKSjYw5fza6aICxiYsoMeAvm3yioBNs/view?usp=drivesdk</t>
  </si>
  <si>
    <t>Document successfully created; Document successfully merged; PDF created; Emails Sent: [To: nikitasamanataray5@gmail.com]; Run via form trigger as codectechnologies0@gmail.com; Timestamp: Aug 22, 2026 2:28 AM</t>
  </si>
  <si>
    <t>Vinay Singh</t>
  </si>
  <si>
    <t>negivinay694@gmail.com</t>
  </si>
  <si>
    <t xml:space="preserve">Graphic era hill university dehradun </t>
  </si>
  <si>
    <t>1zi-_OebAggqrJ8mQYVJUusdp5xf_2DYz</t>
  </si>
  <si>
    <t>https://drive.google.com/file/d/1zi-_OebAggqrJ8mQYVJUusdp5xf_2DYz/view?usp=drivesdk</t>
  </si>
  <si>
    <t>Document successfully created; Document successfully merged; PDF created; Emails Sent: [To: negivinay694@gmail.com]; Run via form trigger as codectechnologies0@gmail.com; Timestamp: Aug 22, 2026 2:32 AM</t>
  </si>
  <si>
    <t>nikitasamantaray5@gmail.com</t>
  </si>
  <si>
    <t xml:space="preserve">Centurian University of technology management </t>
  </si>
  <si>
    <t>1m7S2rvvPBmccCSJSYmQBd1AiV5ALDDqn</t>
  </si>
  <si>
    <t>https://drive.google.com/file/d/1m7S2rvvPBmccCSJSYmQBd1AiV5ALDDqn/view?usp=drivesdk</t>
  </si>
  <si>
    <t>Document successfully created; Document successfully merged; PDF created; Emails Sent: [To: nikitasamantaray5@gmail.com]; Run via form trigger as codectechnologies0@gmail.com; Timestamp: Aug 22, 2026 2:38 AM</t>
  </si>
  <si>
    <t>Anurag Singh</t>
  </si>
  <si>
    <t>singhanurag52740@gmail.com</t>
  </si>
  <si>
    <t xml:space="preserve">81275 66559 </t>
  </si>
  <si>
    <t>Srmu</t>
  </si>
  <si>
    <t>1gaEd6puHZlKFrGJ4xZFjN2Er3j-UjjcL</t>
  </si>
  <si>
    <t>https://drive.google.com/file/d/1gaEd6puHZlKFrGJ4xZFjN2Er3j-UjjcL/view?usp=drivesdk</t>
  </si>
  <si>
    <t>Document successfully created; Document successfully merged; PDF created; Emails Sent: [To: singhanurag52740@gmail.com]; Run via form trigger as codectechnologies0@gmail.com; Timestamp: Aug 22, 2026 2:41 AM</t>
  </si>
  <si>
    <t>Pallavi  Mastamaradi</t>
  </si>
  <si>
    <t>pallaviam06@gamil.com</t>
  </si>
  <si>
    <t xml:space="preserve">Presidency college Banglore </t>
  </si>
  <si>
    <t>1w-HLniWP7wKSfPw8oEVcs8yY28Qm-OmI</t>
  </si>
  <si>
    <t>https://drive.google.com/file/d/1w-HLniWP7wKSfPw8oEVcs8yY28Qm-OmI/view?usp=drivesdk</t>
  </si>
  <si>
    <t>Document successfully created; Document successfully merged; PDF created; Emails Sent: [To: pallaviam06@gamil.com]; Run via form trigger as codectechnologies0@gmail.com; Timestamp: Aug 22, 2026 2:49 AM</t>
  </si>
  <si>
    <t>B. Aaryani</t>
  </si>
  <si>
    <t>Graphic Designing Intern</t>
  </si>
  <si>
    <t>aaryanibharathiraja@gmail.com</t>
  </si>
  <si>
    <t>1bmuSE6mgd5Qo4Bw-odKuWhTqNxMqr3kd</t>
  </si>
  <si>
    <t>https://drive.google.com/file/d/1bmuSE6mgd5Qo4Bw-odKuWhTqNxMqr3kd/view?usp=drivesdk</t>
  </si>
  <si>
    <t>Document successfully created; Document successfully merged; PDF created; Emails Sent: [To: aaryanibharathiraja@gmail.com]; Run via form trigger as codectechnologies0@gmail.com; Timestamp: Aug 22, 2026 2:51 AM</t>
  </si>
  <si>
    <t>Diwakar U</t>
  </si>
  <si>
    <t>cdiwakar2307@gmail.com</t>
  </si>
  <si>
    <t xml:space="preserve">Silicon City College </t>
  </si>
  <si>
    <t>Friend, Google</t>
  </si>
  <si>
    <t>1iYJP8TSLBQuEITPRm-DEP-ejPrWXO47C</t>
  </si>
  <si>
    <t>https://drive.google.com/file/d/1iYJP8TSLBQuEITPRm-DEP-ejPrWXO47C/view?usp=drivesdk</t>
  </si>
  <si>
    <t>Document successfully created; Document successfully merged; PDF created; Emails Sent: [To: cdiwakar2307@gmail.com]; Run via form trigger as codectechnologies0@gmail.com; Timestamp: Aug 22, 2026 2:52 AM</t>
  </si>
  <si>
    <t>Aqsa Ansari</t>
  </si>
  <si>
    <t>aqsakhatun22@gmail.com</t>
  </si>
  <si>
    <t>St. Aloysius College jabalpur</t>
  </si>
  <si>
    <t>1X3svtwYkrhEqlNtJN0Buhztmi-U42ZuK</t>
  </si>
  <si>
    <t>https://drive.google.com/file/d/1X3svtwYkrhEqlNtJN0Buhztmi-U42ZuK/view?usp=drivesdk</t>
  </si>
  <si>
    <t>Document successfully created; Document successfully merged; PDF created; Emails Sent: [To: aqsakhatun22@gmail.com]; Run via form trigger as codectechnologies0@gmail.com; Timestamp: Aug 22, 2026 2:57 AM</t>
  </si>
  <si>
    <t>Pallavi Mastamaradi</t>
  </si>
  <si>
    <t>1WmE1jWAE8X2jWt2T4zpA2zS7Cc-vd7xb</t>
  </si>
  <si>
    <t>https://drive.google.com/file/d/1WmE1jWAE8X2jWt2T4zpA2zS7Cc-vd7xb/view?usp=drivesdk</t>
  </si>
  <si>
    <t>Document successfully created; Document successfully merged; PDF created; Emails Sent: [To: pallaviam06@gamil.com]; Run via form trigger as codectechnologies0@gmail.com; Timestamp: Aug 22, 2026 3:11 AM</t>
  </si>
  <si>
    <t>Alisha Alisha</t>
  </si>
  <si>
    <t>alisha282781233@gmail.com</t>
  </si>
  <si>
    <t xml:space="preserve">DAV College </t>
  </si>
  <si>
    <t>1xIkI4AAWMDonVEWy5osDlR0OtLErmvGG</t>
  </si>
  <si>
    <t>https://drive.google.com/file/d/1xIkI4AAWMDonVEWy5osDlR0OtLErmvGG/view?usp=drivesdk</t>
  </si>
  <si>
    <t>Document successfully created; Document successfully merged; PDF created; Emails Sent: [To: alisha282781233@gmail.com]; Run via form trigger as codectechnologies0@gmail.com; Timestamp: Aug 22, 2026 3:19 AM</t>
  </si>
  <si>
    <t>Kalyan P</t>
  </si>
  <si>
    <t>Kalyanp1565@gmail.com</t>
  </si>
  <si>
    <t xml:space="preserve">Silicon city college </t>
  </si>
  <si>
    <t>1-Ps2ZfKHGvCa5BwfxPt_DVNWGQbl_Hcz</t>
  </si>
  <si>
    <t>https://drive.google.com/file/d/1-Ps2ZfKHGvCa5BwfxPt_DVNWGQbl_Hcz/view?usp=drivesdk</t>
  </si>
  <si>
    <t>Document successfully created; Document successfully merged; PDF created; Emails Sent: [To: Kalyanp1565@gmail.com]; Run via form trigger as codectechnologies0@gmail.com; Timestamp: Aug 22, 2026 3:20 AM</t>
  </si>
  <si>
    <t>Arpit kumar</t>
  </si>
  <si>
    <t>arpitparjapati1508@gmail.com</t>
  </si>
  <si>
    <t>COER UNIVERSITY</t>
  </si>
  <si>
    <t>1H74EYZkT3r5YxuvcEe7Oo966e6Xf3quo</t>
  </si>
  <si>
    <t>https://drive.google.com/file/d/1H74EYZkT3r5YxuvcEe7Oo966e6Xf3quo/view?usp=drivesdk</t>
  </si>
  <si>
    <t>Document successfully created; Document successfully merged; PDF created; Emails Sent: [To: arpitparjapati1508@gmail.com]; Run via form trigger as codectechnologies0@gmail.com; Timestamp: Aug 22, 2026 3:49 AM</t>
  </si>
  <si>
    <t xml:space="preserve">Abhishek </t>
  </si>
  <si>
    <t>abhishekchetty23@gmail.com</t>
  </si>
  <si>
    <t>09731106967</t>
  </si>
  <si>
    <t xml:space="preserve">Pooja doddappa appa college of engineering </t>
  </si>
  <si>
    <t>1QJrXy6Jhji8a_v6ISFn3JwB83EAtiU3D</t>
  </si>
  <si>
    <t>https://drive.google.com/file/d/1QJrXy6Jhji8a_v6ISFn3JwB83EAtiU3D/view?usp=drivesdk</t>
  </si>
  <si>
    <t>Document successfully created; Document successfully merged; PDF created; Emails Sent: [To: abhishekchetty23@gmail.com]; Run via form trigger as codectechnologies0@gmail.com; Timestamp: Aug 22, 2026 3:54 AM</t>
  </si>
  <si>
    <t>Deepika Bora</t>
  </si>
  <si>
    <t>deepikabora702@gmail.com</t>
  </si>
  <si>
    <t>1wpu3ptQdIpE0N1SPl-V6bFxY6RxqH7mL</t>
  </si>
  <si>
    <t>https://drive.google.com/file/d/1wpu3ptQdIpE0N1SPl-V6bFxY6RxqH7mL/view?usp=drivesdk</t>
  </si>
  <si>
    <t>Document successfully created; Document successfully merged; PDF created; Emails Sent: [To: deepikabora702@gmail.com]; Run via form trigger as codectechnologies0@gmail.com; Timestamp: Aug 22, 2026 4:13 AM</t>
  </si>
  <si>
    <t>Mohd Zaid Siddiqui</t>
  </si>
  <si>
    <t>mdzaid7817@gmail.com</t>
  </si>
  <si>
    <t>Graphic Era Hill University, Dehradun</t>
  </si>
  <si>
    <t>1DrQeLDDiniegs6zDyz_jrAtQaamFx8Z9</t>
  </si>
  <si>
    <t>https://drive.google.com/file/d/1DrQeLDDiniegs6zDyz_jrAtQaamFx8Z9/view?usp=drivesdk</t>
  </si>
  <si>
    <t>Document successfully created; Document successfully merged; PDF created; Emails Sent: [To: mdzaid7817@gmail.com]; Run via form trigger as codectechnologies0@gmail.com; Timestamp: Aug 22, 2026 4:15 AM</t>
  </si>
  <si>
    <t>Godugunuru Chinna Kasimbi</t>
  </si>
  <si>
    <t>kasimbigodugunuru6@gmail.com</t>
  </si>
  <si>
    <t>Gouthami institute of technology and management for women</t>
  </si>
  <si>
    <t>1DN3lFtx3ooQyIDtYc6pDJnfBlWUpBU-F</t>
  </si>
  <si>
    <t>https://drive.google.com/file/d/1DN3lFtx3ooQyIDtYc6pDJnfBlWUpBU-F/view?usp=drivesdk</t>
  </si>
  <si>
    <t>Document successfully created; Document successfully merged; PDF created; Emails Sent: [To: kasimbigodugunuru6@gmail.com]; Run via form trigger as codectechnologies0@gmail.com; Timestamp: Aug 22, 2026 4:17 AM</t>
  </si>
  <si>
    <t>Udit Raj</t>
  </si>
  <si>
    <t>uditraj2242@gmail.com</t>
  </si>
  <si>
    <t>Noida Institute of Engineering and Technology</t>
  </si>
  <si>
    <t>1MAZfmM44CelY1Bf_PjJiiKthhs7ne804</t>
  </si>
  <si>
    <t>https://drive.google.com/file/d/1MAZfmM44CelY1Bf_PjJiiKthhs7ne804/view?usp=drivesdk</t>
  </si>
  <si>
    <t>Document successfully created; Document successfully merged; PDF created; Emails Sent: [To: uditraj2242@gmail.com]; Run via form trigger as codectechnologies0@gmail.com; Timestamp: Aug 22, 2026 4:28 AM</t>
  </si>
  <si>
    <t>Arshad MD</t>
  </si>
  <si>
    <t>arshadkkc880@gmail.com</t>
  </si>
  <si>
    <t xml:space="preserve">Coorg institute of technology </t>
  </si>
  <si>
    <t>1NKQYxb9eFyTVK5AV9V_QG4icLXfEhAbl</t>
  </si>
  <si>
    <t>https://drive.google.com/file/d/1NKQYxb9eFyTVK5AV9V_QG4icLXfEhAbl/view?usp=drivesdk</t>
  </si>
  <si>
    <t>Document successfully created; Document successfully merged; PDF created; Emails Sent: [To: arshadkkc880@gmail.com]; Run via form trigger as codectechnologies0@gmail.com; Timestamp: Aug 22, 2026 4:34 AM</t>
  </si>
  <si>
    <t>1H3PQugm7W-qVLnjsMYopqbVhr7B8701I</t>
  </si>
  <si>
    <t>https://drive.google.com/file/d/1H3PQugm7W-qVLnjsMYopqbVhr7B8701I/view?usp=drivesdk</t>
  </si>
  <si>
    <t>Document successfully created; Document successfully merged; PDF created; Emails Sent: [To: kasimbigodugunuru6@gmail.com]; Run via form trigger as codectechnologies0@gmail.com; Timestamp: Aug 22, 2026 4:34 AM</t>
  </si>
  <si>
    <t>Abhishek</t>
  </si>
  <si>
    <t>1izUfeuDqkfHWfC0nDnTk5z6pZvd8M0lr</t>
  </si>
  <si>
    <t>https://drive.google.com/file/d/1izUfeuDqkfHWfC0nDnTk5z6pZvd8M0lr/view?usp=drivesdk</t>
  </si>
  <si>
    <t>Document successfully created; Document successfully merged; PDF created; Emails Sent: [To: abhishekchetty23@gmail.com]; Run via form trigger as codectechnologies0@gmail.com; Timestamp: Aug 22, 2026 4:36 AM</t>
  </si>
  <si>
    <t>+917989423021</t>
  </si>
  <si>
    <t>1ZhIIROqJY8Pw_qoe5FyK5iCVvtDHdv41</t>
  </si>
  <si>
    <t>https://drive.google.com/file/d/1ZhIIROqJY8Pw_qoe5FyK5iCVvtDHdv41/view?usp=drivesdk</t>
  </si>
  <si>
    <t>Document successfully created; Document successfully merged; PDF created; Emails Sent: [To: prideseason0305@gmail.com]; Run via form trigger as codectechnologies0@gmail.com; Timestamp: Aug 22, 2026 4:47 AM</t>
  </si>
  <si>
    <t>Shubham Yadav</t>
  </si>
  <si>
    <t>yadavshubham80213@gmail.com</t>
  </si>
  <si>
    <t>LDC Group of Institutions Soraon prayagraj</t>
  </si>
  <si>
    <t>1IxlxNZHwtZlMrJRWbHkrEPmTMl1rfB5e</t>
  </si>
  <si>
    <t>https://drive.google.com/file/d/1IxlxNZHwtZlMrJRWbHkrEPmTMl1rfB5e/view?usp=drivesdk</t>
  </si>
  <si>
    <t>Document successfully created; Document successfully merged; PDF created; Emails Sent: [To: yadavshubham80213@gmail.com]; Run via form trigger as codectechnologies0@gmail.com; Timestamp: Aug 22, 2026 5:01 AM</t>
  </si>
  <si>
    <t>KESHAV KUMAR</t>
  </si>
  <si>
    <t>keshavkumar054505@gmail.com</t>
  </si>
  <si>
    <t>09027632500</t>
  </si>
  <si>
    <t>Moradabad Institute of technology</t>
  </si>
  <si>
    <t>1wj3n78fcbGNeKPNNCoSjaxX6ZlaAiTrU</t>
  </si>
  <si>
    <t>https://drive.google.com/file/d/1wj3n78fcbGNeKPNNCoSjaxX6ZlaAiTrU/view?usp=drivesdk</t>
  </si>
  <si>
    <t>Document successfully created; Document successfully merged; PDF created; Emails Sent: [To: keshavkumar054505@gmail.com]; Run via form trigger as codectechnologies0@gmail.com; Timestamp: Aug 22, 2026 5:04 AM</t>
  </si>
  <si>
    <t>Lakshay Mittal</t>
  </si>
  <si>
    <t>Lakshaymittal709@gmail.com</t>
  </si>
  <si>
    <t>1Anh1CyiOvjOBp2KwZfdjvJLUTuVrsfI1</t>
  </si>
  <si>
    <t>https://drive.google.com/file/d/1Anh1CyiOvjOBp2KwZfdjvJLUTuVrsfI1/view?usp=drivesdk</t>
  </si>
  <si>
    <t>Document successfully created; Document successfully merged; PDF created; Emails Sent: [To: Lakshaymittal709@gmail.com]; Run via form trigger as codectechnologies0@gmail.com; Timestamp: Aug 22, 2026 5:04 AM</t>
  </si>
  <si>
    <t xml:space="preserve">Shivam Kumar </t>
  </si>
  <si>
    <t>shivam.25scs1003004639@iilm.edu</t>
  </si>
  <si>
    <t xml:space="preserve">IILM UNIVERSITY GREATER NOIDA </t>
  </si>
  <si>
    <t>1DMh84xAK8YMjrOuo-b3TJvfkgcRPIKg3</t>
  </si>
  <si>
    <t>https://drive.google.com/file/d/1DMh84xAK8YMjrOuo-b3TJvfkgcRPIKg3/view?usp=drivesdk</t>
  </si>
  <si>
    <t>Document successfully created; Document successfully merged; PDF created; Emails Sent: [To: shivam.25scs1003004639@iilm.edu]; Run via form trigger as codectechnologies0@gmail.com; Timestamp: Aug 22, 2026 5:20 AM</t>
  </si>
  <si>
    <t>Vetrivel K</t>
  </si>
  <si>
    <t>vetrivel2008k15@gmail.com</t>
  </si>
  <si>
    <t>JNN.INSTITUTE OF ENGINEERING</t>
  </si>
  <si>
    <t>1loUhQPyX9yXY7nmmiWr8LbsZeb1j8E-d</t>
  </si>
  <si>
    <t>https://drive.google.com/file/d/1loUhQPyX9yXY7nmmiWr8LbsZeb1j8E-d/view?usp=drivesdk</t>
  </si>
  <si>
    <t>Document successfully created; Document successfully merged; PDF created; Emails Sent: [To: vetrivel2008k15@gmail.com]; Run via form trigger as codectechnologies0@gmail.com; Timestamp: Aug 22, 2026 5:33 AM</t>
  </si>
  <si>
    <t xml:space="preserve">B Sunilkumar </t>
  </si>
  <si>
    <t>bsunilkumar86@jnn.edu.in</t>
  </si>
  <si>
    <t xml:space="preserve">Jnn institute of engineering </t>
  </si>
  <si>
    <t>17j4ZAwtxpaIa3lmHNjUHFRCPexLIkHX8</t>
  </si>
  <si>
    <t>https://drive.google.com/file/d/17j4ZAwtxpaIa3lmHNjUHFRCPexLIkHX8/view?usp=drivesdk</t>
  </si>
  <si>
    <t>Document successfully created; Document successfully merged; PDF created; Emails Sent: [To: bsunilkumar86@jnn.edu.in]; Run via form trigger as codectechnologies0@gmail.com; Timestamp: Aug 22, 2026 5:34 AM</t>
  </si>
  <si>
    <t>Saurabh Negi</t>
  </si>
  <si>
    <t>saurabh307negi420@gmail.com</t>
  </si>
  <si>
    <t>Uttranchal university</t>
  </si>
  <si>
    <t>LinkedIn, Google, AICTE/Indeed</t>
  </si>
  <si>
    <t>1abRlwSrGcF2pxSxkL5PUjNfsQY-5G6Av</t>
  </si>
  <si>
    <t>https://drive.google.com/file/d/1abRlwSrGcF2pxSxkL5PUjNfsQY-5G6Av/view?usp=drivesdk</t>
  </si>
  <si>
    <t>Document successfully created; Document successfully merged; PDF created; Emails Sent: [To: saurabh307negi420@gmail.com]; Run via form trigger as codectechnologies0@gmail.com; Timestamp: Aug 22, 2026 5:40 AM</t>
  </si>
  <si>
    <t>Aanand Gupta</t>
  </si>
  <si>
    <t>aanandcse877@gmail.com</t>
  </si>
  <si>
    <t>Ies College of Technology bhopal</t>
  </si>
  <si>
    <t>1wmSaKnLKRFvZPP3vN-PIwxjAMXRrBFnc</t>
  </si>
  <si>
    <t>https://drive.google.com/file/d/1wmSaKnLKRFvZPP3vN-PIwxjAMXRrBFnc/view?usp=drivesdk</t>
  </si>
  <si>
    <t>Document successfully created; Document successfully merged; PDF created; Emails Sent: [To: aanandcse877@gmail.com]; Run via form trigger as codectechnologies0@gmail.com; Timestamp: Aug 22, 2026 5:53 AM</t>
  </si>
  <si>
    <t>Akshay Sethunath</t>
  </si>
  <si>
    <t>akshaysethunath38@gmail.com</t>
  </si>
  <si>
    <t xml:space="preserve">East Point college of management </t>
  </si>
  <si>
    <t>1bd6ODhDDq3pYxpOlbZ95YwYPlByFCyG5</t>
  </si>
  <si>
    <t>https://drive.google.com/file/d/1bd6ODhDDq3pYxpOlbZ95YwYPlByFCyG5/view?usp=drivesdk</t>
  </si>
  <si>
    <t>Document successfully created; Document successfully merged; PDF created; Emails Sent: [To: akshaysethunath38@gmail.com]; Run via form trigger as codectechnologies0@gmail.com; Timestamp: Aug 22, 2026 5:58 AM</t>
  </si>
  <si>
    <t>Pushkar Raj</t>
  </si>
  <si>
    <t>pushkar.25scs1003003760@iilm.edu</t>
  </si>
  <si>
    <t>IILM UNIVERSITY</t>
  </si>
  <si>
    <t>1jmQT4zdf-19lomuM30P8HqylMcM2whzj</t>
  </si>
  <si>
    <t>https://drive.google.com/file/d/1jmQT4zdf-19lomuM30P8HqylMcM2whzj/view?usp=drivesdk</t>
  </si>
  <si>
    <t>Document successfully created; Document successfully merged; PDF created; Emails Sent: [To: pushkar.25scs1003003760@iilm.edu]; Run via form trigger as codectechnologies0@gmail.com; Timestamp: Aug 22, 2026 6:04 AM</t>
  </si>
  <si>
    <t>Shubham Sagar</t>
  </si>
  <si>
    <t>shubham86sagar@gmail.com</t>
  </si>
  <si>
    <t>LinkedIn, Instagram, Google, AICTE/Indeed, Internshala</t>
  </si>
  <si>
    <t>1f6pEoG9-UPv0-O28oYEjSBMWRcyaXpvL</t>
  </si>
  <si>
    <t>https://drive.google.com/file/d/1f6pEoG9-UPv0-O28oYEjSBMWRcyaXpvL/view?usp=drivesdk</t>
  </si>
  <si>
    <t>Document successfully created; Document successfully merged; PDF created; Emails Sent: [To: shubham86sagar@gmail.com]; Run via form trigger as codectechnologies0@gmail.com; Timestamp: Aug 22, 2026 6:05 AM</t>
  </si>
  <si>
    <t>Sameer Ali</t>
  </si>
  <si>
    <t>email.sameerali6767@gmail.com</t>
  </si>
  <si>
    <t>swami vivekanand subharti university</t>
  </si>
  <si>
    <t>1MLUPc_VpnRIEcUjaFENmpz0njGMrVmfa</t>
  </si>
  <si>
    <t>https://drive.google.com/file/d/1MLUPc_VpnRIEcUjaFENmpz0njGMrVmfa/view?usp=drivesdk</t>
  </si>
  <si>
    <t>Document successfully created; Document successfully merged; PDF created; Emails Sent: [To: email.sameerali6767@gmail.com]; Run via form trigger as codectechnologies0@gmail.com; Timestamp: Aug 22, 2026 6:14 AM</t>
  </si>
  <si>
    <t>Ritesh Bhagwan Patil</t>
  </si>
  <si>
    <t>5/20/0026</t>
  </si>
  <si>
    <t>6/20/0026</t>
  </si>
  <si>
    <t>riteshpatil7422@gmail.com</t>
  </si>
  <si>
    <t>Ssbt</t>
  </si>
  <si>
    <t>1PhuhuMK9M8WukzOduwnF65qEyb0dNKUF</t>
  </si>
  <si>
    <t>https://drive.google.com/file/d/1PhuhuMK9M8WukzOduwnF65qEyb0dNKUF/view?usp=drivesdk</t>
  </si>
  <si>
    <t>Document successfully created; Document successfully merged; PDF created; Emails Sent: [To: riteshpatil7422@gmail.com]; Run via form trigger as codectechnologies0@gmail.com; Timestamp: Aug 22, 2026 6:18 AM</t>
  </si>
  <si>
    <t>RAJ RATHAUR</t>
  </si>
  <si>
    <t>aksahuakhil@gmail.com</t>
  </si>
  <si>
    <t>RAJKIYA ENGINEERING COLLEGE BANDA</t>
  </si>
  <si>
    <t>1ENHO73Ag16beKYWVIFZ7RBZyvku2I368</t>
  </si>
  <si>
    <t>https://drive.google.com/file/d/1ENHO73Ag16beKYWVIFZ7RBZyvku2I368/view?usp=drivesdk</t>
  </si>
  <si>
    <t>Document successfully created; Document successfully merged; PDF created; Emails Sent: [To: aksahuakhil@gmail.com]; Run via form trigger as codectechnologies0@gmail.com; Timestamp: Aug 22, 2026 6:27 AM</t>
  </si>
  <si>
    <t xml:space="preserve">Deepak Dagar </t>
  </si>
  <si>
    <t>ddagar490@gmail.com</t>
  </si>
  <si>
    <t xml:space="preserve">GL Bajaj Institute of technology and management </t>
  </si>
  <si>
    <t>1F68j_qsjaVELRLzhmVorEafa7ZzmKSrR</t>
  </si>
  <si>
    <t>https://drive.google.com/file/d/1F68j_qsjaVELRLzhmVorEafa7ZzmKSrR/view?usp=drivesdk</t>
  </si>
  <si>
    <t>Document successfully created; Document successfully merged; PDF created; Emails Sent: [To: ddagar490@gmail.com]; Run via form trigger as codectechnologies0@gmail.com; Timestamp: Aug 22, 2026 6:27 AM</t>
  </si>
  <si>
    <t>Sahil Kumar</t>
  </si>
  <si>
    <t>sahilkumar2004pandey@gmail.com</t>
  </si>
  <si>
    <t>09142912605</t>
  </si>
  <si>
    <t xml:space="preserve">KCC INSTITUTE OF TECHNOLOGY AND MANAGEMENT </t>
  </si>
  <si>
    <t>1eqOKgLezPMqP1d9FNTPeiZedShodQ6BK</t>
  </si>
  <si>
    <t>https://drive.google.com/file/d/1eqOKgLezPMqP1d9FNTPeiZedShodQ6BK/view?usp=drivesdk</t>
  </si>
  <si>
    <t>Document successfully created; Document successfully merged; PDF created; Emails Sent: [To: sahilkumar2004pandey@gmail.com]; Run via form trigger as codectechnologies0@gmail.com; Timestamp: Aug 22, 2026 6:27 AM</t>
  </si>
  <si>
    <t>6 Month</t>
  </si>
  <si>
    <t>1jeB0F6GwjCsiFOMEmeU7T_ZxRM_Pz5K_</t>
  </si>
  <si>
    <t>https://drive.google.com/file/d/1jeB0F6GwjCsiFOMEmeU7T_ZxRM_Pz5K_/view?usp=drivesdk</t>
  </si>
  <si>
    <t>Document successfully created; Document successfully merged; PDF created; Emails Sent: [To: ddagar490@gmail.com]; Run via form trigger as codectechnologies0@gmail.com; Timestamp: Aug 22, 2026 6:29 AM</t>
  </si>
  <si>
    <t>Vaibhav Dubey</t>
  </si>
  <si>
    <t>vaibhavdubey77777@gmail.com</t>
  </si>
  <si>
    <t>Rajkiya Engineering College, Banda</t>
  </si>
  <si>
    <t>LinkedIn, AICTE/Indeed</t>
  </si>
  <si>
    <t>18_M7nbR-MCvLbIbT8oOgRCAYsJi-VpeW</t>
  </si>
  <si>
    <t>https://drive.google.com/file/d/18_M7nbR-MCvLbIbT8oOgRCAYsJi-VpeW/view?usp=drivesdk</t>
  </si>
  <si>
    <t>Document successfully created; Document successfully merged; PDF created; Emails Sent: [To: vaibhavdubey77777@gmail.com]; Run via form trigger as codectechnologies0@gmail.com; Timestamp: Aug 22, 2026 6:46 AM</t>
  </si>
  <si>
    <t>Thannuin C C</t>
  </si>
  <si>
    <t>thannuinceesi@gmail.com</t>
  </si>
  <si>
    <t xml:space="preserve">East point college of management </t>
  </si>
  <si>
    <t>1H5a4Q4zBthB1P6c7S5gD46hEQpkZ0eIG</t>
  </si>
  <si>
    <t>https://drive.google.com/file/d/1H5a4Q4zBthB1P6c7S5gD46hEQpkZ0eIG/view?usp=drivesdk</t>
  </si>
  <si>
    <t>Document successfully created; Document successfully merged; PDF created; Emails Sent: [To: thannuinceesi@gmail.com]; Run via form trigger as codectechnologies0@gmail.com; Timestamp: Aug 22, 2026 6:47 AM</t>
  </si>
  <si>
    <t>Aakarsh singh</t>
  </si>
  <si>
    <t>aakarshghato31@gmail.com</t>
  </si>
  <si>
    <t>1-q2BrojqHRwMiIjTtO1TaGZ6wiDaC5uI</t>
  </si>
  <si>
    <t>https://drive.google.com/file/d/1-q2BrojqHRwMiIjTtO1TaGZ6wiDaC5uI/view?usp=drivesdk</t>
  </si>
  <si>
    <t>Document successfully created; Document successfully merged; PDF created; Emails Sent: [To: aakarshghato31@gmail.com]; Run via form trigger as codectechnologies0@gmail.com; Timestamp: Aug 22, 2026 6:54 AM</t>
  </si>
  <si>
    <t>PRASAD MAHALE</t>
  </si>
  <si>
    <t>prasadmahale95@gmail.com</t>
  </si>
  <si>
    <t xml:space="preserve">Jaywant sawant college of engineering Hadapsar </t>
  </si>
  <si>
    <t>1YJqdJSJk1YTlD5eiKz_k6pdmjtYr1gu2</t>
  </si>
  <si>
    <t>https://drive.google.com/file/d/1YJqdJSJk1YTlD5eiKz_k6pdmjtYr1gu2/view?usp=drivesdk</t>
  </si>
  <si>
    <t>Document successfully created; Document successfully merged; PDF created; Emails Sent: [To: prasadmahale95@gmail.com]; Run via form trigger as codectechnologies0@gmail.com; Timestamp: Aug 22, 2026 6:55 AM</t>
  </si>
  <si>
    <t>Umesh Kumar</t>
  </si>
  <si>
    <t>uk9703905@gmail.com</t>
  </si>
  <si>
    <t xml:space="preserve">Swami Vivekanand subhart university meerut </t>
  </si>
  <si>
    <t>1TuhP-SFliLXbRRl-2ns3hXPshkoCc8-x</t>
  </si>
  <si>
    <t>https://drive.google.com/file/d/1TuhP-SFliLXbRRl-2ns3hXPshkoCc8-x/view?usp=drivesdk</t>
  </si>
  <si>
    <t>Document successfully created; Document successfully merged; PDF created; Emails Sent: [To: uk9703905@gmail.com]; Run via form trigger as codectechnologies0@gmail.com; Timestamp: Aug 22, 2026 6:55 AM</t>
  </si>
  <si>
    <t xml:space="preserve">Ganesh kumar ray </t>
  </si>
  <si>
    <t>ganeshkumar17.in@gmail.com</t>
  </si>
  <si>
    <t xml:space="preserve">Swami Vivekanand subhratri university meerut </t>
  </si>
  <si>
    <t>1PNRP-X_YMObY_Z4gFeW_rNPqcJfm5Ble</t>
  </si>
  <si>
    <t>https://drive.google.com/file/d/1PNRP-X_YMObY_Z4gFeW_rNPqcJfm5Ble/view?usp=drivesdk</t>
  </si>
  <si>
    <t>Document successfully created; Document successfully merged; PDF created; Emails Sent: [To: ganeshkumar17.in@gmail.com]; Run via form trigger as codectechnologies0@gmail.com; Timestamp: Aug 22, 2026 7:25 AM</t>
  </si>
  <si>
    <t>Aditya Kumar</t>
  </si>
  <si>
    <t>kumaraditya1064@gmail.com</t>
  </si>
  <si>
    <t xml:space="preserve">Sir Chhotu Ram institute of engineering and technology </t>
  </si>
  <si>
    <t>1LrXofQK-v7IWbkbF4z5UTNxbyike4nWE</t>
  </si>
  <si>
    <t>https://drive.google.com/file/d/1LrXofQK-v7IWbkbF4z5UTNxbyike4nWE/view?usp=drivesdk</t>
  </si>
  <si>
    <t>Document successfully created; Document successfully merged; PDF created; Emails Sent: [To: kumaraditya1064@gmail.com]; Run via form trigger as codectechnologies0@gmail.com; Timestamp: Aug 22, 2026 7:26 AM</t>
  </si>
  <si>
    <t xml:space="preserve">Sonali Pradhan </t>
  </si>
  <si>
    <t>pradhansonali016@gmail.com</t>
  </si>
  <si>
    <t>1Du3zNWsUGYXXpDN4iJNoLGfYBhz4oC68</t>
  </si>
  <si>
    <t>https://drive.google.com/file/d/1Du3zNWsUGYXXpDN4iJNoLGfYBhz4oC68/view?usp=drivesdk</t>
  </si>
  <si>
    <t>Document successfully created; Document successfully merged; PDF created; Emails Sent: [To: pradhansonali016@gmail.com]; Run via form trigger as codectechnologies0@gmail.com; Timestamp: Aug 22, 2026 7:42 AM</t>
  </si>
  <si>
    <t>Shivam Pandey</t>
  </si>
  <si>
    <t>sp881876@gmail.com</t>
  </si>
  <si>
    <t xml:space="preserve">Khalsa College of Engineering And Technology </t>
  </si>
  <si>
    <t>19rf6G7JcwyTJpmjus3B5OldSX8u2COML</t>
  </si>
  <si>
    <t>https://drive.google.com/file/d/19rf6G7JcwyTJpmjus3B5OldSX8u2COML/view?usp=drivesdk</t>
  </si>
  <si>
    <t>Document successfully created; Document successfully merged; PDF created; Emails Sent: [To: sp881876@gmail.com]; Run via form trigger as codectechnologies0@gmail.com; Timestamp: Aug 22, 2026 8:05 AM</t>
  </si>
  <si>
    <t>PONNANA GANAPATHI</t>
  </si>
  <si>
    <t>ponnanaganesh2000@gmail.com</t>
  </si>
  <si>
    <t>RAGHU ENGINEERING COLLEGE</t>
  </si>
  <si>
    <t>1mjZjq7isK56pR-iPs0nBF1Ng57c7yPTt</t>
  </si>
  <si>
    <t>https://drive.google.com/file/d/1mjZjq7isK56pR-iPs0nBF1Ng57c7yPTt/view?usp=drivesdk</t>
  </si>
  <si>
    <t>Document successfully created; Document successfully merged; PDF created; Emails Sent: [To: ponnanaganesh2000@gmail.com]; Run via form trigger as codectechnologies0@gmail.com; Timestamp: Aug 22, 2026 9:09 AM</t>
  </si>
  <si>
    <t>Anusha Patil</t>
  </si>
  <si>
    <t>anushakumari99881@gmail.com</t>
  </si>
  <si>
    <t>rural engineering college hulkoti</t>
  </si>
  <si>
    <t>1eMUgcdCx2z2NO2E7mVlQOWohOhTT9-lE</t>
  </si>
  <si>
    <t>https://drive.google.com/file/d/1eMUgcdCx2z2NO2E7mVlQOWohOhTT9-lE/view?usp=drivesdk</t>
  </si>
  <si>
    <t>Document successfully created; Document successfully merged; PDF created; Emails Sent: [To: anushakumari99881@gmail.com]; Run via form trigger as codectechnologies0@gmail.com; Timestamp: Aug 22, 2026 9:11 AM</t>
  </si>
  <si>
    <t>Navya S</t>
  </si>
  <si>
    <t>navyavhd@gmail.com</t>
  </si>
  <si>
    <t>12kgIy0U_n6VLUpMtzeXyMsOgQ-LXrMkH</t>
  </si>
  <si>
    <t>https://drive.google.com/file/d/12kgIy0U_n6VLUpMtzeXyMsOgQ-LXrMkH/view?usp=drivesdk</t>
  </si>
  <si>
    <t>Document successfully created; Document successfully merged; PDF created; Emails Sent: [To: navyavhd@gmail.com]; Run via form trigger as codectechnologies0@gmail.com; Timestamp: Aug 22, 2026 9:18 AM</t>
  </si>
  <si>
    <t>Amit</t>
  </si>
  <si>
    <t>aamitchandwasia@gmail.com</t>
  </si>
  <si>
    <t>Centre for Distance and Online Education at Kurukshetra University</t>
  </si>
  <si>
    <t>1R4RrvzZEGnNGtqb3z8p2tOcp1vfYrUew</t>
  </si>
  <si>
    <t>https://drive.google.com/file/d/1R4RrvzZEGnNGtqb3z8p2tOcp1vfYrUew/view?usp=drivesdk</t>
  </si>
  <si>
    <t>Document successfully created; Document successfully merged; PDF created; Emails Sent: [To: aamitchandwasia@gmail.com]; Run via form trigger as codectechnologies0@gmail.com; Timestamp: Aug 22, 2026 9:51 AM</t>
  </si>
  <si>
    <t>Pratik Shivraj Deshmukh</t>
  </si>
  <si>
    <t>pratikdeshmukh163@gmail.com</t>
  </si>
  <si>
    <t>Gramin College of Engineering Nanded</t>
  </si>
  <si>
    <t>1OUFKFDjv1uuYO7Riknga4OUJiVD_6uix</t>
  </si>
  <si>
    <t>https://drive.google.com/file/d/1OUFKFDjv1uuYO7Riknga4OUJiVD_6uix/view?usp=drivesdk</t>
  </si>
  <si>
    <t>Document successfully created; Document successfully merged; PDF created; Emails Sent: [To: pratikdeshmukh163@gmail.com]; Run via form trigger as codectechnologies0@gmail.com; Timestamp: Aug 22, 2026 10:02 AM</t>
  </si>
  <si>
    <t>Dilnawaj Hasan</t>
  </si>
  <si>
    <t>dilnawajhasan5@gmail.com</t>
  </si>
  <si>
    <t>SISTER NIVEDITA UNIVERSITY</t>
  </si>
  <si>
    <t>1jTayxkd46t865Tr32OESbG5RecjJ5hi2</t>
  </si>
  <si>
    <t>https://drive.google.com/file/d/1jTayxkd46t865Tr32OESbG5RecjJ5hi2/view?usp=drivesdk</t>
  </si>
  <si>
    <t>Document successfully created; Document successfully merged; PDF created; Emails Sent: [To: dilnawajhasan5@gmail.com]; Run via form trigger as codectechnologies0@gmail.com; Timestamp: Aug 22, 2026 10:07 AM</t>
  </si>
  <si>
    <t>Prachi Singh</t>
  </si>
  <si>
    <t>prachi8707747086@gmail.com</t>
  </si>
  <si>
    <t>1EPvVaZQpVSQisTIivBOjiYauKCvIm82z</t>
  </si>
  <si>
    <t>https://drive.google.com/file/d/1EPvVaZQpVSQisTIivBOjiYauKCvIm82z/view?usp=drivesdk</t>
  </si>
  <si>
    <t>Document successfully created; Document successfully merged; PDF created; !!Error Sending Emails: Service invoked too many times for one day: email.; Run via form trigger as codectechnologies0@gmail.com; Timestamp: Aug 22, 2026 10:08 AM</t>
  </si>
  <si>
    <t>Harshal</t>
  </si>
  <si>
    <t>harshalmovies500@gmail.com</t>
  </si>
  <si>
    <t>Polytechnic Diploma</t>
  </si>
  <si>
    <t>MET</t>
  </si>
  <si>
    <t>1rx9PG3IHNAazqZk8rgJCPMW2VzoNg694</t>
  </si>
  <si>
    <t>https://drive.google.com/file/d/1rx9PG3IHNAazqZk8rgJCPMW2VzoNg694/view?usp=drivesdk</t>
  </si>
  <si>
    <t>Document successfully created; Document successfully merged; PDF created; Emails Sent: [To: harshalmovies500@gmail.com]; Run via form trigger as codectechnologies0@gmail.com; Timestamp: Aug 22, 2026 10:16 AM</t>
  </si>
  <si>
    <t>Anand Makwana</t>
  </si>
  <si>
    <t>amakwana969@rku.ac.in</t>
  </si>
  <si>
    <t>RK University, Rajkot</t>
  </si>
  <si>
    <t>1i4z5qAgN_gycpy3ioCJEHCPQj0jhUB6P</t>
  </si>
  <si>
    <t>https://drive.google.com/file/d/1i4z5qAgN_gycpy3ioCJEHCPQj0jhUB6P/view?usp=drivesdk</t>
  </si>
  <si>
    <t>Document successfully created; Document successfully merged; PDF created; !!Error Sending Emails: Service invoked too many times for one day: email.; Run via form trigger as codectechnologies0@gmail.com; Timestamp: Aug 22, 2026 10:19 AM</t>
  </si>
  <si>
    <t>Priyansh M. Khunt</t>
  </si>
  <si>
    <t>priyanshmkhunt.bscibm2024@iar.ac.in</t>
  </si>
  <si>
    <t>+91 7567137265</t>
  </si>
  <si>
    <t>Institute Of Advance Research</t>
  </si>
  <si>
    <t>1WLKB-WHQOMlv77R5Z3VZWgkYuFr1KCbW</t>
  </si>
  <si>
    <t>https://drive.google.com/file/d/1WLKB-WHQOMlv77R5Z3VZWgkYuFr1KCbW/view?usp=drivesdk</t>
  </si>
  <si>
    <t>Document successfully created; Document successfully merged; PDF created; Emails Sent: [To: priyanshmkhunt.bscibm2024@iar.ac.in]; Run via form trigger as codectechnologies0@gmail.com; Timestamp: Aug 22, 2026 10:25 AM</t>
  </si>
  <si>
    <t>Suraj Kumar</t>
  </si>
  <si>
    <t>surajstm806@gmail.com</t>
  </si>
  <si>
    <t>Khalsa College Of Engineering And Technology</t>
  </si>
  <si>
    <t>1mFoPhY1p4O9w-UB6gOYSP6S52-EoL4pz</t>
  </si>
  <si>
    <t>https://drive.google.com/file/d/1mFoPhY1p4O9w-UB6gOYSP6S52-EoL4pz/view?usp=drivesdk</t>
  </si>
  <si>
    <t>Document successfully created; Document successfully merged; PDF created; Emails Sent: [To: surajstm806@gmail.com]; Run via form trigger as codectechnologies0@gmail.com; Timestamp: Aug 22, 2026 10:29 AM</t>
  </si>
  <si>
    <t>1APQDM4J7vbAk0UbDx7yqZxWa5X7kD973</t>
  </si>
  <si>
    <t>https://drive.google.com/file/d/1APQDM4J7vbAk0UbDx7yqZxWa5X7kD973/view?usp=drivesdk</t>
  </si>
  <si>
    <t>Document successfully created; Document successfully merged; PDF created; Emails Sent: [To: aamitchandwasia@gmail.com]; Run via form trigger as codectechnologies0@gmail.com; Timestamp: Aug 22, 2026 10:29 AM</t>
  </si>
  <si>
    <t>Sneha Gupta</t>
  </si>
  <si>
    <t>snehagupta9796@gmail.com</t>
  </si>
  <si>
    <t xml:space="preserve">School of engineering and technology Shivaji University Kolhapur Maharashtra </t>
  </si>
  <si>
    <t>1tcMXLTJK8jjd2awmNSOcV3e05g0pxxL0</t>
  </si>
  <si>
    <t>https://drive.google.com/file/d/1tcMXLTJK8jjd2awmNSOcV3e05g0pxxL0/view?usp=drivesdk</t>
  </si>
  <si>
    <t>Document successfully created; Document successfully merged; PDF created; Emails Sent: [To: snehagupta9796@gmail.com]; Run via form trigger as codectechnologies0@gmail.com; Timestamp: Aug 22, 2026 10:34 AM</t>
  </si>
  <si>
    <t xml:space="preserve">Irfan muhammed </t>
  </si>
  <si>
    <t>irfanmuhammedp2140@gmail.com</t>
  </si>
  <si>
    <t>1MNuo_YOxiyKphElrHTx17I4VnqbbZmIT</t>
  </si>
  <si>
    <t>https://drive.google.com/file/d/1MNuo_YOxiyKphElrHTx17I4VnqbbZmIT/view?usp=drivesdk</t>
  </si>
  <si>
    <t>Document successfully created; Document successfully merged; PDF created; !!Error Sending Emails: Service invoked too many times for one day: email.; Run via form trigger as codectechnologies0@gmail.com; Timestamp: Aug 22, 2026 10:36 AM</t>
  </si>
  <si>
    <t>Sumit Singh Rawat</t>
  </si>
  <si>
    <t>sumitpro19@gmail.com</t>
  </si>
  <si>
    <t>1XBM1warzaEQmsimLBrvS1EQpJSK2CMeb</t>
  </si>
  <si>
    <t>https://drive.google.com/file/d/1XBM1warzaEQmsimLBrvS1EQpJSK2CMeb/view?usp=drivesdk</t>
  </si>
  <si>
    <t>Document successfully created; Document successfully merged; PDF created; Emails Sent: [To: sumitpro19@gmail.com]; Run via form trigger as codectechnologies0@gmail.com; Timestamp: Aug 22, 2026 10:43 AM</t>
  </si>
  <si>
    <t>Aditya Prakash</t>
  </si>
  <si>
    <t>prakash.25scs1003005350@iilm.edu</t>
  </si>
  <si>
    <t>IILM University, Greater Noida</t>
  </si>
  <si>
    <t>1ChD9dwFZ6gLAT4OBJo4rJ5mBmrcjIlVv</t>
  </si>
  <si>
    <t>https://drive.google.com/file/d/1ChD9dwFZ6gLAT4OBJo4rJ5mBmrcjIlVv/view?usp=drivesdk</t>
  </si>
  <si>
    <t>Document successfully created; Document successfully merged; PDF created; Emails Sent: [To: prakash.25scs1003005350@iilm.edu]; Run via form trigger as codectechnologies0@gmail.com; Timestamp: Aug 22, 2026 10:44 AM</t>
  </si>
  <si>
    <t xml:space="preserve">Himanshu Rai </t>
  </si>
  <si>
    <t>raihimanshu385@gmail.com</t>
  </si>
  <si>
    <t xml:space="preserve">Chhatrapati shahu Ji Maharaj university </t>
  </si>
  <si>
    <t>1WdwVR16JpnyPZZjlghLEQqEB8mUA-7Df</t>
  </si>
  <si>
    <t>https://drive.google.com/file/d/1WdwVR16JpnyPZZjlghLEQqEB8mUA-7Df/view?usp=drivesdk</t>
  </si>
  <si>
    <t>Document successfully created; Document successfully merged; PDF created; Emails Sent: [To: raihimanshu385@gmail.com]; Run via form trigger as codectechnologies0@gmail.com; Timestamp: Aug 22, 2026 10:48 AM</t>
  </si>
  <si>
    <t xml:space="preserve">Sanket Ashok Raut </t>
  </si>
  <si>
    <t>sanketraut116@gmail.com</t>
  </si>
  <si>
    <t xml:space="preserve">New art commerce and science college </t>
  </si>
  <si>
    <t>1wJrTmXgbf8PXxHsK0nGZhnED8-wWbeGv</t>
  </si>
  <si>
    <t>https://drive.google.com/file/d/1wJrTmXgbf8PXxHsK0nGZhnED8-wWbeGv/view?usp=drivesdk</t>
  </si>
  <si>
    <t>Document successfully created; Document successfully merged; PDF created; Emails Sent: [To: sanketraut116@gmail.com]; Run via form trigger as codectechnologies0@gmail.com; Timestamp: Aug 22, 2026 10:54 AM</t>
  </si>
  <si>
    <t>Anagha Sekhar</t>
  </si>
  <si>
    <t>anaghasekhar77@gmail.com</t>
  </si>
  <si>
    <t>Hindustan Institute Of Technology And Science</t>
  </si>
  <si>
    <t>1b1PF_loabS8SReP0_byEKufGE0z4iew0</t>
  </si>
  <si>
    <t>https://drive.google.com/file/d/1b1PF_loabS8SReP0_byEKufGE0z4iew0/view?usp=drivesdk</t>
  </si>
  <si>
    <t>Document successfully created; Document successfully merged; PDF created; Emails Sent: [To: anaghasekhar77@gmail.com]; Run via form trigger as codectechnologies0@gmail.com; Timestamp: Aug 22, 2026 11:06 AM</t>
  </si>
  <si>
    <t>Gokul E</t>
  </si>
  <si>
    <t>25cs311@rmd.ac.in</t>
  </si>
  <si>
    <t xml:space="preserve">R.M.D Engineering College </t>
  </si>
  <si>
    <t>1C9f8u377NAt6A8E9PWCx17IdFpDgzspw</t>
  </si>
  <si>
    <t>https://drive.google.com/file/d/1C9f8u377NAt6A8E9PWCx17IdFpDgzspw/view?usp=drivesdk</t>
  </si>
  <si>
    <t>Document successfully created; Document successfully merged; PDF created; Emails Sent: [To: 25cs311@rmd.ac.in]; Run via form trigger as codectechnologies0@gmail.com; Timestamp: Aug 22, 2026 11:20 AM</t>
  </si>
  <si>
    <t>Manish kumar jha</t>
  </si>
  <si>
    <t>mnjha9968@gmail.com</t>
  </si>
  <si>
    <t xml:space="preserve">Delhi University </t>
  </si>
  <si>
    <t>1pVJSUOHXQXWYytYpvHgtYO8-1chLuS1k</t>
  </si>
  <si>
    <t>https://drive.google.com/file/d/1pVJSUOHXQXWYytYpvHgtYO8-1chLuS1k/view?usp=drivesdk</t>
  </si>
  <si>
    <t>Document successfully created; Document successfully merged; PDF created; Emails Sent: [To: mnjha9968@gmail.com]; Run via form trigger as codectechnologies0@gmail.com; Timestamp: Aug 22, 2026 11:22 AM</t>
  </si>
  <si>
    <t>1waoz51rsIKsD0DJr0QZ1sV9redTXEjBy</t>
  </si>
  <si>
    <t>https://drive.google.com/file/d/1waoz51rsIKsD0DJr0QZ1sV9redTXEjBy/view?usp=drivesdk</t>
  </si>
  <si>
    <t>Document successfully created; Document successfully merged; PDF created; Emails Sent: [To: sanketraut116@gmail.com]; Run via form trigger as codectechnologies0@gmail.com; Timestamp: Aug 22, 2026 11:29 AM</t>
  </si>
  <si>
    <t xml:space="preserve">Shravani shinde </t>
  </si>
  <si>
    <t>Shravanishinde3024@gmail.com</t>
  </si>
  <si>
    <t xml:space="preserve">Sanjay ghodawat university </t>
  </si>
  <si>
    <t>1LEwOOJ3iGqeyr2gsNmYyOPLHCuQqumrf</t>
  </si>
  <si>
    <t>https://drive.google.com/file/d/1LEwOOJ3iGqeyr2gsNmYyOPLHCuQqumrf/view?usp=drivesdk</t>
  </si>
  <si>
    <t>Document successfully created; Document successfully merged; PDF created; Emails Sent: [To: Shravanishinde3024@gmail.com]; Run via form trigger as codectechnologies0@gmail.com; Timestamp: Aug 22, 2026 11:35 AM</t>
  </si>
  <si>
    <t>Vaibhav Kumar Thakur</t>
  </si>
  <si>
    <t>vaibhawkumarthakur07@gmail.com</t>
  </si>
  <si>
    <t xml:space="preserve">Vivekananda Global University </t>
  </si>
  <si>
    <t>1h9Op9zJQZ3LXtwRd3vDqvliXqo_UCbSR</t>
  </si>
  <si>
    <t>https://drive.google.com/file/d/1h9Op9zJQZ3LXtwRd3vDqvliXqo_UCbSR/view?usp=drivesdk</t>
  </si>
  <si>
    <t>Document successfully created; Document successfully merged; PDF created; Emails Sent: [To: vaibhawkumarthakur07@gmail.com]; Run via form trigger as codectechnologies0@gmail.com; Timestamp: Aug 22, 2026 11:42 AM</t>
  </si>
  <si>
    <t>Sakshi Sawant</t>
  </si>
  <si>
    <t>sakshisawant0048@gamil.com</t>
  </si>
  <si>
    <t>AGCE</t>
  </si>
  <si>
    <t>1hmYAlnUgy3J9jSzq69FjKTJTgYqjPzjZ</t>
  </si>
  <si>
    <t>https://drive.google.com/file/d/1hmYAlnUgy3J9jSzq69FjKTJTgYqjPzjZ/view?usp=drivesdk</t>
  </si>
  <si>
    <t>Document successfully created; Document successfully merged; PDF created; Emails Sent: [To: sakshisawant0048@gamil.com]; Run via form trigger as codectechnologies0@gmail.com; Timestamp: Aug 22, 2026 11:46 AM</t>
  </si>
  <si>
    <t>Geshin Luthra</t>
  </si>
  <si>
    <t>geshin234@gmail.com</t>
  </si>
  <si>
    <t>DSPSR</t>
  </si>
  <si>
    <t>1vHVVKs_GU6sr9YO4McqNBCo-jJ7OXs4T</t>
  </si>
  <si>
    <t>https://drive.google.com/file/d/1vHVVKs_GU6sr9YO4McqNBCo-jJ7OXs4T/view?usp=drivesdk</t>
  </si>
  <si>
    <t>Document successfully created; Document successfully merged; PDF created; Emails Sent: [To: geshin234@gmail.com]; Run via form trigger as codectechnologies0@gmail.com; Timestamp: Aug 22, 2026 11:46 AM</t>
  </si>
  <si>
    <t xml:space="preserve">Vaibhaw Kumar Thakur </t>
  </si>
  <si>
    <t>Vivekananda Global University</t>
  </si>
  <si>
    <t>19jQ53cxizuhF66EVfvi7JHdXfPPGPt6N</t>
  </si>
  <si>
    <t>https://drive.google.com/file/d/19jQ53cxizuhF66EVfvi7JHdXfPPGPt6N/view?usp=drivesdk</t>
  </si>
  <si>
    <t>Document successfully created; Document successfully merged; PDF created; Emails Sent: [To: vaibhawkumarthakur07@gmail.com]; Run via form trigger as codectechnologies0@gmail.com; Timestamp: Aug 22, 2026 11:50 AM</t>
  </si>
  <si>
    <t>Saurabh Kumar</t>
  </si>
  <si>
    <t>saurabhkr3611@gmail.com</t>
  </si>
  <si>
    <t xml:space="preserve">Nodia Institute of Engineering and Technology </t>
  </si>
  <si>
    <t>1KxaUyMR2guS-kBp6AMHrXkl1ZmS_fOt2</t>
  </si>
  <si>
    <t>https://drive.google.com/file/d/1KxaUyMR2guS-kBp6AMHrXkl1ZmS_fOt2/view?usp=drivesdk</t>
  </si>
  <si>
    <t>Document successfully created; Document successfully merged; PDF created; Emails Sent: [To: saurabhkr3611@gmail.com]; Run via form trigger as codectechnologies0@gmail.com; Timestamp: Aug 22, 2026 12:14 PM</t>
  </si>
  <si>
    <t>Joliya D</t>
  </si>
  <si>
    <t>joliyadevadas17@gmail.com</t>
  </si>
  <si>
    <t xml:space="preserve">St. Joseph's College of Engineering </t>
  </si>
  <si>
    <t>1wee65D51UA6qEKpbRGgEeiECLR9cORsU</t>
  </si>
  <si>
    <t>https://drive.google.com/file/d/1wee65D51UA6qEKpbRGgEeiECLR9cORsU/view?usp=drivesdk</t>
  </si>
  <si>
    <t>Document successfully created; Document successfully merged; PDF created; Emails Sent: [To: joliyadevadas17@gmail.com]; Run via form trigger as codectechnologies0@gmail.com; Timestamp: Aug 22, 2026 12:21 PM</t>
  </si>
  <si>
    <t>KRUPAL DUSANE</t>
  </si>
  <si>
    <t>krupaldusane12@gmail.com</t>
  </si>
  <si>
    <t>Nmims MPSTME</t>
  </si>
  <si>
    <t>1wizLRjX62mjz7oC0Ihs0-ue96wgkmH0-</t>
  </si>
  <si>
    <t>https://drive.google.com/file/d/1wizLRjX62mjz7oC0Ihs0-ue96wgkmH0-/view?usp=drivesdk</t>
  </si>
  <si>
    <t>Document successfully created; Document successfully merged; PDF created; Emails Sent: [To: krupaldusane12@gmail.com]; Run via form trigger as codectechnologies0@gmail.com; Timestamp: Aug 22, 2026 12:38 PM</t>
  </si>
  <si>
    <t xml:space="preserve">Ashwini sargar </t>
  </si>
  <si>
    <t>ashwinisargar29@gmail.com</t>
  </si>
  <si>
    <t xml:space="preserve">Sanjay Ghodawat University </t>
  </si>
  <si>
    <t>1YOu4u8szmReItODh9hTYqRoSrYWLh2bm</t>
  </si>
  <si>
    <t>https://drive.google.com/file/d/1YOu4u8szmReItODh9hTYqRoSrYWLh2bm/view?usp=drivesdk</t>
  </si>
  <si>
    <t>Document successfully created; Document successfully merged; PDF created; Emails Sent: [To: ashwinisargar29@gmail.com]; Run via form trigger as codectechnologies0@gmail.com; Timestamp: Aug 22, 2026 12:39 PM</t>
  </si>
  <si>
    <t>Saurabhkumarthakur33@gmail.com</t>
  </si>
  <si>
    <t>1h_e88gF2aNiODmk6tB8mVC_kWV7juz_P</t>
  </si>
  <si>
    <t>https://drive.google.com/file/d/1h_e88gF2aNiODmk6tB8mVC_kWV7juz_P/view?usp=drivesdk</t>
  </si>
  <si>
    <t>Document successfully created; Document successfully merged; PDF created; Emails Sent: [To: Saurabhkumarthakur33@gmail.com]; Run via form trigger as codectechnologies0@gmail.com; Timestamp: Aug 22, 2026 12:46 PM</t>
  </si>
  <si>
    <t>Amarjeet vishwkarma</t>
  </si>
  <si>
    <t>amarjeetvishwkarma347@gmail.com</t>
  </si>
  <si>
    <t>BRBBAREC pratapgarh</t>
  </si>
  <si>
    <t>LinkedIn, WhatsApp, Email, AICTE/Indeed</t>
  </si>
  <si>
    <t>1QZHs7yWzvwNHgYYYsHEW9WDRgMRcL-3h</t>
  </si>
  <si>
    <t>https://drive.google.com/file/d/1QZHs7yWzvwNHgYYYsHEW9WDRgMRcL-3h/view?usp=drivesdk</t>
  </si>
  <si>
    <t>Document successfully created; Document successfully merged; PDF created; Emails Sent: [To: amarjeetvishwkarma347@gmail.com]; Run via form trigger as codectechnologies0@gmail.com; Timestamp: Aug 22, 2026 12:49 PM</t>
  </si>
  <si>
    <t>Saurabh kumar Thakur</t>
  </si>
  <si>
    <t>13whZOM4qUDmfq3e5RBr-pdNLi-qYxe9i</t>
  </si>
  <si>
    <t>https://drive.google.com/file/d/13whZOM4qUDmfq3e5RBr-pdNLi-qYxe9i/view?usp=drivesdk</t>
  </si>
  <si>
    <t>Document successfully created; Document successfully merged; PDF created; Emails Sent: [To: Saurabhkumarthakur33@gmail.com]; Run via form trigger as codectechnologies0@gmail.com; Timestamp: Aug 22, 2026 12:53 PM</t>
  </si>
  <si>
    <t>Shimpi</t>
  </si>
  <si>
    <t>shimpikashyap2005@gmail.com</t>
  </si>
  <si>
    <t>IITG</t>
  </si>
  <si>
    <t>1ivNlqKVtArtFlQuKeJhBk_n_FYRuGIA0</t>
  </si>
  <si>
    <t>https://drive.google.com/file/d/1ivNlqKVtArtFlQuKeJhBk_n_FYRuGIA0/view?usp=drivesdk</t>
  </si>
  <si>
    <t>Document successfully created; Document successfully merged; PDF created; Emails Sent: [To: shimpikashyap2005@gmail.com]; Run via form trigger as codectechnologies0@gmail.com; Timestamp: Aug 22, 2026 12:54 PM</t>
  </si>
  <si>
    <t xml:space="preserve">Saurabh Kumar Thakur </t>
  </si>
  <si>
    <t>1Ff7icCbsWpdbPUKUyXJu7iimG1wQiBaw</t>
  </si>
  <si>
    <t>https://drive.google.com/file/d/1Ff7icCbsWpdbPUKUyXJu7iimG1wQiBaw/view?usp=drivesdk</t>
  </si>
  <si>
    <t>Document successfully created; Document successfully merged; PDF created; Emails Sent: [To: Saurabhkumarthakur33@gmail.com]; Run via form trigger as codectechnologies0@gmail.com; Timestamp: Aug 22, 2026 12:59 PM</t>
  </si>
  <si>
    <t>PUNITHA M</t>
  </si>
  <si>
    <t>shesanths66@gmail.com</t>
  </si>
  <si>
    <t>09790844195</t>
  </si>
  <si>
    <t xml:space="preserve">Arulmugan engineering college </t>
  </si>
  <si>
    <t>1JPM3qvNMk8HpTHFka0fZLcra0TmtHKhV</t>
  </si>
  <si>
    <t>https://drive.google.com/file/d/1JPM3qvNMk8HpTHFka0fZLcra0TmtHKhV/view?usp=drivesdk</t>
  </si>
  <si>
    <t>Document successfully created; Document successfully merged; PDF created; Emails Sent: [To: shesanths66@gmail.com]; Run via form trigger as codectechnologies0@gmail.com; Timestamp: Aug 22, 2026 1:05 PM</t>
  </si>
  <si>
    <t xml:space="preserve">Ssbt </t>
  </si>
  <si>
    <t>1gTdrAfagcljfc3dOuDDNQ-ATBodZVjal</t>
  </si>
  <si>
    <t>https://drive.google.com/file/d/1gTdrAfagcljfc3dOuDDNQ-ATBodZVjal/view?usp=drivesdk</t>
  </si>
  <si>
    <t>Document successfully created; Document successfully merged; PDF created; Emails Sent: [To: riteshpatil7422@gmail.com]; Run via form trigger as codectechnologies0@gmail.com; Timestamp: Aug 22, 2026 1:09 PM</t>
  </si>
  <si>
    <t>Tridip Naya</t>
  </si>
  <si>
    <t>UI/UX Designer Intern</t>
  </si>
  <si>
    <t>tridipnayak666@gmail.com</t>
  </si>
  <si>
    <t>Swami Vivekananda institute of Modern Science</t>
  </si>
  <si>
    <t>1SPXkpTHo1fVxkYzJH2z35eN9qGU_aOKn</t>
  </si>
  <si>
    <t>Document successfully created; Document successfully merged; PDF created; Emails Sent: [To: tridipnayak666@gmail.com]; Run via form trigger as codectechnologies0@gmail.com; Timestamp: Aug 22, 2026 1:12 PM</t>
  </si>
  <si>
    <t>Tridip Nayak</t>
  </si>
  <si>
    <t>1nSN4frZBJ1VmnF9ghSZ3MQ31SkKVB80_</t>
  </si>
  <si>
    <t>https://drive.google.com/file/d/1nSN4frZBJ1VmnF9ghSZ3MQ31SkKVB80_/view?usp=drivesdk</t>
  </si>
  <si>
    <t>Document successfully created; Document successfully merged; PDF created; Emails Sent: [To: tridipnayak666@gmail.com]; Run via form trigger as codectechnologies0@gmail.com; Timestamp: Aug 22, 2026 1:15 PM</t>
  </si>
  <si>
    <t>Prince Rana</t>
  </si>
  <si>
    <t>prince1129pr@gmail.com</t>
  </si>
  <si>
    <t>Uttaranchal University</t>
  </si>
  <si>
    <t>1G9CgPPjc1j3txLQKNneb4XerC62doj38</t>
  </si>
  <si>
    <t>https://drive.google.com/file/d/1G9CgPPjc1j3txLQKNneb4XerC62doj38/view?usp=drivesdk</t>
  </si>
  <si>
    <t>Document successfully created; Document successfully merged; PDF created; Emails Sent: [To: prince1129pr@gmail.com]; Run via form trigger as codectechnologies0@gmail.com; Timestamp: Aug 22, 2026 1:25 PM</t>
  </si>
  <si>
    <t xml:space="preserve">Saksham Gupta </t>
  </si>
  <si>
    <t>sakshamsggupta0@gmail.com</t>
  </si>
  <si>
    <t xml:space="preserve">Iilm university </t>
  </si>
  <si>
    <t>1t1d3QijcLPslZB7hu1qfhQOf8cPgYro0</t>
  </si>
  <si>
    <t>https://drive.google.com/file/d/1t1d3QijcLPslZB7hu1qfhQOf8cPgYro0/view?usp=drivesdk</t>
  </si>
  <si>
    <t>Document successfully created; Document successfully merged; PDF created; Emails Sent: [To: sakshamsggupta0@gmail.com]; Run via form trigger as codectechnologies0@gmail.com; Timestamp: Aug 22, 2026 1:26 PM</t>
  </si>
  <si>
    <t>Vaibhav Gupta</t>
  </si>
  <si>
    <t>vaibhavgupta4239@gmail.com</t>
  </si>
  <si>
    <t xml:space="preserve">National PG College </t>
  </si>
  <si>
    <t>1WKlijLMnGKngAgvp5IOI6rI2KcATBngN</t>
  </si>
  <si>
    <t>https://drive.google.com/file/d/1WKlijLMnGKngAgvp5IOI6rI2KcATBngN/view?usp=drivesdk</t>
  </si>
  <si>
    <t>Document successfully created; Document successfully merged; PDF created; Emails Sent: [To: vaibhavgupta4239@gmail.com]; Run via form trigger as codectechnologies0@gmail.com; Timestamp: Aug 22, 2026 1:53 PM</t>
  </si>
  <si>
    <t>POORVA SAHU</t>
  </si>
  <si>
    <t>sahupoorva688@gmail.com</t>
  </si>
  <si>
    <t xml:space="preserve">SHRIRAM INSTITUTE OF TECHNOLOGY, JABALPUR </t>
  </si>
  <si>
    <t>1PT5pU-KZt05jdDtJWb_kyiKgqTMpH8p9</t>
  </si>
  <si>
    <t>https://drive.google.com/file/d/1PT5pU-KZt05jdDtJWb_kyiKgqTMpH8p9/view?usp=drivesdk</t>
  </si>
  <si>
    <t>Document successfully created; Document successfully merged; PDF created; Emails Sent: [To: sahupoorva688@gmail.com]; Run via form trigger as codectechnologies0@gmail.com; Timestamp: Aug 22, 2026 1:58 PM</t>
  </si>
  <si>
    <t>Vivek kumar</t>
  </si>
  <si>
    <t>kumarvivek6179a@gmail.com</t>
  </si>
  <si>
    <t>Greater Noida Institute Of Technology</t>
  </si>
  <si>
    <t>1YQBdM3lBBN4SYEBRrmep5LFRyVXsHEk-</t>
  </si>
  <si>
    <t>https://drive.google.com/file/d/1YQBdM3lBBN4SYEBRrmep5LFRyVXsHEk-/view?usp=drivesdk</t>
  </si>
  <si>
    <t>Document successfully created; Document successfully merged; PDF created; Emails Sent: [To: kumarvivek6179a@gmail.com]; Run via form trigger as codectechnologies0@gmail.com; Timestamp: Aug 22, 2026 2:03 PM</t>
  </si>
  <si>
    <t>Vansh</t>
  </si>
  <si>
    <t>kumarvansh2309@gmail.com</t>
  </si>
  <si>
    <t xml:space="preserve">Vivek college of education Bijnor </t>
  </si>
  <si>
    <t>1JQxZrvNXTujE-XTQVAMP4h-GLzGb7Vfx</t>
  </si>
  <si>
    <t>https://drive.google.com/file/d/1JQxZrvNXTujE-XTQVAMP4h-GLzGb7Vfx/view?usp=drivesdk</t>
  </si>
  <si>
    <t>Document successfully created; Document successfully merged; PDF created; Emails Sent: [To: kumarvansh2309@gmail.com]; Run via form trigger as codectechnologies0@gmail.com; Timestamp: Aug 22, 2026 2:38 PM</t>
  </si>
  <si>
    <t xml:space="preserve">Shaik uzair </t>
  </si>
  <si>
    <t>uzairshaik776@gmail.com</t>
  </si>
  <si>
    <t xml:space="preserve">Nawab shah Alam khan college of engineering and technology </t>
  </si>
  <si>
    <t>1njuahimG8nJFZIsmwu_jX37qCauOypy7</t>
  </si>
  <si>
    <t>https://drive.google.com/file/d/1njuahimG8nJFZIsmwu_jX37qCauOypy7/view?usp=drivesdk</t>
  </si>
  <si>
    <t>Document successfully created; Document successfully merged; PDF created; Emails Sent: [To: uzairshaik776@gmail.com]; Run via form trigger as codectechnologies0@gmail.com; Timestamp: Aug 22, 2026 4:37 PM</t>
  </si>
  <si>
    <t>Mohd Omer</t>
  </si>
  <si>
    <t>samishah9553978514@gmail.com</t>
  </si>
  <si>
    <t>19nDyZwL2RWgEvDYMoDFBS4T8rp38gnGV</t>
  </si>
  <si>
    <t>https://drive.google.com/file/d/19nDyZwL2RWgEvDYMoDFBS4T8rp38gnGV/view?usp=drivesdk</t>
  </si>
  <si>
    <t>Document successfully created; Document successfully merged; PDF created; Emails Sent: [To: samishah9553978514@gmail.com]; Run via form trigger as codectechnologies0@gmail.com; Timestamp: Aug 22, 2026 5:05 PM</t>
  </si>
  <si>
    <t>Prakarsh kumar Prashar</t>
  </si>
  <si>
    <t>prakarshkumar819@gmail.com</t>
  </si>
  <si>
    <t>1nSLnwFBZNuHdmh7PcT1NpqPTTThUmOhZ</t>
  </si>
  <si>
    <t>https://drive.google.com/file/d/1nSLnwFBZNuHdmh7PcT1NpqPTTThUmOhZ/view?usp=drivesdk</t>
  </si>
  <si>
    <t>Document successfully created; Document successfully merged; PDF created; Emails Sent: [To: prakarshkumar819@gmail.com]; Run via form trigger as codectechnologies0@gmail.com; Timestamp: Aug 22, 2026 5:18 PM</t>
  </si>
  <si>
    <t>Neha malav</t>
  </si>
  <si>
    <t>malavneha855@gmail.com</t>
  </si>
  <si>
    <t>09461913416</t>
  </si>
  <si>
    <t>nscb medical college jabalpur mp</t>
  </si>
  <si>
    <t>1Hv-HW7nQienol4PVmd07LR46Koy_5GT-</t>
  </si>
  <si>
    <t>https://drive.google.com/file/d/1Hv-HW7nQienol4PVmd07LR46Koy_5GT-/view?usp=drivesdk</t>
  </si>
  <si>
    <t>Document successfully created; Document successfully merged; PDF created; Emails Sent: [To: malavneha855@gmail.com]; Run via form trigger as codectechnologies0@gmail.com; Timestamp: Aug 22, 2026 5:33 PM</t>
  </si>
  <si>
    <t>Abhishek Raturi</t>
  </si>
  <si>
    <t>abhishekraturi2000@gmail.com</t>
  </si>
  <si>
    <t>Institute of Technology Baun</t>
  </si>
  <si>
    <t>1uUmlAB6zslgi3acRxYmxEJzATADeF1Et</t>
  </si>
  <si>
    <t>https://drive.google.com/file/d/1uUmlAB6zslgi3acRxYmxEJzATADeF1Et/view?usp=drivesdk</t>
  </si>
  <si>
    <t>Document successfully created; Document successfully merged; PDF created; Emails Sent: [To: abhishekraturi2000@gmail.com]; Run via form trigger as codectechnologies0@gmail.com; Timestamp: Aug 22, 2026 9:55 PM</t>
  </si>
  <si>
    <t>1EFRi_gu8hPwQrZDPxy1StBNTT6tdyzOi</t>
  </si>
  <si>
    <t>https://drive.google.com/file/d/1EFRi_gu8hPwQrZDPxy1StBNTT6tdyzOi/view?usp=drivesdk</t>
  </si>
  <si>
    <t>Document successfully created; Document successfully merged; PDF created; Emails Sent: [To: abhishekraturi2000@gmail.com]; Run via form trigger as codectechnologies0@gmail.com; Timestamp: Aug 22, 2026 10:02 PM</t>
  </si>
  <si>
    <t>Suriya Raj</t>
  </si>
  <si>
    <t>suriyav262@gmail.com</t>
  </si>
  <si>
    <t xml:space="preserve">Sri Shakti institute of engineering and technology </t>
  </si>
  <si>
    <t>1KSMOCsQldeGKWcWZI0EiYuJoGOH87tBX</t>
  </si>
  <si>
    <t>https://drive.google.com/file/d/1KSMOCsQldeGKWcWZI0EiYuJoGOH87tBX/view?usp=drivesdk</t>
  </si>
  <si>
    <t>Document successfully created; Document successfully merged; PDF created; Emails Sent: [To: suriyav262@gmail.com]; Run via form trigger as codectechnologies0@gmail.com; Timestamp: Aug 22, 2026 10:40 PM</t>
  </si>
  <si>
    <t xml:space="preserve">Suriya Raj </t>
  </si>
  <si>
    <t>1aFK0YuIv-x_dHC6EkZoyf8ebwy9Rwgfv</t>
  </si>
  <si>
    <t>https://drive.google.com/file/d/1aFK0YuIv-x_dHC6EkZoyf8ebwy9Rwgfv/view?usp=drivesdk</t>
  </si>
  <si>
    <t>Document successfully created; Document successfully merged; PDF created; Emails Sent: [To: suriyav262@gmail.com]; Run via form trigger as codectechnologies0@gmail.com; Timestamp: Aug 22, 2026 10:43 PM</t>
  </si>
  <si>
    <t>vishal bamboriya</t>
  </si>
  <si>
    <t>vishaldhakad6632@gmail.com</t>
  </si>
  <si>
    <t>govt. polytechnic college mandsaur</t>
  </si>
  <si>
    <t>1xAdvYjTAP_ItEjwKprG0g-Z0xhT90zlZ</t>
  </si>
  <si>
    <t>https://drive.google.com/file/d/1xAdvYjTAP_ItEjwKprG0g-Z0xhT90zlZ/view?usp=drivesdk</t>
  </si>
  <si>
    <t>Document successfully created; Document successfully merged; PDF created; Emails Sent: [To: vishaldhakad6632@gmail.com]; Run via form trigger as codectechnologies0@gmail.com; Timestamp: Aug 22, 2026 11:24 PM</t>
  </si>
  <si>
    <t>Nameet Verma</t>
  </si>
  <si>
    <t>nameetverma2124@gmail.com</t>
  </si>
  <si>
    <t>1uuQ8aO1-IEA6nZK1XdAofVxJYfLXD8Lc</t>
  </si>
  <si>
    <t>https://drive.google.com/file/d/1uuQ8aO1-IEA6nZK1XdAofVxJYfLXD8Lc/view?usp=drivesdk</t>
  </si>
  <si>
    <t>Document successfully created; Document successfully merged; PDF created; Emails Sent: [To: nameetverma2124@gmail.com]; Run via form trigger as codectechnologies0@gmail.com; Timestamp: Aug 22, 2026 11:38 PM</t>
  </si>
  <si>
    <t>1rteDbCAQAVxS5yUduYN5j7qfmAVxK0X1</t>
  </si>
  <si>
    <t>https://drive.google.com/file/d/1rteDbCAQAVxS5yUduYN5j7qfmAVxK0X1/view?usp=drivesdk</t>
  </si>
  <si>
    <t>Document successfully created; Document successfully merged; PDF created; Emails Sent: [To: tanmaypathak9838@gmail.com]; Run via form trigger as codectechnologies0@gmail.com; Timestamp: Aug 22, 2026 11:54 PM</t>
  </si>
  <si>
    <t xml:space="preserve">Raj Kumar </t>
  </si>
  <si>
    <t>raj7126770@gmail.com</t>
  </si>
  <si>
    <t xml:space="preserve">Buddha Institute Of Technology Gida Gorakhpur </t>
  </si>
  <si>
    <t>1W-3u4Y7A8deDZ40pemHIGkVlU20-q2-Z</t>
  </si>
  <si>
    <t>https://drive.google.com/file/d/1W-3u4Y7A8deDZ40pemHIGkVlU20-q2-Z/view?usp=drivesdk</t>
  </si>
  <si>
    <t>Document successfully created; Document successfully merged; PDF created; Emails Sent: [To: raj7126770@gmail.com]; Run via form trigger as codectechnologies0@gmail.com; Timestamp: Aug 23, 2026 12:05 AM</t>
  </si>
  <si>
    <t xml:space="preserve">Suraj Gupta </t>
  </si>
  <si>
    <t>youlearnsuraj@gmail.com</t>
  </si>
  <si>
    <t xml:space="preserve">ITM Vocational University </t>
  </si>
  <si>
    <t>19XjMmmborxE4DwBj0rGf9Bs0zG62Obca</t>
  </si>
  <si>
    <t>https://drive.google.com/file/d/19XjMmmborxE4DwBj0rGf9Bs0zG62Obca/view?usp=drivesdk</t>
  </si>
  <si>
    <t>Document successfully created; Document successfully merged; PDF created; Emails Sent: [To: youlearnsuraj@gmail.com]; Run via form trigger as codectechnologies0@gmail.com; Timestamp: Aug 23, 2026 12:10 AM</t>
  </si>
  <si>
    <t>Divya</t>
  </si>
  <si>
    <t>shar.divya2004@gmail.com</t>
  </si>
  <si>
    <t xml:space="preserve">UIET, Kurukshetra University,Kurukshetra </t>
  </si>
  <si>
    <t>10bM3X6Wu_8Qj_qgPuHSbZ6Z9i8Ye544E</t>
  </si>
  <si>
    <t>https://drive.google.com/file/d/10bM3X6Wu_8Qj_qgPuHSbZ6Z9i8Ye544E/view?usp=drivesdk</t>
  </si>
  <si>
    <t>Document successfully created; Document successfully merged; PDF created; Emails Sent: [To: shar.divya2004@gmail.com]; Run via form trigger as codectechnologies0@gmail.com; Timestamp: Aug 23, 2026 12:37 AM</t>
  </si>
  <si>
    <t>Janvi Patwa</t>
  </si>
  <si>
    <t>MERN Stack Developer Intern</t>
  </si>
  <si>
    <t>janvi.25scs2040003983@iilm.edu</t>
  </si>
  <si>
    <t>IILM University Greater Noida</t>
  </si>
  <si>
    <t>LinkedIn, Friend, AICTE/Indeed</t>
  </si>
  <si>
    <t>1n2Mjn2TK5_aSkct1pS3ng7gb7GRXHjtM</t>
  </si>
  <si>
    <t>https://drive.google.com/file/d/1n2Mjn2TK5_aSkct1pS3ng7gb7GRXHjtM/view?usp=drivesdk</t>
  </si>
  <si>
    <t>Document successfully created; Document successfully merged; PDF created; Emails Sent: [To: janvi.25scs2040003983@iilm.edu]; Run via form trigger as codectechnologies0@gmail.com; Timestamp: Aug 23, 2026 12:43 AM</t>
  </si>
  <si>
    <t>Sourabh Trivedi</t>
  </si>
  <si>
    <t>sourabhtrivedi8057@gmail.com</t>
  </si>
  <si>
    <t>07457027452</t>
  </si>
  <si>
    <t>Uttaranchall Instiute of Technology</t>
  </si>
  <si>
    <t>1seICD6AKFTIyV0bNTnx--EX8o-rVPC3e</t>
  </si>
  <si>
    <t>https://drive.google.com/file/d/1seICD6AKFTIyV0bNTnx--EX8o-rVPC3e/view?usp=drivesdk</t>
  </si>
  <si>
    <t>Document successfully created; Document successfully merged; PDF created; Emails Sent: [To: sourabhtrivedi8057@gmail.com]; Run via form trigger as codectechnologies0@gmail.com; Timestamp: Aug 23, 2026 1:16 AM</t>
  </si>
  <si>
    <t>Himanshu Rawat</t>
  </si>
  <si>
    <t>hr8728904@gmail.com</t>
  </si>
  <si>
    <t>08533884814</t>
  </si>
  <si>
    <t>Uttaranchal Universityy</t>
  </si>
  <si>
    <t>1LYnYu7Q4phKYap_UXp8Eqlxxa56pfpbB</t>
  </si>
  <si>
    <t>https://drive.google.com/file/d/1LYnYu7Q4phKYap_UXp8Eqlxxa56pfpbB/view?usp=drivesdk</t>
  </si>
  <si>
    <t>Document successfully created; Document successfully merged; PDF created; Emails Sent: [To: hr8728904@gmail.com]; Run via form trigger as codectechnologies0@gmail.com; Timestamp: Aug 23, 2026 1:28 AM</t>
  </si>
  <si>
    <t>Vinit Sanjaybhai Kakadiya</t>
  </si>
  <si>
    <t>workvk6234@gmail.com</t>
  </si>
  <si>
    <t>Government Engineering Collage, Sector-28, Gandhinagar.</t>
  </si>
  <si>
    <t>14IuqSPEe-HUqne8KVM17NYUcmlyjPdYu</t>
  </si>
  <si>
    <t>https://drive.google.com/file/d/14IuqSPEe-HUqne8KVM17NYUcmlyjPdYu/view?usp=drivesdk</t>
  </si>
  <si>
    <t>Document successfully created; Document successfully merged; PDF created; Emails Sent: [To: workvk6234@gmail.com]; Run via form trigger as codectechnologies0@gmail.com; Timestamp: Aug 23, 2026 1:34 AM</t>
  </si>
  <si>
    <t>Ankit</t>
  </si>
  <si>
    <t>ankit.25scs1003005290@iilm.edu</t>
  </si>
  <si>
    <t>1MSCqOkl60_azo9mQ4NbfFdAemX4pyAOn</t>
  </si>
  <si>
    <t>https://drive.google.com/file/d/1MSCqOkl60_azo9mQ4NbfFdAemX4pyAOn/view?usp=drivesdk</t>
  </si>
  <si>
    <t>Document successfully created; Document successfully merged; PDF created; Emails Sent: [To: ankit.25scs1003005290@iilm.edu]; Run via form trigger as codectechnologies0@gmail.com; Timestamp: Aug 23, 2026 1:50 AM</t>
  </si>
  <si>
    <t>Shraddha Vaidya</t>
  </si>
  <si>
    <t>shraddhavaidya723@gmail.com</t>
  </si>
  <si>
    <t xml:space="preserve">GHRSTU </t>
  </si>
  <si>
    <t>1gbjeqcMum4SBSV8oy601E4gVeYwgci0i</t>
  </si>
  <si>
    <t>https://drive.google.com/file/d/1gbjeqcMum4SBSV8oy601E4gVeYwgci0i/view?usp=drivesdk</t>
  </si>
  <si>
    <t>Document successfully created; Document successfully merged; PDF created; Emails Sent: [To: shraddhavaidya723@gmail.com]; Run via form trigger as codectechnologies0@gmail.com; Timestamp: Aug 23, 2026 1:52 AM</t>
  </si>
  <si>
    <t xml:space="preserve">Ashutosh rath </t>
  </si>
  <si>
    <t>rathashu2003@gmail.com</t>
  </si>
  <si>
    <t xml:space="preserve">Parala maharaja engineering college berhampur odisha </t>
  </si>
  <si>
    <t>1VfxiaLclD1xiwEnL9JHWxD88MYo2ygHa</t>
  </si>
  <si>
    <t>https://drive.google.com/file/d/1VfxiaLclD1xiwEnL9JHWxD88MYo2ygHa/view?usp=drivesdk</t>
  </si>
  <si>
    <t>Document successfully created; Document successfully merged; PDF created; Emails Sent: [To: rathashu2003@gmail.com]; Run via form trigger as codectechnologies0@gmail.com; Timestamp: Aug 23, 2026 1:55 AM</t>
  </si>
  <si>
    <t xml:space="preserve">Bhavana G </t>
  </si>
  <si>
    <t>bhavanag.25aiml@saividya.ac.in</t>
  </si>
  <si>
    <t xml:space="preserve">Sai Vidya Institute Of Technology </t>
  </si>
  <si>
    <t>1YnMHEC_ts0etaYlOm44LlWSwOOFnACHT</t>
  </si>
  <si>
    <t>https://drive.google.com/file/d/1YnMHEC_ts0etaYlOm44LlWSwOOFnACHT/view?usp=drivesdk</t>
  </si>
  <si>
    <t>Document successfully created; Document successfully merged; PDF created; Emails Sent: [To: bhavanag.25aiml@saividya.ac.in]; Run via form trigger as codectechnologies0@gmail.com; Timestamp: Aug 23, 2026 1:55 AM</t>
  </si>
  <si>
    <t>Rihana Razack Pookote</t>
  </si>
  <si>
    <t>rihanarazack209@gmail.com</t>
  </si>
  <si>
    <t xml:space="preserve">Theem College Of Engineering </t>
  </si>
  <si>
    <t>1uWQpbF0HgWhLvX2bgTF7aVh_Y9cds22W</t>
  </si>
  <si>
    <t>https://drive.google.com/file/d/1uWQpbF0HgWhLvX2bgTF7aVh_Y9cds22W/view?usp=drivesdk</t>
  </si>
  <si>
    <t>Document successfully created; Document successfully merged; PDF created; Emails Sent: [To: rihanarazack209@gmail.com]; Run via form trigger as codectechnologies0@gmail.com; Timestamp: Aug 23, 2026 1:56 AM</t>
  </si>
  <si>
    <t>1VfSxWRMEq813LLr4_CM3icW-LJmJ6NyN</t>
  </si>
  <si>
    <t>https://drive.google.com/file/d/1VfSxWRMEq813LLr4_CM3icW-LJmJ6NyN/view?usp=drivesdk</t>
  </si>
  <si>
    <t>Document successfully created; Document successfully merged; PDF created; Emails Sent: [To: rihanarazack209@gmail.com]; Run via form trigger as codectechnologies0@gmail.com; Timestamp: Aug 23, 2026 1:58 AM</t>
  </si>
  <si>
    <t>Ashutosh rath</t>
  </si>
  <si>
    <t>16jAQbMbw61rV1b2JcuwrikbliWWPVftT</t>
  </si>
  <si>
    <t>https://drive.google.com/file/d/16jAQbMbw61rV1b2JcuwrikbliWWPVftT/view?usp=drivesdk</t>
  </si>
  <si>
    <t>Document successfully created; Document successfully merged; PDF created; Emails Sent: [To: rathashu2003@gmail.com]; Run via form trigger as codectechnologies0@gmail.com; Timestamp: Aug 23, 2026 2:00 AM</t>
  </si>
  <si>
    <t xml:space="preserve">Khushboo Gupta </t>
  </si>
  <si>
    <t>khushigupta9146@gmail.com</t>
  </si>
  <si>
    <t xml:space="preserve">Amity University </t>
  </si>
  <si>
    <t>1tDA2un6ofqSGvczgfE61bs2LVqn6rny2</t>
  </si>
  <si>
    <t>https://drive.google.com/file/d/1tDA2un6ofqSGvczgfE61bs2LVqn6rny2/view?usp=drivesdk</t>
  </si>
  <si>
    <t>Document successfully created; Document successfully merged; PDF created; Emails Sent: [To: khushigupta9146@gmail.com]; Run via form trigger as codectechnologies0@gmail.com; Timestamp: Aug 23, 2026 2:01 AM</t>
  </si>
  <si>
    <t>Kunapareddi Jashwanth Sri Vastav</t>
  </si>
  <si>
    <t>jashwanthkunapareddi9@gmail.com</t>
  </si>
  <si>
    <t>Anil Neerukonda Institute of Technology and Sciences (ANITS)</t>
  </si>
  <si>
    <t>1Uwrl-iB25xi743VVk_kjoiZWVOvWrvTP</t>
  </si>
  <si>
    <t>https://drive.google.com/file/d/1Uwrl-iB25xi743VVk_kjoiZWVOvWrvTP/view?usp=drivesdk</t>
  </si>
  <si>
    <t>Document successfully created; Document successfully merged; PDF created; Emails Sent: [To: jashwanthkunapareddi9@gmail.com]; Run via form trigger as codectechnologies0@gmail.com; Timestamp: Aug 23, 2026 2:02 AM</t>
  </si>
  <si>
    <t>Bhoomika Narahatti</t>
  </si>
  <si>
    <t>bhoomikanarahatti41@gmail.com</t>
  </si>
  <si>
    <t xml:space="preserve">Dayananda Sagar College of engineering Bengaluru </t>
  </si>
  <si>
    <t>1sUv1I7urJMEOFbVVVtOpT2pPY4TQ-znm</t>
  </si>
  <si>
    <t>https://drive.google.com/file/d/1sUv1I7urJMEOFbVVVtOpT2pPY4TQ-znm/view?usp=drivesdk</t>
  </si>
  <si>
    <t>Document successfully created; Document successfully merged; PDF created; Emails Sent: [To: bhoomikanarahatti41@gmail.com]; Run via form trigger as codectechnologies0@gmail.com; Timestamp: Aug 23, 2026 2:03 AM</t>
  </si>
  <si>
    <t xml:space="preserve">Anjali Santosh Raut </t>
  </si>
  <si>
    <t>anjaliraut1346@gmail.com</t>
  </si>
  <si>
    <t xml:space="preserve">Prof Ram Meghe college of engineering and Management badnera </t>
  </si>
  <si>
    <t>1eIXBUwDW49BOMxr0toRxF26mOK-Iy9D4</t>
  </si>
  <si>
    <t>https://drive.google.com/file/d/1eIXBUwDW49BOMxr0toRxF26mOK-Iy9D4/view?usp=drivesdk</t>
  </si>
  <si>
    <t>Document successfully created; Document successfully merged; PDF created; Emails Sent: [To: anjaliraut1346@gmail.com]; Run via form trigger as codectechnologies0@gmail.com; Timestamp: Aug 23, 2026 2:04 AM</t>
  </si>
  <si>
    <t>ABHISHEK PRATAP SINGH</t>
  </si>
  <si>
    <t>singhabhishekpratap210@gmail.com</t>
  </si>
  <si>
    <t xml:space="preserve">Chandigarh university </t>
  </si>
  <si>
    <t>1a8v4D4hv4AKMjkyFo-73DnrRnHekb_h9</t>
  </si>
  <si>
    <t>https://drive.google.com/file/d/1a8v4D4hv4AKMjkyFo-73DnrRnHekb_h9/view?usp=drivesdk</t>
  </si>
  <si>
    <t>Document successfully created; Document successfully merged; PDF created; Emails Sent: [To: singhabhishekpratap210@gmail.com]; Run via form trigger as codectechnologies0@gmail.com; Timestamp: Aug 23, 2026 2:06 AM</t>
  </si>
  <si>
    <t xml:space="preserve">Gayatri Amari </t>
  </si>
  <si>
    <t>gayatriamari@gmail.com</t>
  </si>
  <si>
    <t>Sai Vidya Institute of Technology Rajanukunte Bengaluru Karnataka 560064</t>
  </si>
  <si>
    <t>1kmP0a9t5t_i_S7MRwFbCyGykA0MSus6j</t>
  </si>
  <si>
    <t>https://drive.google.com/file/d/1kmP0a9t5t_i_S7MRwFbCyGykA0MSus6j/view?usp=drivesdk</t>
  </si>
  <si>
    <t>Document successfully created; Document successfully merged; PDF created; Emails Sent: [To: gayatriamari@gmail.com]; Run via form trigger as codectechnologies0@gmail.com; Timestamp: Aug 23, 2026 2:08 AM</t>
  </si>
  <si>
    <t xml:space="preserve">Priyanshi Sharma </t>
  </si>
  <si>
    <t>priyanshisharma4562@gmail.com</t>
  </si>
  <si>
    <t xml:space="preserve">Madhav institute of technology and science deemed University Gwalior mp </t>
  </si>
  <si>
    <t>1k_CQc_5P1kcY6rhHqXOLWVq0s4rzUcfL</t>
  </si>
  <si>
    <t>https://drive.google.com/file/d/1k_CQc_5P1kcY6rhHqXOLWVq0s4rzUcfL/view?usp=drivesdk</t>
  </si>
  <si>
    <t>Document successfully created; Document successfully merged; PDF created; Emails Sent: [To: priyanshisharma4562@gmail.com]; Run via form trigger as codectechnologies0@gmail.com; Timestamp: Aug 23, 2026 2:10 AM</t>
  </si>
  <si>
    <t>Tanya</t>
  </si>
  <si>
    <t>mishratanya588@gmail.com</t>
  </si>
  <si>
    <t xml:space="preserve">Sarala birla university </t>
  </si>
  <si>
    <t>18AWOvSG-Vv5Z5v76D3GW3mMlZcqtzdY0</t>
  </si>
  <si>
    <t>https://drive.google.com/file/d/18AWOvSG-Vv5Z5v76D3GW3mMlZcqtzdY0/view?usp=drivesdk</t>
  </si>
  <si>
    <t>Document successfully created; Document successfully merged; PDF created; Emails Sent: [To: mishratanya588@gmail.com]; Run via form trigger as codectechnologies0@gmail.com; Timestamp: Aug 23, 2026 2:10 AM</t>
  </si>
  <si>
    <t>Om Manoj Jaiswal</t>
  </si>
  <si>
    <t>omjaiswal2131@gmail.com</t>
  </si>
  <si>
    <t>Shri Ramdeobaba College of Engineering &amp; Management</t>
  </si>
  <si>
    <t>1lflRoxYbCjwI7OwPrXCfZ3ywXiBvJXSE</t>
  </si>
  <si>
    <t>https://drive.google.com/file/d/1lflRoxYbCjwI7OwPrXCfZ3ywXiBvJXSE/view?usp=drivesdk</t>
  </si>
  <si>
    <t>Document successfully created; Document successfully merged; PDF created; Emails Sent: [To: omjaiswal2131@gmail.com]; Run via form trigger as codectechnologies0@gmail.com; Timestamp: Aug 23, 2026 2:13 AM</t>
  </si>
  <si>
    <t>Sandipti Kumar Behera</t>
  </si>
  <si>
    <t>sandiptibehera260@gmail.com</t>
  </si>
  <si>
    <t xml:space="preserve">Einstein Academy Of Technology And Management,Banitangi,khordha </t>
  </si>
  <si>
    <t>198kE0RMrYJlCdk6HgvUJLnZYOrmpseuj</t>
  </si>
  <si>
    <t>https://drive.google.com/file/d/198kE0RMrYJlCdk6HgvUJLnZYOrmpseuj/view?usp=drivesdk</t>
  </si>
  <si>
    <t>Document successfully created; Document successfully merged; PDF created; Emails Sent: [To: sandiptibehera260@gmail.com]; Run via form trigger as codectechnologies0@gmail.com; Timestamp: Aug 23, 2026 2:15 AM</t>
  </si>
  <si>
    <t>Faizanur Rahman</t>
  </si>
  <si>
    <t>faizan009765@gmail.com</t>
  </si>
  <si>
    <t>vivekananda global university</t>
  </si>
  <si>
    <t>1QIanJFcaWxK8wwBHi75E0TKUI_v4gtWB</t>
  </si>
  <si>
    <t>https://drive.google.com/file/d/1QIanJFcaWxK8wwBHi75E0TKUI_v4gtWB/view?usp=drivesdk</t>
  </si>
  <si>
    <t>Document successfully created; Document successfully merged; PDF created; Emails Sent: [To: faizan009765@gmail.com]; Run via form trigger as codectechnologies0@gmail.com; Timestamp: Aug 23, 2026 2:16 AM</t>
  </si>
  <si>
    <t>Premkumar R</t>
  </si>
  <si>
    <t>premkumar638269@gmail.com</t>
  </si>
  <si>
    <t xml:space="preserve">Rathinam College of Leberal Arts and Science @Tips Global Institute </t>
  </si>
  <si>
    <t>16uIEAtVE-3rqtCqxRd4CZTfOyFgYhPEn</t>
  </si>
  <si>
    <t>https://drive.google.com/file/d/16uIEAtVE-3rqtCqxRd4CZTfOyFgYhPEn/view?usp=drivesdk</t>
  </si>
  <si>
    <t>Document successfully created; Document successfully merged; PDF created; Emails Sent: [To: premkumar638269@gmail.com]; Run via form trigger as codectechnologies0@gmail.com; Timestamp: Aug 23, 2026 2:20 AM</t>
  </si>
  <si>
    <t xml:space="preserve">Vijay Kathirvel K </t>
  </si>
  <si>
    <t>vijaykathirvel16@gmail.com</t>
  </si>
  <si>
    <t xml:space="preserve">Sri Sakthi institute of engineering and technology </t>
  </si>
  <si>
    <t>1gfr9svi5UDoqw2l6oYYK2J8DBlUbEfWZ</t>
  </si>
  <si>
    <t>https://drive.google.com/file/d/1gfr9svi5UDoqw2l6oYYK2J8DBlUbEfWZ/view?usp=drivesdk</t>
  </si>
  <si>
    <t>Document successfully created; Document successfully merged; PDF created; Emails Sent: [To: vijaykathirvel16@gmail.com]; Run via form trigger as codectechnologies0@gmail.com; Timestamp: Aug 23, 2026 2:21 AM</t>
  </si>
  <si>
    <t>Bikash kumar yadav</t>
  </si>
  <si>
    <t>8/23/0026</t>
  </si>
  <si>
    <t>9/23/0026</t>
  </si>
  <si>
    <t>bikashahir357@gmail.com</t>
  </si>
  <si>
    <t xml:space="preserve">Ishaan Institute of Technology &amp; Management </t>
  </si>
  <si>
    <t>1fvezPxA-UDSZamwMptl0odDJiPATVGbl</t>
  </si>
  <si>
    <t>https://drive.google.com/file/d/1fvezPxA-UDSZamwMptl0odDJiPATVGbl/view?usp=drivesdk</t>
  </si>
  <si>
    <t>Document successfully created; Document successfully merged; PDF created; Emails Sent: [To: bikashahir357@gmail.com]; Run via form trigger as codectechnologies0@gmail.com; Timestamp: Aug 23, 2026 2:22 AM</t>
  </si>
  <si>
    <t>Sourav Singh</t>
  </si>
  <si>
    <t>souravsinghbtech@gmail.com</t>
  </si>
  <si>
    <t>ITM University</t>
  </si>
  <si>
    <t>1wZyFzwDYaWg4mvaDUt8WqOtbVPePZjf_</t>
  </si>
  <si>
    <t>https://drive.google.com/file/d/1wZyFzwDYaWg4mvaDUt8WqOtbVPePZjf_/view?usp=drivesdk</t>
  </si>
  <si>
    <t>Document successfully created; Document successfully merged; PDF created; Emails Sent: [To: souravsinghbtech@gmail.com]; Run via form trigger as codectechnologies0@gmail.com; Timestamp: Aug 23, 2026 2:23 AM</t>
  </si>
  <si>
    <t>1CddWx4ehBwkV0oBj1WtJq-8Z2wRpnQCp</t>
  </si>
  <si>
    <t>https://drive.google.com/file/d/1CddWx4ehBwkV0oBj1WtJq-8Z2wRpnQCp/view?usp=drivesdk</t>
  </si>
  <si>
    <t>Document successfully created; Document successfully merged; PDF created; Emails Sent: [To: rihanarazack209@gmail.com]; Run via form trigger as codectechnologies0@gmail.com; Timestamp: Aug 23, 2026 2:23 AM</t>
  </si>
  <si>
    <t>Ankit Kumar Dewangan</t>
  </si>
  <si>
    <t>ankitdewangan225@gmail.com</t>
  </si>
  <si>
    <t>1mt-SEGPAVEaONdVvaRTBCdEk5z2aJJsA</t>
  </si>
  <si>
    <t>https://drive.google.com/file/d/1mt-SEGPAVEaONdVvaRTBCdEk5z2aJJsA/view?usp=drivesdk</t>
  </si>
  <si>
    <t>Document successfully created; Document successfully merged; PDF created; Emails Sent: [To: ankitdewangan225@gmail.com]; Run via form trigger as codectechnologies0@gmail.com; Timestamp: Aug 23, 2026 2:26 AM</t>
  </si>
  <si>
    <t xml:space="preserve">Pawan Kumawat </t>
  </si>
  <si>
    <t>pawankumawat637573@gmail.com</t>
  </si>
  <si>
    <t xml:space="preserve">College of Technology and Engineering </t>
  </si>
  <si>
    <t>1495SGFuVEYH3RRYPtRFz5yrt3tMdF0pQ</t>
  </si>
  <si>
    <t>https://drive.google.com/file/d/1495SGFuVEYH3RRYPtRFz5yrt3tMdF0pQ/view?usp=drivesdk</t>
  </si>
  <si>
    <t>Document successfully created; Document successfully merged; PDF created; Emails Sent: [To: pawankumawat637573@gmail.com]; Run via form trigger as codectechnologies0@gmail.com; Timestamp: Aug 23, 2026 2:26 AM</t>
  </si>
  <si>
    <t>Sayeeda Lubna</t>
  </si>
  <si>
    <t>lubnasyeda00@gmail.com</t>
  </si>
  <si>
    <t>Jain university</t>
  </si>
  <si>
    <t>1_26WS5fAzPRgZhLYyMEY90IG7b3wkx0n</t>
  </si>
  <si>
    <t>https://drive.google.com/file/d/1_26WS5fAzPRgZhLYyMEY90IG7b3wkx0n/view?usp=drivesdk</t>
  </si>
  <si>
    <t>Document successfully created; Document successfully merged; PDF created; Emails Sent: [To: lubnasyeda00@gmail.com]; Run via form trigger as codectechnologies0@gmail.com; Timestamp: Aug 23, 2026 2:30 AM</t>
  </si>
  <si>
    <t>Pathangi Mokshagna Rao</t>
  </si>
  <si>
    <t>mokshagnarao71@gmail.com</t>
  </si>
  <si>
    <t>Sai University</t>
  </si>
  <si>
    <t>1X9pqmuW1Yn9ByWnAqwaOJvoSmw_K27QL</t>
  </si>
  <si>
    <t>https://drive.google.com/file/d/1X9pqmuW1Yn9ByWnAqwaOJvoSmw_K27QL/view?usp=drivesdk</t>
  </si>
  <si>
    <t>Document successfully created; Document successfully merged; PDF created; Emails Sent: [To: mokshagnarao71@gmail.com]; Run via form trigger as codectechnologies0@gmail.com; Timestamp: Aug 23, 2026 2:35 AM</t>
  </si>
  <si>
    <t>Santanu pal</t>
  </si>
  <si>
    <t>psantanu402@gmail.com</t>
  </si>
  <si>
    <t xml:space="preserve">JIS COLLEGE OF ENGINEERING </t>
  </si>
  <si>
    <t>10usYM0r3Ka1qNfp8Q584NY6BhbXRsUG2</t>
  </si>
  <si>
    <t>https://drive.google.com/file/d/10usYM0r3Ka1qNfp8Q584NY6BhbXRsUG2/view?usp=drivesdk</t>
  </si>
  <si>
    <t>Document successfully created; Document successfully merged; PDF created; Emails Sent: [To: psantanu402@gmail.com]; Run via form trigger as codectechnologies0@gmail.com; Timestamp: Aug 23, 2026 2:40 AM</t>
  </si>
  <si>
    <t>4 Month</t>
  </si>
  <si>
    <t>apsboys30@gmail.com</t>
  </si>
  <si>
    <t>114zkms7y1eGJeqRWnlN7ul2TqsuJh_Nj</t>
  </si>
  <si>
    <t>https://drive.google.com/file/d/114zkms7y1eGJeqRWnlN7ul2TqsuJh_Nj/view?usp=drivesdk</t>
  </si>
  <si>
    <t>Document successfully created; Document successfully merged; PDF created; Emails Sent: [To: apsboys30@gmail.com]; Run via form trigger as codectechnologies0@gmail.com; Timestamp: Aug 23, 2026 2:41 AM</t>
  </si>
  <si>
    <t>Saniya vinod dhengle</t>
  </si>
  <si>
    <t>dhenglesaniya@gmail.com</t>
  </si>
  <si>
    <t xml:space="preserve">MIT ADT UNIVERSITY,PUNE </t>
  </si>
  <si>
    <t>1J6TVW3mOe6vFswtiGrjnECkzCzNsQtNc</t>
  </si>
  <si>
    <t>https://drive.google.com/file/d/1J6TVW3mOe6vFswtiGrjnECkzCzNsQtNc/view?usp=drivesdk</t>
  </si>
  <si>
    <t>Document successfully created; Document successfully merged; PDF created; Emails Sent: [To: dhenglesaniya@gmail.com]; Run via form trigger as codectechnologies0@gmail.com; Timestamp: Aug 23, 2026 2:41 AM</t>
  </si>
  <si>
    <t>Deepa P</t>
  </si>
  <si>
    <t>deepap0712@gmail.com</t>
  </si>
  <si>
    <t>VSB college of engineering technical campus-coimbatore</t>
  </si>
  <si>
    <t>1Ilm0jT9L4qzmkJ568KYy-Hy6CjPXXPr0</t>
  </si>
  <si>
    <t>https://drive.google.com/file/d/1Ilm0jT9L4qzmkJ568KYy-Hy6CjPXXPr0/view?usp=drivesdk</t>
  </si>
  <si>
    <t>Document successfully created; Document successfully merged; PDF created; Emails Sent: [To: deepap0712@gmail.com]; Run via form trigger as codectechnologies0@gmail.com; Timestamp: Aug 23, 2026 2:41 AM</t>
  </si>
  <si>
    <t>Rohan Kumar Pradhan</t>
  </si>
  <si>
    <t>pradhanrohan2004@gmail.com</t>
  </si>
  <si>
    <t>Centurion University of Technology &amp; Management</t>
  </si>
  <si>
    <t>11NBIoPhmEU4g4CfbKFzOTJXoW60uruhk</t>
  </si>
  <si>
    <t>https://drive.google.com/file/d/11NBIoPhmEU4g4CfbKFzOTJXoW60uruhk/view?usp=drivesdk</t>
  </si>
  <si>
    <t>Document successfully created; Document successfully merged; PDF created; Emails Sent: [To: pradhanrohan2004@gmail.com]; Run via form trigger as codectechnologies0@gmail.com; Timestamp: Aug 23, 2026 2:41 AM</t>
  </si>
  <si>
    <t>Ansh Chauhan</t>
  </si>
  <si>
    <t>chauhanansh2987@gmail.com</t>
  </si>
  <si>
    <t xml:space="preserve">Teerthanker Mahaveer University </t>
  </si>
  <si>
    <t>Internshala</t>
  </si>
  <si>
    <t>19xcaQ7pO1wmyx36rCI0EWYGJtGVIfPBo</t>
  </si>
  <si>
    <t>https://drive.google.com/file/d/19xcaQ7pO1wmyx36rCI0EWYGJtGVIfPBo/view?usp=drivesdk</t>
  </si>
  <si>
    <t>Document successfully created; Document successfully merged; PDF created; Emails Sent: [To: chauhanansh2987@gmail.com]; Run via form trigger as codectechnologies0@gmail.com; Timestamp: Aug 23, 2026 2:43 AM</t>
  </si>
  <si>
    <t>Preeti Raj</t>
  </si>
  <si>
    <t>preetiraj2677@gmail.com</t>
  </si>
  <si>
    <t>Rayat Bahra University</t>
  </si>
  <si>
    <t>1Lu78KavKbTGsT6AuGXWBE9kIrcJBXdtQ</t>
  </si>
  <si>
    <t>https://drive.google.com/file/d/1Lu78KavKbTGsT6AuGXWBE9kIrcJBXdtQ/view?usp=drivesdk</t>
  </si>
  <si>
    <t>Document successfully created; Document successfully merged; PDF created; Emails Sent: [To: preetiraj2677@gmail.com]; Run via form trigger as codectechnologies0@gmail.com; Timestamp: Aug 23, 2026 2:49 AM</t>
  </si>
  <si>
    <t>AKSHAT PAL</t>
  </si>
  <si>
    <t>palakshatv02@gmail.com</t>
  </si>
  <si>
    <t xml:space="preserve">Invertis University </t>
  </si>
  <si>
    <t>1Q1CSS0iQJykkiQE9X27vAphz1293QiEL</t>
  </si>
  <si>
    <t>https://drive.google.com/file/d/1Q1CSS0iQJykkiQE9X27vAphz1293QiEL/view?usp=drivesdk</t>
  </si>
  <si>
    <t>Document successfully created; Document successfully merged; PDF created; Emails Sent: [To: palakshatv02@gmail.com]; Run via form trigger as codectechnologies0@gmail.com; Timestamp: Aug 23, 2026 2:51 AM</t>
  </si>
  <si>
    <t>Sankhadip Jana</t>
  </si>
  <si>
    <t>sankhadipjana3456@gmail.com</t>
  </si>
  <si>
    <t>Haldia Institute Of Technology</t>
  </si>
  <si>
    <t>1GU0OUjbBzWjT0ZkuJt_IkoEvG_3LnFBN</t>
  </si>
  <si>
    <t>https://drive.google.com/file/d/1GU0OUjbBzWjT0ZkuJt_IkoEvG_3LnFBN/view?usp=drivesdk</t>
  </si>
  <si>
    <t>Document successfully created; Document successfully merged; PDF created; Emails Sent: [To: sankhadipjana3456@gmail.com]; Run via form trigger as codectechnologies0@gmail.com; Timestamp: Aug 23, 2026 2:51 AM</t>
  </si>
  <si>
    <t xml:space="preserve">SACHIN SHARMA </t>
  </si>
  <si>
    <t>sachinsharma353535@gmail.com</t>
  </si>
  <si>
    <t xml:space="preserve">BN College bhāgalpur </t>
  </si>
  <si>
    <t>18vQMoZ2FOX4cLuaz5f--TQFQOjCFZg6b</t>
  </si>
  <si>
    <t>https://drive.google.com/file/d/18vQMoZ2FOX4cLuaz5f--TQFQOjCFZg6b/view?usp=drivesdk</t>
  </si>
  <si>
    <t>Document successfully created; Document successfully merged; PDF created; Emails Sent: [To: sachinsharma353535@gmail.com]; Run via form trigger as codectechnologies0@gmail.com; Timestamp: Aug 23, 2026 2:54 AM</t>
  </si>
  <si>
    <t>Shreya Kesharwani</t>
  </si>
  <si>
    <t>shreyakesharwani.work@gmail.com</t>
  </si>
  <si>
    <t>United Institute of Technology, Allahabad</t>
  </si>
  <si>
    <t>1jpkHuDSVq71tq7hzFbZCgZS8Vf5aar1R</t>
  </si>
  <si>
    <t>https://drive.google.com/file/d/1jpkHuDSVq71tq7hzFbZCgZS8Vf5aar1R/view?usp=drivesdk</t>
  </si>
  <si>
    <t>Document successfully created; Document successfully merged; PDF created; Emails Sent: [To: shreyakesharwani.work@gmail.com]; Run via form trigger as codectechnologies0@gmail.com; Timestamp: Aug 23, 2026 2:54 AM</t>
  </si>
  <si>
    <t>Harshit Mittal</t>
  </si>
  <si>
    <t>harshitmittal4837@gmail.com</t>
  </si>
  <si>
    <t>SVIET</t>
  </si>
  <si>
    <t>14FbYCI3iT5MxJQboHPovNywunu1yTWg6</t>
  </si>
  <si>
    <t>https://drive.google.com/file/d/14FbYCI3iT5MxJQboHPovNywunu1yTWg6/view?usp=drivesdk</t>
  </si>
  <si>
    <t>Document successfully created; Document successfully merged; PDF created; Emails Sent: [To: harshitmittal4837@gmail.com]; Run via form trigger as codectechnologies0@gmail.com; Timestamp: Aug 23, 2026 2:54 AM</t>
  </si>
  <si>
    <t xml:space="preserve">MOMULA MAHENDAR </t>
  </si>
  <si>
    <t>nanimomula@gmail.com</t>
  </si>
  <si>
    <t xml:space="preserve">Teegala krishna reddy engineering college </t>
  </si>
  <si>
    <t>WhatsApp, AICTE/Indeed</t>
  </si>
  <si>
    <t>1U-2jk-V7L57gnRLnzIcLznEQaqbwRwTd</t>
  </si>
  <si>
    <t>https://drive.google.com/file/d/1U-2jk-V7L57gnRLnzIcLznEQaqbwRwTd/view?usp=drivesdk</t>
  </si>
  <si>
    <t>Document successfully created; Document successfully merged; PDF created; Emails Sent: [To: nanimomula@gmail.com]; Run via form trigger as codectechnologies0@gmail.com; Timestamp: Aug 23, 2026 2:56 AM</t>
  </si>
  <si>
    <t>Nishant Sarathe</t>
  </si>
  <si>
    <t>nishantsarathe2@gmail.com</t>
  </si>
  <si>
    <t>NMIMS(Navi Mumbai)</t>
  </si>
  <si>
    <t>1XwwlgK-ijqrm3Bwxkh8O5Qp-2DhwQarw</t>
  </si>
  <si>
    <t>https://drive.google.com/file/d/1XwwlgK-ijqrm3Bwxkh8O5Qp-2DhwQarw/view?usp=drivesdk</t>
  </si>
  <si>
    <t>Document successfully created; Document successfully merged; PDF created; Emails Sent: [To: nishantsarathe2@gmail.com]; Run via form trigger as codectechnologies0@gmail.com; Timestamp: Aug 23, 2026 2:56 AM</t>
  </si>
  <si>
    <t xml:space="preserve">Chetan sanpada </t>
  </si>
  <si>
    <t>csanpada@gmail.com</t>
  </si>
  <si>
    <t xml:space="preserve">Technocrats institute of technology excellence </t>
  </si>
  <si>
    <t>1EIGnKhwXpGJ2l0XLXz-_nU95cyyQ-2bl</t>
  </si>
  <si>
    <t>https://drive.google.com/file/d/1EIGnKhwXpGJ2l0XLXz-_nU95cyyQ-2bl/view?usp=drivesdk</t>
  </si>
  <si>
    <t>Document successfully created; Document successfully merged; PDF created; Emails Sent: [To: csanpada@gmail.com]; Run via form trigger as codectechnologies0@gmail.com; Timestamp: Aug 23, 2026 2:57 AM</t>
  </si>
  <si>
    <t xml:space="preserve">BN College bhagalpur </t>
  </si>
  <si>
    <t>1d1PZ-BNl_X-1eC0D08KJISYBDO7wUHyM</t>
  </si>
  <si>
    <t>https://drive.google.com/file/d/1d1PZ-BNl_X-1eC0D08KJISYBDO7wUHyM/view?usp=drivesdk</t>
  </si>
  <si>
    <t>Document successfully created; Document successfully merged; PDF created; Emails Sent: [To: sachinsharma353535@gmail.com]; Run via form trigger as codectechnologies0@gmail.com; Timestamp: Aug 23, 2026 2:59 AM</t>
  </si>
  <si>
    <t>Jyotishka De</t>
  </si>
  <si>
    <t>aec.cse.2024jyotishkade3@gmail.com</t>
  </si>
  <si>
    <t>Asansol Engineering College</t>
  </si>
  <si>
    <t>1h4PO5_KU9rTCMDS8ljMkZA0jq3XlVxSU</t>
  </si>
  <si>
    <t>https://drive.google.com/file/d/1h4PO5_KU9rTCMDS8ljMkZA0jq3XlVxSU/view?usp=drivesdk</t>
  </si>
  <si>
    <t>Document successfully created; Document successfully merged; PDF created; Emails Sent: [To: aec.cse.2024jyotishkade3@gmail.com]; Run via form trigger as codectechnologies0@gmail.com; Timestamp: Aug 23, 2026 2:59 AM</t>
  </si>
  <si>
    <t>Saurabh Patel</t>
  </si>
  <si>
    <t>sp674906@gmail.com</t>
  </si>
  <si>
    <t xml:space="preserve">Gyan Ganga institute of technology Jabalpur </t>
  </si>
  <si>
    <t>1tKF12urxD1nDzXci-HukjjS9hSW3fi00</t>
  </si>
  <si>
    <t>https://drive.google.com/file/d/1tKF12urxD1nDzXci-HukjjS9hSW3fi00/view?usp=drivesdk</t>
  </si>
  <si>
    <t>Document successfully created; Document successfully merged; PDF created; !!Error Sending Emails: Service invoked too many times for one day: email.; Run via form trigger as codectechnologies0@gmail.com; Timestamp: Aug 23, 2026 3:00 AM</t>
  </si>
  <si>
    <t>KALPESH VASANT KHARAT</t>
  </si>
  <si>
    <t>Kalpesh.kharat41@gmail.com</t>
  </si>
  <si>
    <t>vikas college of arts,science and commerce</t>
  </si>
  <si>
    <t>15CUcHPo-dC5QHV1fipAykkYgg9GKyZ2t</t>
  </si>
  <si>
    <t>https://drive.google.com/file/d/15CUcHPo-dC5QHV1fipAykkYgg9GKyZ2t/view?usp=drivesdk</t>
  </si>
  <si>
    <t>Document successfully created; Document successfully merged; PDF created; Emails Sent: [To: Kalpesh.kharat41@gmail.com]; Run via form trigger as codectechnologies0@gmail.com; Timestamp: Aug 23, 2026 3:00 AM</t>
  </si>
  <si>
    <t>Kanishka</t>
  </si>
  <si>
    <t>gajmotikanishka@gmail.com</t>
  </si>
  <si>
    <t xml:space="preserve">Indira Gandhi Delhi Technical University for Woman </t>
  </si>
  <si>
    <t>1bBNfpZ79q6PNaY7ZN_zEQ-D1s_Fbtu36</t>
  </si>
  <si>
    <t>https://drive.google.com/file/d/1bBNfpZ79q6PNaY7ZN_zEQ-D1s_Fbtu36/view?usp=drivesdk</t>
  </si>
  <si>
    <t>Document successfully created; Document successfully merged; PDF created; Emails Sent: [To: gajmotikanishka@gmail.com]; Run via form trigger as codectechnologies0@gmail.com; Timestamp: Aug 23, 2026 3:01 AM</t>
  </si>
  <si>
    <t>JAYASREE KOMARIPALEM</t>
  </si>
  <si>
    <t>komaripalam.jayasree198@gmail.com</t>
  </si>
  <si>
    <t>Andhra University college of engineering</t>
  </si>
  <si>
    <t>1OytnX6MOaX1GlRXjQERSHBNjY1WOboux</t>
  </si>
  <si>
    <t>https://drive.google.com/file/d/1OytnX6MOaX1GlRXjQERSHBNjY1WOboux/view?usp=drivesdk</t>
  </si>
  <si>
    <t>Document successfully created; Document successfully merged; PDF created; Emails Sent: [To: komaripalam.jayasree198@gmail.com]; Run via form trigger as codectechnologies0@gmail.com; Timestamp: Aug 23, 2026 3:02 AM</t>
  </si>
  <si>
    <t>VATSAL MISHRA</t>
  </si>
  <si>
    <t>panditvatshal@gmail.com</t>
  </si>
  <si>
    <t>Knipss Sultanpur</t>
  </si>
  <si>
    <t>1dybI4VBswJ_m_zII5jMujQJNc9lDECz1</t>
  </si>
  <si>
    <t>https://drive.google.com/file/d/1dybI4VBswJ_m_zII5jMujQJNc9lDECz1/view?usp=drivesdk</t>
  </si>
  <si>
    <t>Document successfully created; Document successfully merged; PDF created; Emails Sent: [To: panditvatshal@gmail.com]; Run via form trigger as codectechnologies0@gmail.com; Timestamp: Aug 23, 2026 3:04 AM</t>
  </si>
  <si>
    <t>Shruthi N</t>
  </si>
  <si>
    <t>shruthinatrajan21@gmail.com</t>
  </si>
  <si>
    <t xml:space="preserve"> VSB college of Engineering Technical Campus coimbatore</t>
  </si>
  <si>
    <t>1M6gnyeOG-BAqspjMLdM11LTL9xkDAI0-</t>
  </si>
  <si>
    <t>https://drive.google.com/file/d/1M6gnyeOG-BAqspjMLdM11LTL9xkDAI0-/view?usp=drivesdk</t>
  </si>
  <si>
    <t>Document successfully created; Document successfully merged; PDF created; Emails Sent: [To: shruthinatrajan21@gmail.com]; Run via form trigger as codectechnologies0@gmail.com; Timestamp: Aug 23, 2026 3:04 AM</t>
  </si>
  <si>
    <t>Devanshu Dipak Raut</t>
  </si>
  <si>
    <t>rautdevanshu24@gmail.com</t>
  </si>
  <si>
    <t>P R POTE PATIL COLLEGE OF ENGINEERING AND MANAGMENT AMRAVTAI</t>
  </si>
  <si>
    <t>LinkedIn, WhatsApp</t>
  </si>
  <si>
    <t>1E2CfRK7DbTFSoRXU_yHdM0UdE0vJZlMZ</t>
  </si>
  <si>
    <t>https://drive.google.com/file/d/1E2CfRK7DbTFSoRXU_yHdM0UdE0vJZlMZ/view?usp=drivesdk</t>
  </si>
  <si>
    <t>Document successfully created; Document successfully merged; PDF created; Emails Sent: [To: rautdevanshu24@gmail.com]; Run via form trigger as codectechnologies0@gmail.com; Timestamp: Aug 23, 2026 3:04 AM</t>
  </si>
  <si>
    <t xml:space="preserve">Paila Ravi </t>
  </si>
  <si>
    <t>pailaravi102@gmail.com</t>
  </si>
  <si>
    <t xml:space="preserve">Government degree college (men), srikakulam </t>
  </si>
  <si>
    <t>11Mp5OfUtcBPUaNlQcPCvY9jvIInGiEng</t>
  </si>
  <si>
    <t>https://drive.google.com/file/d/11Mp5OfUtcBPUaNlQcPCvY9jvIInGiEng/view?usp=drivesdk</t>
  </si>
  <si>
    <t>Document successfully created; Document successfully merged; PDF created; Emails Sent: [To: pailaravi102@gmail.com]; Run via form trigger as codectechnologies0@gmail.com; Timestamp: Aug 23, 2026 3:05 AM</t>
  </si>
  <si>
    <t>adityakumar639048@gmail.com</t>
  </si>
  <si>
    <t>Invertis University, Bareilly, U.P.</t>
  </si>
  <si>
    <t>1uM3N264L-uCIx-J0-EZiZDx25W5GwVl4</t>
  </si>
  <si>
    <t>https://drive.google.com/file/d/1uM3N264L-uCIx-J0-EZiZDx25W5GwVl4/view?usp=drivesdk</t>
  </si>
  <si>
    <t>Document successfully created; Document successfully merged; PDF created; Emails Sent: [To: adityakumar639048@gmail.com]; Run via form trigger as codectechnologies0@gmail.com; Timestamp: Aug 23, 2026 3:09 AM</t>
  </si>
  <si>
    <t>Ayush Mishra</t>
  </si>
  <si>
    <t>ayushmishra3yq@gmail.com</t>
  </si>
  <si>
    <t xml:space="preserve">Greater Noida institute of technology engineering institute </t>
  </si>
  <si>
    <t>18zYiupWbd7nEINBirrZOrEnXAP9dz4VZ</t>
  </si>
  <si>
    <t>https://drive.google.com/file/d/18zYiupWbd7nEINBirrZOrEnXAP9dz4VZ/view?usp=drivesdk</t>
  </si>
  <si>
    <t>Document successfully created; Document successfully merged; PDF created; Emails Sent: [To: ayushmishra3yq@gmail.com]; Run via form trigger as codectechnologies0@gmail.com; Timestamp: Aug 23, 2026 3:10 AM</t>
  </si>
  <si>
    <t>Ashutosh sanjiv mathpati</t>
  </si>
  <si>
    <t>ashutoshmathpati3@gmail.com</t>
  </si>
  <si>
    <t xml:space="preserve">Nutan Maharashtra Institute of Engineering and Technology </t>
  </si>
  <si>
    <t>1M228qqJYx-KeSZ0C1Kliw6ZcuH8Qckjf</t>
  </si>
  <si>
    <t>https://drive.google.com/file/d/1M228qqJYx-KeSZ0C1Kliw6ZcuH8Qckjf/view?usp=drivesdk</t>
  </si>
  <si>
    <t>Document successfully created; Document successfully merged; PDF created; Emails Sent: [To: ashutoshmathpati3@gmail.com]; Run via form trigger as codectechnologies0@gmail.com; Timestamp: Aug 23, 2026 3:11 AM</t>
  </si>
  <si>
    <t xml:space="preserve">Uruz naaz </t>
  </si>
  <si>
    <t>uruznaazwork@gmail.com</t>
  </si>
  <si>
    <t xml:space="preserve">Aliah university </t>
  </si>
  <si>
    <t>1S-ps-3j585b-Hew-9mwTmwPK9WRT7Qlw</t>
  </si>
  <si>
    <t>https://drive.google.com/file/d/1S-ps-3j585b-Hew-9mwTmwPK9WRT7Qlw/view?usp=drivesdk</t>
  </si>
  <si>
    <t>Document successfully created; Document successfully merged; PDF created; !!Error Sending Emails: Service invoked too many times for one day: email.; Run via form trigger as codectechnologies0@gmail.com; Timestamp: Aug 23, 2026 3:12 AM</t>
  </si>
  <si>
    <t xml:space="preserve">Komal Zade </t>
  </si>
  <si>
    <t>zadekomal894@gmail.com</t>
  </si>
  <si>
    <t xml:space="preserve">JSPM's Jaywantrao Sawant College of Engineering Hadpasar Pune </t>
  </si>
  <si>
    <t>1lTKXCVgweIk0oMNbOTZpA-1UIPOuqvd6</t>
  </si>
  <si>
    <t>https://drive.google.com/file/d/1lTKXCVgweIk0oMNbOTZpA-1UIPOuqvd6/view?usp=drivesdk</t>
  </si>
  <si>
    <t>Document successfully created; Document successfully merged; PDF created; Emails Sent: [To: zadekomal894@gmail.com]; Run via form trigger as codectechnologies0@gmail.com; Timestamp: Aug 23, 2026 3:15 AM</t>
  </si>
  <si>
    <t>MRADUL MISHRA</t>
  </si>
  <si>
    <t>mradulmishra936@gmail.com</t>
  </si>
  <si>
    <t>1eZ-yks9eGZ9f-NmfzcEM5yCp0PRai8y3</t>
  </si>
  <si>
    <t>https://drive.google.com/file/d/1eZ-yks9eGZ9f-NmfzcEM5yCp0PRai8y3/view?usp=drivesdk</t>
  </si>
  <si>
    <t>Document successfully created; Document successfully merged; PDF created; Emails Sent: [To: mradulmishra936@gmail.com]; Run via form trigger as codectechnologies0@gmail.com; Timestamp: Aug 23, 2026 3:15 AM</t>
  </si>
  <si>
    <t>120Efl1sOzOIlcQ5CmCRcleb7JxA94OQs</t>
  </si>
  <si>
    <t>https://drive.google.com/file/d/120Efl1sOzOIlcQ5CmCRcleb7JxA94OQs/view?usp=drivesdk</t>
  </si>
  <si>
    <t>Document successfully created; Document successfully merged; PDF created; Emails Sent: [To: apsboys30@gmail.com]; Run via form trigger as codectechnologies0@gmail.com; Timestamp: Aug 23, 2026 3:18 AM</t>
  </si>
  <si>
    <t xml:space="preserve">Anirudh Upadhyay </t>
  </si>
  <si>
    <t>upadhyayanirudh056@gmail.com</t>
  </si>
  <si>
    <t xml:space="preserve">Rajshree Institute of Management and Technology Bareilly </t>
  </si>
  <si>
    <t>1ftnTYeLz0OkcSZKFr03_8Kc9mPmcUjtj</t>
  </si>
  <si>
    <t>https://drive.google.com/file/d/1ftnTYeLz0OkcSZKFr03_8Kc9mPmcUjtj/view?usp=drivesdk</t>
  </si>
  <si>
    <t>Document successfully created; Document successfully merged; PDF created; !!Error Sending Emails: Service invoked too many times for one day: email.; Run via form trigger as codectechnologies0@gmail.com; Timestamp: Aug 23, 2026 3:20 AM</t>
  </si>
  <si>
    <t xml:space="preserve">ADITYA KUMAR </t>
  </si>
  <si>
    <t>adityakumar85413@gmail.com</t>
  </si>
  <si>
    <t xml:space="preserve">Rit roorkee </t>
  </si>
  <si>
    <t>1Wz4d5N7tXVW_Tv1TMtVsb1irNlcYT5tf</t>
  </si>
  <si>
    <t>https://drive.google.com/file/d/1Wz4d5N7tXVW_Tv1TMtVsb1irNlcYT5tf/view?usp=drivesdk</t>
  </si>
  <si>
    <t>Document successfully created; Document successfully merged; PDF created; Emails Sent: [To: adityakumar85413@gmail.com]; Run via form trigger as codectechnologies0@gmail.com; Timestamp: Aug 23, 2026 3:21 AM</t>
  </si>
  <si>
    <t xml:space="preserve">Uruz Naaz </t>
  </si>
  <si>
    <t>1mj-ANdRUE9eUweqabC8BzpjxXgU-ZVXO</t>
  </si>
  <si>
    <t>https://drive.google.com/file/d/1mj-ANdRUE9eUweqabC8BzpjxXgU-ZVXO/view?usp=drivesdk</t>
  </si>
  <si>
    <t>Document successfully created; Document successfully merged; PDF created; Emails Sent: [To: uruznaazwork@gmail.com]; Run via form trigger as codectechnologies0@gmail.com; Timestamp: Aug 23, 2026 3:23 AM</t>
  </si>
  <si>
    <t>1XzVHQFVDQURgG-KY5M9SzW-gdkyjuOIF</t>
  </si>
  <si>
    <t>https://drive.google.com/file/d/1XzVHQFVDQURgG-KY5M9SzW-gdkyjuOIF/view?usp=drivesdk</t>
  </si>
  <si>
    <t>Document successfully created; Document successfully merged; PDF created; !!Error Sending Emails: Service invoked too many times for one day: email.; Run via form trigger as codectechnologies0@gmail.com; Timestamp: Aug 23, 2026 3:25 AM</t>
  </si>
  <si>
    <t>Neha</t>
  </si>
  <si>
    <t>paintolaneha1234@gmail.com</t>
  </si>
  <si>
    <t>Veer madho singh bhandari uttarakhand technical university</t>
  </si>
  <si>
    <t>1JegyzForqZo9k9lsiXrWDx4DQ-z8_zHR</t>
  </si>
  <si>
    <t>https://drive.google.com/file/d/1JegyzForqZo9k9lsiXrWDx4DQ-z8_zHR/view?usp=drivesdk</t>
  </si>
  <si>
    <t>Document successfully created; Document successfully merged; PDF created; !!Error Sending Emails: Service invoked too many times for one day: email.; Run via form trigger as codectechnologies0@gmail.com; Timestamp: Aug 23, 2026 3:26 AM</t>
  </si>
  <si>
    <t>Shubham Kumar</t>
  </si>
  <si>
    <t>shubham20021909@gmail.com</t>
  </si>
  <si>
    <t>Sanskar College Of Engineering &amp; Technology</t>
  </si>
  <si>
    <t>1SaFYjbaiUiOs-QbSsno-Plhv_PAGrvru</t>
  </si>
  <si>
    <t>https://drive.google.com/file/d/1SaFYjbaiUiOs-QbSsno-Plhv_PAGrvru/view?usp=drivesdk</t>
  </si>
  <si>
    <t>Document successfully created; Document successfully merged; PDF created; !!Error Sending Emails: Service invoked too many times for one day: email.; Run via form trigger as codectechnologies0@gmail.com; Timestamp: Aug 23, 2026 3:28 AM</t>
  </si>
  <si>
    <t>Saifoddin Shaikh</t>
  </si>
  <si>
    <t>saifoddinshaikh200@gmail.com</t>
  </si>
  <si>
    <t>Shri Sant Gajanan Maharaj College of engineering shegaon</t>
  </si>
  <si>
    <t>WhatsApp, Google</t>
  </si>
  <si>
    <t>1WJ0DpBb-SReyhfG_zO_fABUrQQPft727</t>
  </si>
  <si>
    <t>https://drive.google.com/file/d/1WJ0DpBb-SReyhfG_zO_fABUrQQPft727/view?usp=drivesdk</t>
  </si>
  <si>
    <t>Document successfully created; Document successfully merged; PDF created; Emails Sent: [To: saifoddinshaikh200@gmail.com]; Run via form trigger as codectechnologies0@gmail.com; Timestamp: Aug 23, 2026 3:29 AM</t>
  </si>
  <si>
    <t xml:space="preserve">Rajshree Institute of Management and Technology </t>
  </si>
  <si>
    <t>1hNLd6W5Z0jpI_rfbXaXrlPi7sN681VFz</t>
  </si>
  <si>
    <t>https://drive.google.com/file/d/1hNLd6W5Z0jpI_rfbXaXrlPi7sN681VFz/view?usp=drivesdk</t>
  </si>
  <si>
    <t>Document successfully created; Document successfully merged; PDF created; !!Error Sending Emails: Service invoked too many times for one day: email.; Run via form trigger as codectechnologies0@gmail.com; Timestamp: Aug 23, 2026 3:30 AM</t>
  </si>
  <si>
    <t>Mohd Afshan</t>
  </si>
  <si>
    <t>afshankhankh0786@gmail.com</t>
  </si>
  <si>
    <t xml:space="preserve">University institute of engineering and technology kurukshetra University kurukshetra </t>
  </si>
  <si>
    <t>1WV7AKaLU5ZXSRg5GnFAk-S_5mEJlDuna</t>
  </si>
  <si>
    <t>https://drive.google.com/file/d/1WV7AKaLU5ZXSRg5GnFAk-S_5mEJlDuna/view?usp=drivesdk</t>
  </si>
  <si>
    <t>Document successfully created; Document successfully merged; PDF created; Emails Sent: [To: afshankhankh0786@gmail.com]; Run via form trigger as codectechnologies0@gmail.com; Timestamp: Aug 23, 2026 3:30 AM</t>
  </si>
  <si>
    <t>Abdur Rahman</t>
  </si>
  <si>
    <t>addumr13@gmail.com</t>
  </si>
  <si>
    <t>Ram Krishna College</t>
  </si>
  <si>
    <t>1-3XDxbef053ak1bl33x7CzGQvhDd-OOm</t>
  </si>
  <si>
    <t>https://drive.google.com/file/d/1-3XDxbef053ak1bl33x7CzGQvhDd-OOm/view?usp=drivesdk</t>
  </si>
  <si>
    <t>Document successfully created; Document successfully merged; PDF created; !!Error Sending Emails: Service invoked too many times for one day: email.; Run via form trigger as codectechnologies0@gmail.com; Timestamp: Aug 23, 2026 3:31 AM</t>
  </si>
  <si>
    <t xml:space="preserve">Subhransu Khuntia </t>
  </si>
  <si>
    <t>subhransukhuntia07@gmail.com</t>
  </si>
  <si>
    <t xml:space="preserve">Ajaya binaya institute of technology </t>
  </si>
  <si>
    <t>1SPXNRIl64IxIJ11lNiiRIAJV7WlhVZ8L</t>
  </si>
  <si>
    <t>https://drive.google.com/file/d/1SPXNRIl64IxIJ11lNiiRIAJV7WlhVZ8L/view?usp=drivesdk</t>
  </si>
  <si>
    <t>Document successfully created; Document successfully merged; PDF created; Emails Sent: [To: subhransukhuntia07@gmail.com]; Run via form trigger as codectechnologies0@gmail.com; Timestamp: Aug 23, 2026 3:35 AM</t>
  </si>
  <si>
    <t xml:space="preserve">BHARATH SORAKUNDLA </t>
  </si>
  <si>
    <t>bharathxsec@gmail.com</t>
  </si>
  <si>
    <t xml:space="preserve">DR.MGR EDUCATIONAL AND RESEARCH INSTITUTE </t>
  </si>
  <si>
    <t>1nR3caE3RqEOf8hgc7tyGHN9m8Jz3nBLS</t>
  </si>
  <si>
    <t>https://drive.google.com/file/d/1nR3caE3RqEOf8hgc7tyGHN9m8Jz3nBLS/view?usp=drivesdk</t>
  </si>
  <si>
    <t>Document successfully created; Document successfully merged; PDF created; !!Error Sending Emails: Service invoked too many times for one day: email.; Run via form trigger as codectechnologies0@gmail.com; Timestamp: Aug 23, 2026 3:36 AM</t>
  </si>
  <si>
    <t>Akanksha Rawat</t>
  </si>
  <si>
    <t>akankshar173@gmail.com</t>
  </si>
  <si>
    <t>Shri Ramswaroop Memorial University</t>
  </si>
  <si>
    <t>1ZX5jJea0LsFPF8T_ZViuOACF5lQBjwx-</t>
  </si>
  <si>
    <t>https://drive.google.com/file/d/1ZX5jJea0LsFPF8T_ZViuOACF5lQBjwx-/view?usp=drivesdk</t>
  </si>
  <si>
    <t>Document successfully created; Document successfully merged; PDF created; !!Error Sending Emails: Service invoked too many times for one day: email.; Run via form trigger as codectechnologies0@gmail.com; Timestamp: Aug 23, 2026 3:38 AM</t>
  </si>
  <si>
    <t>Harshith H</t>
  </si>
  <si>
    <t>hh0535591@gmail.com</t>
  </si>
  <si>
    <t>Rajarajeswari College Of Engineering</t>
  </si>
  <si>
    <t>1I1zLuu304WNXsn8xSsS2Nzt58L18YGzb</t>
  </si>
  <si>
    <t>https://drive.google.com/file/d/1I1zLuu304WNXsn8xSsS2Nzt58L18YGzb/view?usp=drivesdk</t>
  </si>
  <si>
    <t>Vikash Pandey</t>
  </si>
  <si>
    <t>vikaspande188@gmail.com</t>
  </si>
  <si>
    <t>SDJ INTERNATIONAL COLLEGE</t>
  </si>
  <si>
    <t>1N-_pVkyX1mVe7IWDOCvzHbsWX9xdW-_i</t>
  </si>
  <si>
    <t>https://drive.google.com/file/d/1N-_pVkyX1mVe7IWDOCvzHbsWX9xdW-_i/view?usp=drivesdk</t>
  </si>
  <si>
    <t>Document successfully created; Document successfully merged; PDF created; Emails Sent: [To: vikaspande188@gmail.com]; Run via form trigger as codectechnologies0@gmail.com; Timestamp: Aug 23, 2026 3:39 AM</t>
  </si>
  <si>
    <t>Harsh Vardhan Singh</t>
  </si>
  <si>
    <t>9569791913harsh@gmail.com</t>
  </si>
  <si>
    <t>Galgotias College of Engineering &amp; Technology</t>
  </si>
  <si>
    <t>1AskXyBqN7fhQIsZJwEplEgCySwXhfl9o</t>
  </si>
  <si>
    <t>https://drive.google.com/file/d/1AskXyBqN7fhQIsZJwEplEgCySwXhfl9o/view?usp=drivesdk</t>
  </si>
  <si>
    <t>Document successfully created; Document successfully merged; PDF created; Emails Sent: [To: 9569791913harsh@gmail.com]; Run via form trigger as codectechnologies0@gmail.com; Timestamp: Aug 23, 2026 3:44 AM</t>
  </si>
  <si>
    <t xml:space="preserve">Mayank sharma </t>
  </si>
  <si>
    <t>shmayank27@gmail.com</t>
  </si>
  <si>
    <t xml:space="preserve">IILM university </t>
  </si>
  <si>
    <t>1QT8-MDFxJ4GiI43pjPdrrD_jnBj2gFLv</t>
  </si>
  <si>
    <t>https://drive.google.com/file/d/1QT8-MDFxJ4GiI43pjPdrrD_jnBj2gFLv/view?usp=drivesdk</t>
  </si>
  <si>
    <t>Document successfully created; Document successfully merged; PDF created; !!Error Sending Emails: Service invoked too many times for one day: email.; Run via form trigger as codectechnologies0@gmail.com; Timestamp: Aug 23, 2026 3:45 AM</t>
  </si>
  <si>
    <t>Abhishek Tiwari</t>
  </si>
  <si>
    <t>abhishektiwari933628@gmail.com</t>
  </si>
  <si>
    <t>Dr Ram Manohar Lohia Awadh University</t>
  </si>
  <si>
    <t>1U1OvhK3DktpDIbMA-7dvW7seZ2XifuKJ</t>
  </si>
  <si>
    <t>https://drive.google.com/file/d/1U1OvhK3DktpDIbMA-7dvW7seZ2XifuKJ/view?usp=drivesdk</t>
  </si>
  <si>
    <t>Document successfully created; Document successfully merged; PDF created; Emails Sent: [To: abhishektiwari933628@gmail.com]; Run via form trigger as codectechnologies0@gmail.com; Timestamp: Aug 23, 2026 3:46 AM</t>
  </si>
  <si>
    <t>Pooja Rajesh Gugale.</t>
  </si>
  <si>
    <t>gugalepooja2104@gmail.com</t>
  </si>
  <si>
    <t xml:space="preserve">G. H. Raisoni College of Engineering and Management Nagpur </t>
  </si>
  <si>
    <t>1PqqMsi_SNkHYZ-G1tAIewyTK0rqp739p</t>
  </si>
  <si>
    <t>https://drive.google.com/file/d/1PqqMsi_SNkHYZ-G1tAIewyTK0rqp739p/view?usp=drivesdk</t>
  </si>
  <si>
    <t>Document successfully created; Document successfully merged; PDF created; !!Error Sending Emails: Service invoked too many times for one day: email.; Run via form trigger as codectechnologies0@gmail.com; Timestamp: Aug 23, 2026 3:48 AM</t>
  </si>
  <si>
    <t xml:space="preserve">Shristi Singh </t>
  </si>
  <si>
    <t xml:space="preserve">kri.shristisingh@gmail.com </t>
  </si>
  <si>
    <t xml:space="preserve">GGSESTC </t>
  </si>
  <si>
    <t>1LAw_Jd7kh6K4Bmm_Rx7Vh8dp49R16yZE</t>
  </si>
  <si>
    <t>https://drive.google.com/file/d/1LAw_Jd7kh6K4Bmm_Rx7Vh8dp49R16yZE/view?usp=drivesdk</t>
  </si>
  <si>
    <t>Pradeep KumarYadav</t>
  </si>
  <si>
    <t>pradeepkumaryadav77583@gmail.com</t>
  </si>
  <si>
    <t xml:space="preserve">Samrat Ashok Rajkiya Engineering College Mirzapur </t>
  </si>
  <si>
    <t>1SzDylZ1Xt_mqj4FCQJA8HGyjgQDhitE2</t>
  </si>
  <si>
    <t>https://drive.google.com/file/d/1SzDylZ1Xt_mqj4FCQJA8HGyjgQDhitE2/view?usp=drivesdk</t>
  </si>
  <si>
    <t>Document successfully created; Document successfully merged; PDF created; !!Error Sending Emails: Service invoked too many times for one day: email.; Run via form trigger as codectechnologies0@gmail.com; Timestamp: Aug 23, 2026 3:52 AM</t>
  </si>
  <si>
    <t>THIMMESHI</t>
  </si>
  <si>
    <t>thimmesht73@gmail.com</t>
  </si>
  <si>
    <t xml:space="preserve">Government Engineering College Chamrajnagara </t>
  </si>
  <si>
    <t>1qsswMBbjcky9f8vNg2iaTjc4QzNXzYXh</t>
  </si>
  <si>
    <t>https://drive.google.com/file/d/1qsswMBbjcky9f8vNg2iaTjc4QzNXzYXh/view?usp=drivesdk</t>
  </si>
  <si>
    <t>Document successfully created; Document successfully merged; PDF created; Emails Sent: [To: thimmesht73@gmail.com]; Run via form trigger as codectechnologies0@gmail.com; Timestamp: Aug 23, 2026 3:59 AM</t>
  </si>
  <si>
    <t xml:space="preserve">Kshitij Mishra </t>
  </si>
  <si>
    <t>mishrakshitij575@gmail.com</t>
  </si>
  <si>
    <t xml:space="preserve">Amity University Lucknow </t>
  </si>
  <si>
    <t>17Z9z0IiDOtKmq2qDfuV3ZHsD00j48SqY</t>
  </si>
  <si>
    <t>https://drive.google.com/file/d/17Z9z0IiDOtKmq2qDfuV3ZHsD00j48SqY/view?usp=drivesdk</t>
  </si>
  <si>
    <t>Document successfully created; Document successfully merged; PDF created; !!Error Sending Emails: Service invoked too many times for one day: email.; Run via form trigger as codectechnologies0@gmail.com; Timestamp: Aug 23, 2026 3:59 AM</t>
  </si>
  <si>
    <t>PK Chirag</t>
  </si>
  <si>
    <t>chirag2k06@gmail.com</t>
  </si>
  <si>
    <t xml:space="preserve">Mohan babu university </t>
  </si>
  <si>
    <t>1sgsixcIQ1O6Y7uS92wPXbIImMT_HxAJ1</t>
  </si>
  <si>
    <t>https://drive.google.com/file/d/1sgsixcIQ1O6Y7uS92wPXbIImMT_HxAJ1/view?usp=drivesdk</t>
  </si>
  <si>
    <t>Document successfully created; Document successfully merged; PDF created; !!Error Sending Emails: Service invoked too many times for one day: email.; Run via form trigger as codectechnologies0@gmail.com; Timestamp: Aug 23, 2026 4:03 AM</t>
  </si>
  <si>
    <t xml:space="preserve">Yalameli Jyoti Dayanand </t>
  </si>
  <si>
    <t>jyalameli@gmail.com</t>
  </si>
  <si>
    <t xml:space="preserve">N.B.Navale Sinhgad College of engineering kegaon Solapur </t>
  </si>
  <si>
    <t>1ePInYkveNl3RKjDv0jasExHy39ARm_ZS</t>
  </si>
  <si>
    <t>https://drive.google.com/file/d/1ePInYkveNl3RKjDv0jasExHy39ARm_ZS/view?usp=drivesdk</t>
  </si>
  <si>
    <t>Document successfully created; Document successfully merged; PDF created; !!Error Sending Emails: Service invoked too many times for one day: email.; Run via form trigger as codectechnologies0@gmail.com; Timestamp: Aug 23, 2026 4:04 AM</t>
  </si>
  <si>
    <t>Sunkara Naga Varshitha</t>
  </si>
  <si>
    <t>nagavarshithasunkara@gmail.com</t>
  </si>
  <si>
    <t>Seshadri Rao Gudlavalleru Engineering College</t>
  </si>
  <si>
    <t>LinkedIn, Instagram, Facebook, WhatsApp, Friend, Email, Google, Internshala</t>
  </si>
  <si>
    <t>19w4HLswQPFPznW7ZZq-d0M8IaM0arww8</t>
  </si>
  <si>
    <t>https://drive.google.com/file/d/19w4HLswQPFPznW7ZZq-d0M8IaM0arww8/view?usp=drivesdk</t>
  </si>
  <si>
    <t>Document successfully created; Document successfully merged; PDF created; Emails Sent: [To: nagavarshithasunkara@gmail.com]; Run via form trigger as codectechnologies0@gmail.com; Timestamp: Aug 23, 2026 4:06 AM</t>
  </si>
  <si>
    <t>Akansha Tripathi</t>
  </si>
  <si>
    <t>akan.sha01830@gmail.com</t>
  </si>
  <si>
    <t>Itm gida gorakhpur</t>
  </si>
  <si>
    <t>1GSEvgzrmfrbsxL3yq1atCVQBNiPAUXkB</t>
  </si>
  <si>
    <t>https://drive.google.com/file/d/1GSEvgzrmfrbsxL3yq1atCVQBNiPAUXkB/view?usp=drivesdk</t>
  </si>
  <si>
    <t>Document successfully created; Document successfully merged; PDF created; !!Error Sending Emails: Service invoked too many times for one day: email.; Run via form trigger as codectechnologies0@gmail.com; Timestamp: Aug 23, 2026 4:07 AM</t>
  </si>
  <si>
    <t>Arpan Gayen</t>
  </si>
  <si>
    <t>arpangayen2005@gmail.com</t>
  </si>
  <si>
    <t xml:space="preserve">INSTITUTE OF ADVANCED EDUCATION AND RESEARCH </t>
  </si>
  <si>
    <t>1gr1YnNCUhLGEbm3mtOswoYoR4smcP9iY</t>
  </si>
  <si>
    <t>https://drive.google.com/file/d/1gr1YnNCUhLGEbm3mtOswoYoR4smcP9iY/view?usp=drivesdk</t>
  </si>
  <si>
    <t>Document successfully created; Document successfully merged; PDF created; !!Error Sending Emails: Service invoked too many times for one day: email.; Run via form trigger as codectechnologies0@gmail.com; Timestamp: Aug 23, 2026 4:08 AM</t>
  </si>
  <si>
    <t>Soumya Singh</t>
  </si>
  <si>
    <t>soumyasinghpihoo@gmail.com</t>
  </si>
  <si>
    <t>1cl4RZqR-EM1Lbkio14lpVD3ZrOV7ZLRW</t>
  </si>
  <si>
    <t>https://drive.google.com/file/d/1cl4RZqR-EM1Lbkio14lpVD3ZrOV7ZLRW/view?usp=drivesdk</t>
  </si>
  <si>
    <t>Kethavath Siddu Kumar</t>
  </si>
  <si>
    <t>kethavathsiddukumar@gmail.com</t>
  </si>
  <si>
    <t>1_SOVSwRnmE3LiKXz6JQJ_d-iSxm9ki89</t>
  </si>
  <si>
    <t>https://drive.google.com/file/d/1_SOVSwRnmE3LiKXz6JQJ_d-iSxm9ki89/view?usp=drivesdk</t>
  </si>
  <si>
    <t xml:space="preserve">Bishnu </t>
  </si>
  <si>
    <t>vp4792422@gmail.com</t>
  </si>
  <si>
    <t xml:space="preserve">Axis Institutes of technology and management </t>
  </si>
  <si>
    <t>1RzGOZCOS5wZyeFw7IWMe4Q8DDo_t1i4e</t>
  </si>
  <si>
    <t>https://drive.google.com/file/d/1RzGOZCOS5wZyeFw7IWMe4Q8DDo_t1i4e/view?usp=drivesdk</t>
  </si>
  <si>
    <t>Document successfully created; Document successfully merged; PDF created; !!Error Sending Emails: Service invoked too many times for one day: email.; Run via form trigger as codectechnologies0@gmail.com; Timestamp: Aug 23, 2026 4:09 AM</t>
  </si>
  <si>
    <t xml:space="preserve">Vansh Vishwakarma </t>
  </si>
  <si>
    <t xml:space="preserve">VanshVishwakarma99@gmail.com </t>
  </si>
  <si>
    <t xml:space="preserve">Pranveer Singh Institute of Technology, Kanpur </t>
  </si>
  <si>
    <t>1TRWAkuGWn8y9HzJLrcYUtNeeK4qv4ZSn</t>
  </si>
  <si>
    <t>https://drive.google.com/file/d/1TRWAkuGWn8y9HzJLrcYUtNeeK4qv4ZSn/view?usp=drivesdk</t>
  </si>
  <si>
    <t>Document successfully created; Document successfully merged; PDF created; !!Error Sending Emails: Service invoked too many times for one day: email.; Run via form trigger as codectechnologies0@gmail.com; Timestamp: Aug 23, 2026 4:18 AM</t>
  </si>
  <si>
    <t>Sudesh Kumar Gangwar</t>
  </si>
  <si>
    <t>Hey.sudesh2008@gmail.com</t>
  </si>
  <si>
    <t xml:space="preserve">Invertis University Bareilly </t>
  </si>
  <si>
    <t>LinkedIn, WhatsApp, Friend</t>
  </si>
  <si>
    <t>19EWYAihW6G83IGaaSD5bKwxT0yE-Mt6I</t>
  </si>
  <si>
    <t>https://drive.google.com/file/d/19EWYAihW6G83IGaaSD5bKwxT0yE-Mt6I/view?usp=drivesdk</t>
  </si>
  <si>
    <t>Document successfully created; Document successfully merged; PDF created; !!Error Sending Emails: Service invoked too many times for one day: email.; Run via form trigger as codectechnologies0@gmail.com; Timestamp: Aug 23, 2026 4:21 AM</t>
  </si>
  <si>
    <t>Priyanka Sahoo</t>
  </si>
  <si>
    <t>lsahoo8476@gmail.com</t>
  </si>
  <si>
    <t xml:space="preserve">CENTURION UNIVERSITY OF TECHNOLOGY AND MANAGEMENT </t>
  </si>
  <si>
    <t>1RCYFBBLZaPBGro4T-x3Ly88UWhSUnPED</t>
  </si>
  <si>
    <t>https://drive.google.com/file/d/1RCYFBBLZaPBGro4T-x3Ly88UWhSUnPED/view?usp=drivesdk</t>
  </si>
  <si>
    <t>Document successfully created; Document successfully merged; PDF created; !!Error Sending Emails: Service invoked too many times for one day: email.; Run via form trigger as codectechnologies0@gmail.com; Timestamp: Aug 23, 2026 4:22 AM</t>
  </si>
  <si>
    <t xml:space="preserve">Anshul Tyagi </t>
  </si>
  <si>
    <t>tyagianshul232@gmail.com</t>
  </si>
  <si>
    <t xml:space="preserve">RKGIT, Ghaziabad </t>
  </si>
  <si>
    <t>1sZqoZpQMaLq2EOPNtrfjhVhHn5Jm-6Nw</t>
  </si>
  <si>
    <t>https://drive.google.com/file/d/1sZqoZpQMaLq2EOPNtrfjhVhHn5Jm-6Nw/view?usp=drivesdk</t>
  </si>
  <si>
    <t>Document successfully created; Document successfully merged; PDF created; !!Error Sending Emails: Service invoked too many times for one day: email.; Run via form trigger as codectechnologies0@gmail.com; Timestamp: Aug 23, 2026 4:29 AM</t>
  </si>
  <si>
    <t>Gopalan S</t>
  </si>
  <si>
    <t>gopalangopal003@gmail.com</t>
  </si>
  <si>
    <t xml:space="preserve">SSM COLLEGE OF ENGINEERING </t>
  </si>
  <si>
    <t>1NJIb8fcfJXxnaqT62CT1xUQRu2xBmKAO</t>
  </si>
  <si>
    <t>https://drive.google.com/file/d/1NJIb8fcfJXxnaqT62CT1xUQRu2xBmKAO/view?usp=drivesdk</t>
  </si>
  <si>
    <t>Document successfully created; Document successfully merged; PDF created; Emails Sent: [To: gopalangopal003@gmail.com]; Run via form trigger as codectechnologies0@gmail.com; Timestamp: Aug 23, 2026 4:32 AM</t>
  </si>
  <si>
    <t xml:space="preserve">Tejaswini Sunil Sune </t>
  </si>
  <si>
    <t>sunetejawini25@gmail.com</t>
  </si>
  <si>
    <t xml:space="preserve">Prof. Ram Meghe Institute of Technology and Research, Badnera </t>
  </si>
  <si>
    <t>1ox8NuT-5MRXWOJFSnEiulTAVj6CmU7o7</t>
  </si>
  <si>
    <t>https://drive.google.com/file/d/1ox8NuT-5MRXWOJFSnEiulTAVj6CmU7o7/view?usp=drivesdk</t>
  </si>
  <si>
    <t>Document successfully created; Document successfully merged; PDF created; !!Error Sending Emails: Service invoked too many times for one day: email.; Run via form trigger as codectechnologies0@gmail.com; Timestamp: Aug 23, 2026 4:39 AM</t>
  </si>
  <si>
    <t>Yusuf Reza</t>
  </si>
  <si>
    <t>yusuf10reza07@gmail.com</t>
  </si>
  <si>
    <t>06201270379</t>
  </si>
  <si>
    <t xml:space="preserve">Jamia Millia Islamia </t>
  </si>
  <si>
    <t>10gHu8rNZom-a8dph0b0iaqUr75JdndY4</t>
  </si>
  <si>
    <t>https://drive.google.com/file/d/10gHu8rNZom-a8dph0b0iaqUr75JdndY4/view?usp=drivesdk</t>
  </si>
  <si>
    <t>Document successfully created; Document successfully merged; PDF created; !!Error Sending Emails: Service invoked too many times for one day: email.; Run via form trigger as codectechnologies0@gmail.com; Timestamp: Aug 23, 2026 4:45 AM</t>
  </si>
  <si>
    <t>Tushar Patil</t>
  </si>
  <si>
    <t>tusharlpatil2006@gmail.com</t>
  </si>
  <si>
    <t>Matoshri institute of technology, Dhanore, yeola</t>
  </si>
  <si>
    <t>1tLK-y1BhTkNsD8BoRh8Ni-TgG42JqK8t</t>
  </si>
  <si>
    <t>https://drive.google.com/file/d/1tLK-y1BhTkNsD8BoRh8Ni-TgG42JqK8t/view?usp=drivesdk</t>
  </si>
  <si>
    <t>Document successfully created; Document successfully merged; PDF created; !!Error Sending Emails: Service invoked too many times for one day: email.; Run via form trigger as codectechnologies0@gmail.com; Timestamp: Aug 23, 2026 4:47 AM</t>
  </si>
  <si>
    <t>Vignesh Ganaparapu</t>
  </si>
  <si>
    <t>vigneshganaparapu555@gmail.com</t>
  </si>
  <si>
    <t>Sri Chaitanya Institute of Technology &amp; Research</t>
  </si>
  <si>
    <t>1gJLGrHWm7bq_c3t2OE0NC5CsnPu2h-lq</t>
  </si>
  <si>
    <t>https://drive.google.com/file/d/1gJLGrHWm7bq_c3t2OE0NC5CsnPu2h-lq/view?usp=drivesdk</t>
  </si>
  <si>
    <t>Document successfully created; Document successfully merged; PDF created; !!Error Sending Emails: Service invoked too many times for one day: email.; Run via form trigger as codectechnologies0@gmail.com; Timestamp: Aug 23, 2026 4:52 AM</t>
  </si>
  <si>
    <t xml:space="preserve">Nafiya Fathima S </t>
  </si>
  <si>
    <t>nafiya735@gmail.com</t>
  </si>
  <si>
    <t xml:space="preserve">Prathyusha engineering college Thiruvallur </t>
  </si>
  <si>
    <t>1pGBpwqcNg7HS2oo-AW43nFakRM30LNqo</t>
  </si>
  <si>
    <t>https://drive.google.com/file/d/1pGBpwqcNg7HS2oo-AW43nFakRM30LNqo/view?usp=drivesdk</t>
  </si>
  <si>
    <t xml:space="preserve">Matoshri institute of technology, Dhanore, yeola </t>
  </si>
  <si>
    <t>1gr5eYxXM1rqxzA1sjuk37LnThPM85vo-</t>
  </si>
  <si>
    <t>https://drive.google.com/file/d/1gr5eYxXM1rqxzA1sjuk37LnThPM85vo-/view?usp=drivesdk</t>
  </si>
  <si>
    <t>Document successfully created; Document successfully merged; PDF created; !!Error Sending Emails: Service invoked too many times for one day: email.; Run via form trigger as codectechnologies0@gmail.com; Timestamp: Aug 23, 2026 4:54 AM</t>
  </si>
  <si>
    <t>Sakshi Dipak Kumbhar</t>
  </si>
  <si>
    <t>sakshikumbhar2005@gmail.com</t>
  </si>
  <si>
    <t>Kolhapur Institute of Technology college of Engineering, Kolhapur</t>
  </si>
  <si>
    <t>1sP1Vb08593lFe7XvKAkAV1-uv19cLgYD</t>
  </si>
  <si>
    <t>https://drive.google.com/file/d/1sP1Vb08593lFe7XvKAkAV1-uv19cLgYD/view?usp=drivesdk</t>
  </si>
  <si>
    <t>Document successfully created; Document successfully merged; PDF created; Emails Sent: [To: sakshikumbhar2005@gmail.com]; Run via form trigger as codectechnologies0@gmail.com; Timestamp: Aug 23, 2026 4:56 AM</t>
  </si>
  <si>
    <t xml:space="preserve">Kapalavai Sandhya Rani </t>
  </si>
  <si>
    <t>sr925005@gmail.com</t>
  </si>
  <si>
    <t xml:space="preserve">Eswar College of engineering </t>
  </si>
  <si>
    <t>1Q0A0dMRn3euIEvuF0_yZBoha1hkc38O4</t>
  </si>
  <si>
    <t>https://drive.google.com/file/d/1Q0A0dMRn3euIEvuF0_yZBoha1hkc38O4/view?usp=drivesdk</t>
  </si>
  <si>
    <t>Document successfully created; Document successfully merged; PDF created; !!Error Sending Emails: Service invoked too many times for one day: email.; Run via form trigger as codectechnologies0@gmail.com; Timestamp: Aug 23, 2026 4:57 AM</t>
  </si>
  <si>
    <t>NITHIN TV</t>
  </si>
  <si>
    <t>n8217025435@gmail.com</t>
  </si>
  <si>
    <t xml:space="preserve">Impact college of engineering and applied sciences </t>
  </si>
  <si>
    <t>1tZPE8OSeo5FmIqBsXKx2kGDpM22u2Omt</t>
  </si>
  <si>
    <t>https://drive.google.com/file/d/1tZPE8OSeo5FmIqBsXKx2kGDpM22u2Omt/view?usp=drivesdk</t>
  </si>
  <si>
    <t>Rishabh Lodhi</t>
  </si>
  <si>
    <t>lodhirishabh20@gmail.com</t>
  </si>
  <si>
    <t xml:space="preserve">Sharda University Agra </t>
  </si>
  <si>
    <t>1dzed1AdCZXW0J-JZqq3bAFI4X00W7lnD</t>
  </si>
  <si>
    <t>https://drive.google.com/file/d/1dzed1AdCZXW0J-JZqq3bAFI4X00W7lnD/view?usp=drivesdk</t>
  </si>
  <si>
    <t>Document successfully created; Document successfully merged; PDF created; !!Error Sending Emails: Service invoked too many times for one day: email.; Run via form trigger as codectechnologies0@gmail.com; Timestamp: Aug 23, 2026 5:09 AM</t>
  </si>
  <si>
    <t xml:space="preserve">Nathiya D </t>
  </si>
  <si>
    <t>nathiyad.csbs24@krce.ac.in</t>
  </si>
  <si>
    <t xml:space="preserve">K.Ramakrishnan college of engineering </t>
  </si>
  <si>
    <t>1rubBeG0wEN7Akuge36aGZmWebD4acypY</t>
  </si>
  <si>
    <t>https://drive.google.com/file/d/1rubBeG0wEN7Akuge36aGZmWebD4acypY/view?usp=drivesdk</t>
  </si>
  <si>
    <t>Document successfully created; Document successfully merged; PDF created; Emails Sent: [To: nathiyad.csbs24@krce.ac.in]; Run via form trigger as codectechnologies0@gmail.com; Timestamp: Aug 23, 2026 5:10 AM</t>
  </si>
  <si>
    <t xml:space="preserve">KOTHURI SHIVAMANI </t>
  </si>
  <si>
    <t>shivamanik1306@gmail.com</t>
  </si>
  <si>
    <t xml:space="preserve">Siddhartha institute of engineering and technology ibrahimpatnam </t>
  </si>
  <si>
    <t>1f4GhCymprQCdf7eOi_qX8L92xktL4tJe</t>
  </si>
  <si>
    <t>https://drive.google.com/file/d/1f4GhCymprQCdf7eOi_qX8L92xktL4tJe/view?usp=drivesdk</t>
  </si>
  <si>
    <t>Document successfully created; Document successfully merged; PDF created; !!Error Sending Emails: Service invoked too many times for one day: email.; Run via form trigger as codectechnologies0@gmail.com; Timestamp: Aug 23, 2026 5:11 AM</t>
  </si>
  <si>
    <t>Sovan Shit</t>
  </si>
  <si>
    <t>sovanshit20@gmail.com</t>
  </si>
  <si>
    <t xml:space="preserve">Regent Education and Research Foundation Group of Institutions </t>
  </si>
  <si>
    <t>1xTUdoYYOoJuRmwTYaXqvTTgF3TelCEmn</t>
  </si>
  <si>
    <t>https://drive.google.com/file/d/1xTUdoYYOoJuRmwTYaXqvTTgF3TelCEmn/view?usp=drivesdk</t>
  </si>
  <si>
    <t>Document successfully created; Document successfully merged; PDF created; !!Error Sending Emails: Service invoked too many times for one day: email.; Run via form trigger as codectechnologies0@gmail.com; Timestamp: Aug 23, 2026 5:12 AM</t>
  </si>
  <si>
    <t>SYED HAROON</t>
  </si>
  <si>
    <t>syedharoon99599@gmail.com</t>
  </si>
  <si>
    <t>NAWAB SHAH ALAM KHAN COLLAGE OF ENG</t>
  </si>
  <si>
    <t>14DlxXVbWLKg7MRCCRQxsCcKnY0k96JIm</t>
  </si>
  <si>
    <t>https://drive.google.com/file/d/14DlxXVbWLKg7MRCCRQxsCcKnY0k96JIm/view?usp=drivesdk</t>
  </si>
  <si>
    <t xml:space="preserve">Sudhakar M </t>
  </si>
  <si>
    <t>sudhakarm5050@gamil.com</t>
  </si>
  <si>
    <t>Dhanalakshmi College of Engineering</t>
  </si>
  <si>
    <t>1IRVSYZWVjl8kx53HJVxHfbcYo8Xepq2b</t>
  </si>
  <si>
    <t>https://drive.google.com/file/d/1IRVSYZWVjl8kx53HJVxHfbcYo8Xepq2b/view?usp=drivesdk</t>
  </si>
  <si>
    <t>Document successfully created; Document successfully merged; PDF created; !!Error Sending Emails: Service invoked too many times for one day: email.; Run via form trigger as codectechnologies0@gmail.com; Timestamp: Aug 23, 2026 5:13 AM</t>
  </si>
  <si>
    <t>Chetan Ahire</t>
  </si>
  <si>
    <t>chetanpatil01061@gmail.com</t>
  </si>
  <si>
    <t>matoshri institute of technogy, Dhanore</t>
  </si>
  <si>
    <t>1CN2ZWZtrcJgKlzt62Kbts3368Iz6Dyjl</t>
  </si>
  <si>
    <t>https://drive.google.com/file/d/1CN2ZWZtrcJgKlzt62Kbts3368Iz6Dyjl/view?usp=drivesdk</t>
  </si>
  <si>
    <t>Syed Haroon</t>
  </si>
  <si>
    <t>1EwSOF8JketLEF3tmrPjheyJNB7qQT2fu</t>
  </si>
  <si>
    <t>https://drive.google.com/file/d/1EwSOF8JketLEF3tmrPjheyJNB7qQT2fu/view?usp=drivesdk</t>
  </si>
  <si>
    <t>Document successfully created; Document successfully merged; PDF created; !!Error Sending Emails: Service invoked too many times for one day: email.; Run via form trigger as codectechnologies0@gmail.com; Timestamp: Aug 23, 2026 5:18 AM</t>
  </si>
  <si>
    <t>Archana Maharana</t>
  </si>
  <si>
    <t>archanamaharana54@gmail.com</t>
  </si>
  <si>
    <t xml:space="preserve">Veer Surendraa Sai University Of Technology </t>
  </si>
  <si>
    <t>16A19w21drpLNKFxkdjbDLHaxITBhdn6q</t>
  </si>
  <si>
    <t>https://drive.google.com/file/d/16A19w21drpLNKFxkdjbDLHaxITBhdn6q/view?usp=drivesdk</t>
  </si>
  <si>
    <t>Document successfully created; Document successfully merged; PDF created; !!Error Sending Emails: Service invoked too many times for one day: email.; Run via form trigger as codectechnologies0@gmail.com; Timestamp: Aug 23, 2026 5:22 AM</t>
  </si>
  <si>
    <t>11noc2dmb75C5mzofkyKeEuqbot1JU7tc</t>
  </si>
  <si>
    <t>https://drive.google.com/file/d/11noc2dmb75C5mzofkyKeEuqbot1JU7tc/view?usp=drivesdk</t>
  </si>
  <si>
    <t>Document successfully created; Document successfully merged; PDF created; !!Error Sending Emails: Service invoked too many times for one day: email.; Run via form trigger as codectechnologies0@gmail.com; Timestamp: Aug 23, 2026 5:27 AM</t>
  </si>
  <si>
    <t>Shaikh Uzma Fatema Mubin Ahmed</t>
  </si>
  <si>
    <t>skuzmafatema117@gmail.com</t>
  </si>
  <si>
    <t>shri shivaji institute of engineering &amp; management studies</t>
  </si>
  <si>
    <t>1Cl22VTomLyx2D1R60jbYwvwMZRY3OmJp</t>
  </si>
  <si>
    <t>https://drive.google.com/file/d/1Cl22VTomLyx2D1R60jbYwvwMZRY3OmJp/view?usp=drivesdk</t>
  </si>
  <si>
    <t>Document successfully created; Document successfully merged; PDF created; Emails Sent: [To: skuzmafatema117@gmail.com]; Run via form trigger as codectechnologies0@gmail.com; Timestamp: Aug 23, 2026 5:31 AM</t>
  </si>
  <si>
    <t>KEERTHANA BANAL</t>
  </si>
  <si>
    <t>keerthikeerthi41533@gmail.com</t>
  </si>
  <si>
    <t xml:space="preserve">Tontadarya college of engineering gadag </t>
  </si>
  <si>
    <t>1zDilo9N_ayXyTQUe2ZLu4FeP5Lrnl_zH</t>
  </si>
  <si>
    <t>https://drive.google.com/file/d/1zDilo9N_ayXyTQUe2ZLu4FeP5Lrnl_zH/view?usp=drivesdk</t>
  </si>
  <si>
    <t>Document successfully created; Document successfully merged; PDF created; !!Error Sending Emails: Service invoked too many times for one day: email.; Run via form trigger as codectechnologies0@gmail.com; Timestamp: Aug 23, 2026 5:33 AM</t>
  </si>
  <si>
    <t>131y3ql6OIwc80cj0svBnuRW68RcBkIM7</t>
  </si>
  <si>
    <t>https://drive.google.com/file/d/131y3ql6OIwc80cj0svBnuRW68RcBkIM7/view?usp=drivesdk</t>
  </si>
  <si>
    <t>Document successfully created; Document successfully merged; PDF created; !!Error Sending Emails: Service invoked too many times for one day: email.; Run via form trigger as codectechnologies0@gmail.com; Timestamp: Aug 23, 2026 5:35 AM</t>
  </si>
  <si>
    <t>Apurv Amol More</t>
  </si>
  <si>
    <t>apurvmore292002@gmail.com</t>
  </si>
  <si>
    <t>New Horizons Institute of Technology And Management</t>
  </si>
  <si>
    <t>1CJT2KrA3hBUciQxGX1dgWcHXQP_noH9R</t>
  </si>
  <si>
    <t>https://drive.google.com/file/d/1CJT2KrA3hBUciQxGX1dgWcHXQP_noH9R/view?usp=drivesdk</t>
  </si>
  <si>
    <t>Document successfully created; Document successfully merged; PDF created; !!Error Sending Emails: Service invoked too many times for one day: email.; Run via form trigger as codectechnologies0@gmail.com; Timestamp: Aug 23, 2026 5:46 AM</t>
  </si>
  <si>
    <t>sudhanshu ranjan</t>
  </si>
  <si>
    <t>sudhanshuroy016@gmail.com</t>
  </si>
  <si>
    <t>iilm university</t>
  </si>
  <si>
    <t>1wJq2RFyGJNtkZgsmDA2HOlge4FAF_XGt</t>
  </si>
  <si>
    <t>https://drive.google.com/file/d/1wJq2RFyGJNtkZgsmDA2HOlge4FAF_XGt/view?usp=drivesdk</t>
  </si>
  <si>
    <t>Document successfully created; Document successfully merged; PDF created; Emails Sent: [To: sudhanshuroy016@gmail.com]; Run via form trigger as codectechnologies0@gmail.com; Timestamp: Aug 23, 2026 6:00 AM</t>
  </si>
  <si>
    <t>Ankita Kumari</t>
  </si>
  <si>
    <t>shadhuridevi67@gmail.com</t>
  </si>
  <si>
    <t>KIPM College of management</t>
  </si>
  <si>
    <t>1QYy1WjbUlWufEVnPmkg6bGLV1YvbpirV</t>
  </si>
  <si>
    <t>https://drive.google.com/file/d/1QYy1WjbUlWufEVnPmkg6bGLV1YvbpirV/view?usp=drivesdk</t>
  </si>
  <si>
    <t>Document successfully created; Document successfully merged; PDF created; !!Error Sending Emails: Service invoked too many times for one day: email.; Run via form trigger as codectechnologies0@gmail.com; Timestamp: Aug 23, 2026 6:06 AM</t>
  </si>
  <si>
    <t>Vaishnavi Waghmode</t>
  </si>
  <si>
    <t>vwagha2004@gmail.com</t>
  </si>
  <si>
    <t>Babasaheb Naik College of Engineering Pusad</t>
  </si>
  <si>
    <t>1MseloFcnVWSpnNbyIX18PKiU9pEPp6Fw</t>
  </si>
  <si>
    <t>https://drive.google.com/file/d/1MseloFcnVWSpnNbyIX18PKiU9pEPp6Fw/view?usp=drivesdk</t>
  </si>
  <si>
    <t>Document successfully created; Document successfully merged; PDF created; !!Error Sending Emails: Service invoked too many times for one day: email.; Run via form trigger as codectechnologies0@gmail.com; Timestamp: Aug 23, 2026 6:07 AM</t>
  </si>
  <si>
    <t>RV Sujay</t>
  </si>
  <si>
    <t>sujayrv1234@gmail.com</t>
  </si>
  <si>
    <t>Amity University Bengaluru</t>
  </si>
  <si>
    <t>15KakqDAowvlZvvmTWIjQq145P8paNlfX</t>
  </si>
  <si>
    <t>https://drive.google.com/file/d/15KakqDAowvlZvvmTWIjQq145P8paNlfX/view?usp=drivesdk</t>
  </si>
  <si>
    <t>Document successfully created; Document successfully merged; PDF created; !!Error Sending Emails: Service invoked too many times for one day: email.; Run via form trigger as codectechnologies0@gmail.com; Timestamp: Aug 23, 2026 6:09 AM</t>
  </si>
  <si>
    <t>Nidhi kumari</t>
  </si>
  <si>
    <t>Nidhi.cse30@gmail.com</t>
  </si>
  <si>
    <t>M.E/M.Tech</t>
  </si>
  <si>
    <t>Bihar engineering university patna</t>
  </si>
  <si>
    <t>1dvKspey4B491l8cp5MndUbySIuzeUI8e</t>
  </si>
  <si>
    <t>https://drive.google.com/file/d/1dvKspey4B491l8cp5MndUbySIuzeUI8e/view?usp=drivesdk</t>
  </si>
  <si>
    <t>Document successfully created; Document successfully merged; PDF created; !!Error Sending Emails: Service invoked too many times for one day: email.; Run via form trigger as codectechnologies0@gmail.com; Timestamp: Aug 23, 2026 6:10 AM</t>
  </si>
  <si>
    <t xml:space="preserve">Swapnil Baburao Kawale </t>
  </si>
  <si>
    <t>kawaleswapnil04@gmail.com</t>
  </si>
  <si>
    <t xml:space="preserve">MGM COLLEGE OF CS AND IT, NANDED </t>
  </si>
  <si>
    <t>1j-jU0gZqBTmj6cDqNd9CB6n2NIMkdYB8</t>
  </si>
  <si>
    <t>https://drive.google.com/file/d/1j-jU0gZqBTmj6cDqNd9CB6n2NIMkdYB8/view?usp=drivesdk</t>
  </si>
  <si>
    <t>Document successfully created; Document successfully merged; PDF created; !!Error Sending Emails: Service invoked too many times for one day: email.; Run via form trigger as codectechnologies0@gmail.com; Timestamp: Aug 23, 2026 6:14 AM</t>
  </si>
  <si>
    <t>Tanishq Gupta</t>
  </si>
  <si>
    <t>tanishqgupta0903@gmail.com</t>
  </si>
  <si>
    <t xml:space="preserve">Graphic Era Hill University </t>
  </si>
  <si>
    <t>12-GL6hOa5jtol3AVdsFUlnCapYGve9-k</t>
  </si>
  <si>
    <t>https://drive.google.com/file/d/12-GL6hOa5jtol3AVdsFUlnCapYGve9-k/view?usp=drivesdk</t>
  </si>
  <si>
    <t>Document successfully created; Document successfully merged; PDF created; !!Error Sending Emails: Service invoked too many times for one day: email.; Run via form trigger as codectechnologies0@gmail.com; Timestamp: Aug 23, 2026 6:16 AM</t>
  </si>
  <si>
    <t>1O_VbVdKiprzAmYG3riiuhlrZJl3fcYp2</t>
  </si>
  <si>
    <t>https://drive.google.com/file/d/1O_VbVdKiprzAmYG3riiuhlrZJl3fcYp2/view?usp=drivesdk</t>
  </si>
  <si>
    <t>Document successfully created; Document successfully merged; PDF created; !!Error Sending Emails: Service invoked too many times for one day: email.; Run via form trigger as codectechnologies0@gmail.com; Timestamp: Aug 23, 2026 6:19 AM</t>
  </si>
  <si>
    <t>177gAzw4VfbmvkJviHH9vmSDsPWGo8vUT</t>
  </si>
  <si>
    <t>https://drive.google.com/file/d/177gAzw4VfbmvkJviHH9vmSDsPWGo8vUT/view?usp=drivesdk</t>
  </si>
  <si>
    <t>Document successfully created; Document successfully merged; PDF created; !!Error Sending Emails: Service invoked too many times for one day: email.; Run via form trigger as codectechnologies0@gmail.com; Timestamp: Aug 23, 2026 6:27 AM</t>
  </si>
  <si>
    <t xml:space="preserve">Mohit Kumar </t>
  </si>
  <si>
    <t>mohitkumar7654228975@gmail.com</t>
  </si>
  <si>
    <t xml:space="preserve">Vivekananda global University, jaipur </t>
  </si>
  <si>
    <t>1DrY0sSiXtLQLnL2L67_HI8OJXHIJ1QZz</t>
  </si>
  <si>
    <t>https://drive.google.com/file/d/1DrY0sSiXtLQLnL2L67_HI8OJXHIJ1QZz/view?usp=drivesdk</t>
  </si>
  <si>
    <t>Document successfully created; Document successfully merged; PDF created; !!Error Sending Emails: Service invoked too many times for one day: email.; Run via form trigger as codectechnologies0@gmail.com; Timestamp: Aug 23, 2026 6:28 AM</t>
  </si>
  <si>
    <t>Sameer Baluni</t>
  </si>
  <si>
    <t>sameer.baluni1854@gmail.com</t>
  </si>
  <si>
    <t xml:space="preserve">INSTITUTE OF TECHNOLOGY AND MANAGEMENT </t>
  </si>
  <si>
    <t>1fwHX-H7KX1NZPxC2JbB4OvZPgqzJsJLI</t>
  </si>
  <si>
    <t>https://drive.google.com/file/d/1fwHX-H7KX1NZPxC2JbB4OvZPgqzJsJLI/view?usp=drivesdk</t>
  </si>
  <si>
    <t>Document successfully created; Document successfully merged; PDF created; !!Error Sending Emails: Service invoked too many times for one day: email.; Run via form trigger as codectechnologies0@gmail.com; Timestamp: Aug 23, 2026 6:35 AM</t>
  </si>
  <si>
    <t>1KFaXeN7ha54ymHrAbmNNK4qIQHqgCtmd</t>
  </si>
  <si>
    <t>https://drive.google.com/file/d/1KFaXeN7ha54ymHrAbmNNK4qIQHqgCtmd/view?usp=drivesdk</t>
  </si>
  <si>
    <t>Document successfully created; Document successfully merged; PDF created; !!Error Sending Emails: Service invoked too many times for one day: email.; Run via form trigger as codectechnologies0@gmail.com; Timestamp: Aug 23, 2026 6:38 AM</t>
  </si>
  <si>
    <t>Sanjay</t>
  </si>
  <si>
    <t>sanjayrajan3107@gmail.com</t>
  </si>
  <si>
    <t xml:space="preserve">Dhanalakshmi Srinivasan college of engineering and technology </t>
  </si>
  <si>
    <t>1lj2WOQdvSR7uf2XWbVFsZUO0O50wTG58</t>
  </si>
  <si>
    <t>https://drive.google.com/file/d/1lj2WOQdvSR7uf2XWbVFsZUO0O50wTG58/view?usp=drivesdk</t>
  </si>
  <si>
    <t>Document successfully created; Document successfully merged; PDF created; !!Error Sending Emails: Service invoked too many times for one day: email.; Run via form trigger as codectechnologies0@gmail.com; Timestamp: Aug 23, 2026 6:47 AM</t>
  </si>
  <si>
    <t>Swapnil Kawale</t>
  </si>
  <si>
    <t>MGM COLLEGE OF CS &amp; IT, NANDED</t>
  </si>
  <si>
    <t>1IY_zYl--HY_4Lj15iyw_P2rne6pDvd0J</t>
  </si>
  <si>
    <t>https://drive.google.com/file/d/1IY_zYl--HY_4Lj15iyw_P2rne6pDvd0J/view?usp=drivesdk</t>
  </si>
  <si>
    <t>Document successfully created; Document successfully merged; PDF created; !!Error Sending Emails: Service invoked too many times for one day: email.; Run via form trigger as codectechnologies0@gmail.com; Timestamp: Aug 23, 2026 6:51 AM</t>
  </si>
  <si>
    <t>Rohan Verma</t>
  </si>
  <si>
    <t>rohanverma93702@gmail.com</t>
  </si>
  <si>
    <t>IILM UNIVERSITY NOIDA</t>
  </si>
  <si>
    <t>1tuVHvkzQw-YWuxN2MyrSP1MM081Tn3DY</t>
  </si>
  <si>
    <t>https://drive.google.com/file/d/1tuVHvkzQw-YWuxN2MyrSP1MM081Tn3DY/view?usp=drivesdk</t>
  </si>
  <si>
    <t>Document successfully created; Document successfully merged; PDF created; !!Error Sending Emails: Service invoked too many times for one day: email.; Run via form trigger as codectechnologies0@gmail.com; Timestamp: Aug 23, 2026 6:52 AM</t>
  </si>
  <si>
    <t>Vikas Kumar</t>
  </si>
  <si>
    <t>vk1242005@gmail.com</t>
  </si>
  <si>
    <t>Gurugram University</t>
  </si>
  <si>
    <t>13gzPUPm39UM87fLuPeYeTGLIYlFyN0A2</t>
  </si>
  <si>
    <t>https://drive.google.com/file/d/13gzPUPm39UM87fLuPeYeTGLIYlFyN0A2/view?usp=drivesdk</t>
  </si>
  <si>
    <t>Document successfully created; Document successfully merged; PDF created; !!Error Sending Emails: Service invoked too many times for one day: email.; Run via form trigger as codectechnologies0@gmail.com; Timestamp: Aug 23, 2026 7:06 AM</t>
  </si>
  <si>
    <t>Devanshu Raut</t>
  </si>
  <si>
    <t>P R POTE PATIL COLLEGE OF ENGINEERING AND MANAGMENT AMRAVATI</t>
  </si>
  <si>
    <t>1aYsx02WIvCEEW0ALwqhdyNBIao0YA-q7</t>
  </si>
  <si>
    <t>https://drive.google.com/file/d/1aYsx02WIvCEEW0ALwqhdyNBIao0YA-q7/view?usp=drivesdk</t>
  </si>
  <si>
    <t>Document successfully created; Document successfully merged; PDF created; !!Error Sending Emails: Service invoked too many times for one day: email.; Run via form trigger as codectechnologies0@gmail.com; Timestamp: Aug 23, 2026 7:11 AM</t>
  </si>
  <si>
    <t>G INDHU VADANA</t>
  </si>
  <si>
    <t>induvadana145@gmail.com</t>
  </si>
  <si>
    <t xml:space="preserve">MALLA REDDY COLLEGE OF ENGINEERING AND TECHNOLOGY </t>
  </si>
  <si>
    <t>LinkedIn, WhatsApp, AICTE/Indeed</t>
  </si>
  <si>
    <t>1xt0iHouKP_hBzWrZ3C5FUn8CUc9yxv_S</t>
  </si>
  <si>
    <t>https://drive.google.com/file/d/1xt0iHouKP_hBzWrZ3C5FUn8CUc9yxv_S/view?usp=drivesdk</t>
  </si>
  <si>
    <t>Document successfully created; Document successfully merged; PDF created; !!Error Sending Emails: Service invoked too many times for one day: email.; Run via form trigger as codectechnologies0@gmail.com; Timestamp: Aug 23, 2026 7:17 AM</t>
  </si>
  <si>
    <t>Rishav kumar</t>
  </si>
  <si>
    <t>kumarrishav61838@gmail.com</t>
  </si>
  <si>
    <t>Atal Bihari Vajpayee Government Institute of Engineering &amp; Technology</t>
  </si>
  <si>
    <t>1Sc2TUPhwdiLBLarRfO72eZMmePdwGWwj</t>
  </si>
  <si>
    <t>https://drive.google.com/file/d/1Sc2TUPhwdiLBLarRfO72eZMmePdwGWwj/view?usp=drivesdk</t>
  </si>
  <si>
    <t>Document successfully created; Document successfully merged; PDF created; !!Error Sending Emails: Service invoked too many times for one day: email.; Run via form trigger as codectechnologies0@gmail.com; Timestamp: Aug 23, 2026 7:33 AM</t>
  </si>
  <si>
    <t>Shivam Pankaj Patole</t>
  </si>
  <si>
    <t>shivampatole97@gmail.com</t>
  </si>
  <si>
    <t xml:space="preserve">MVP's Karamveer adv baburao Ganpatrao thakare college of engineering </t>
  </si>
  <si>
    <t>1iDELeI4jLxcqn06xK1aYlxu_N5R07wBw</t>
  </si>
  <si>
    <t>https://drive.google.com/file/d/1iDELeI4jLxcqn06xK1aYlxu_N5R07wBw/view?usp=drivesdk</t>
  </si>
  <si>
    <t>Document successfully created; Document successfully merged; PDF created; !!Error Sending Emails: Service invoked too many times for one day: email.; Run via form trigger as codectechnologies0@gmail.com; Timestamp: Aug 23, 2026 7:54 AM</t>
  </si>
  <si>
    <t>Garima Yadav</t>
  </si>
  <si>
    <t>gy723202@gmail.com</t>
  </si>
  <si>
    <t xml:space="preserve">Institute of technology and management GIDA Gorakhpur </t>
  </si>
  <si>
    <t>1FeB5qxBiyzAP79Hch5sQCOoYIQBUGuQZ</t>
  </si>
  <si>
    <t>https://drive.google.com/file/d/1FeB5qxBiyzAP79Hch5sQCOoYIQBUGuQZ/view?usp=drivesdk</t>
  </si>
  <si>
    <t>Document successfully created; Document successfully merged; PDF created; !!Error Sending Emails: Service invoked too many times for one day: email.; Run via form trigger as codectechnologies0@gmail.com; Timestamp: Aug 23, 2026 7:55 AM</t>
  </si>
  <si>
    <t>Shubham Indulkar</t>
  </si>
  <si>
    <t>shubhamindulkar1928@gmail.com</t>
  </si>
  <si>
    <t>Padmashree Dr DY Patil Deemed to be University</t>
  </si>
  <si>
    <t>17jh7jei_x6kXZfncu1xnHE8FycKno_-U</t>
  </si>
  <si>
    <t>https://drive.google.com/file/d/17jh7jei_x6kXZfncu1xnHE8FycKno_-U/view?usp=drivesdk</t>
  </si>
  <si>
    <t>Document successfully created; Document successfully merged; PDF created; !!Error Sending Emails: Service invoked too many times for one day: email.; Run via form trigger as codectechnologies0@gmail.com; Timestamp: Aug 23, 2026 7:57 AM</t>
  </si>
  <si>
    <t>Zaid Ahmed</t>
  </si>
  <si>
    <t>zaid63250@gmail.com</t>
  </si>
  <si>
    <t>M. S. Ramaiah University of Applied Sciences</t>
  </si>
  <si>
    <t>WhatsApp, Friend, Email</t>
  </si>
  <si>
    <t>1FjF1zPyzeM-vcusNThf-icd2_Es4oCGG</t>
  </si>
  <si>
    <t>https://drive.google.com/file/d/1FjF1zPyzeM-vcusNThf-icd2_Es4oCGG/view?usp=drivesdk</t>
  </si>
  <si>
    <t>Document successfully created; Document successfully merged; PDF created; !!Error Sending Emails: Service invoked too many times for one day: email.; Run via form trigger as codectechnologies0@gmail.com; Timestamp: Aug 23, 2026 8:11 AM</t>
  </si>
  <si>
    <t>Ayush Kumar</t>
  </si>
  <si>
    <t>ayushk.7210@gmail.com</t>
  </si>
  <si>
    <t>SAI VIDYA INSTITUTE OF TECHNOLOGY</t>
  </si>
  <si>
    <t>1zTfGioOM3-aofjcWgPhfk9xSson12FMz</t>
  </si>
  <si>
    <t>https://drive.google.com/file/d/1zTfGioOM3-aofjcWgPhfk9xSson12FMz/view?usp=drivesdk</t>
  </si>
  <si>
    <t>Document successfully created; Document successfully merged; PDF created; !!Error Sending Emails: Service invoked too many times for one day: email.; Run via form trigger as codectechnologies0@gmail.com; Timestamp: Aug 23, 2026 8:16 AM</t>
  </si>
  <si>
    <t>Sayantan Naha</t>
  </si>
  <si>
    <t>sayantannaha77@gmail.com</t>
  </si>
  <si>
    <t>Institute of Genetic Engineering</t>
  </si>
  <si>
    <t>19VSQNInbzVobhiK0GI8IgbFczA2UOJSr</t>
  </si>
  <si>
    <t>https://drive.google.com/file/d/19VSQNInbzVobhiK0GI8IgbFczA2UOJSr/view?usp=drivesdk</t>
  </si>
  <si>
    <t>Document successfully created; Document successfully merged; PDF created; !!Error Sending Emails: Service invoked too many times for one day: email.; Run via form trigger as codectechnologies0@gmail.com; Timestamp: Aug 23, 2026 8:27 AM</t>
  </si>
  <si>
    <t xml:space="preserve">Sunklekar Avinash Prabhu </t>
  </si>
  <si>
    <t>avinashsunklekar@gmail.com</t>
  </si>
  <si>
    <t xml:space="preserve">Dr. D Y Patil technical campus Varale </t>
  </si>
  <si>
    <t>1Gj0fTyIUUoTtphQhTXbek7bZaTWhiMPe</t>
  </si>
  <si>
    <t>https://drive.google.com/file/d/1Gj0fTyIUUoTtphQhTXbek7bZaTWhiMPe/view?usp=drivesdk</t>
  </si>
  <si>
    <t>Document successfully created; Document successfully merged; PDF created; !!Error Sending Emails: Service invoked too many times for one day: email.; Run via form trigger as codectechnologies0@gmail.com; Timestamp: Aug 23, 2026 8:28 AM</t>
  </si>
  <si>
    <t>18vSvMZpDSjfNtYqJcr1Qw-uVNzVUGtG3</t>
  </si>
  <si>
    <t>https://drive.google.com/file/d/18vSvMZpDSjfNtYqJcr1Qw-uVNzVUGtG3/view?usp=drivesdk</t>
  </si>
  <si>
    <t>Document successfully created; Document successfully merged; PDF created; !!Error Sending Emails: Service invoked too many times for one day: email.; Run via form trigger as codectechnologies0@gmail.com; Timestamp: Aug 23, 2026 8:34 AM</t>
  </si>
  <si>
    <t xml:space="preserve">Sheetal patel </t>
  </si>
  <si>
    <t>sheetalpatel0248@gmail.com</t>
  </si>
  <si>
    <t xml:space="preserve">Karma devi smriti mahavidyalaya </t>
  </si>
  <si>
    <t>12iN52ECGCFudbGg3iQY8tZo22frvshAI</t>
  </si>
  <si>
    <t>https://drive.google.com/file/d/12iN52ECGCFudbGg3iQY8tZo22frvshAI/view?usp=drivesdk</t>
  </si>
  <si>
    <t>Document successfully created; Document successfully merged; PDF created; !!Error Sending Emails: Service invoked too many times for one day: email.; Run via form trigger as codectechnologies0@gmail.com; Timestamp: Aug 23, 2026 8:35 AM</t>
  </si>
  <si>
    <t>MARRE RAMSANDESH</t>
  </si>
  <si>
    <t>marreramsandesh.2009@gmail.com</t>
  </si>
  <si>
    <t>Aditya Polytechnic Colleges</t>
  </si>
  <si>
    <t>LinkedIn, Instagram, Internshala</t>
  </si>
  <si>
    <t>1FLj6rYPHFzoEDAhxeaUZiYsanZjIFCHg</t>
  </si>
  <si>
    <t>https://drive.google.com/file/d/1FLj6rYPHFzoEDAhxeaUZiYsanZjIFCHg/view?usp=drivesdk</t>
  </si>
  <si>
    <t>Document successfully created; Document successfully merged; PDF created; !!Error Sending Emails: Service invoked too many times for one day: email.; Run via form trigger as codectechnologies0@gmail.com; Timestamp: Aug 23, 2026 8:37 AM</t>
  </si>
  <si>
    <t xml:space="preserve">Sanjay Prasath S </t>
  </si>
  <si>
    <t>sanjayprasath.s008@gmail.com</t>
  </si>
  <si>
    <t xml:space="preserve">Dhanalakshmi college of engineering </t>
  </si>
  <si>
    <t>1Er_9YuGsFA5tXFXFkoFt4MCMRqOf8m0u</t>
  </si>
  <si>
    <t>https://drive.google.com/file/d/1Er_9YuGsFA5tXFXFkoFt4MCMRqOf8m0u/view?usp=drivesdk</t>
  </si>
  <si>
    <t>Document successfully created; Document successfully merged; PDF created; !!Error Sending Emails: Service invoked too many times for one day: email.; Run via form trigger as codectechnologies0@gmail.com; Timestamp: Aug 23, 2026 8:54 AM</t>
  </si>
  <si>
    <t>MOHD AFSHAN</t>
  </si>
  <si>
    <t>AFSHANKH0786@GMAIL.COM</t>
  </si>
  <si>
    <t>UNIVERSITY INSTITUTE OF ENGINEERING AND TECHNOLOGY KURUKSHETRA UNIVERSITY KURUKSHETRA</t>
  </si>
  <si>
    <t>1f4G_BJ2680Ne8Y1Ac_cUGc6NbS3vkfYc</t>
  </si>
  <si>
    <t>https://drive.google.com/file/d/1f4G_BJ2680Ne8Y1Ac_cUGc6NbS3vkfYc/view?usp=drivesdk</t>
  </si>
  <si>
    <t>Document successfully created; Document successfully merged; PDF created; !!Error Sending Emails: Service invoked too many times for one day: email.; Run via form trigger as codectechnologies0@gmail.com; Timestamp: Aug 23, 2026 9:01 AM</t>
  </si>
  <si>
    <t>Shaik Aifaz</t>
  </si>
  <si>
    <t>shaikaifaz53792@gmail.com</t>
  </si>
  <si>
    <t xml:space="preserve">Vignan Institute of Technology and Science Hyderabad </t>
  </si>
  <si>
    <t>1YJjup1lucUGnJ7WVhReeJSFeJyEgLttk</t>
  </si>
  <si>
    <t>https://drive.google.com/file/d/1YJjup1lucUGnJ7WVhReeJSFeJyEgLttk/view?usp=drivesdk</t>
  </si>
  <si>
    <t>Document successfully created; Document successfully merged; PDF created; !!Error Sending Emails: Service invoked too many times for one day: email.; Run via form trigger as codectechnologies0@gmail.com; Timestamp: Aug 23, 2026 9:12 AM</t>
  </si>
  <si>
    <t>Syed sanjeeda</t>
  </si>
  <si>
    <t>sdsanjeeda16@gmail.com</t>
  </si>
  <si>
    <t xml:space="preserve">Audisankara college of engineering and technology </t>
  </si>
  <si>
    <t>1avQCTlCX7EPMCatTucGmyggwwt8DHLgv</t>
  </si>
  <si>
    <t>https://drive.google.com/file/d/1avQCTlCX7EPMCatTucGmyggwwt8DHLgv/view?usp=drivesdk</t>
  </si>
  <si>
    <t>Document successfully created; Document successfully merged; PDF created; !!Error Sending Emails: Service invoked too many times for one day: email.; Run via form trigger as codectechnologies0@gmail.com; Timestamp: Aug 23, 2026 9:24 AM</t>
  </si>
  <si>
    <t>Shaik Abdulla</t>
  </si>
  <si>
    <t>inthyaz0@gmail.com</t>
  </si>
  <si>
    <t>Rajeev Gandhi Memorial College Of Engineering &amp; Technology</t>
  </si>
  <si>
    <t>1rq2NTfr4POpRLa91Te41_jWSV2qVwHB8</t>
  </si>
  <si>
    <t>https://drive.google.com/file/d/1rq2NTfr4POpRLa91Te41_jWSV2qVwHB8/view?usp=drivesdk</t>
  </si>
  <si>
    <t>Document successfully created; Document successfully merged; PDF created; !!Error Sending Emails: Service invoked too many times for one day: email.; Run via form trigger as codectechnologies0@gmail.com; Timestamp: Aug 23, 2026 9:25 AM</t>
  </si>
  <si>
    <t xml:space="preserve">Saurabh Kumar </t>
  </si>
  <si>
    <t>saurabhsloke@gmail.com</t>
  </si>
  <si>
    <t xml:space="preserve">Technocrats Institute of Technology Excellence </t>
  </si>
  <si>
    <t>1GEH4AaLeFHz5K0ehAOOTiH_ZlEXbFwQ6</t>
  </si>
  <si>
    <t>https://drive.google.com/file/d/1GEH4AaLeFHz5K0ehAOOTiH_ZlEXbFwQ6/view?usp=drivesdk</t>
  </si>
  <si>
    <t>Document successfully created; Document successfully merged; PDF created; !!Error Sending Emails: Service invoked too many times for one day: email.; Run via form trigger as codectechnologies0@gmail.com; Timestamp: Aug 23, 2026 9:27 AM</t>
  </si>
  <si>
    <t>inderjit singh</t>
  </si>
  <si>
    <t>inderjit1627@gmail.com</t>
  </si>
  <si>
    <t xml:space="preserve">Jain university </t>
  </si>
  <si>
    <t>1JNUWG5ribVz3N0QfCbv---ioVhh9SGKl</t>
  </si>
  <si>
    <t>https://drive.google.com/file/d/1JNUWG5ribVz3N0QfCbv---ioVhh9SGKl/view?usp=drivesdk</t>
  </si>
  <si>
    <t>Document successfully created; Document successfully merged; PDF created; !!Error Sending Emails: Service invoked too many times for one day: email.; Run via form trigger as codectechnologies0@gmail.com; Timestamp: Aug 23, 2026 9:30 AM</t>
  </si>
  <si>
    <t>1pWNp4xtuKE9WtEMhx7to4wbX1Ndt7i90</t>
  </si>
  <si>
    <t>https://drive.google.com/file/d/1pWNp4xtuKE9WtEMhx7to4wbX1Ndt7i90/view?usp=drivesdk</t>
  </si>
  <si>
    <t>Document successfully created; Document successfully merged; PDF created; !!Error Sending Emails: Service invoked too many times for one day: email.; Run via form trigger as codectechnologies0@gmail.com; Timestamp: Aug 23, 2026 9:31 AM</t>
  </si>
  <si>
    <t>PRASHANT AYUSH</t>
  </si>
  <si>
    <t>kumarprashant0h@gmail.com</t>
  </si>
  <si>
    <t>Kalinga university</t>
  </si>
  <si>
    <t>1PzvJss7pDQZsltGsYBveQ-rLj6J77mUq</t>
  </si>
  <si>
    <t>https://drive.google.com/file/d/1PzvJss7pDQZsltGsYBveQ-rLj6J77mUq/view?usp=drivesdk</t>
  </si>
  <si>
    <t>Document successfully created; Document successfully merged; PDF created; !!Error Sending Emails: Service invoked too many times for one day: email.; Run via form trigger as codectechnologies0@gmail.com; Timestamp: Aug 23, 2026 9:33 AM</t>
  </si>
  <si>
    <t>Shreyas M D</t>
  </si>
  <si>
    <t>mdshreyas97@gmail.com</t>
  </si>
  <si>
    <t>JSSATEB</t>
  </si>
  <si>
    <t>1bEEFvqLfxGWc7JfKae6WW8r4UQfDXfQS</t>
  </si>
  <si>
    <t>https://drive.google.com/file/d/1bEEFvqLfxGWc7JfKae6WW8r4UQfDXfQS/view?usp=drivesdk</t>
  </si>
  <si>
    <t>Document successfully created; Document successfully merged; PDF created; !!Error Sending Emails: Service invoked too many times for one day: email.; Run via form trigger as codectechnologies0@gmail.com; Timestamp: Aug 23, 2026 9:36 AM</t>
  </si>
  <si>
    <t>Ishan Roy</t>
  </si>
  <si>
    <t>royishan2525@gmail.com</t>
  </si>
  <si>
    <t xml:space="preserve">Shoolini University of Biotechnology and Management Sciences </t>
  </si>
  <si>
    <t>10jY-GOYCrs7_JuKGSzQAOtg75g5LmEb6</t>
  </si>
  <si>
    <t>https://drive.google.com/file/d/10jY-GOYCrs7_JuKGSzQAOtg75g5LmEb6/view?usp=drivesdk</t>
  </si>
  <si>
    <t>Document successfully created; Document successfully merged; PDF created; !!Error Sending Emails: Service invoked too many times for one day: email.; Run via form trigger as codectechnologies0@gmail.com; Timestamp: Aug 23, 2026 9:38 AM</t>
  </si>
  <si>
    <t>1HyLxYHt8g9MM0CwweVuK-zqq_Y1kMtNE</t>
  </si>
  <si>
    <t>https://drive.google.com/file/d/1HyLxYHt8g9MM0CwweVuK-zqq_Y1kMtNE/view?usp=drivesdk</t>
  </si>
  <si>
    <t>Sanika Ashok Salunkhe.</t>
  </si>
  <si>
    <t>sanikasalunkhe21122005@gmail.com</t>
  </si>
  <si>
    <t>College Of Engineering Phaltan.</t>
  </si>
  <si>
    <t>1Mp6Qqy4_MHjLpU9Gnogl0ZgocYFRLGG0</t>
  </si>
  <si>
    <t>https://drive.google.com/file/d/1Mp6Qqy4_MHjLpU9Gnogl0ZgocYFRLGG0/view?usp=drivesdk</t>
  </si>
  <si>
    <t>Document successfully created; Document successfully merged; PDF created; !!Error Sending Emails: Service invoked too many times for one day: email.; Run via form trigger as codectechnologies0@gmail.com; Timestamp: Aug 23, 2026 9:41 AM</t>
  </si>
  <si>
    <t xml:space="preserve">Sakshi Raju Chaugule </t>
  </si>
  <si>
    <t>sakshichaugule0308@gmail.com</t>
  </si>
  <si>
    <t xml:space="preserve">MIT Academy Of Engineering, Aalandi </t>
  </si>
  <si>
    <t>160JomycThAkXu7OGjbtzWsy3fNt7e3Bf</t>
  </si>
  <si>
    <t>https://drive.google.com/file/d/160JomycThAkXu7OGjbtzWsy3fNt7e3Bf/view?usp=drivesdk</t>
  </si>
  <si>
    <t>Document successfully created; Document successfully merged; PDF created; !!Error Sending Emails: Service invoked too many times for one day: email.; Run via form trigger as codectechnologies0@gmail.com; Timestamp: Aug 23, 2026 9:42 AM</t>
  </si>
  <si>
    <t>Ajin Joji</t>
  </si>
  <si>
    <t>ajinjoji311@gmail.com</t>
  </si>
  <si>
    <t xml:space="preserve">IGNOU </t>
  </si>
  <si>
    <t>1gHTccs7eiXRaxP0K8vJjRvq2EySsqQ1H</t>
  </si>
  <si>
    <t>https://drive.google.com/file/d/1gHTccs7eiXRaxP0K8vJjRvq2EySsqQ1H/view?usp=drivesdk</t>
  </si>
  <si>
    <t>Document successfully created; Document successfully merged; PDF created; !!Error Sending Emails: Service invoked too many times for one day: email.; Run via form trigger as codectechnologies0@gmail.com; Timestamp: Aug 23, 2026 9:46 AM</t>
  </si>
  <si>
    <t>Ritesh Devanand Sharma</t>
  </si>
  <si>
    <t>foredit421@gmail.com</t>
  </si>
  <si>
    <t>Bakliwal Foundation College Vashi</t>
  </si>
  <si>
    <t>1gucm-VfsozHfjSw34xLQNZSaliOz-kYx</t>
  </si>
  <si>
    <t>https://drive.google.com/file/d/1gucm-VfsozHfjSw34xLQNZSaliOz-kYx/view?usp=drivesdk</t>
  </si>
  <si>
    <t>Document successfully created; Document successfully merged; PDF created; !!Error Sending Emails: Service invoked too many times for one day: email.; Run via form trigger as codectechnologies0@gmail.com; Timestamp: Aug 23, 2026 9:47 AM</t>
  </si>
  <si>
    <t xml:space="preserve">Yash Arun Bhamare </t>
  </si>
  <si>
    <t>bhamareyash18@gmail.com</t>
  </si>
  <si>
    <t xml:space="preserve">KBTCOE NASHIK </t>
  </si>
  <si>
    <t>1WVWK2iERebJZf6D1cL3mkyfqVFGcokzs</t>
  </si>
  <si>
    <t>https://drive.google.com/file/d/1WVWK2iERebJZf6D1cL3mkyfqVFGcokzs/view?usp=drivesdk</t>
  </si>
  <si>
    <t>Document successfully created; Document successfully merged; PDF created; !!Error Sending Emails: Service invoked too many times for one day: email.; Run via form trigger as codectechnologies0@gmail.com; Timestamp: Aug 23, 2026 9:48 AM</t>
  </si>
  <si>
    <t>Harshita</t>
  </si>
  <si>
    <t>harshitabrt@gmail.com</t>
  </si>
  <si>
    <t>Raj Kumar Goel Institute of Technology</t>
  </si>
  <si>
    <t>1kIU3mKc1Q3oKfRb1f7Vq0s4kqRcoMN_x</t>
  </si>
  <si>
    <t>https://drive.google.com/file/d/1kIU3mKc1Q3oKfRb1f7Vq0s4kqRcoMN_x/view?usp=drivesdk</t>
  </si>
  <si>
    <t>Document successfully created; Document successfully merged; PDF created; !!Error Sending Emails: Service invoked too many times for one day: email.; Run via form trigger as codectechnologies0@gmail.com; Timestamp: Aug 23, 2026 9:50 AM</t>
  </si>
  <si>
    <t>Nandini Ladda</t>
  </si>
  <si>
    <t>nandiniladda30@gmail.com</t>
  </si>
  <si>
    <t xml:space="preserve">JSPM's Jayawantrao Sawant College of Engineering Hadapsar </t>
  </si>
  <si>
    <t>1r3aLbwnYecPou3yDDCoMObq_hB3ul5tc</t>
  </si>
  <si>
    <t>https://drive.google.com/file/d/1r3aLbwnYecPou3yDDCoMObq_hB3ul5tc/view?usp=drivesdk</t>
  </si>
  <si>
    <t>Asmita  Satish Sonawane</t>
  </si>
  <si>
    <t>asmitasonawane74@gmail.com</t>
  </si>
  <si>
    <t xml:space="preserve">JSPM's Jaywantrao Sawant College of engineering pune </t>
  </si>
  <si>
    <t>1j-iXJfjPz0Poa76UR6UL4OTgdS_tTj0A</t>
  </si>
  <si>
    <t>https://drive.google.com/file/d/1j-iXJfjPz0Poa76UR6UL4OTgdS_tTj0A/view?usp=drivesdk</t>
  </si>
  <si>
    <t>Document successfully created; Document successfully merged; PDF created; !!Error Sending Emails: Service invoked too many times for one day: email.; Run via form trigger as codectechnologies0@gmail.com; Timestamp: Aug 23, 2026 9:53 AM</t>
  </si>
  <si>
    <t>1Vl4AVykG4A1bPKdKmQ0OdFgqJay3Byz6</t>
  </si>
  <si>
    <t>https://drive.google.com/file/d/1Vl4AVykG4A1bPKdKmQ0OdFgqJay3Byz6/view?usp=drivesdk</t>
  </si>
  <si>
    <t>BHATRAJU SAILAJA</t>
  </si>
  <si>
    <t>pujithagopidesi258@gmail.com</t>
  </si>
  <si>
    <t>LAKIREDDY BALI REDDY COLLEGE OF ENGINEERING</t>
  </si>
  <si>
    <t>1YSi8vQvinIvNjEVs3TlRqfloy0oDaSGa</t>
  </si>
  <si>
    <t>https://drive.google.com/file/d/1YSi8vQvinIvNjEVs3TlRqfloy0oDaSGa/view?usp=drivesdk</t>
  </si>
  <si>
    <t xml:space="preserve">TATIPAMULA LEELA VENKATA KRISHNA KUMAR </t>
  </si>
  <si>
    <t>leelavenkata000@gmail.com</t>
  </si>
  <si>
    <t xml:space="preserve">Lakireddy Balireddy college of Engineering </t>
  </si>
  <si>
    <t>1Q53CTWk8kE8QVZmUHukvC67Uouus5bPw</t>
  </si>
  <si>
    <t>https://drive.google.com/file/d/1Q53CTWk8kE8QVZmUHukvC67Uouus5bPw/view?usp=drivesdk</t>
  </si>
  <si>
    <t>Document successfully created; Document successfully merged; PDF created; !!Error Sending Emails: Service invoked too many times for one day: email.; Run via form trigger as codectechnologies0@gmail.com; Timestamp: Aug 23, 2026 9:54 AM</t>
  </si>
  <si>
    <t>Saniya Pathan</t>
  </si>
  <si>
    <t>pathansaniya545@gmail.com</t>
  </si>
  <si>
    <t>G H Raisoni college of engineering and management</t>
  </si>
  <si>
    <t>1HQ9y0PkvziWiHJcQsIeooCGDta_KYw_H</t>
  </si>
  <si>
    <t>https://drive.google.com/file/d/1HQ9y0PkvziWiHJcQsIeooCGDta_KYw_H/view?usp=drivesdk</t>
  </si>
  <si>
    <t>Document successfully created; Document successfully merged; PDF created; !!Error Sending Emails: Service invoked too many times for one day: email.; Run via form trigger as codectechnologies0@gmail.com; Timestamp: Aug 23, 2026 10:00 AM</t>
  </si>
  <si>
    <t>Balapala.Aakash</t>
  </si>
  <si>
    <t>balapalaaakash147@gmail.com</t>
  </si>
  <si>
    <t xml:space="preserve">Methodist college of engineering and technology,Abids, Hyderabad </t>
  </si>
  <si>
    <t>1-qKW82oWV-5hUhXxSqAwRoSnyCFLSmkU</t>
  </si>
  <si>
    <t>https://drive.google.com/file/d/1-qKW82oWV-5hUhXxSqAwRoSnyCFLSmkU/view?usp=drivesdk</t>
  </si>
  <si>
    <t>Document successfully created; Document successfully merged; PDF created; !!Error Sending Emails: Service invoked too many times for one day: email.; Run via form trigger as codectechnologies0@gmail.com; Timestamp: Aug 23, 2026 10:01 AM</t>
  </si>
  <si>
    <t>Aditya Kumar Singh</t>
  </si>
  <si>
    <t>aditya.kumarsinghbca25@smslucknow.ac.in</t>
  </si>
  <si>
    <t>School of Management Sciences,  Lucknow</t>
  </si>
  <si>
    <t>1HY6YeP50_fcJAxOLvq0r6ylUlhUt9R1T</t>
  </si>
  <si>
    <t>https://drive.google.com/file/d/1HY6YeP50_fcJAxOLvq0r6ylUlhUt9R1T/view?usp=drivesdk</t>
  </si>
  <si>
    <t>Suraj</t>
  </si>
  <si>
    <t>munasif938@gmail.com</t>
  </si>
  <si>
    <t>Eshan College of Engineering</t>
  </si>
  <si>
    <t>1Cf3GVpmtzdu9Tr3LKspNv-QTXLKKs_3p</t>
  </si>
  <si>
    <t>https://drive.google.com/file/d/1Cf3GVpmtzdu9Tr3LKspNv-QTXLKKs_3p/view?usp=drivesdk</t>
  </si>
  <si>
    <t>Document successfully created; Document successfully merged; PDF created; !!Error Sending Emails: Service invoked too many times for one day: email.; Run via form trigger as codectechnologies0@gmail.com; Timestamp: Aug 23, 2026 10:02 AM</t>
  </si>
  <si>
    <t>1F61vGyvIhvniBON0h6upHUaJVyQIkvgU</t>
  </si>
  <si>
    <t>https://drive.google.com/file/d/1F61vGyvIhvniBON0h6upHUaJVyQIkvgU/view?usp=drivesdk</t>
  </si>
  <si>
    <t>Document successfully created; Document successfully merged; PDF created; !!Error Sending Emails: Service invoked too many times for one day: email.; Run via form trigger as codectechnologies0@gmail.com; Timestamp: Aug 23, 2026 10:05 AM</t>
  </si>
  <si>
    <t>Kiran Karthick S</t>
  </si>
  <si>
    <t>mrkiranvaku@gmail.com</t>
  </si>
  <si>
    <t xml:space="preserve">SRI SAIRAM ENGINEERING COLLEGE </t>
  </si>
  <si>
    <t>1KJwy4jd-itCqasOTfbfFunLBpzS2i7xJ</t>
  </si>
  <si>
    <t>https://drive.google.com/file/d/1KJwy4jd-itCqasOTfbfFunLBpzS2i7xJ/view?usp=drivesdk</t>
  </si>
  <si>
    <t>Document successfully created; Document successfully merged; PDF created; !!Error Sending Emails: Service invoked too many times for one day: email.; Run via form trigger as codectechnologies0@gmail.com; Timestamp: Aug 23, 2026 10:06 AM</t>
  </si>
  <si>
    <t xml:space="preserve">PADAM MAHALAKSHMI </t>
  </si>
  <si>
    <t>sailajabatraju@gmail.com</t>
  </si>
  <si>
    <t xml:space="preserve">Lakireddy balireddy college of engineering </t>
  </si>
  <si>
    <t>1WgRJncR_gei7B_ROIJsOPnTVU2qpMz6Q</t>
  </si>
  <si>
    <t>https://drive.google.com/file/d/1WgRJncR_gei7B_ROIJsOPnTVU2qpMz6Q/view?usp=drivesdk</t>
  </si>
  <si>
    <t>Document successfully created; Document successfully merged; PDF created; !!Error Sending Emails: Service invoked too many times for one day: email.; Run via form trigger as codectechnologies0@gmail.com; Timestamp: Aug 23, 2026 10:08 AM</t>
  </si>
  <si>
    <t>Harsh</t>
  </si>
  <si>
    <t>agrawalgarg321@gmail.com</t>
  </si>
  <si>
    <t xml:space="preserve">GL Bajaj  Group of institutions </t>
  </si>
  <si>
    <t>1pxl_K95GqvNj67SF634AcPuXFo9UpEev</t>
  </si>
  <si>
    <t>https://drive.google.com/file/d/1pxl_K95GqvNj67SF634AcPuXFo9UpEev/view?usp=drivesdk</t>
  </si>
  <si>
    <t>Document successfully created; Document successfully merged; PDF created; !!Error Sending Emails: Service invoked too many times for one day: email.; Run via form trigger as codectechnologies0@gmail.com; Timestamp: Aug 23, 2026 10:09 AM</t>
  </si>
  <si>
    <t xml:space="preserve">Tiwari Priyanshu Raghvendra </t>
  </si>
  <si>
    <t>priyanshu462121@gmail.com</t>
  </si>
  <si>
    <t xml:space="preserve">Abes engineering college </t>
  </si>
  <si>
    <t>191-C2HoTJVACixmDwtQBU2voOjwmrpqL</t>
  </si>
  <si>
    <t>https://drive.google.com/file/d/191-C2HoTJVACixmDwtQBU2voOjwmrpqL/view?usp=drivesdk</t>
  </si>
  <si>
    <t xml:space="preserve">Hemanth Gowda D </t>
  </si>
  <si>
    <t>hemanthhemanthgowdad@gmail.com</t>
  </si>
  <si>
    <t xml:space="preserve">East West institute of technology bengaluru </t>
  </si>
  <si>
    <t>10nrEMFQpjENaxpa0j7oxY2JjW7TGtAPF</t>
  </si>
  <si>
    <t>https://drive.google.com/file/d/10nrEMFQpjENaxpa0j7oxY2JjW7TGtAPF/view?usp=drivesdk</t>
  </si>
  <si>
    <t>Document successfully created; Document successfully merged; PDF created; Emails Sent: [To: hemanthhemanthgowdad@gmail.com]; Run via form trigger as codectechnologies0@gmail.com; Timestamp: Aug 23, 2026 10:10 AM</t>
  </si>
  <si>
    <t xml:space="preserve">Vignan Institute of Technology and Science </t>
  </si>
  <si>
    <t>1f06VQPCvCE2c4G9lm1cJm_7wtHYcOEgl</t>
  </si>
  <si>
    <t>https://drive.google.com/file/d/1f06VQPCvCE2c4G9lm1cJm_7wtHYcOEgl/view?usp=drivesdk</t>
  </si>
  <si>
    <t>Document successfully created; Document successfully merged; PDF created; !!Error Sending Emails: Service invoked too many times for one day: email.; Run via form trigger as codectechnologies0@gmail.com; Timestamp: Aug 23, 2026 10:12 AM</t>
  </si>
  <si>
    <t>Jangiti Sri Hari</t>
  </si>
  <si>
    <t>sri.hari69sri.hari@gmail.com</t>
  </si>
  <si>
    <t xml:space="preserve">Dhanalakshmi Srinivasan University </t>
  </si>
  <si>
    <t>1Q_Wtrj3bEPJ-_P3GWOeHfqNCgMI1G3I5</t>
  </si>
  <si>
    <t>https://drive.google.com/file/d/1Q_Wtrj3bEPJ-_P3GWOeHfqNCgMI1G3I5/view?usp=drivesdk</t>
  </si>
  <si>
    <t xml:space="preserve">Aradhay Singh </t>
  </si>
  <si>
    <t>ts8149289@gmaill.com</t>
  </si>
  <si>
    <t>180-WPFpd3k6z-TmsWDt5WhuqLdavAPVS</t>
  </si>
  <si>
    <t>https://drive.google.com/file/d/180-WPFpd3k6z-TmsWDt5WhuqLdavAPVS/view?usp=drivesdk</t>
  </si>
  <si>
    <t>Document successfully created; Document successfully merged; PDF created; !!Error Sending Emails: Service invoked too many times for one day: email.; Run via form trigger as codectechnologies0@gmail.com; Timestamp: Aug 23, 2026 10:16 AM</t>
  </si>
  <si>
    <t xml:space="preserve">VIGNAN INSTITUTE of TECHNOLOGY AND SCIENCE HYDERABAD </t>
  </si>
  <si>
    <t>1CmG5HRUQDugsw8iiz5YqQOc9aDfPZ2MX</t>
  </si>
  <si>
    <t>https://drive.google.com/file/d/1CmG5HRUQDugsw8iiz5YqQOc9aDfPZ2MX/view?usp=drivesdk</t>
  </si>
  <si>
    <t>Document successfully created; Document successfully merged; PDF created; !!Error Sending Emails: Service invoked too many times for one day: email.; Run via form trigger as codectechnologies0@gmail.com; Timestamp: Aug 23, 2026 10:17 AM</t>
  </si>
  <si>
    <t>Nandani Nirmal</t>
  </si>
  <si>
    <t>nandani15106@gmail.com</t>
  </si>
  <si>
    <t>Ujjain engineering college</t>
  </si>
  <si>
    <t>1Nj4bxWXnfNIuVeZXBl_gxnAq9tW7808R</t>
  </si>
  <si>
    <t>https://drive.google.com/file/d/1Nj4bxWXnfNIuVeZXBl_gxnAq9tW7808R/view?usp=drivesdk</t>
  </si>
  <si>
    <t>Document successfully created; Document successfully merged; PDF created; !!Error Sending Emails: Service invoked too many times for one day: email.; Run via form trigger as codectechnologies0@gmail.com; Timestamp: Aug 23, 2026 10:22 AM</t>
  </si>
  <si>
    <t>BANAVATHU SIVA SAI RAM</t>
  </si>
  <si>
    <t>1td-GPLOcgvN_8HqLhpVfXXoijeD5XanX</t>
  </si>
  <si>
    <t>https://drive.google.com/file/d/1td-GPLOcgvN_8HqLhpVfXXoijeD5XanX/view?usp=drivesdk</t>
  </si>
  <si>
    <t>Document successfully created; Document successfully merged; PDF created; !!Error Sending Emails: Service invoked too many times for one day: email.; Run via form trigger as codectechnologies0@gmail.com; Timestamp: Aug 23, 2026 10:24 AM</t>
  </si>
  <si>
    <t>Dilip Kumar C</t>
  </si>
  <si>
    <t>dilipkumar01837@gmail.com</t>
  </si>
  <si>
    <t>Don Bosco Institute Of Technology</t>
  </si>
  <si>
    <t>1MsdqQqNwl7t1MJOEzxzZxFlDce5e4xro</t>
  </si>
  <si>
    <t>https://drive.google.com/file/d/1MsdqQqNwl7t1MJOEzxzZxFlDce5e4xro/view?usp=drivesdk</t>
  </si>
  <si>
    <t>Document successfully created; Document successfully merged; PDF created; !!Error Sending Emails: Service invoked too many times for one day: email.; Run via form trigger as codectechnologies0@gmail.com; Timestamp: Aug 23, 2026 10:29 AM</t>
  </si>
  <si>
    <t xml:space="preserve">Jitendra Sherwal </t>
  </si>
  <si>
    <t>jitendrasherwal0@gmail.com</t>
  </si>
  <si>
    <t xml:space="preserve">University of Kota </t>
  </si>
  <si>
    <t>1OY_fe90I1DLO7Pepf8zilUiSHKgC9dD2</t>
  </si>
  <si>
    <t>https://drive.google.com/file/d/1OY_fe90I1DLO7Pepf8zilUiSHKgC9dD2/view?usp=drivesdk</t>
  </si>
  <si>
    <t>Document successfully created; Document successfully merged; PDF created; !!Error Sending Emails: Service invoked too many times for one day: email.; Run via form trigger as codectechnologies0@gmail.com; Timestamp: Aug 23, 2026 10:32 AM</t>
  </si>
  <si>
    <t>Anurag singh</t>
  </si>
  <si>
    <t>anuragsingh11102004@gmail.com</t>
  </si>
  <si>
    <t xml:space="preserve">Cambridge institute of technology </t>
  </si>
  <si>
    <t>1NSH2QytNHgfXOVgHZM_uG3VhpAsQV4lP</t>
  </si>
  <si>
    <t>https://drive.google.com/file/d/1NSH2QytNHgfXOVgHZM_uG3VhpAsQV4lP/view?usp=drivesdk</t>
  </si>
  <si>
    <t>Document successfully created; Document successfully merged; PDF created; !!Error Sending Emails: Service invoked too many times for one day: email.; Run via form trigger as codectechnologies0@gmail.com; Timestamp: Aug 23, 2026 10:37 AM</t>
  </si>
  <si>
    <t>Sharlee Jain</t>
  </si>
  <si>
    <t>sharleejain4@gmail.com</t>
  </si>
  <si>
    <t xml:space="preserve">Vivekananda Institute of Professional Studies </t>
  </si>
  <si>
    <t>1wD2H5J6flVeXC2keuUZYeaAdNXWF7GWS</t>
  </si>
  <si>
    <t>https://drive.google.com/file/d/1wD2H5J6flVeXC2keuUZYeaAdNXWF7GWS/view?usp=drivesdk</t>
  </si>
  <si>
    <t>Document successfully created; Document successfully merged; PDF created; Emails Sent: [To: sharleejain4@gmail.com]; Run via form trigger as codectechnologies0@gmail.com; Timestamp: Aug 23, 2026 10:39 AM</t>
  </si>
  <si>
    <t>Sarika Navnath Pawar</t>
  </si>
  <si>
    <t>sarikapawar9646@gmail.com</t>
  </si>
  <si>
    <t>Dyansager Institute of management and research pune</t>
  </si>
  <si>
    <t>1TF8ZlrUCA5lq3K7fmUSSrgtl5P2zNC3P</t>
  </si>
  <si>
    <t>https://drive.google.com/file/d/1TF8ZlrUCA5lq3K7fmUSSrgtl5P2zNC3P/view?usp=drivesdk</t>
  </si>
  <si>
    <t>Document successfully created; Document successfully merged; PDF created; Emails Sent: [To: sarikapawar9646@gmail.com]; Run via form trigger as codectechnologies0@gmail.com; Timestamp: Aug 23, 2026 10:40 AM</t>
  </si>
  <si>
    <t>Shiva Mishra</t>
  </si>
  <si>
    <t>findshivamishra11@gmail.com</t>
  </si>
  <si>
    <t>University of Allahabad</t>
  </si>
  <si>
    <t>1wya43ZZeaj-v89RwbhWvdc-POGefNCBK</t>
  </si>
  <si>
    <t>https://drive.google.com/file/d/1wya43ZZeaj-v89RwbhWvdc-POGefNCBK/view?usp=drivesdk</t>
  </si>
  <si>
    <t>Document successfully created; Document successfully merged; PDF created; Emails Sent: [To: findshivamishra11@gmail.com]; Run via form trigger as codectechnologies0@gmail.com; Timestamp: Aug 23, 2026 10:59 AM</t>
  </si>
  <si>
    <t>Chandini Bokka</t>
  </si>
  <si>
    <t>chandu24012007@gmail.com</t>
  </si>
  <si>
    <t>+91 70752 61449</t>
  </si>
  <si>
    <t>KIET Women's</t>
  </si>
  <si>
    <t>1ZKL-ND5I2lUcSH8gklPH0FEk-3eBcNgA</t>
  </si>
  <si>
    <t>https://drive.google.com/file/d/1ZKL-ND5I2lUcSH8gklPH0FEk-3eBcNgA/view?usp=drivesdk</t>
  </si>
  <si>
    <t>Document successfully created; Document successfully merged; PDF created; Emails Sent: [To: chandu24012007@gmail.com]; Run via form trigger as codectechnologies0@gmail.com; Timestamp: Aug 23, 2026 11:00 AM</t>
  </si>
  <si>
    <t>SHAIKH FAISAL</t>
  </si>
  <si>
    <t>Officialsf10@gmail.com</t>
  </si>
  <si>
    <t xml:space="preserve">BANGALORE COLLEGE OF ENGINEERING AND TECHNOLOGY </t>
  </si>
  <si>
    <t>1dJODWBtxMThxkqV0eIXOYFy8muoQnj4s</t>
  </si>
  <si>
    <t>https://drive.google.com/file/d/1dJODWBtxMThxkqV0eIXOYFy8muoQnj4s/view?usp=drivesdk</t>
  </si>
  <si>
    <t>Document successfully created; Document successfully merged; PDF created; Emails Sent: [To: Officialsf10@gmail.com]; Run via form trigger as codectechnologies0@gmail.com; Timestamp: Aug 23, 2026 11:04 AM</t>
  </si>
  <si>
    <t>Manda Srija</t>
  </si>
  <si>
    <t>msrijareddy08@gmail.com</t>
  </si>
  <si>
    <t xml:space="preserve">bharat institute of engineering and technology </t>
  </si>
  <si>
    <t>1XYwt_n5YoOROIlBdzqVodETLGFC5NGhG</t>
  </si>
  <si>
    <t>https://drive.google.com/file/d/1XYwt_n5YoOROIlBdzqVodETLGFC5NGhG/view?usp=drivesdk</t>
  </si>
  <si>
    <t>Document successfully created; Document successfully merged; PDF created; Emails Sent: [To: msrijareddy08@gmail.com]; Run via form trigger as codectechnologies0@gmail.com; Timestamp: Aug 23, 2026 11:11 AM</t>
  </si>
  <si>
    <t>Pavithra. G</t>
  </si>
  <si>
    <t>p30692534@gmail.com</t>
  </si>
  <si>
    <t>Dhanalakshmi Shrinivasan university</t>
  </si>
  <si>
    <t>1c9y0uO2kYhQl6258vf4YEjgAN3gmxM_c</t>
  </si>
  <si>
    <t>https://drive.google.com/file/d/1c9y0uO2kYhQl6258vf4YEjgAN3gmxM_c/view?usp=drivesdk</t>
  </si>
  <si>
    <t>Document successfully created; Document successfully merged; PDF created; Emails Sent: [To: p30692534@gmail.com]; Run via form trigger as codectechnologies0@gmail.com; Timestamp: Aug 23, 2026 11:13 AM</t>
  </si>
  <si>
    <t>Tanu Tiwari</t>
  </si>
  <si>
    <t>tanutiwari239@gmail.com</t>
  </si>
  <si>
    <t>1NzTrKcIgEotXMjA6X4y7mhEEPj-7l-6v</t>
  </si>
  <si>
    <t>https://drive.google.com/file/d/1NzTrKcIgEotXMjA6X4y7mhEEPj-7l-6v/view?usp=drivesdk</t>
  </si>
  <si>
    <t>Document successfully created; Document successfully merged; PDF created; Emails Sent: [To: tanutiwari239@gmail.com]; Run via form trigger as codectechnologies0@gmail.com; Timestamp: Aug 23, 2026 11:15 AM</t>
  </si>
  <si>
    <t>Abhishek Gupta</t>
  </si>
  <si>
    <t>ag00730076@gmail.com</t>
  </si>
  <si>
    <t>Maharishi University Of Information Technology, Lucknow</t>
  </si>
  <si>
    <t>1V5BahTgcNlnVlILGqxuiOpktPWOuwhgV</t>
  </si>
  <si>
    <t>https://drive.google.com/file/d/1V5BahTgcNlnVlILGqxuiOpktPWOuwhgV/view?usp=drivesdk</t>
  </si>
  <si>
    <t>Document successfully created; Document successfully merged; PDF created; Emails Sent: [To: ag00730076@gmail.com]; Run via form trigger as codectechnologies0@gmail.com; Timestamp: Aug 23, 2026 11:16 AM</t>
  </si>
  <si>
    <t>Megha Kushwaha</t>
  </si>
  <si>
    <t>kushwahamegha683@gmail.com</t>
  </si>
  <si>
    <t>St. Aloysius college</t>
  </si>
  <si>
    <t>1HozMo8Gq0gV2t7pP_mm-VnhJTftMOqy3</t>
  </si>
  <si>
    <t>https://drive.google.com/file/d/1HozMo8Gq0gV2t7pP_mm-VnhJTftMOqy3/view?usp=drivesdk</t>
  </si>
  <si>
    <t>Document successfully created; Document successfully merged; PDF created; Emails Sent: [To: kushwahamegha683@gmail.com]; Run via form trigger as codectechnologies0@gmail.com; Timestamp: Aug 23, 2026 11:16 AM</t>
  </si>
  <si>
    <t xml:space="preserve">Wadkar Sunil Manmath </t>
  </si>
  <si>
    <t>wadkarsunil4907@gmail.com</t>
  </si>
  <si>
    <t xml:space="preserve">Kolhapur institute of technology college of engineering Kolhapur </t>
  </si>
  <si>
    <t>1ONW71AwpRpZqVbIqcdb5MRNrcH8cuigz</t>
  </si>
  <si>
    <t>https://drive.google.com/file/d/1ONW71AwpRpZqVbIqcdb5MRNrcH8cuigz/view?usp=drivesdk</t>
  </si>
  <si>
    <t>Document successfully created; Document successfully merged; PDF created; Emails Sent: [To: wadkarsunil4907@gmail.com]; Run via form trigger as codectechnologies0@gmail.com; Timestamp: Aug 23, 2026 11:17 AM</t>
  </si>
  <si>
    <t>Sumit Prakash</t>
  </si>
  <si>
    <t>sumitprakash61@gmail.com</t>
  </si>
  <si>
    <t>RAIT</t>
  </si>
  <si>
    <t>1xzXS0wG-bB_EgfekuSc5roEQV50tGuPG</t>
  </si>
  <si>
    <t>https://drive.google.com/file/d/1xzXS0wG-bB_EgfekuSc5roEQV50tGuPG/view?usp=drivesdk</t>
  </si>
  <si>
    <t>Document successfully created; Document successfully merged; PDF created; Emails Sent: [To: sumitprakash61@gmail.com]; Run via form trigger as codectechnologies0@gmail.com; Timestamp: Aug 23, 2026 11:18 AM</t>
  </si>
  <si>
    <t xml:space="preserve">Hiranmay Nayak </t>
  </si>
  <si>
    <t>hiranmaynayak737@gmail.com</t>
  </si>
  <si>
    <t xml:space="preserve">Seemanta engineering college </t>
  </si>
  <si>
    <t>1tf56PkvlewI-FjGfetIn9uRp23xks-Az</t>
  </si>
  <si>
    <t>https://drive.google.com/file/d/1tf56PkvlewI-FjGfetIn9uRp23xks-Az/view?usp=drivesdk</t>
  </si>
  <si>
    <t>Document successfully created; Document successfully merged; PDF created; Emails Sent: [To: hiranmaynayak737@gmail.com]; Run via form trigger as codectechnologies0@gmail.com; Timestamp: Aug 23, 2026 11:22 AM</t>
  </si>
  <si>
    <t>Anushka Verma</t>
  </si>
  <si>
    <t>anushkaverma2400534@gmail.com</t>
  </si>
  <si>
    <t>Quantum University</t>
  </si>
  <si>
    <t>1huuIFm30nYaAPoK_A6OokpSJ38QaBvFL</t>
  </si>
  <si>
    <t>https://drive.google.com/file/d/1huuIFm30nYaAPoK_A6OokpSJ38QaBvFL/view?usp=drivesdk</t>
  </si>
  <si>
    <t>Document successfully created; Document successfully merged; PDF created; Emails Sent: [To: anushkaverma2400534@gmail.com]; Run via form trigger as codectechnologies0@gmail.com; Timestamp: Aug 23, 2026 11:26 AM</t>
  </si>
  <si>
    <t>Prabhat Kumar Choudhary</t>
  </si>
  <si>
    <t>prabhatkumarchoudhary13055@gmail.com</t>
  </si>
  <si>
    <t xml:space="preserve">Galgotias </t>
  </si>
  <si>
    <t>1vDgPv0OE3Uy4NVPZE1Yd68D398wR0kLe</t>
  </si>
  <si>
    <t>https://drive.google.com/file/d/1vDgPv0OE3Uy4NVPZE1Yd68D398wR0kLe/view?usp=drivesdk</t>
  </si>
  <si>
    <t>Document successfully created; Document successfully merged; PDF created; Emails Sent: [To: prabhatkumarchoudhary13055@gmail.com]; Run via form trigger as codectechnologies0@gmail.com; Timestamp: Aug 23, 2026 11:28 AM</t>
  </si>
  <si>
    <t xml:space="preserve">Kolhapur Institute of technology college of engineering Kolhapur </t>
  </si>
  <si>
    <t>1KcGv2DL87gj0xWndRwJg7cGQzeN1OoZP</t>
  </si>
  <si>
    <t>https://drive.google.com/file/d/1KcGv2DL87gj0xWndRwJg7cGQzeN1OoZP/view?usp=drivesdk</t>
  </si>
  <si>
    <t>Document successfully created; Document successfully merged; PDF created; Emails Sent: [To: wadkarsunil4907@gmail.com]; Run via form trigger as codectechnologies0@gmail.com; Timestamp: Aug 23, 2026 11:28 AM</t>
  </si>
  <si>
    <t>Dr Neha Malav</t>
  </si>
  <si>
    <t>Nscb medical college jabalpur mp.</t>
  </si>
  <si>
    <t>1r0J252fonV2DTyhTzBgCi7k7EgxbfPea</t>
  </si>
  <si>
    <t>https://drive.google.com/file/d/1r0J252fonV2DTyhTzBgCi7k7EgxbfPea/view?usp=drivesdk</t>
  </si>
  <si>
    <t>Document successfully created; Document successfully merged; PDF created; Emails Sent: [To: malavneha855@gmail.com]; Run via form trigger as codectechnologies0@gmail.com; Timestamp: Aug 23, 2026 11:29 AM</t>
  </si>
  <si>
    <t>Twinkle Dwivedi</t>
  </si>
  <si>
    <t>twinkledwivedi504@gmail.com</t>
  </si>
  <si>
    <t>Sikkim Manipal Institute of Technology</t>
  </si>
  <si>
    <t>1wb9tOzGhRSMHgbMRhWTcS91XM8yOZ_3Q</t>
  </si>
  <si>
    <t>https://drive.google.com/file/d/1wb9tOzGhRSMHgbMRhWTcS91XM8yOZ_3Q/view?usp=drivesdk</t>
  </si>
  <si>
    <t>Document successfully created; Document successfully merged; PDF created; Emails Sent: [To: twinkledwivedi504@gmail.com]; Run via form trigger as codectechnologies0@gmail.com; Timestamp: Aug 23, 2026 11:31 AM</t>
  </si>
  <si>
    <t>Sikkim manipal Institute of Technology</t>
  </si>
  <si>
    <t>1EcYoPkpknJFzav-1ydEk_zi0JADE1Z71</t>
  </si>
  <si>
    <t>https://drive.google.com/file/d/1EcYoPkpknJFzav-1ydEk_zi0JADE1Z71/view?usp=drivesdk</t>
  </si>
  <si>
    <t>Document successfully created; Document successfully merged; PDF created; Emails Sent: [To: twinkledwivedi504@gmail.com]; Run via form trigger as codectechnologies0@gmail.com; Timestamp: Aug 23, 2026 11:35 AM</t>
  </si>
  <si>
    <t>BOGA SAI KRISHNA</t>
  </si>
  <si>
    <t>saikrishnaboga040@gmail.com</t>
  </si>
  <si>
    <t>SRI VENKATESWARA UNIVERSITY COLLEGE OF ENGINEERING TIRUPATI</t>
  </si>
  <si>
    <t>1cbU1OukJDH-B3-2mlsk46iD3yyxWptmD</t>
  </si>
  <si>
    <t>https://drive.google.com/file/d/1cbU1OukJDH-B3-2mlsk46iD3yyxWptmD/view?usp=drivesdk</t>
  </si>
  <si>
    <t>Document successfully created; Document successfully merged; PDF created; Emails Sent: [To: saikrishnaboga040@gmail.com]; Run via form trigger as codectechnologies0@gmail.com; Timestamp: Aug 23, 2026 11:38 AM</t>
  </si>
  <si>
    <t xml:space="preserve">Amudala Kalyan babu </t>
  </si>
  <si>
    <t>amudhalakalyan5@gmail.com</t>
  </si>
  <si>
    <t xml:space="preserve">SDHR Degree College </t>
  </si>
  <si>
    <t>17CWNFiA86s5aNWKaVDrsZzytxjlh1MGN</t>
  </si>
  <si>
    <t>https://drive.google.com/file/d/17CWNFiA86s5aNWKaVDrsZzytxjlh1MGN/view?usp=drivesdk</t>
  </si>
  <si>
    <t>Document successfully created; Document successfully merged; PDF created; Emails Sent: [To: amudhalakalyan5@gmail.com]; Run via form trigger as codectechnologies0@gmail.com; Timestamp: Aug 23, 2026 11:41 AM</t>
  </si>
  <si>
    <t>1o3BVh8VqDmzgvIS_Qj-udOQ3uw6R8Y7p</t>
  </si>
  <si>
    <t>https://drive.google.com/file/d/1o3BVh8VqDmzgvIS_Qj-udOQ3uw6R8Y7p/view?usp=drivesdk</t>
  </si>
  <si>
    <t>Document successfully created; Document successfully merged; PDF created; Emails Sent: [To: sakshikumbhar2005@gmail.com]; Run via form trigger as codectechnologies0@gmail.com; Timestamp: Aug 23, 2026 11:47 AM</t>
  </si>
  <si>
    <t xml:space="preserve">Aryan Prajapati </t>
  </si>
  <si>
    <t>aryanprajapati5014@gmail.com</t>
  </si>
  <si>
    <t xml:space="preserve">IILM UNIVERSITY </t>
  </si>
  <si>
    <t>1umDaiAUyM_7iRiHuc7-5JB0-SSoN5XBH</t>
  </si>
  <si>
    <t>https://drive.google.com/file/d/1umDaiAUyM_7iRiHuc7-5JB0-SSoN5XBH/view?usp=drivesdk</t>
  </si>
  <si>
    <t>Document successfully created; Document successfully merged; PDF created; Emails Sent: [To: aryanprajapati5014@gmail.com]; Run via form trigger as codectechnologies0@gmail.com; Timestamp: Aug 23, 2026 11:50 AM</t>
  </si>
  <si>
    <t>Mrigakshy Kalita</t>
  </si>
  <si>
    <t>Sikkim Manipal institute of Technology</t>
  </si>
  <si>
    <t>1SH6ECVGmprIbW5t7f-_L8Cc87nFsviKp</t>
  </si>
  <si>
    <t>https://drive.google.com/file/d/1SH6ECVGmprIbW5t7f-_L8Cc87nFsviKp/view?usp=drivesdk</t>
  </si>
  <si>
    <t>Document successfully created; Document successfully merged; PDF created; Emails Sent: [To: twinkledwivedi504@gmail.com]; Run via form trigger as codectechnologies0@gmail.com; Timestamp: Aug 23, 2026 11:50 AM</t>
  </si>
  <si>
    <t>Utkarsh Yadav</t>
  </si>
  <si>
    <t>utkarshy506@gmail.com</t>
  </si>
  <si>
    <t>SR Institute of Management and Technology</t>
  </si>
  <si>
    <t>1Kjm7Tapp8hhYMZhjFJWdh0neE4nbKRzN</t>
  </si>
  <si>
    <t>https://drive.google.com/file/d/1Kjm7Tapp8hhYMZhjFJWdh0neE4nbKRzN/view?usp=drivesdk</t>
  </si>
  <si>
    <t>Document successfully created; Document successfully merged; PDF created; Emails Sent: [To: utkarshy506@gmail.com]; Run via form trigger as codectechnologies0@gmail.com; Timestamp: Aug 23, 2026 11:57 AM</t>
  </si>
  <si>
    <t xml:space="preserve">Deepanshu </t>
  </si>
  <si>
    <t>deepanshugahlawat09@gmail.com</t>
  </si>
  <si>
    <t xml:space="preserve">Panipat institute of engineering and technology </t>
  </si>
  <si>
    <t>1PfuSRuJN5oAuhkkVo6ClcypTAu0AXfJj</t>
  </si>
  <si>
    <t>https://drive.google.com/file/d/1PfuSRuJN5oAuhkkVo6ClcypTAu0AXfJj/view?usp=drivesdk</t>
  </si>
  <si>
    <t>Document successfully created; Document successfully merged; PDF created; Emails Sent: [To: deepanshugahlawat09@gmail.com]; Run via form trigger as codectechnologies0@gmail.com; Timestamp: Aug 23, 2026 12:08 PM</t>
  </si>
  <si>
    <t xml:space="preserve">saurav kumar sinha </t>
  </si>
  <si>
    <t>sauravsinha8294@gmail.com</t>
  </si>
  <si>
    <t xml:space="preserve">global institute of technology and management, farukhnagar , gurugram </t>
  </si>
  <si>
    <t>1keUcYYHgtByFC-XnuuEw8VZFJv_IWhTk</t>
  </si>
  <si>
    <t>https://drive.google.com/file/d/1keUcYYHgtByFC-XnuuEw8VZFJv_IWhTk/view?usp=drivesdk</t>
  </si>
  <si>
    <t>Document successfully created; Document successfully merged; PDF created; Emails Sent: [To: sauravsinha8294@gmail.com]; Run via form trigger as codectechnologies0@gmail.com; Timestamp: Aug 23, 2026 12:08 PM</t>
  </si>
  <si>
    <t>1R2FKQplTup4fsq1LL7Tk2EbSvTE_TIAP</t>
  </si>
  <si>
    <t>https://drive.google.com/file/d/1R2FKQplTup4fsq1LL7Tk2EbSvTE_TIAP/view?usp=drivesdk</t>
  </si>
  <si>
    <t>Document successfully created; Document successfully merged; PDF created; Emails Sent: [To: utkarshy506@gmail.com]; Run via form trigger as codectechnologies0@gmail.com; Timestamp: Aug 23, 2026 12:08 PM</t>
  </si>
  <si>
    <t xml:space="preserve">LAXMAN KUMAR GUPTA </t>
  </si>
  <si>
    <t>256320057@gkv.ac.in</t>
  </si>
  <si>
    <t xml:space="preserve">GURUKULA KANGRI VISHWAVIDYALAYA </t>
  </si>
  <si>
    <t>1FpQESBXjKdQqaQBjyr3uQlyrrC4HQiuS</t>
  </si>
  <si>
    <t>https://drive.google.com/file/d/1FpQESBXjKdQqaQBjyr3uQlyrrC4HQiuS/view?usp=drivesdk</t>
  </si>
  <si>
    <t>Document successfully created; Document successfully merged; PDF created; Emails Sent: [To: 256320057@gkv.ac.in]; Run via form trigger as codectechnologies0@gmail.com; Timestamp: Aug 23, 2026 12:13 PM</t>
  </si>
  <si>
    <t>JEEVAN H S</t>
  </si>
  <si>
    <t>jeevanhs821@gmail.com</t>
  </si>
  <si>
    <t>Dr. Sri Sri Sri Shivakumara Mahaswamy College of Engineering</t>
  </si>
  <si>
    <t>AICTE/Indeed, Other</t>
  </si>
  <si>
    <t>1F2tMUhvC8SkbigT-IlLNAPXKxCkuok1U</t>
  </si>
  <si>
    <t>https://drive.google.com/file/d/1F2tMUhvC8SkbigT-IlLNAPXKxCkuok1U/view?usp=drivesdk</t>
  </si>
  <si>
    <t>Document successfully created; Document successfully merged; PDF created; Emails Sent: [To: jeevanhs821@gmail.com]; Run via form trigger as codectechnologies0@gmail.com; Timestamp: Aug 23, 2026 12:16 PM</t>
  </si>
  <si>
    <t>Justin P</t>
  </si>
  <si>
    <t>pjustin25@jnn.edu.in</t>
  </si>
  <si>
    <t xml:space="preserve">J.n.n institute of engineering </t>
  </si>
  <si>
    <t>1W-I44D6f0S6GXBFH_pVHJtIqH8WMbb_k</t>
  </si>
  <si>
    <t>https://drive.google.com/file/d/1W-I44D6f0S6GXBFH_pVHJtIqH8WMbb_k/view?usp=drivesdk</t>
  </si>
  <si>
    <t>Document successfully created; Document successfully merged; PDF created; Emails Sent: [To: pjustin25@jnn.edu.in]; Run via form trigger as codectechnologies0@gmail.com; Timestamp: Aug 23, 2026 12:23 PM</t>
  </si>
  <si>
    <t>Sumit Jain</t>
  </si>
  <si>
    <t>sumitjain2038@gmail.com</t>
  </si>
  <si>
    <t>Samrat Ashok Technological Institute, Vidisha</t>
  </si>
  <si>
    <t>1KUxIWo_WhfdUp8mE46y8T7CDlU1lN7BA</t>
  </si>
  <si>
    <t>https://drive.google.com/file/d/1KUxIWo_WhfdUp8mE46y8T7CDlU1lN7BA/view?usp=drivesdk</t>
  </si>
  <si>
    <t>Document successfully created; Document successfully merged; PDF created; Emails Sent: [To: sumitjain2038@gmail.com]; Run via form trigger as codectechnologies0@gmail.com; Timestamp: Aug 23, 2026 12:27 PM</t>
  </si>
  <si>
    <t>Tanishk More</t>
  </si>
  <si>
    <t>Robotics &amp; Automation Intern</t>
  </si>
  <si>
    <t>tanishkmore2103@gmail.com</t>
  </si>
  <si>
    <t>KK Wagh institute of engineering education and research</t>
  </si>
  <si>
    <t>1sm31JIoaR63elCi8yVOgC5CY9kQ1887J</t>
  </si>
  <si>
    <t>https://drive.google.com/file/d/1sm31JIoaR63elCi8yVOgC5CY9kQ1887J/view?usp=drivesdk</t>
  </si>
  <si>
    <t>Document successfully created; Document successfully merged; PDF created; Emails Sent: [To: tanishkmore2103@gmail.com]; Run via form trigger as codectechnologies0@gmail.com; Timestamp: Aug 23, 2026 12:45 PM</t>
  </si>
  <si>
    <t>Aditya kumar</t>
  </si>
  <si>
    <t>adityakumar280206@gmail.com</t>
  </si>
  <si>
    <t xml:space="preserve">Amity university lucknow </t>
  </si>
  <si>
    <t>1BDVSUNL5idYVNlJ6QZmQAvbv-WUVuBo2</t>
  </si>
  <si>
    <t>https://drive.google.com/file/d/1BDVSUNL5idYVNlJ6QZmQAvbv-WUVuBo2/view?usp=drivesdk</t>
  </si>
  <si>
    <t>Document successfully created; Document successfully merged; PDF created; Emails Sent: [To: adityakumar280206@gmail.com]; Run via form trigger as codectechnologies0@gmail.com; Timestamp: Aug 23, 2026 12:46 PM</t>
  </si>
  <si>
    <t xml:space="preserve">Kosuri jahnavi </t>
  </si>
  <si>
    <t>btwimbhargav@gmail.com</t>
  </si>
  <si>
    <t xml:space="preserve">Avanthi institute of engineering and technology Hyderabad </t>
  </si>
  <si>
    <t>1GTgEhDDrpIAJScH78Pdg2s9qDBsrE-ZN</t>
  </si>
  <si>
    <t>https://drive.google.com/file/d/1GTgEhDDrpIAJScH78Pdg2s9qDBsrE-ZN/view?usp=drivesdk</t>
  </si>
  <si>
    <t>Document successfully created; Document successfully merged; PDF created; Emails Sent: [To: btwimbhargav@gmail.com]; Run via form trigger as codectechnologies0@gmail.com; Timestamp: Aug 23, 2026 1:07 PM</t>
  </si>
  <si>
    <t>Sayan Kumar Bar</t>
  </si>
  <si>
    <t>250314100159@cutm.ac.in</t>
  </si>
  <si>
    <t>Centurion University Of Technology And management, Bhubaneswar</t>
  </si>
  <si>
    <t>1H2g74NMOgEHWE6rAqVSAdeMG5AJ0fC_x</t>
  </si>
  <si>
    <t>https://drive.google.com/file/d/1H2g74NMOgEHWE6rAqVSAdeMG5AJ0fC_x/view?usp=drivesdk</t>
  </si>
  <si>
    <t>Document successfully created; Document successfully merged; PDF created; Emails Sent: [To: 250314100159@cutm.ac.in]; Run via form trigger as codectechnologies0@gmail.com; Timestamp: Aug 23, 2026 1:07 PM</t>
  </si>
  <si>
    <t>Soumyadip Chakraborty</t>
  </si>
  <si>
    <t>250314100135@cutm.ac.in</t>
  </si>
  <si>
    <t>Centurion University Of Technolgy &amp; Management, Bhubaneswar</t>
  </si>
  <si>
    <t>17WurFJ6QYg4Luopgot5DCcgVJWkB9cfg</t>
  </si>
  <si>
    <t>https://drive.google.com/file/d/17WurFJ6QYg4Luopgot5DCcgVJWkB9cfg/view?usp=drivesdk</t>
  </si>
  <si>
    <t>Document successfully created; Document successfully merged; PDF created; Emails Sent: [To: 250314100135@cutm.ac.in]; Run via form trigger as codectechnologies0@gmail.com; Timestamp: Aug 23, 2026 1:11 PM</t>
  </si>
  <si>
    <t xml:space="preserve">Niharika Singh </t>
  </si>
  <si>
    <t>contactniharikasingh08@gmail.com</t>
  </si>
  <si>
    <t xml:space="preserve">Buddha Institute Of Technology </t>
  </si>
  <si>
    <t>1RhH1uvUElRD3QbeY3K2a92qlWFCULgxy</t>
  </si>
  <si>
    <t>https://drive.google.com/file/d/1RhH1uvUElRD3QbeY3K2a92qlWFCULgxy/view?usp=drivesdk</t>
  </si>
  <si>
    <t>Document successfully created; Document successfully merged; PDF created; Emails Sent: [To: contactniharikasingh08@gmail.com]; Run via form trigger as codectechnologies0@gmail.com; Timestamp: Aug 23, 2026 1:12 PM</t>
  </si>
  <si>
    <t>RAVI PRAKASH KUMAR</t>
  </si>
  <si>
    <t>raviprakashkumar795@gmail.com</t>
  </si>
  <si>
    <t>VIVEKANANDA GLOBAL UNIVERSITY</t>
  </si>
  <si>
    <t>16nq0tAhq6PJzIAA3D0tg9XXG7PsE5HFH</t>
  </si>
  <si>
    <t>https://drive.google.com/file/d/16nq0tAhq6PJzIAA3D0tg9XXG7PsE5HFH/view?usp=drivesdk</t>
  </si>
  <si>
    <t>Document successfully created; Document successfully merged; PDF created; Emails Sent: [To: raviprakashkumar795@gmail.com]; Run via form trigger as codectechnologies0@gmail.com; Timestamp: Aug 23, 2026 1:14 PM</t>
  </si>
  <si>
    <t>Ganesh Adav</t>
  </si>
  <si>
    <t>ganeshadav15@gmail.com</t>
  </si>
  <si>
    <t>matoshri institute of technology, Dhanore, Yeola</t>
  </si>
  <si>
    <t>1Ft__0M16igomhppA-Q2_5oqGf4N2p30N</t>
  </si>
  <si>
    <t>https://drive.google.com/file/d/1Ft__0M16igomhppA-Q2_5oqGf4N2p30N/view?usp=drivesdk</t>
  </si>
  <si>
    <t>Document successfully created; Document successfully merged; PDF created; Emails Sent: [To: ganeshadav15@gmail.com]; Run via form trigger as codectechnologies0@gmail.com; Timestamp: Aug 23, 2026 1:16 PM</t>
  </si>
  <si>
    <t>Ayush Dewangan</t>
  </si>
  <si>
    <t>ayushdewangan0410@gmail.com</t>
  </si>
  <si>
    <t>Amity University Chhattisgarh</t>
  </si>
  <si>
    <t>1578ImXb8Fs_vnIQMIZNvKiLG6NVt0c0o</t>
  </si>
  <si>
    <t>https://drive.google.com/file/d/1578ImXb8Fs_vnIQMIZNvKiLG6NVt0c0o/view?usp=drivesdk</t>
  </si>
  <si>
    <t>Document successfully created; Document successfully merged; PDF created; Emails Sent: [To: ayushdewangan0410@gmail.com]; Run via form trigger as codectechnologies0@gmail.com; Timestamp: Aug 23, 2026 1:18 PM</t>
  </si>
  <si>
    <t>1oFu6IpSZh_MZleECFFYOvLsJdBBhHkJ0</t>
  </si>
  <si>
    <t>https://drive.google.com/file/d/1oFu6IpSZh_MZleECFFYOvLsJdBBhHkJ0/view?usp=drivesdk</t>
  </si>
  <si>
    <t>Document successfully created; Document successfully merged; PDF created; Emails Sent: [To: contactniharikasingh08@gmail.com]; Run via form trigger as codectechnologies0@gmail.com; Timestamp: Aug 23, 2026 1:19 PM</t>
  </si>
  <si>
    <t xml:space="preserve">JEEVAN H S </t>
  </si>
  <si>
    <t xml:space="preserve">Dr SRI SRI SRI Shivakumar Mahaswamy College of Engineering ngineering </t>
  </si>
  <si>
    <t>1aLAE1W5qDrxNCmC_0QRWHGoCsMUHK8Yy</t>
  </si>
  <si>
    <t>https://drive.google.com/file/d/1aLAE1W5qDrxNCmC_0QRWHGoCsMUHK8Yy/view?usp=drivesdk</t>
  </si>
  <si>
    <t>Document successfully created; Document successfully merged; PDF created; Emails Sent: [To: jeevanhs821@gmail.com]; Run via form trigger as codectechnologies0@gmail.com; Timestamp: Aug 23, 2026 1:29 PM</t>
  </si>
  <si>
    <t>Alok Kumar Singh</t>
  </si>
  <si>
    <t>alok921470@gmail.com</t>
  </si>
  <si>
    <t>IILM UNIVERSITY GREATER NOIDA</t>
  </si>
  <si>
    <t>13BWoBe-5jzCeyvX9NLNOgChXfrcKpos4</t>
  </si>
  <si>
    <t>https://drive.google.com/file/d/13BWoBe-5jzCeyvX9NLNOgChXfrcKpos4/view?usp=drivesdk</t>
  </si>
  <si>
    <t>Document successfully created; Document successfully merged; PDF created; Emails Sent: [To: alok921470@gmail.com]; Run via form trigger as codectechnologies0@gmail.com; Timestamp: Aug 23, 2026 1:30 PM</t>
  </si>
  <si>
    <t xml:space="preserve">Thete Srushti Babasaheb </t>
  </si>
  <si>
    <t>srushtithete9967@gmail.com</t>
  </si>
  <si>
    <t xml:space="preserve">Pravara Rural Engineering College Loni </t>
  </si>
  <si>
    <t>117dnUPe8x920h3JO-4PkdVI_9m_bGMSa</t>
  </si>
  <si>
    <t>https://drive.google.com/file/d/117dnUPe8x920h3JO-4PkdVI_9m_bGMSa/view?usp=drivesdk</t>
  </si>
  <si>
    <t>Document successfully created; Document successfully merged; PDF created; Emails Sent: [To: srushtithete9967@gmail.com]; Run via form trigger as codectechnologies0@gmail.com; Timestamp: Aug 23, 2026 1:31 PM</t>
  </si>
  <si>
    <t>Nitin Kharte</t>
  </si>
  <si>
    <t>nitinkharte03@gmail.com</t>
  </si>
  <si>
    <t>+91 93021 70534</t>
  </si>
  <si>
    <t>Shri G.S Institute of Technology And Science Indore</t>
  </si>
  <si>
    <t>1foEfXW-cXlkL3607jFblGQuuOP0b1y8a</t>
  </si>
  <si>
    <t>https://drive.google.com/file/d/1foEfXW-cXlkL3607jFblGQuuOP0b1y8a/view?usp=drivesdk</t>
  </si>
  <si>
    <t>Document successfully created; Document successfully merged; PDF created; Emails Sent: [To: nitinkharte03@gmail.com]; Run via form trigger as codectechnologies0@gmail.com; Timestamp: Aug 23, 2026 1:33 PM</t>
  </si>
  <si>
    <t>Sakshi Raju Chaugule</t>
  </si>
  <si>
    <t>MIT Academy Of Engineering, Aalandi</t>
  </si>
  <si>
    <t>1aogyBpbArL6M2PooA-D388K5DsfXtBCE</t>
  </si>
  <si>
    <t>https://drive.google.com/file/d/1aogyBpbArL6M2PooA-D388K5DsfXtBCE/view?usp=drivesdk</t>
  </si>
  <si>
    <t>Document successfully created; Document successfully merged; PDF created; Emails Sent: [To: sakshichaugule0308@gmail.com]; Run via form trigger as codectechnologies0@gmail.com; Timestamp: Aug 23, 2026 1:35 PM</t>
  </si>
  <si>
    <t>Sumit</t>
  </si>
  <si>
    <t>sumit9991447850@gmail.com</t>
  </si>
  <si>
    <t xml:space="preserve">Manav rachna university </t>
  </si>
  <si>
    <t>1FrcE5mTUWNN7Z6_eF4YqQDnRGP-pCvPg</t>
  </si>
  <si>
    <t>https://drive.google.com/file/d/1FrcE5mTUWNN7Z6_eF4YqQDnRGP-pCvPg/view?usp=drivesdk</t>
  </si>
  <si>
    <t>Document successfully created; Document successfully merged; PDF created; Emails Sent: [To: sumit9991447850@gmail.com]; Run via form trigger as codectechnologies0@gmail.com; Timestamp: Aug 23, 2026 1:43 PM</t>
  </si>
  <si>
    <t>Satyam Kumar</t>
  </si>
  <si>
    <t>satyamk.1507@gmail.com</t>
  </si>
  <si>
    <t>Noida Institute of Engineering &amp; Technology</t>
  </si>
  <si>
    <t>1_NbdupD_REDLykpPaAphsLNXK8TjzhQF</t>
  </si>
  <si>
    <t>https://drive.google.com/file/d/1_NbdupD_REDLykpPaAphsLNXK8TjzhQF/view?usp=drivesdk</t>
  </si>
  <si>
    <t>Document successfully created; Document successfully merged; PDF created; Emails Sent: [To: satyamk.1507@gmail.com]; Run via form trigger as codectechnologies0@gmail.com; Timestamp: Aug 23, 2026 1:51 PM</t>
  </si>
  <si>
    <t>Sirimala Madhavi</t>
  </si>
  <si>
    <t>venusunnyishu@gmail.com</t>
  </si>
  <si>
    <t xml:space="preserve">Mohan Babu University </t>
  </si>
  <si>
    <t>1G8W3WlYz430kAXqHd-EqQjVlscaqI0vL</t>
  </si>
  <si>
    <t>https://drive.google.com/file/d/1G8W3WlYz430kAXqHd-EqQjVlscaqI0vL/view?usp=drivesdk</t>
  </si>
  <si>
    <t>Document successfully created; Document successfully merged; PDF created; Emails Sent: [To: venusunnyishu@gmail.com]; Run via form trigger as codectechnologies0@gmail.com; Timestamp: Aug 23, 2026 1:55 PM</t>
  </si>
  <si>
    <t>Jayasree Sundarasekar</t>
  </si>
  <si>
    <t>jaysde26@gmail.com</t>
  </si>
  <si>
    <t>SRM University</t>
  </si>
  <si>
    <t>1iweSuw6aaythJCb1WbZwy8IkaTnNy0QO</t>
  </si>
  <si>
    <t>https://drive.google.com/file/d/1iweSuw6aaythJCb1WbZwy8IkaTnNy0QO/view?usp=drivesdk</t>
  </si>
  <si>
    <t>Document successfully created; Document successfully merged; PDF created; Emails Sent: [To: jaysde26@gmail.com]; Run via form trigger as codectechnologies0@gmail.com; Timestamp: Aug 23, 2026 1:56 PM</t>
  </si>
  <si>
    <t>DHANASHRI  BALASAHEB KARAD</t>
  </si>
  <si>
    <t>dhanashrikarad11@gmail.com</t>
  </si>
  <si>
    <t>07412811212</t>
  </si>
  <si>
    <t>Progressive Education Society Modern College of Engineering</t>
  </si>
  <si>
    <t>1sXrOIH9jh5Z2J9It2Ng4AvOEY-4By6s9</t>
  </si>
  <si>
    <t>https://drive.google.com/file/d/1sXrOIH9jh5Z2J9It2Ng4AvOEY-4By6s9/view?usp=drivesdk</t>
  </si>
  <si>
    <t>Document successfully created; Document successfully merged; PDF created; Emails Sent: [To: dhanashrikarad11@gmail.com]; Run via form trigger as codectechnologies0@gmail.com; Timestamp: Aug 23, 2026 1:57 PM</t>
  </si>
  <si>
    <t>vansh sharma</t>
  </si>
  <si>
    <t>vansh.25scs1003004687@iilm.edu</t>
  </si>
  <si>
    <t xml:space="preserve">iilm university </t>
  </si>
  <si>
    <t>1k1p3PvJHJ0RAiDz4Nnm3HlJFzY0XOM7n</t>
  </si>
  <si>
    <t>https://drive.google.com/file/d/1k1p3PvJHJ0RAiDz4Nnm3HlJFzY0XOM7n/view?usp=drivesdk</t>
  </si>
  <si>
    <t>Document successfully created; Document successfully merged; PDF created; Emails Sent: [To: vansh.25scs1003004687@iilm.edu]; Run via form trigger as codectechnologies0@gmail.com; Timestamp: Aug 23, 2026 2:07 PM</t>
  </si>
  <si>
    <t>Rajat Kumar</t>
  </si>
  <si>
    <t>business.rajatkumar2004@gmail.com</t>
  </si>
  <si>
    <t>+918862853001</t>
  </si>
  <si>
    <t>Uttranchal University</t>
  </si>
  <si>
    <t>1fXIO1OQF9NB3ojDu7lIylXXkvW2Pvxq7</t>
  </si>
  <si>
    <t>https://drive.google.com/file/d/1fXIO1OQF9NB3ojDu7lIylXXkvW2Pvxq7/view?usp=drivesdk</t>
  </si>
  <si>
    <t>Document successfully created; Document successfully merged; PDF created; Emails Sent: [To: business.rajatkumar2004@gmail.com]; Run via form trigger as codectechnologies0@gmail.com; Timestamp: Aug 23, 2026 2:08 PM</t>
  </si>
  <si>
    <t>11e2y102vCbxeF-DOKuTeliu1NSNkCKGf</t>
  </si>
  <si>
    <t>https://drive.google.com/file/d/11e2y102vCbxeF-DOKuTeliu1NSNkCKGf/view?usp=drivesdk</t>
  </si>
  <si>
    <t>Document successfully created; Document successfully merged; PDF created; Emails Sent: [To: hiranmaynayak737@gmail.com]; Run via form trigger as codectechnologies0@gmail.com; Timestamp: Aug 23, 2026 2:09 PM</t>
  </si>
  <si>
    <t>1qC5hgyrrUdbOM1qXftqbjskog7oLBwS_</t>
  </si>
  <si>
    <t>https://drive.google.com/file/d/1qC5hgyrrUdbOM1qXftqbjskog7oLBwS_/view?usp=drivesdk</t>
  </si>
  <si>
    <t>Document successfully created; Document successfully merged; PDF created; Emails Sent: [To: business.rajatkumar2004@gmail.com]; Run via form trigger as codectechnologies0@gmail.com; Timestamp: Aug 23, 2026 2:19 PM</t>
  </si>
  <si>
    <t>Gagandeep Singh</t>
  </si>
  <si>
    <t>gagandeep.singh1073@gmail.com</t>
  </si>
  <si>
    <t>Manav Rachna International Institute Of Research And Studies</t>
  </si>
  <si>
    <t>1pVuXKIfy2Zhei5D4z3BhZ3juIL9nVIl1</t>
  </si>
  <si>
    <t>https://drive.google.com/file/d/1pVuXKIfy2Zhei5D4z3BhZ3juIL9nVIl1/view?usp=drivesdk</t>
  </si>
  <si>
    <t>Document successfully created; Document successfully merged; PDF created; Emails Sent: [To: gagandeep.singh1073@gmail.com]; Run via form trigger as codectechnologies0@gmail.com; Timestamp: Aug 23, 2026 2:21 PM</t>
  </si>
  <si>
    <t>Sarthak Chavanke</t>
  </si>
  <si>
    <t>sarthakchavanke262@gmail.com</t>
  </si>
  <si>
    <t>Sanjay ghodawat university kolhapur</t>
  </si>
  <si>
    <t>Instagram, Friend</t>
  </si>
  <si>
    <t>18DBzzlG2w-5zGh4xnGguzsvChG7SVMyz</t>
  </si>
  <si>
    <t>https://drive.google.com/file/d/18DBzzlG2w-5zGh4xnGguzsvChG7SVMyz/view?usp=drivesdk</t>
  </si>
  <si>
    <t>Document successfully created; Document successfully merged; PDF created; Emails Sent: [To: sarthakchavanke262@gmail.com]; Run via form trigger as codectechnologies0@gmail.com; Timestamp: Aug 23, 2026 2:41 PM</t>
  </si>
  <si>
    <t>Himanshu Sharma</t>
  </si>
  <si>
    <t>himanshu.sharma.domain@gmail.com</t>
  </si>
  <si>
    <t>Galgotia College Of Engineering and Technology</t>
  </si>
  <si>
    <t>1apOjqxq45YFhgfyWVWvSYvialc0Ld9lz</t>
  </si>
  <si>
    <t>https://drive.google.com/file/d/1apOjqxq45YFhgfyWVWvSYvialc0Ld9lz/view?usp=drivesdk</t>
  </si>
  <si>
    <t>Document successfully created; Document successfully merged; PDF created; Emails Sent: [To: himanshu.sharma.domain@gmail.com]; Run via form trigger as codectechnologies0@gmail.com; Timestamp: Aug 23, 2026 2:44 PM</t>
  </si>
  <si>
    <t>Arin Srivastava</t>
  </si>
  <si>
    <t>arinsrivastava492@gmail.com</t>
  </si>
  <si>
    <t>JECRC Foundation</t>
  </si>
  <si>
    <t>14Bnqzguec44JIXkeaeGCNkHXBciCPKqN</t>
  </si>
  <si>
    <t>https://drive.google.com/file/d/14Bnqzguec44JIXkeaeGCNkHXBciCPKqN/view?usp=drivesdk</t>
  </si>
  <si>
    <t>Document successfully created; Document successfully merged; PDF created; Emails Sent: [To: arinsrivastava492@gmail.com]; Run via form trigger as codectechnologies0@gmail.com; Timestamp: Aug 23, 2026 2:47 PM</t>
  </si>
  <si>
    <t xml:space="preserve">Mohd ummid haider </t>
  </si>
  <si>
    <t>ummidhaider06@gmail.com</t>
  </si>
  <si>
    <t xml:space="preserve">Accurate institute of management and technology </t>
  </si>
  <si>
    <t>1COXUJ5iZFYCqpcpLC4YVMSYxZSwA8Yu3</t>
  </si>
  <si>
    <t>https://drive.google.com/file/d/1COXUJ5iZFYCqpcpLC4YVMSYxZSwA8Yu3/view?usp=drivesdk</t>
  </si>
  <si>
    <t>Document successfully created; Document successfully merged; PDF created; Emails Sent: [To: ummidhaider06@gmail.com]; Run via form trigger as codectechnologies0@gmail.com; Timestamp: Aug 23, 2026 3:09 PM</t>
  </si>
  <si>
    <t>Nitin Gupta</t>
  </si>
  <si>
    <t>nitinnftw@gmail.com</t>
  </si>
  <si>
    <t>12Y8Hm0tnWlVzDieUSlZYG1UIoTiDSTQ8</t>
  </si>
  <si>
    <t>https://drive.google.com/file/d/12Y8Hm0tnWlVzDieUSlZYG1UIoTiDSTQ8/view?usp=drivesdk</t>
  </si>
  <si>
    <t>Document successfully created; Document successfully merged; PDF created; Emails Sent: [To: nitinnftw@gmail.com]; Run via form trigger as codectechnologies0@gmail.com; Timestamp: Aug 23, 2026 3:10 PM</t>
  </si>
  <si>
    <t>Ojasvi Sharma</t>
  </si>
  <si>
    <t>sharmaojasvi.22@gmail.com</t>
  </si>
  <si>
    <t>Sikkim Manipal Institute Of Technology</t>
  </si>
  <si>
    <t>1sHUtkqcOREPSGBPWQaF5U9KXAPhvRJJH</t>
  </si>
  <si>
    <t>https://drive.google.com/file/d/1sHUtkqcOREPSGBPWQaF5U9KXAPhvRJJH/view?usp=drivesdk</t>
  </si>
  <si>
    <t>Document successfully created; Document successfully merged; PDF created; Emails Sent: [To: sharmaojasvi.22@gmail.com]; Run via form trigger as codectechnologies0@gmail.com; Timestamp: Aug 23, 2026 3:16 PM</t>
  </si>
  <si>
    <t>1--Q-GESSFXWLeXZlpwpcTEsxq1xfNHUv</t>
  </si>
  <si>
    <t>https://drive.google.com/file/d/1--Q-GESSFXWLeXZlpwpcTEsxq1xfNHUv/view?usp=drivesdk</t>
  </si>
  <si>
    <t>Document successfully created; Document successfully merged; PDF created; Emails Sent: [To: ummidhaider06@gmail.com]; Run via form trigger as codectechnologies0@gmail.com; Timestamp: Aug 23, 2026 3:16 PM</t>
  </si>
  <si>
    <t>1rH_AjOdZ0R-V2YwP8BF0zMWGxNfYO21Y</t>
  </si>
  <si>
    <t>https://drive.google.com/file/d/1rH_AjOdZ0R-V2YwP8BF0zMWGxNfYO21Y/view?usp=drivesdk</t>
  </si>
  <si>
    <t>Document successfully created; Document successfully merged; PDF created; Emails Sent: [To: ummidhaider06@gmail.com]; Run via form trigger as codectechnologies0@gmail.com; Timestamp: Aug 23, 2026 3:26 PM</t>
  </si>
  <si>
    <t xml:space="preserve">Golu kumar </t>
  </si>
  <si>
    <t>rajveergolu9735alex@gmail.com</t>
  </si>
  <si>
    <t xml:space="preserve">Ambalika Institute of Higher Education </t>
  </si>
  <si>
    <t>LinkedIn, Instagram</t>
  </si>
  <si>
    <t>1_bER7fwYJ1MHkktVp_7JaH0eWUpABaIs</t>
  </si>
  <si>
    <t>https://drive.google.com/file/d/1_bER7fwYJ1MHkktVp_7JaH0eWUpABaIs/view?usp=drivesdk</t>
  </si>
  <si>
    <t>Document successfully created; Document successfully merged; PDF created; Emails Sent: [To: rajveergolu9735alex@gmail.com]; Run via form trigger as codectechnologies0@gmail.com; Timestamp: Aug 23, 2026 3:59 PM</t>
  </si>
  <si>
    <t>Gaurav Kumar Pandey</t>
  </si>
  <si>
    <t>amanguptainfomail@gmail.com</t>
  </si>
  <si>
    <t>Dev Bhoomi Uttarakhand University</t>
  </si>
  <si>
    <t>15QkJ-bgR2CEHlKXfd3ze1ez_6zIE_jkE</t>
  </si>
  <si>
    <t>https://drive.google.com/file/d/15QkJ-bgR2CEHlKXfd3ze1ez_6zIE_jkE/view?usp=drivesdk</t>
  </si>
  <si>
    <t>Document successfully created; Document successfully merged; PDF created; Emails Sent: [To: amanguptainfomail@gmail.com]; Run via form trigger as codectechnologies0@gmail.com; Timestamp: Aug 23, 2026 4:06 PM</t>
  </si>
  <si>
    <t>Ramya Durgam</t>
  </si>
  <si>
    <t>ramyadurgam10@gmail.com</t>
  </si>
  <si>
    <t>Mallareddy College of Engineering and Technology</t>
  </si>
  <si>
    <t>1t5y5giFqUqKhKxaFKYHCPAdI66jTzPo7</t>
  </si>
  <si>
    <t>https://drive.google.com/file/d/1t5y5giFqUqKhKxaFKYHCPAdI66jTzPo7/view?usp=drivesdk</t>
  </si>
  <si>
    <t>Document successfully created; Document successfully merged; PDF created; Emails Sent: [To: ramyadurgam10@gmail.com]; Run via form trigger as codectechnologies0@gmail.com; Timestamp: Aug 23, 2026 4:07 PM</t>
  </si>
  <si>
    <t>Anushka Kumari</t>
  </si>
  <si>
    <t>anushkak191@gmail.com</t>
  </si>
  <si>
    <t>IIT (BHU) Varanasi</t>
  </si>
  <si>
    <t>15ErQev4y8ZVOMJyZdjU8RlHLRa3eubuA</t>
  </si>
  <si>
    <t>https://drive.google.com/file/d/15ErQev4y8ZVOMJyZdjU8RlHLRa3eubuA/view?usp=drivesdk</t>
  </si>
  <si>
    <t>Document successfully created; Document successfully merged; PDF created; Emails Sent: [To: anushkak191@gmail.com]; Run via form trigger as codectechnologies0@gmail.com; Timestamp: Aug 23, 2026 4:29 PM</t>
  </si>
  <si>
    <t>Sourabh Jaiswal</t>
  </si>
  <si>
    <t>sourabhjaiswal0808@gmail.com</t>
  </si>
  <si>
    <t xml:space="preserve">Ips academy </t>
  </si>
  <si>
    <t>1cOV82p6OZDn9bsvpBEASOZWQKrECvYLN</t>
  </si>
  <si>
    <t>https://drive.google.com/file/d/1cOV82p6OZDn9bsvpBEASOZWQKrECvYLN/view?usp=drivesdk</t>
  </si>
  <si>
    <t>Document successfully created; Document successfully merged; PDF created; Emails Sent: [To: sourabhjaiswal0808@gmail.com]; Run via form trigger as codectechnologies0@gmail.com; Timestamp: Aug 23, 2026 5:42 PM</t>
  </si>
  <si>
    <t>Ayush Anand</t>
  </si>
  <si>
    <t>anandayush8540@gmail.com</t>
  </si>
  <si>
    <t>Sikkim Manipal Institute of Technology, Majhitar, Sikkim</t>
  </si>
  <si>
    <t>1DVa6iQmfeKFo_veOij-DLmFKSu7oIZf9</t>
  </si>
  <si>
    <t>https://drive.google.com/file/d/1DVa6iQmfeKFo_veOij-DLmFKSu7oIZf9/view?usp=drivesdk</t>
  </si>
  <si>
    <t>Document successfully created; Document successfully merged; PDF created; Emails Sent: [To: anandayush8540@gmail.com]; Run via form trigger as codectechnologies0@gmail.com; Timestamp: Aug 23, 2026 6:45 PM</t>
  </si>
  <si>
    <t>SANDHYA S</t>
  </si>
  <si>
    <t>sandhyascs40@gmail.com</t>
  </si>
  <si>
    <t xml:space="preserve">R.M.K. Engineering college </t>
  </si>
  <si>
    <t>1hlbSQ7eMW5mtxnJzGPlsvihg_PBVldxR</t>
  </si>
  <si>
    <t>https://drive.google.com/file/d/1hlbSQ7eMW5mtxnJzGPlsvihg_PBVldxR/view?usp=drivesdk</t>
  </si>
  <si>
    <t>Document successfully created; Document successfully merged; PDF created; Emails Sent: [To: sandhyascs40@gmail.com]; Run via form trigger as codectechnologies0@gmail.com; Timestamp: Aug 23, 2026 8:43 PM</t>
  </si>
  <si>
    <t>Ritesh Sharma</t>
  </si>
  <si>
    <t>Bakliwal Foundation College</t>
  </si>
  <si>
    <t>1rJacEm6HTiX3eCQhSiQtD3d-4KQ7nYas</t>
  </si>
  <si>
    <t>https://drive.google.com/file/d/1rJacEm6HTiX3eCQhSiQtD3d-4KQ7nYas/view?usp=drivesdk</t>
  </si>
  <si>
    <t>Document successfully created; Document successfully merged; PDF created; Emails Sent: [To: foredit421@gmail.com]; Run via form trigger as codectechnologies0@gmail.com; Timestamp: Aug 23, 2026 9:22 PM</t>
  </si>
  <si>
    <t xml:space="preserve">, Vignan Institute of Technology and Science Hyderabad </t>
  </si>
  <si>
    <t>1pc88ejMci2yznwF2RsUxHz-yO-JFRC7X</t>
  </si>
  <si>
    <t>https://drive.google.com/file/d/1pc88ejMci2yznwF2RsUxHz-yO-JFRC7X/view?usp=drivesdk</t>
  </si>
  <si>
    <t>Document successfully created; Document successfully merged; PDF created; Emails Sent: [To: shaikaifaz53792@gmail.com]; Run via form trigger as codectechnologies0@gmail.com; Timestamp: Aug 23, 2026 9:30 PM</t>
  </si>
  <si>
    <t xml:space="preserve">Pavani Nallanagula </t>
  </si>
  <si>
    <t>pavanireddy.nallanagula@gmail.com</t>
  </si>
  <si>
    <t xml:space="preserve">Guru Nanak University </t>
  </si>
  <si>
    <t>1DbepTaCI3Rh1JF9NEBGM_iquuToCjXGP</t>
  </si>
  <si>
    <t>https://drive.google.com/file/d/1DbepTaCI3Rh1JF9NEBGM_iquuToCjXGP/view?usp=drivesdk</t>
  </si>
  <si>
    <t>Document successfully created; Document successfully merged; PDF created; Emails Sent: [To: pavanireddy.nallanagula@gmail.com]; Run via form trigger as codectechnologies0@gmail.com; Timestamp: Aug 23, 2026 9:52 PM</t>
  </si>
  <si>
    <t>Dhanalakshmi srinivasan university</t>
  </si>
  <si>
    <t>189QocUIXKDDfsVMvRHVuQE6iEZIrmkow</t>
  </si>
  <si>
    <t>https://drive.google.com/file/d/189QocUIXKDDfsVMvRHVuQE6iEZIrmkow/view?usp=drivesdk</t>
  </si>
  <si>
    <t>Document successfully created; Document successfully merged; PDF created; Emails Sent: [To: p30692534@gmail.com]; Run via form trigger as codectechnologies0@gmail.com; Timestamp: Aug 23, 2026 10:07 PM</t>
  </si>
  <si>
    <t>Institute Of Technology Baun</t>
  </si>
  <si>
    <t>1Yi46rsA65xg3LcatCXsvOI5_YpvIx1Mn</t>
  </si>
  <si>
    <t>https://drive.google.com/file/d/1Yi46rsA65xg3LcatCXsvOI5_YpvIx1Mn/view?usp=drivesdk</t>
  </si>
  <si>
    <t>Document successfully created; Document successfully merged; PDF created; Emails Sent: [To: abhishekraturi2000@gmail.com]; Run via form trigger as codectechnologies0@gmail.com; Timestamp: Aug 23, 2026 10:08 PM</t>
  </si>
  <si>
    <t>Sadasivuni Manjeeth</t>
  </si>
  <si>
    <t>manjeethsadasivuni@gmail.com</t>
  </si>
  <si>
    <t xml:space="preserve">RAGHU ENGINEERING COLLEGE </t>
  </si>
  <si>
    <t>1zFJ_5NdLNaLqfPp9OoqgBtuhqFnvQq7d</t>
  </si>
  <si>
    <t>https://drive.google.com/file/d/1zFJ_5NdLNaLqfPp9OoqgBtuhqFnvQq7d/view?usp=drivesdk</t>
  </si>
  <si>
    <t>Document successfully created; Document successfully merged; PDF created; Emails Sent: [To: manjeethsadasivuni@gmail.com]; Run via form trigger as codectechnologies0@gmail.com; Timestamp: Aug 23, 2026 10:30 PM</t>
  </si>
  <si>
    <t>1L1Sa0kPeN1XUEzrTjYL0GPi_bCOiJfqP</t>
  </si>
  <si>
    <t>https://drive.google.com/file/d/1L1Sa0kPeN1XUEzrTjYL0GPi_bCOiJfqP/view?usp=drivesdk</t>
  </si>
  <si>
    <t>Document successfully created; Document successfully merged; PDF created; Emails Sent: [To: shivamanik1306@gmail.com]; Run via form trigger as codectechnologies0@gmail.com; Timestamp: Aug 23, 2026 10:55 PM</t>
  </si>
  <si>
    <t>Shyam ji mishra</t>
  </si>
  <si>
    <t>shammishra368@gmail.com</t>
  </si>
  <si>
    <t>06394209551</t>
  </si>
  <si>
    <t>Axis Institutes of Technology and Management</t>
  </si>
  <si>
    <t>WhatsApp, Email</t>
  </si>
  <si>
    <t>1iLFhAm1oNTi58UlHnmI7wdTQXv_nADwz</t>
  </si>
  <si>
    <t>https://drive.google.com/file/d/1iLFhAm1oNTi58UlHnmI7wdTQXv_nADwz/view?usp=drivesdk</t>
  </si>
  <si>
    <t>Document successfully created; Document successfully merged; PDF created; Emails Sent: [To: shammishra368@gmail.com]; Run via form trigger as codectechnologies0@gmail.com; Timestamp: Aug 23, 2026 11:04 PM</t>
  </si>
  <si>
    <t xml:space="preserve">Arushi Jadhav </t>
  </si>
  <si>
    <t>jadhavarushi358@gmail.com</t>
  </si>
  <si>
    <t xml:space="preserve">Prof ram meghe college of engineering and management Badnera </t>
  </si>
  <si>
    <t>1fklwtBCrvAgpA02dA4324PAFb5nurQzX</t>
  </si>
  <si>
    <t>https://drive.google.com/file/d/1fklwtBCrvAgpA02dA4324PAFb5nurQzX/view?usp=drivesdk</t>
  </si>
  <si>
    <t>Document successfully created; Document successfully merged; PDF created; Emails Sent: [To: jadhavarushi358@gmail.com]; Run via form trigger as codectechnologies0@gmail.com; Timestamp: Aug 23, 2026 11:11 PM</t>
  </si>
  <si>
    <t>Sumit yadav</t>
  </si>
  <si>
    <t>sumityadav04082005@gmail.com</t>
  </si>
  <si>
    <t xml:space="preserve">DPG DEGREE COLLEGE </t>
  </si>
  <si>
    <t>1UK-DczwHBA3OclAWGqxmuT022R1cB-Tn</t>
  </si>
  <si>
    <t>https://drive.google.com/file/d/1UK-DczwHBA3OclAWGqxmuT022R1cB-Tn/view?usp=drivesdk</t>
  </si>
  <si>
    <t>Document successfully created; Document successfully merged; PDF created; Emails Sent: [To: sumityadav04082005@gmail.com]; Run via form trigger as codectechnologies0@gmail.com; Timestamp: Aug 23, 2026 11:42 PM</t>
  </si>
  <si>
    <t xml:space="preserve">Shaik Rehan Sharif </t>
  </si>
  <si>
    <t>rehansharifshaik@gmail.com</t>
  </si>
  <si>
    <t>1Gm3XZLZKSAqp0Q62iTZOaKBUUReKbak3</t>
  </si>
  <si>
    <t>https://drive.google.com/file/d/1Gm3XZLZKSAqp0Q62iTZOaKBUUReKbak3/view?usp=drivesdk</t>
  </si>
  <si>
    <t>Document successfully created; Document successfully merged; PDF created; Emails Sent: [To: rehansharifshaik@gmail.com]; Run via form trigger as codectechnologies0@gmail.com; Timestamp: Aug 23, 2026 11:43 PM</t>
  </si>
  <si>
    <t>VANI R KATTIMANI</t>
  </si>
  <si>
    <t>vaniirkattimani11@gmail.com</t>
  </si>
  <si>
    <t>Rural engineering college</t>
  </si>
  <si>
    <t>1wd9GmhoUI9cRODVR6KsCgjvzzM0VLPS7</t>
  </si>
  <si>
    <t>https://drive.google.com/file/d/1wd9GmhoUI9cRODVR6KsCgjvzzM0VLPS7/view?usp=drivesdk</t>
  </si>
  <si>
    <t>Document successfully created; Document successfully merged; PDF created; Emails Sent: [To: vaniirkattimani11@gmail.com]; Run via form trigger as codectechnologies0@gmail.com; Timestamp: Aug 23, 2026 11:49 PM</t>
  </si>
  <si>
    <t>RAMYA PRIYA G</t>
  </si>
  <si>
    <t>ramyapriyag111@gmail.com</t>
  </si>
  <si>
    <t xml:space="preserve">Dhanalakshmi Srinivasan university </t>
  </si>
  <si>
    <t>1SmclVWf6V9f3ggCONq28YHGZIyPTDdun</t>
  </si>
  <si>
    <t>https://drive.google.com/file/d/1SmclVWf6V9f3ggCONq28YHGZIyPTDdun/view?usp=drivesdk</t>
  </si>
  <si>
    <t>Document successfully created; Document successfully merged; PDF created; Emails Sent: [To: ramyapriyag111@gmail.com]; Run via form trigger as codectechnologies0@gmail.com; Timestamp: Aug 23, 2026 11:59 PM</t>
  </si>
  <si>
    <t>Abhishek kumar</t>
  </si>
  <si>
    <t>abhishekgolu901@gmail.com</t>
  </si>
  <si>
    <t>MLT College Saharsa</t>
  </si>
  <si>
    <t>1yFgV-w7yvx87b8BHx1ebibSWm1Gr9lT_</t>
  </si>
  <si>
    <t>https://drive.google.com/file/d/1yFgV-w7yvx87b8BHx1ebibSWm1Gr9lT_/view?usp=drivesdk</t>
  </si>
  <si>
    <t>Document successfully created; Document successfully merged; PDF created; Emails Sent: [To: abhishekgolu901@gmail.com]; Run via form trigger as codectechnologies0@gmail.com; Timestamp: Aug 23, 2026 11:59 PM</t>
  </si>
  <si>
    <t>Reenotha S</t>
  </si>
  <si>
    <t>reereenodha0709@gmail.com</t>
  </si>
  <si>
    <t>Dhanalakshmi Srinivasan University</t>
  </si>
  <si>
    <t>18T0zGteo50NlsbTwFtVG7k2LY4oWvDaU</t>
  </si>
  <si>
    <t>https://drive.google.com/file/d/18T0zGteo50NlsbTwFtVG7k2LY4oWvDaU/view?usp=drivesdk</t>
  </si>
  <si>
    <t>Document successfully created; Document successfully merged; PDF created; Emails Sent: [To: reereenodha0709@gmail.com]; Run via form trigger as codectechnologies0@gmail.com; Timestamp: Aug 24, 2026 12:04 AM</t>
  </si>
  <si>
    <t xml:space="preserve">KILLARI SEKHAR </t>
  </si>
  <si>
    <t>23981a03e4@raghuenggcollege.in</t>
  </si>
  <si>
    <t xml:space="preserve">Raghu Engineering College </t>
  </si>
  <si>
    <t>12uRqwXqsMqo_yGGY-f-1SD2hMjaz4YIX</t>
  </si>
  <si>
    <t>https://drive.google.com/file/d/12uRqwXqsMqo_yGGY-f-1SD2hMjaz4YIX/view?usp=drivesdk</t>
  </si>
  <si>
    <t>Document successfully created; Document successfully merged; PDF created; Emails Sent: [To: 23981a03e4@raghuenggcollege.in]; Run via form trigger as codectechnologies0@gmail.com; Timestamp: Aug 24, 2026 12:08 AM</t>
  </si>
  <si>
    <t>Kiran Navnath Waghmode</t>
  </si>
  <si>
    <t>waghmodekiran001@gmail.com</t>
  </si>
  <si>
    <t xml:space="preserve">D Y Patil college of engineering and techology </t>
  </si>
  <si>
    <t>1OT9nfqrPqmcYWS9rdixyLEKXaMN4TWLY</t>
  </si>
  <si>
    <t>https://drive.google.com/file/d/1OT9nfqrPqmcYWS9rdixyLEKXaMN4TWLY/view?usp=drivesdk</t>
  </si>
  <si>
    <t>Document successfully created; Document successfully merged; PDF created; Emails Sent: [To: waghmodekiran001@gmail.com]; Run via form trigger as codectechnologies0@gmail.com; Timestamp: Aug 24, 2026 12:13 AM</t>
  </si>
  <si>
    <t xml:space="preserve">AVULURI RAMA SUBBA REDDY </t>
  </si>
  <si>
    <t>avuluriramasubbareddy26@gmail.com</t>
  </si>
  <si>
    <t xml:space="preserve">Mahendra engineering College </t>
  </si>
  <si>
    <t>1FeHWs1VX8bBsF_bbgFGxLFOHztMPJdV3</t>
  </si>
  <si>
    <t>https://drive.google.com/file/d/1FeHWs1VX8bBsF_bbgFGxLFOHztMPJdV3/view?usp=drivesdk</t>
  </si>
  <si>
    <t>Document successfully created; Document successfully merged; PDF created; Emails Sent: [To: avuluriramasubbareddy26@gmail.com]; Run via form trigger as codectechnologies0@gmail.com; Timestamp: Aug 24, 2026 12:15 AM</t>
  </si>
  <si>
    <t>Prathamesh Misar</t>
  </si>
  <si>
    <t>prathameshmisar01@gmail.com</t>
  </si>
  <si>
    <t>08010898239</t>
  </si>
  <si>
    <t xml:space="preserve">Gh raisoni college of engineering and management </t>
  </si>
  <si>
    <t>1HQ5uTaOaDDiGfW4EKIfXWM3oFaLUPf2I</t>
  </si>
  <si>
    <t>https://drive.google.com/file/d/1HQ5uTaOaDDiGfW4EKIfXWM3oFaLUPf2I/view?usp=drivesdk</t>
  </si>
  <si>
    <t>Document successfully created; Document successfully merged; PDF created; Emails Sent: [To: prathameshmisar01@gmail.com]; Run via form trigger as codectechnologies0@gmail.com; Timestamp: Aug 24, 2026 12:25 AM</t>
  </si>
  <si>
    <t>1aKBg689-RXqNzsWhgJEaBNa8P6Rkn_j0</t>
  </si>
  <si>
    <t>https://drive.google.com/file/d/1aKBg689-RXqNzsWhgJEaBNa8P6Rkn_j0/view?usp=drivesdk</t>
  </si>
  <si>
    <t>Document successfully created; Document successfully merged; PDF created; Emails Sent: [To: matam.likithkumar@gmail.com]; Run via form trigger as codectechnologies0@gmail.com; Timestamp: Aug 24, 2026 12:35 AM</t>
  </si>
  <si>
    <t>1amGahWXJcAsTrdj2f3OghVd-c9wymSV9</t>
  </si>
  <si>
    <t>https://drive.google.com/file/d/1amGahWXJcAsTrdj2f3OghVd-c9wymSV9/view?usp=drivesdk</t>
  </si>
  <si>
    <t>Document successfully created; Document successfully merged; PDF created; Emails Sent: [To: btwimbhargav@gmail.com]; Run via form trigger as codectechnologies0@gmail.com; Timestamp: Aug 24, 2026 12:38 AM</t>
  </si>
  <si>
    <t>RAHUL SINGH</t>
  </si>
  <si>
    <t>rs2996001@gmail.com</t>
  </si>
  <si>
    <t xml:space="preserve">Kanpur Institute of technology </t>
  </si>
  <si>
    <t>1hBv7-57iURlmrJvpB8PazLIemxBuG8BK</t>
  </si>
  <si>
    <t>https://drive.google.com/file/d/1hBv7-57iURlmrJvpB8PazLIemxBuG8BK/view?usp=drivesdk</t>
  </si>
  <si>
    <t>Document successfully created; Document successfully merged; PDF created; Emails Sent: [To: rs2996001@gmail.com]; Run via form trigger as codectechnologies0@gmail.com; Timestamp: Aug 24, 2026 12:39 AM</t>
  </si>
  <si>
    <t xml:space="preserve">Harman Singh </t>
  </si>
  <si>
    <t>harmansingh31962@gmail.com</t>
  </si>
  <si>
    <t xml:space="preserve">Dav College Amritsar </t>
  </si>
  <si>
    <t>1xlg5GKcokaiTypUbSRPP4V_169X26Ip6</t>
  </si>
  <si>
    <t>https://drive.google.com/file/d/1xlg5GKcokaiTypUbSRPP4V_169X26Ip6/view?usp=drivesdk</t>
  </si>
  <si>
    <t>Document successfully created; Document successfully merged; PDF created; Emails Sent: [To: harmansingh31962@gmail.com]; Run via form trigger as codectechnologies0@gmail.com; Timestamp: Aug 24, 2026 12:45 AM</t>
  </si>
  <si>
    <t>Penchala Vamshi</t>
  </si>
  <si>
    <t>vamshipenchala52@gmail.com</t>
  </si>
  <si>
    <t>Narsimha reddy engineering college</t>
  </si>
  <si>
    <t>10joNNWDN--zEEUioZClbM04kZE5_mgxL</t>
  </si>
  <si>
    <t>https://drive.google.com/file/d/10joNNWDN--zEEUioZClbM04kZE5_mgxL/view?usp=drivesdk</t>
  </si>
  <si>
    <t>Document successfully created; Document successfully merged; PDF created; !!Error Sending Emails: Service invoked too many times for one day: email.; Run via form trigger as codectechnologies0@gmail.com; Timestamp: Aug 24, 2026 12:53 AM</t>
  </si>
  <si>
    <t>BRIJESH KUMAR</t>
  </si>
  <si>
    <t>brijeshku68@gmail.com</t>
  </si>
  <si>
    <t>RAJKIYA ENGINEERING COLLEGE KANNAUJ</t>
  </si>
  <si>
    <t>1t2utuZPzIeCep7Z_vV06F3k2TeawzIOm</t>
  </si>
  <si>
    <t>https://drive.google.com/file/d/1t2utuZPzIeCep7Z_vV06F3k2TeawzIOm/view?usp=drivesdk</t>
  </si>
  <si>
    <t>Document successfully created; Document successfully merged; PDF created; Emails Sent: [To: brijeshku68@gmail.com]; Run via form trigger as codectechnologies0@gmail.com; Timestamp: Aug 24, 2026 1:05 AM</t>
  </si>
  <si>
    <t>Shravya M S</t>
  </si>
  <si>
    <t>sshravyagowda@gmail.com</t>
  </si>
  <si>
    <t>Presidency College Autonomous, Hebbal</t>
  </si>
  <si>
    <t>1Smq07XFLMHqTSmdNwcFE6K9quw6R7fCV</t>
  </si>
  <si>
    <t>https://drive.google.com/file/d/1Smq07XFLMHqTSmdNwcFE6K9quw6R7fCV/view?usp=drivesdk</t>
  </si>
  <si>
    <t>Document successfully created; Document successfully merged; PDF created; Emails Sent: [To: sshravyagowda@gmail.com]; Run via form trigger as codectechnologies0@gmail.com; Timestamp: Aug 24, 2026 1:12 AM</t>
  </si>
  <si>
    <t>Arijit Karmakar</t>
  </si>
  <si>
    <t>arijitkarmakar2024@gmail.com</t>
  </si>
  <si>
    <t xml:space="preserve">Brainwere University </t>
  </si>
  <si>
    <t>1zBJ85tgrRp6AFqEj5OYQDo-6AkXoYgua</t>
  </si>
  <si>
    <t>https://drive.google.com/file/d/1zBJ85tgrRp6AFqEj5OYQDo-6AkXoYgua/view?usp=drivesdk</t>
  </si>
  <si>
    <t>Document successfully created; Document successfully merged; PDF created; Emails Sent: [To: arijitkarmakar2024@gmail.com]; Run via form trigger as codectechnologies0@gmail.com; Timestamp: Aug 24, 2026 1:23 AM</t>
  </si>
  <si>
    <t>Anshika Tyagi</t>
  </si>
  <si>
    <t>anshikatyagi259@gmail.com</t>
  </si>
  <si>
    <t>1sHqFvdndzcoRhgahBI3D291YD3WxzbeW</t>
  </si>
  <si>
    <t>https://drive.google.com/file/d/1sHqFvdndzcoRhgahBI3D291YD3WxzbeW/view?usp=drivesdk</t>
  </si>
  <si>
    <t>Document successfully created; Document successfully merged; PDF created; Emails Sent: [To: anshikatyagi259@gmail.com]; Run via form trigger as codectechnologies0@gmail.com; Timestamp: Aug 24, 2026 1:23 AM</t>
  </si>
  <si>
    <t xml:space="preserve">SANDEEP </t>
  </si>
  <si>
    <t>sandeepsagarsagar37@gmail.com</t>
  </si>
  <si>
    <t xml:space="preserve">HKBK COLLEGE OF ENGINEERING </t>
  </si>
  <si>
    <t>1uzJ6PfW0ly0vT5zU4GiZmWajBDOMNcKY</t>
  </si>
  <si>
    <t>https://drive.google.com/file/d/1uzJ6PfW0ly0vT5zU4GiZmWajBDOMNcKY/view?usp=drivesdk</t>
  </si>
  <si>
    <t>Document successfully created; Document successfully merged; PDF created; Emails Sent: [To: sandeepsagarsagar37@gmail.com]; Run via form trigger as codectechnologies0@gmail.com; Timestamp: Aug 24, 2026 1:33 AM</t>
  </si>
  <si>
    <t>Akash Jogi</t>
  </si>
  <si>
    <t>ajogi1049@gmail.com</t>
  </si>
  <si>
    <t>Presidency College Hebbal</t>
  </si>
  <si>
    <t>1vqdstU6-jX_hYa56FL5be-v2LuQIhtcb</t>
  </si>
  <si>
    <t>https://drive.google.com/file/d/1vqdstU6-jX_hYa56FL5be-v2LuQIhtcb/view?usp=drivesdk</t>
  </si>
  <si>
    <t>Document successfully created; Document successfully merged; PDF created; Emails Sent: [To: ajogi1049@gmail.com]; Run via form trigger as codectechnologies0@gmail.com; Timestamp: Aug 24, 2026 1:33 AM</t>
  </si>
  <si>
    <t>Narasimha reddy engineering college</t>
  </si>
  <si>
    <t>1gss19cyYbZY78gd0CxQjdKYAUEVcwhXL</t>
  </si>
  <si>
    <t>https://drive.google.com/file/d/1gss19cyYbZY78gd0CxQjdKYAUEVcwhXL/view?usp=drivesdk</t>
  </si>
  <si>
    <t>Document successfully created; Document successfully merged; PDF created; Emails Sent: [To: vamshipenchala52@gmail.com]; Run via form trigger as codectechnologies0@gmail.com; Timestamp: Aug 24, 2026 1:35 AM</t>
  </si>
  <si>
    <t>Deepak S</t>
  </si>
  <si>
    <t>deepakseenu1979@gmail.com</t>
  </si>
  <si>
    <t>J.N.N.Institute Of Engineering</t>
  </si>
  <si>
    <t>1GyJ1fWKhAKgE--KLp0WYT1C7w8mnOOJP</t>
  </si>
  <si>
    <t>https://drive.google.com/file/d/1GyJ1fWKhAKgE--KLp0WYT1C7w8mnOOJP/view?usp=drivesdk</t>
  </si>
  <si>
    <t>Document successfully created; Document successfully merged; PDF created; Emails Sent: [To: deepakseenu1979@gmail.com]; Run via form trigger as codectechnologies0@gmail.com; Timestamp: Aug 24, 2026 1:36 AM</t>
  </si>
  <si>
    <t>MYPATI YASWANTH</t>
  </si>
  <si>
    <t>mypatiyaswanthyaswanth16@gmail.com</t>
  </si>
  <si>
    <t xml:space="preserve">Dhanalakshmi srinivasan university </t>
  </si>
  <si>
    <t>LinkedIn, Instagram, Google</t>
  </si>
  <si>
    <t>1gCfYQFQ3EABp0KjAm6W9QlW9df33XU6l</t>
  </si>
  <si>
    <t>https://drive.google.com/file/d/1gCfYQFQ3EABp0KjAm6W9QlW9df33XU6l/view?usp=drivesdk</t>
  </si>
  <si>
    <t>Document successfully created; Document successfully merged; PDF created; !!Error Sending Emails: Service invoked too many times for one day: email.; Run via form trigger as codectechnologies0@gmail.com; Timestamp: Aug 24, 2026 1:40 AM</t>
  </si>
  <si>
    <t>Shiva Chauhan</t>
  </si>
  <si>
    <t>sc276309@gmail.com</t>
  </si>
  <si>
    <t xml:space="preserve">Kanpur Institute of Technology </t>
  </si>
  <si>
    <t>1oUj87_PxbhEwFYblD9iWXSupzUhSs96X</t>
  </si>
  <si>
    <t>https://drive.google.com/file/d/1oUj87_PxbhEwFYblD9iWXSupzUhSs96X/view?usp=drivesdk</t>
  </si>
  <si>
    <t>Document successfully created; Document successfully merged; PDF created; Emails Sent: [To: sc276309@gmail.com]; Run via form trigger as codectechnologies0@gmail.com; Timestamp: Aug 24, 2026 1:44 AM</t>
  </si>
  <si>
    <t xml:space="preserve">Anmol Tripathi </t>
  </si>
  <si>
    <t>tripathianmol9125@gmail.com</t>
  </si>
  <si>
    <t xml:space="preserve">Shri Ramswaroop Memorial University </t>
  </si>
  <si>
    <t>1jd1dRo8Ao3-AQoAWUJCSkL9v02jYWliM</t>
  </si>
  <si>
    <t>https://drive.google.com/file/d/1jd1dRo8Ao3-AQoAWUJCSkL9v02jYWliM/view?usp=drivesdk</t>
  </si>
  <si>
    <t>Document successfully created; Document successfully merged; PDF created; Emails Sent: [To: tripathianmol9125@gmail.com]; Run via form trigger as codectechnologies0@gmail.com; Timestamp: Aug 24, 2026 1:44 AM</t>
  </si>
  <si>
    <t>Nima</t>
  </si>
  <si>
    <t>banonima10@gmail.com</t>
  </si>
  <si>
    <t xml:space="preserve">K.k University </t>
  </si>
  <si>
    <t>1xwS-iwIjM9_7B2Yv0jNCe5NBsyQAQO9p</t>
  </si>
  <si>
    <t>https://drive.google.com/file/d/1xwS-iwIjM9_7B2Yv0jNCe5NBsyQAQO9p/view?usp=drivesdk</t>
  </si>
  <si>
    <t>Document successfully created; Document successfully merged; PDF created; Emails Sent: [To: banonima10@gmail.com]; Run via form trigger as codectechnologies0@gmail.com; Timestamp: Aug 24, 2026 1:45 AM</t>
  </si>
  <si>
    <t>KUNAL WALIA</t>
  </si>
  <si>
    <t>kunalwalia5565@gmail.com</t>
  </si>
  <si>
    <t>QUANTUM UNIVERSITY</t>
  </si>
  <si>
    <t>LinkedIn, WhatsApp, Friend, Google</t>
  </si>
  <si>
    <t>1YifuIEK_k3pvO1_f7SakYvfOgWweS5db</t>
  </si>
  <si>
    <t>https://drive.google.com/file/d/1YifuIEK_k3pvO1_f7SakYvfOgWweS5db/view?usp=drivesdk</t>
  </si>
  <si>
    <t>Document successfully created; Document successfully merged; PDF created; Emails Sent: [To: kunalwalia5565@gmail.com]; Run via form trigger as codectechnologies0@gmail.com; Timestamp: Aug 24, 2026 1:49 AM</t>
  </si>
  <si>
    <t xml:space="preserve">Athulya Sunil </t>
  </si>
  <si>
    <t>athulyasunil75@gmail.com</t>
  </si>
  <si>
    <t xml:space="preserve">UKF College Of Engineering And Technology Parippally, Kollam </t>
  </si>
  <si>
    <t>14fKglvqHBuIUgfs29wlHrW4q96N2FDYq</t>
  </si>
  <si>
    <t>https://drive.google.com/file/d/14fKglvqHBuIUgfs29wlHrW4q96N2FDYq/view?usp=drivesdk</t>
  </si>
  <si>
    <t>Document successfully created; Document successfully merged; PDF created; !!Error Sending Emails: Service invoked too many times for one day: email.; Run via form trigger as codectechnologies0@gmail.com; Timestamp: Aug 24, 2026 1:54 AM</t>
  </si>
  <si>
    <t>Raj jasani</t>
  </si>
  <si>
    <t>rajjasani992005@gmail.com</t>
  </si>
  <si>
    <t>C.k.pithawala college of engeneering</t>
  </si>
  <si>
    <t>1csJtBdlLPJJYsLSSK7Fhya960RAt6yBI</t>
  </si>
  <si>
    <t>https://drive.google.com/file/d/1csJtBdlLPJJYsLSSK7Fhya960RAt6yBI/view?usp=drivesdk</t>
  </si>
  <si>
    <t>Document successfully created; Document successfully merged; PDF created; Emails Sent: [To: rajjasani992005@gmail.com]; Run via form trigger as codectechnologies0@gmail.com; Timestamp: Aug 24, 2026 2:01 AM</t>
  </si>
  <si>
    <t>Ruchita Agasar</t>
  </si>
  <si>
    <t>ruchitaagasar236@gmail.com</t>
  </si>
  <si>
    <t xml:space="preserve">Presidency College hebbal, Banglore </t>
  </si>
  <si>
    <t>1aDhgfwO8HmfSuUzwyPvGzoD94SL3aEFE</t>
  </si>
  <si>
    <t>https://drive.google.com/file/d/1aDhgfwO8HmfSuUzwyPvGzoD94SL3aEFE/view?usp=drivesdk</t>
  </si>
  <si>
    <t>Document successfully created; Document successfully merged; PDF created; Emails Sent: [To: ruchitaagasar236@gmail.com]; Run via form trigger as codectechnologies0@gmail.com; Timestamp: Aug 24, 2026 2:05 AM</t>
  </si>
  <si>
    <t xml:space="preserve">Abhishek Kumar Singh </t>
  </si>
  <si>
    <t>abhisheksingh79034@gmail.com</t>
  </si>
  <si>
    <t xml:space="preserve">Swami Vivekanand Subharti university </t>
  </si>
  <si>
    <t>1ubw1fPJ9DXbbPuwCGfZzcVPOGcSQzv3I</t>
  </si>
  <si>
    <t>https://drive.google.com/file/d/1ubw1fPJ9DXbbPuwCGfZzcVPOGcSQzv3I/view?usp=drivesdk</t>
  </si>
  <si>
    <t>Document successfully created; Document successfully merged; PDF created; !!Error Sending Emails: Service invoked too many times for one day: email.; Run via form trigger as codectechnologies0@gmail.com; Timestamp: Aug 24, 2026 2:06 AM</t>
  </si>
  <si>
    <t>Kamalakannan K</t>
  </si>
  <si>
    <t>k.kamalakannan2805@gmail.com</t>
  </si>
  <si>
    <t xml:space="preserve">P.A. College of Engineering and Technology </t>
  </si>
  <si>
    <t>1vIv0UcgfA7ptBPl383DlyvyQA3caj7PK</t>
  </si>
  <si>
    <t>https://drive.google.com/file/d/1vIv0UcgfA7ptBPl383DlyvyQA3caj7PK/view?usp=drivesdk</t>
  </si>
  <si>
    <t>Document successfully created; Document successfully merged; PDF created; !!Error Sending Emails: Service invoked too many times for one day: email.; Run via form trigger as codectechnologies0@gmail.com; Timestamp: Aug 24, 2026 2:09 AM</t>
  </si>
  <si>
    <t xml:space="preserve">Sangeetha M </t>
  </si>
  <si>
    <t>sangeetham9108@gmail.com</t>
  </si>
  <si>
    <t xml:space="preserve">Saividya institute of technology </t>
  </si>
  <si>
    <t>1goJIPG-ikHctoqYwMiLnzFStnsh3oFfT</t>
  </si>
  <si>
    <t>https://drive.google.com/file/d/1goJIPG-ikHctoqYwMiLnzFStnsh3oFfT/view?usp=drivesdk</t>
  </si>
  <si>
    <t>Document successfully created; Document successfully merged; PDF created; !!Error Sending Emails: Service invoked too many times for one day: email.; Run via form trigger as codectechnologies0@gmail.com; Timestamp: Aug 24, 2026 2:11 AM</t>
  </si>
  <si>
    <t xml:space="preserve">Vajresh Sapaliga </t>
  </si>
  <si>
    <t>vajreshganiga17@gmail.com</t>
  </si>
  <si>
    <t xml:space="preserve">Shree Niranjana Swamy Polytechnic </t>
  </si>
  <si>
    <t>1wIum15Y5xjL8R3CjvA0S0uz-g3NEwz-3</t>
  </si>
  <si>
    <t>https://drive.google.com/file/d/1wIum15Y5xjL8R3CjvA0S0uz-g3NEwz-3/view?usp=drivesdk</t>
  </si>
  <si>
    <t>Document successfully created; Document successfully merged; PDF created; Emails Sent: [To: vajreshganiga17@gmail.com]; Run via form trigger as codectechnologies0@gmail.com; Timestamp: Aug 24, 2026 2:14 AM</t>
  </si>
  <si>
    <t>Pratham Tripathi</t>
  </si>
  <si>
    <t>studies.playing.232010@gmail.com</t>
  </si>
  <si>
    <t>Axis Institute Of Technology And Management</t>
  </si>
  <si>
    <t>1N6VqSqxbr1dGMAGKg15OcbYiQjyv2FB4</t>
  </si>
  <si>
    <t>https://drive.google.com/file/d/1N6VqSqxbr1dGMAGKg15OcbYiQjyv2FB4/view?usp=drivesdk</t>
  </si>
  <si>
    <t>Document successfully created; Document successfully merged; PDF created; !!Error Sending Emails: Service invoked too many times for one day: email.; Run via form trigger as codectechnologies0@gmail.com; Timestamp: Aug 24, 2026 2:14 AM</t>
  </si>
  <si>
    <t xml:space="preserve">Prathvikumar Vigneshwar Hegade </t>
  </si>
  <si>
    <t>prathvihegde04@gmail.com</t>
  </si>
  <si>
    <t xml:space="preserve">Presidency College </t>
  </si>
  <si>
    <t>1LPawPXntT8zIWdZWdAhblJNy39r-nuKe</t>
  </si>
  <si>
    <t>https://drive.google.com/file/d/1LPawPXntT8zIWdZWdAhblJNy39r-nuKe/view?usp=drivesdk</t>
  </si>
  <si>
    <t>Document successfully created; Document successfully merged; PDF created; !!Error Sending Emails: Service invoked too many times for one day: email.; Run via form trigger as codectechnologies0@gmail.com; Timestamp: Aug 24, 2026 2:17 AM</t>
  </si>
  <si>
    <t>Priyanka</t>
  </si>
  <si>
    <t>1 Year (For PM Internship Scheme Registered Students Only)</t>
  </si>
  <si>
    <t>p8672719@gmail.com</t>
  </si>
  <si>
    <t>PMT group of education</t>
  </si>
  <si>
    <t>1gJSg4RHaRj5DMz8dCtSeARlymI2emGVS</t>
  </si>
  <si>
    <t>https://drive.google.com/file/d/1gJSg4RHaRj5DMz8dCtSeARlymI2emGVS/view?usp=drivesdk</t>
  </si>
  <si>
    <t>Document successfully created; Document successfully merged; PDF created; !!Error Sending Emails: Service invoked too many times for one day: email.; Run via form trigger as codectechnologies0@gmail.com; Timestamp: Aug 24, 2026 2:22 AM</t>
  </si>
  <si>
    <t>MUNTHA MANOHARI</t>
  </si>
  <si>
    <t>manohari2006.12@gmail.com</t>
  </si>
  <si>
    <t>1LHQ3RpmT3G6n3lBMDZ9bt-yqUWSWIkPx</t>
  </si>
  <si>
    <t>https://drive.google.com/file/d/1LHQ3RpmT3G6n3lBMDZ9bt-yqUWSWIkPx/view?usp=drivesdk</t>
  </si>
  <si>
    <t>Document successfully created; Document successfully merged; PDF created; !!Error Sending Emails: Service invoked too many times for one day: email.; Run via form trigger as codectechnologies0@gmail.com; Timestamp: Aug 24, 2026 2:23 AM</t>
  </si>
  <si>
    <t xml:space="preserve">Mohd Umar Tahir </t>
  </si>
  <si>
    <t>4umar9@gmail.com</t>
  </si>
  <si>
    <t xml:space="preserve">College of Engineering and Rural Technology </t>
  </si>
  <si>
    <t>1JoSW3OV8_8UPpLQPvguhdWRUk-qs0S8b</t>
  </si>
  <si>
    <t>https://drive.google.com/file/d/1JoSW3OV8_8UPpLQPvguhdWRUk-qs0S8b/view?usp=drivesdk</t>
  </si>
  <si>
    <t>Document successfully created; Document successfully merged; PDF created; !!Error Sending Emails: Service invoked too many times for one day: email.; Run via form trigger as codectechnologies0@gmail.com; Timestamp: Aug 24, 2026 2:36 AM</t>
  </si>
  <si>
    <t xml:space="preserve">S.Darshan </t>
  </si>
  <si>
    <t>Darshansenthil1309@gmail.com</t>
  </si>
  <si>
    <t xml:space="preserve">Rathinam technical campus </t>
  </si>
  <si>
    <t>1ZLJw3U31LsErM-vUEaZAqRAC4rt7wB0b</t>
  </si>
  <si>
    <t>https://drive.google.com/file/d/1ZLJw3U31LsErM-vUEaZAqRAC4rt7wB0b/view?usp=drivesdk</t>
  </si>
  <si>
    <t>Document successfully created; Document successfully merged; PDF created; !!Error Sending Emails: Service invoked too many times for one day: email.; Run via form trigger as codectechnologies0@gmail.com; Timestamp: Aug 24, 2026 2:38 AM</t>
  </si>
  <si>
    <t>A Roshini krithi</t>
  </si>
  <si>
    <t>roshinikrithi0@gmail.com</t>
  </si>
  <si>
    <t>KIT-Kalaignarkarunanidhi Institute Of Technology</t>
  </si>
  <si>
    <t>1IUbFG2f1PtYoIJrnMWSRyMuiZ1Qhp4Ox</t>
  </si>
  <si>
    <t>https://drive.google.com/file/d/1IUbFG2f1PtYoIJrnMWSRyMuiZ1Qhp4Ox/view?usp=drivesdk</t>
  </si>
  <si>
    <t>Document successfully created; Document successfully merged; PDF created; !!Error Sending Emails: Service invoked too many times for one day: email.; Run via form trigger as codectechnologies0@gmail.com; Timestamp: Aug 24, 2026 2:39 AM</t>
  </si>
  <si>
    <t xml:space="preserve">Himanshu Wathodkar </t>
  </si>
  <si>
    <t>himanshuwathodkar@gmail.com</t>
  </si>
  <si>
    <t>MIT ADTU</t>
  </si>
  <si>
    <t>1o08yC5RGFREY1BLFbZXHhrp1kF19CXmT</t>
  </si>
  <si>
    <t>https://drive.google.com/file/d/1o08yC5RGFREY1BLFbZXHhrp1kF19CXmT/view?usp=drivesdk</t>
  </si>
  <si>
    <t>Document successfully created; Document successfully merged; PDF created; Emails Sent: [To: himanshuwathodkar@gmail.com]; Run via form trigger as codectechnologies0@gmail.com; Timestamp: Aug 24, 2026 2:47 AM</t>
  </si>
  <si>
    <t xml:space="preserve">S. Darshan </t>
  </si>
  <si>
    <t>1aYM9TRfzYxp6vFQaWgCmcgD7nBPX0oS7</t>
  </si>
  <si>
    <t>https://drive.google.com/file/d/1aYM9TRfzYxp6vFQaWgCmcgD7nBPX0oS7/view?usp=drivesdk</t>
  </si>
  <si>
    <t>Document successfully created; Document successfully merged; PDF created; Emails Sent: [To: Darshansenthil1309@gmail.com]; Run via form trigger as codectechnologies0@gmail.com; Timestamp: Aug 24, 2026 2:47 AM</t>
  </si>
  <si>
    <t>AYUSH AGGARWAL</t>
  </si>
  <si>
    <t>ayushaggarwal4686@gmail.com</t>
  </si>
  <si>
    <t xml:space="preserve">ABES ENGINNERING COLLEGE ,GHAZIABAD </t>
  </si>
  <si>
    <t>1GdtfgXnK9Pk0GB5ec_D_8tyR3LrvioB5</t>
  </si>
  <si>
    <t>https://drive.google.com/file/d/1GdtfgXnK9Pk0GB5ec_D_8tyR3LrvioB5/view?usp=drivesdk</t>
  </si>
  <si>
    <t>Document successfully created; Document successfully merged; PDF created; Emails Sent: [To: ayushaggarwal4686@gmail.com]; Run via form trigger as codectechnologies0@gmail.com; Timestamp: Aug 24, 2026 2:49 AM</t>
  </si>
  <si>
    <t>GOLU AHIRWAL</t>
  </si>
  <si>
    <t>ahirwalgolu2006@gmail.com</t>
  </si>
  <si>
    <t>DHSGU SAGAR M.P.</t>
  </si>
  <si>
    <t>1vZpYHW5qHxC49iNbMe2pG_AI0IHyhv6L</t>
  </si>
  <si>
    <t>https://drive.google.com/file/d/1vZpYHW5qHxC49iNbMe2pG_AI0IHyhv6L/view?usp=drivesdk</t>
  </si>
  <si>
    <t>Document successfully created; Document successfully merged; PDF created; !!Error Sending Emails: Service invoked too many times for one day: email.; Run via form trigger as codectechnologies0@gmail.com; Timestamp: Aug 24, 2026 2:49 AM</t>
  </si>
  <si>
    <t xml:space="preserve">EHTESHAMUL HAQUE </t>
  </si>
  <si>
    <t>ehteshamulhaqe19436@gmail.com</t>
  </si>
  <si>
    <t>Kalinga Institute of Industrial Technology</t>
  </si>
  <si>
    <t>1sgifRMffPmFD3wQ11X7DrSpf2rMbWThd</t>
  </si>
  <si>
    <t>https://drive.google.com/file/d/1sgifRMffPmFD3wQ11X7DrSpf2rMbWThd/view?usp=drivesdk</t>
  </si>
  <si>
    <t xml:space="preserve">Kirti Shankar Lande </t>
  </si>
  <si>
    <t>kirtilande28@gmail.com</t>
  </si>
  <si>
    <t xml:space="preserve">JSPM's jayawantrao sawant college of engineering </t>
  </si>
  <si>
    <t>1mgAzZsXVjwvQfTx4pgqIuOgGoUrRx1mX</t>
  </si>
  <si>
    <t>https://drive.google.com/file/d/1mgAzZsXVjwvQfTx4pgqIuOgGoUrRx1mX/view?usp=drivesdk</t>
  </si>
  <si>
    <t>Document successfully created; Document successfully merged; PDF created; Emails Sent: [To: kirtilande28@gmail.com]; Run via form trigger as codectechnologies0@gmail.com; Timestamp: Aug 24, 2026 2:53 AM</t>
  </si>
  <si>
    <t>1a4bSX7LWgj6RG1mbuQv0ktrfjxTTypyO</t>
  </si>
  <si>
    <t>https://drive.google.com/file/d/1a4bSX7LWgj6RG1mbuQv0ktrfjxTTypyO/view?usp=drivesdk</t>
  </si>
  <si>
    <t>Document successfully created; Document successfully merged; PDF created; !!Error Sending Emails: Service invoked too many times for one day: email.; Run via form trigger as codectechnologies0@gmail.com; Timestamp: Aug 24, 2026 2:56 AM</t>
  </si>
  <si>
    <t>Prithunandanan K S</t>
  </si>
  <si>
    <t>prithunandananks@gmail.com</t>
  </si>
  <si>
    <t xml:space="preserve">Mentor Academy of Design Entrepreneurship Innovation and Technology </t>
  </si>
  <si>
    <t>LinkedIn, WhatsApp, Email</t>
  </si>
  <si>
    <t>1VdTHHI3sOAu9_SViZL8DORLm2udpG0dA</t>
  </si>
  <si>
    <t>https://drive.google.com/file/d/1VdTHHI3sOAu9_SViZL8DORLm2udpG0dA/view?usp=drivesdk</t>
  </si>
  <si>
    <t>Manoj M N</t>
  </si>
  <si>
    <t>manojmn1218@gmail.com</t>
  </si>
  <si>
    <t xml:space="preserve">Atria institute of technology </t>
  </si>
  <si>
    <t>1SQyg_BrLDY6e2233bZxiGy6xmQ8af8cQ</t>
  </si>
  <si>
    <t>https://drive.google.com/file/d/1SQyg_BrLDY6e2233bZxiGy6xmQ8af8cQ/view?usp=drivesdk</t>
  </si>
  <si>
    <t>Document successfully created; Document successfully merged; PDF created; !!Error Sending Emails: Service invoked too many times for one day: email.; Run via form trigger as codectechnologies0@gmail.com; Timestamp: Aug 24, 2026 3:01 AM</t>
  </si>
  <si>
    <t>1iRMjQgGnVVvWv7umHHkiF00BbFT-adZX</t>
  </si>
  <si>
    <t>https://drive.google.com/file/d/1iRMjQgGnVVvWv7umHHkiF00BbFT-adZX/view?usp=drivesdk</t>
  </si>
  <si>
    <t>Document successfully created; Document successfully merged; PDF created; Emails Sent: [To: p8672719@gmail.com]; Run via form trigger as codectechnologies0@gmail.com; Timestamp: Aug 24, 2026 3:04 AM</t>
  </si>
  <si>
    <t>RAJ SRIVASTAVA</t>
  </si>
  <si>
    <t>rajsrivastava7850@gmail.com</t>
  </si>
  <si>
    <t>GL BAJAJ INSTITUTE OF TECHNOLOGY AND MANGEMENT</t>
  </si>
  <si>
    <t>1amL7wKBaFKaD3HSI90PAmFzhqMRINwPz</t>
  </si>
  <si>
    <t>https://drive.google.com/file/d/1amL7wKBaFKaD3HSI90PAmFzhqMRINwPz/view?usp=drivesdk</t>
  </si>
  <si>
    <t>Document successfully created; Document successfully merged; PDF created; !!Error Sending Emails: Service invoked too many times for one day: email.; Run via form trigger as codectechnologies0@gmail.com; Timestamp: Aug 24, 2026 3:09 AM</t>
  </si>
  <si>
    <t>GUDLA ESWAR REDDY</t>
  </si>
  <si>
    <t>eswar6254@gmail.com</t>
  </si>
  <si>
    <t xml:space="preserve">Kalasalingam university </t>
  </si>
  <si>
    <t>1MWkTus8uZWoMmdZJob9MkJ6hVrax5PtR</t>
  </si>
  <si>
    <t>https://drive.google.com/file/d/1MWkTus8uZWoMmdZJob9MkJ6hVrax5PtR/view?usp=drivesdk</t>
  </si>
  <si>
    <t>Document successfully created; Document successfully merged; PDF created; !!Error Sending Emails: Service invoked too many times for one day: email.; Run via form trigger as codectechnologies0@gmail.com; Timestamp: Aug 24, 2026 3:12 AM</t>
  </si>
  <si>
    <t xml:space="preserve">Dinesh karthick R </t>
  </si>
  <si>
    <t>Helloworlddarkdevil@gmail.com</t>
  </si>
  <si>
    <t xml:space="preserve">Dhanalakshmi SRINIVASAN UNVERSITY </t>
  </si>
  <si>
    <t>1Fy0X4ItJ9heT0141PPeVdEKnA5QuVC2v</t>
  </si>
  <si>
    <t>https://drive.google.com/file/d/1Fy0X4ItJ9heT0141PPeVdEKnA5QuVC2v/view?usp=drivesdk</t>
  </si>
  <si>
    <t>Document successfully created; Document successfully merged; PDF created; !!Error Sending Emails: Service invoked too many times for one day: email.; Run via form trigger as codectechnologies0@gmail.com; Timestamp: Aug 24, 2026 3:14 AM</t>
  </si>
  <si>
    <t>SHAIK SAMEER BASHA</t>
  </si>
  <si>
    <t>sameerbashashaik09@gmail.com</t>
  </si>
  <si>
    <t xml:space="preserve">KALASALINGAM UNIVERSITY OF RESEARCH AND EDUCATION </t>
  </si>
  <si>
    <t>1EcpiDDg6Vj6VGKwwIsbL34UvTQb98ojU</t>
  </si>
  <si>
    <t>https://drive.google.com/file/d/1EcpiDDg6Vj6VGKwwIsbL34UvTQb98ojU/view?usp=drivesdk</t>
  </si>
  <si>
    <t>Document successfully created; Document successfully merged; PDF created; !!Error Sending Emails: Service invoked too many times for one day: email.; Run via form trigger as codectechnologies0@gmail.com; Timestamp: Aug 24, 2026 3:16 AM</t>
  </si>
  <si>
    <t>1XFuzvpvHsOmtjTtQpOBAHbysI0gmp53L</t>
  </si>
  <si>
    <t>https://drive.google.com/file/d/1XFuzvpvHsOmtjTtQpOBAHbysI0gmp53L/view?usp=drivesdk</t>
  </si>
  <si>
    <t>Document successfully created; Document successfully merged; PDF created; Emails Sent: [To: Helloworlddarkdevil@gmail.com]; Run via form trigger as codectechnologies0@gmail.com; Timestamp: Aug 24, 2026 3:17 AM</t>
  </si>
  <si>
    <t>Shivam kumar Soni</t>
  </si>
  <si>
    <t>shivamsoni0210@gmail.com</t>
  </si>
  <si>
    <t xml:space="preserve">Bhai jaita subharti university meerut </t>
  </si>
  <si>
    <t>1Luc9X1nQIjwuY0fHB2lDHZYE15fbIOVU</t>
  </si>
  <si>
    <t>https://drive.google.com/file/d/1Luc9X1nQIjwuY0fHB2lDHZYE15fbIOVU/view?usp=drivesdk</t>
  </si>
  <si>
    <t>Document successfully created; Document successfully merged; PDF created; !!Error Sending Emails: Service invoked too many times for one day: email.; Run via form trigger as codectechnologies0@gmail.com; Timestamp: Aug 24, 2026 3:20 AM</t>
  </si>
  <si>
    <t>om pandey</t>
  </si>
  <si>
    <t>ompandey10c@gmail.com</t>
  </si>
  <si>
    <t>08655214608</t>
  </si>
  <si>
    <t>Thakur college of science and commerece</t>
  </si>
  <si>
    <t>181rMWUChgewkyRzOldG65gqV-q3BFlw0</t>
  </si>
  <si>
    <t>https://drive.google.com/file/d/181rMWUChgewkyRzOldG65gqV-q3BFlw0/view?usp=drivesdk</t>
  </si>
  <si>
    <t>Document successfully created; Document successfully merged; PDF created; !!Error Sending Emails: Service invoked too many times for one day: email.; Run via form trigger as codectechnologies0@gmail.com; Timestamp: Aug 24, 2026 3:24 AM</t>
  </si>
  <si>
    <t xml:space="preserve">muskan shaikh </t>
  </si>
  <si>
    <t>muskanShaikh81302@gmail.com</t>
  </si>
  <si>
    <t>karnataka vishyadhan shikshana samiti</t>
  </si>
  <si>
    <t>1ParNSCZ925L48BSLpIaitpNXQ1hi5DV5</t>
  </si>
  <si>
    <t>https://drive.google.com/file/d/1ParNSCZ925L48BSLpIaitpNXQ1hi5DV5/view?usp=drivesdk</t>
  </si>
  <si>
    <t>Document successfully created; Document successfully merged; PDF created; !!Error Sending Emails: Service invoked too many times for one day: email.; Run via form trigger as codectechnologies0@gmail.com; Timestamp: Aug 24, 2026 3:26 AM</t>
  </si>
  <si>
    <t>Raghavendra Bhat</t>
  </si>
  <si>
    <t>raghubhat546@gmail.com</t>
  </si>
  <si>
    <t xml:space="preserve">Precidency college </t>
  </si>
  <si>
    <t>1SNpqlU99r13mKSlyp2foR5ixQcsuH7GF</t>
  </si>
  <si>
    <t>https://drive.google.com/file/d/1SNpqlU99r13mKSlyp2foR5ixQcsuH7GF/view?usp=drivesdk</t>
  </si>
  <si>
    <t>Document successfully created; Document successfully merged; PDF created; !!Error Sending Emails: Service invoked too many times for one day: email.; Run via form trigger as codectechnologies0@gmail.com; Timestamp: Aug 24, 2026 3:30 AM</t>
  </si>
  <si>
    <t>satyam singh</t>
  </si>
  <si>
    <t>satyamsingh256793@gmail.com</t>
  </si>
  <si>
    <t>allenhouse business school</t>
  </si>
  <si>
    <t>11k_atros7wlyi5lA1HecFE1b90t7pb8w</t>
  </si>
  <si>
    <t>https://drive.google.com/file/d/11k_atros7wlyi5lA1HecFE1b90t7pb8w/view?usp=drivesdk</t>
  </si>
  <si>
    <t>Document successfully created; Document successfully merged; PDF created; !!Error Sending Emails: Service invoked too many times for one day: email.; Run via form trigger as codectechnologies0@gmail.com; Timestamp: Aug 24, 2026 3:32 AM</t>
  </si>
  <si>
    <t xml:space="preserve">Shivani Shivaji Ghodke </t>
  </si>
  <si>
    <t>ghodkeshivani1@gmail.com</t>
  </si>
  <si>
    <t xml:space="preserve">Shree Siddheshwar Womens College of Engineering Solapur </t>
  </si>
  <si>
    <t>LinkedIn, WhatsApp, Email, Google</t>
  </si>
  <si>
    <t>1EOxyYQpLsO2ZNTgoi5o9lv0i_UqOsX1o</t>
  </si>
  <si>
    <t>https://drive.google.com/file/d/1EOxyYQpLsO2ZNTgoi5o9lv0i_UqOsX1o/view?usp=drivesdk</t>
  </si>
  <si>
    <t>Document successfully created; Document successfully merged; PDF created; Emails Sent: [To: ghodkeshivani1@gmail.com]; Run via form trigger as codectechnologies0@gmail.com; Timestamp: Aug 24, 2026 3:32 AM</t>
  </si>
  <si>
    <t xml:space="preserve">Ananya R </t>
  </si>
  <si>
    <t>ananyaraghu44@gmail.com</t>
  </si>
  <si>
    <t>1MzjLpKi0HKJzayXpIDqMDfZOyXuDRGQP</t>
  </si>
  <si>
    <t>https://drive.google.com/file/d/1MzjLpKi0HKJzayXpIDqMDfZOyXuDRGQP/view?usp=drivesdk</t>
  </si>
  <si>
    <t>Document successfully created; Document successfully merged; PDF created; !!Error Sending Emails: Service invoked too many times for one day: email.; Run via form trigger as codectechnologies0@gmail.com; Timestamp: Aug 24, 2026 3:36 AM</t>
  </si>
  <si>
    <t xml:space="preserve">Siddhant Hanumant Jarad </t>
  </si>
  <si>
    <t>siddhantjarad@gmail.com</t>
  </si>
  <si>
    <t xml:space="preserve">SVPM’S College of engineering malegaon bk </t>
  </si>
  <si>
    <t>1t8SfaNnnEhVJKB8-1qkHkoOIGFsHufbj</t>
  </si>
  <si>
    <t>https://drive.google.com/file/d/1t8SfaNnnEhVJKB8-1qkHkoOIGFsHufbj/view?usp=drivesdk</t>
  </si>
  <si>
    <t>Document successfully created; Document successfully merged; PDF created; !!Error Sending Emails: Service invoked too many times for one day: email.; Run via form trigger as codectechnologies0@gmail.com; Timestamp: Aug 24, 2026 3:42 AM</t>
  </si>
  <si>
    <t>Anmisha nondrana</t>
  </si>
  <si>
    <t>anmishanondrana@gmail.com</t>
  </si>
  <si>
    <t xml:space="preserve">Rajiv gandhi university of knowledge technologies </t>
  </si>
  <si>
    <t>1txJsyD8T7VxgLRgtvz6lNirnmGbKriBY</t>
  </si>
  <si>
    <t>https://drive.google.com/file/d/1txJsyD8T7VxgLRgtvz6lNirnmGbKriBY/view?usp=drivesdk</t>
  </si>
  <si>
    <t>Document successfully created; Document successfully merged; PDF created; !!Error Sending Emails: Service invoked too many times for one day: email.; Run via form trigger as codectechnologies0@gmail.com; Timestamp: Aug 24, 2026 3:43 AM</t>
  </si>
  <si>
    <t xml:space="preserve">Dasi Tejashri Divakar </t>
  </si>
  <si>
    <t>tejashridasi@gmail.com</t>
  </si>
  <si>
    <t xml:space="preserve">Shree Siddheshwar Women's College of Engineering, Solapur </t>
  </si>
  <si>
    <t>1T78vpM4rtdetA7HYZRQYJb-_FmMUZx2e</t>
  </si>
  <si>
    <t>https://drive.google.com/file/d/1T78vpM4rtdetA7HYZRQYJb-_FmMUZx2e/view?usp=drivesdk</t>
  </si>
  <si>
    <t>Document successfully created; Document successfully merged; PDF created; !!Error Sending Emails: Service invoked too many times for one day: email.; Run via form trigger as codectechnologies0@gmail.com; Timestamp: Aug 24, 2026 3:47 AM</t>
  </si>
  <si>
    <t>Shreya Kaushal</t>
  </si>
  <si>
    <t xml:space="preserve">shreya.kaushalnv@gmail.com </t>
  </si>
  <si>
    <t xml:space="preserve">Raj kumar goel institute of technology and management </t>
  </si>
  <si>
    <t>1ntYa8Jg4icus6byVNg5qKGS_up8UZvU1</t>
  </si>
  <si>
    <t>https://drive.google.com/file/d/1ntYa8Jg4icus6byVNg5qKGS_up8UZvU1/view?usp=drivesdk</t>
  </si>
  <si>
    <t>ANJALI YUVRAJ KAPALE</t>
  </si>
  <si>
    <t>anjaliy.k.22@gmail.com</t>
  </si>
  <si>
    <t>Shree Siddeshwar Women's College Of Engineering,Solapur</t>
  </si>
  <si>
    <t>1Lzcf4Zwlqd-x0hiiUmHxE9VpF7CHoITQ</t>
  </si>
  <si>
    <t>https://drive.google.com/file/d/1Lzcf4Zwlqd-x0hiiUmHxE9VpF7CHoITQ/view?usp=drivesdk</t>
  </si>
  <si>
    <t>Document successfully created; Document successfully merged; PDF created; !!Error Sending Emails: Service invoked too many times for one day: email.; Run via form trigger as codectechnologies0@gmail.com; Timestamp: Aug 24, 2026 3:48 AM</t>
  </si>
  <si>
    <t>Priyanka Carpenter</t>
  </si>
  <si>
    <t>priyankacarpenter30@gmail.com</t>
  </si>
  <si>
    <t>Rabindranath Tagore Univresity</t>
  </si>
  <si>
    <t>1ViBVgS3bERtHP_VPlL7sNKJA1iOJUvOT</t>
  </si>
  <si>
    <t>https://drive.google.com/file/d/1ViBVgS3bERtHP_VPlL7sNKJA1iOJUvOT/view?usp=drivesdk</t>
  </si>
  <si>
    <t>Document successfully created; Document successfully merged; PDF created; Emails Sent: [To: priyankacarpenter30@gmail.com]; Run via form trigger as codectechnologies0@gmail.com; Timestamp: Aug 24, 2026 3:51 AM</t>
  </si>
  <si>
    <t>Mohtashim khan Anees khan</t>
  </si>
  <si>
    <t>24bt0044@sipnaengg.ac.in</t>
  </si>
  <si>
    <t xml:space="preserve">Sipna Coet Amravati </t>
  </si>
  <si>
    <t>15FW7m5ARH8V8XQEd0jU1zith3c9t5jlI</t>
  </si>
  <si>
    <t>https://drive.google.com/file/d/15FW7m5ARH8V8XQEd0jU1zith3c9t5jlI/view?usp=drivesdk</t>
  </si>
  <si>
    <t>Document successfully created; Document successfully merged; PDF created; !!Error Sending Emails: Service invoked too many times for one day: email.; Run via form trigger as codectechnologies0@gmail.com; Timestamp: Aug 24, 2026 3:57 AM</t>
  </si>
  <si>
    <t>Rabindranath Tagore University</t>
  </si>
  <si>
    <t>1PK1a_ad2uXUbik2X8iRf2mwz5byM2-4t</t>
  </si>
  <si>
    <t>https://drive.google.com/file/d/1PK1a_ad2uXUbik2X8iRf2mwz5byM2-4t/view?usp=drivesdk</t>
  </si>
  <si>
    <t>Document successfully created; Document successfully merged; PDF created; !!Error Sending Emails: Service invoked too many times for one day: email.; Run via form trigger as codectechnologies0@gmail.com; Timestamp: Aug 24, 2026 3:58 AM</t>
  </si>
  <si>
    <t>Ananya Sutar</t>
  </si>
  <si>
    <t>ananyasutar7045@gmail.com</t>
  </si>
  <si>
    <t>D Y Patil college of engineering and technology</t>
  </si>
  <si>
    <t>1HKFsgJChp4pdISMIY83YEWdsc6kClGJw</t>
  </si>
  <si>
    <t>https://drive.google.com/file/d/1HKFsgJChp4pdISMIY83YEWdsc6kClGJw/view?usp=drivesdk</t>
  </si>
  <si>
    <t>Document successfully created; Document successfully merged; PDF created; !!Error Sending Emails: Service invoked too many times for one day: email.; Run via form trigger as codectechnologies0@gmail.com; Timestamp: Aug 24, 2026 4:20 AM</t>
  </si>
  <si>
    <t xml:space="preserve">Khadija Mulla </t>
  </si>
  <si>
    <t>khadijamulla93493@gmail.com</t>
  </si>
  <si>
    <t>1qWsXuloh6gjVlWmBRpnbIuokY9wf-WG0</t>
  </si>
  <si>
    <t>https://drive.google.com/file/d/1qWsXuloh6gjVlWmBRpnbIuokY9wf-WG0/view?usp=drivesdk</t>
  </si>
  <si>
    <t>Document successfully created; Document successfully merged; PDF created; !!Error Sending Emails: Service invoked too many times for one day: email.; Run via form trigger as codectechnologies0@gmail.com; Timestamp: Aug 24, 2026 4:26 AM</t>
  </si>
  <si>
    <t>Gaurav Sethi</t>
  </si>
  <si>
    <t>gsethi924@gmail.com</t>
  </si>
  <si>
    <t>Tecnia Institute of advanced studies</t>
  </si>
  <si>
    <t>1w7HnD-PggAUuqBHEWh1XZyexblz-bkRu</t>
  </si>
  <si>
    <t>https://drive.google.com/file/d/1w7HnD-PggAUuqBHEWh1XZyexblz-bkRu/view?usp=drivesdk</t>
  </si>
  <si>
    <t>Document successfully created; Document successfully merged; PDF created; !!Error Sending Emails: Service invoked too many times for one day: email.; Run via form trigger as codectechnologies0@gmail.com; Timestamp: Aug 24, 2026 4:34 AM</t>
  </si>
  <si>
    <t>Om Shankar</t>
  </si>
  <si>
    <t>om2008shankar@gmail.com</t>
  </si>
  <si>
    <t xml:space="preserve">Allen house institute of technology kanpur </t>
  </si>
  <si>
    <t>1m9ys8Vztq0fHqinQnj2DyKEncE8c9Pw3</t>
  </si>
  <si>
    <t>https://drive.google.com/file/d/1m9ys8Vztq0fHqinQnj2DyKEncE8c9Pw3/view?usp=drivesdk</t>
  </si>
  <si>
    <t>Document successfully created; Document successfully merged; PDF created; Emails Sent: [To: om2008shankar@gmail.com]; Run via form trigger as codectechnologies0@gmail.com; Timestamp: Aug 24, 2026 4:36 AM</t>
  </si>
  <si>
    <t xml:space="preserve">Mylagani HariKrishna </t>
  </si>
  <si>
    <t>harikrishna703663@gmail.com</t>
  </si>
  <si>
    <t xml:space="preserve">Chaitanya bharti institute of technology </t>
  </si>
  <si>
    <t>10GnkaSLb_H22TFjzC_0TDYuiWfTmNIv2</t>
  </si>
  <si>
    <t>https://drive.google.com/file/d/10GnkaSLb_H22TFjzC_0TDYuiWfTmNIv2/view?usp=drivesdk</t>
  </si>
  <si>
    <t>Document successfully created; Document successfully merged; PDF created; !!Error Sending Emails: Service invoked too many times for one day: email.; Run via form trigger as codectechnologies0@gmail.com; Timestamp: Aug 24, 2026 4:36 AM</t>
  </si>
  <si>
    <t>Kishor Ganpat Kornule</t>
  </si>
  <si>
    <t>kishorkornule@gmail.com</t>
  </si>
  <si>
    <t xml:space="preserve">Swami Ramanand Teerth Marathwada university Nanded Maharashtra </t>
  </si>
  <si>
    <t>1ks5rpaHRNLA3r5niGrjOb3-r4K1tZJUU</t>
  </si>
  <si>
    <t>https://drive.google.com/file/d/1ks5rpaHRNLA3r5niGrjOb3-r4K1tZJUU/view?usp=drivesdk</t>
  </si>
  <si>
    <t>Document successfully created; Document successfully merged; PDF created; Emails Sent: [To: kishorkornule@gmail.com]; Run via form trigger as codectechnologies0@gmail.com; Timestamp: Aug 24, 2026 4:38 AM</t>
  </si>
  <si>
    <t>Moulieshwar P</t>
  </si>
  <si>
    <t>pmoulieshwar88@jnn.edu.in</t>
  </si>
  <si>
    <t xml:space="preserve">JNN INSTITUTE OF ENGINEERING AND TECHNOLOGY </t>
  </si>
  <si>
    <t>1kHFl4-TgJTa62as1INERrLVEcFTWhZD9</t>
  </si>
  <si>
    <t>https://drive.google.com/file/d/1kHFl4-TgJTa62as1INERrLVEcFTWhZD9/view?usp=drivesdk</t>
  </si>
  <si>
    <t>Document successfully created; Document successfully merged; PDF created; !!Error Sending Emails: Service invoked too many times for one day: email.; Run via form trigger as codectechnologies0@gmail.com; Timestamp: Aug 24, 2026 4:51 AM</t>
  </si>
  <si>
    <t>Kunal Hitesh Rane</t>
  </si>
  <si>
    <t>vvrkto@gmail.com</t>
  </si>
  <si>
    <t>Kishinchand Chellaram College, HSNC University</t>
  </si>
  <si>
    <t>LinkedIn, Friend, Google</t>
  </si>
  <si>
    <t>183HIze7Gp1kjmPMcbnB4zZOwxY3EnN4R</t>
  </si>
  <si>
    <t>https://drive.google.com/file/d/183HIze7Gp1kjmPMcbnB4zZOwxY3EnN4R/view?usp=drivesdk</t>
  </si>
  <si>
    <t>Document successfully created; Document successfully merged; PDF created; !!Error Sending Emails: Service invoked too many times for one day: email.; Run via form trigger as codectechnologies0@gmail.com; Timestamp: Aug 24, 2026 5:01 AM</t>
  </si>
  <si>
    <t>Priyanshu Kumar</t>
  </si>
  <si>
    <t>priyanshusinha044@gmail.com</t>
  </si>
  <si>
    <t xml:space="preserve">Swami Vivekanand subharti university meerut </t>
  </si>
  <si>
    <t>1w1Fba1Tg_cpYFMix3nak1VUFK42nS-AF</t>
  </si>
  <si>
    <t>https://drive.google.com/file/d/1w1Fba1Tg_cpYFMix3nak1VUFK42nS-AF/view?usp=drivesdk</t>
  </si>
  <si>
    <t>Document successfully created; Document successfully merged; PDF created; !!Error Sending Emails: Service invoked too many times for one day: email.; Run via form trigger as codectechnologies0@gmail.com; Timestamp: Aug 24, 2026 5:03 AM</t>
  </si>
  <si>
    <t>muskanshaikh81302@gmail.com</t>
  </si>
  <si>
    <t xml:space="preserve">karnataka vishyadhan shikshana samiti </t>
  </si>
  <si>
    <t>19-3Y9inU71c69-xgqjNFRmVVm0yc6EvU</t>
  </si>
  <si>
    <t>https://drive.google.com/file/d/19-3Y9inU71c69-xgqjNFRmVVm0yc6EvU/view?usp=drivesdk</t>
  </si>
  <si>
    <t>Raushan Pathak</t>
  </si>
  <si>
    <t>pathakraushan040@gmail.com</t>
  </si>
  <si>
    <t xml:space="preserve">JB institute of technology </t>
  </si>
  <si>
    <t>1UB0a-RQKtefO59whWJe5C3q8UjioL61k</t>
  </si>
  <si>
    <t>https://drive.google.com/file/d/1UB0a-RQKtefO59whWJe5C3q8UjioL61k/view?usp=drivesdk</t>
  </si>
  <si>
    <t>Document successfully created; Document successfully merged; PDF created; !!Error Sending Emails: Service invoked too many times for one day: email.; Run via form trigger as codectechnologies0@gmail.com; Timestamp: Aug 24, 2026 5:04 AM</t>
  </si>
  <si>
    <t>NITISH KUMAR</t>
  </si>
  <si>
    <t>nitishkumar02032004@gmail.com</t>
  </si>
  <si>
    <t>indian institute of technology (bhu) varanasi</t>
  </si>
  <si>
    <t>1nT8TJ_RoLQjiVbJl4Rb3HuDWCXWWEBjX</t>
  </si>
  <si>
    <t>https://drive.google.com/file/d/1nT8TJ_RoLQjiVbJl4Rb3HuDWCXWWEBjX/view?usp=drivesdk</t>
  </si>
  <si>
    <t>Document successfully created; Document successfully merged; PDF created; !!Error Sending Emails: Service invoked too many times for one day: email.; Run via form trigger as codectechnologies0@gmail.com; Timestamp: Aug 24, 2026 5:08 AM</t>
  </si>
  <si>
    <t>Ayush kumar</t>
  </si>
  <si>
    <t>ayush.vibes04@gmail.com</t>
  </si>
  <si>
    <t>Central university of jammu</t>
  </si>
  <si>
    <t>1NiotFbClGHmbXgS0guuIlSfYTVBqMmvW</t>
  </si>
  <si>
    <t>https://drive.google.com/file/d/1NiotFbClGHmbXgS0guuIlSfYTVBqMmvW/view?usp=drivesdk</t>
  </si>
  <si>
    <t>Document successfully created; Document successfully merged; PDF created; !!Error Sending Emails: Service invoked too many times for one day: email.; Run via form trigger as codectechnologies0@gmail.com; Timestamp: Aug 24, 2026 5:10 AM</t>
  </si>
  <si>
    <t>15TGcZh_z5mHuSTmS402ib1yj-0uoa_XZ</t>
  </si>
  <si>
    <t>https://drive.google.com/file/d/15TGcZh_z5mHuSTmS402ib1yj-0uoa_XZ/view?usp=drivesdk</t>
  </si>
  <si>
    <t>Document successfully created; Document successfully merged; PDF created; !!Error Sending Emails: Service invoked too many times for one day: email.; Run via form trigger as codectechnologies0@gmail.com; Timestamp: Aug 24, 2026 5:15 AM</t>
  </si>
  <si>
    <t>Manish Raj</t>
  </si>
  <si>
    <t>rajmanish40455203@gmail.com</t>
  </si>
  <si>
    <t>1Vt5iL418EIkUnlcEmRe69-FUdLIpgR84</t>
  </si>
  <si>
    <t>https://drive.google.com/file/d/1Vt5iL418EIkUnlcEmRe69-FUdLIpgR84/view?usp=drivesdk</t>
  </si>
  <si>
    <t>Document successfully created; Document successfully merged; PDF created; !!Error Sending Emails: Service invoked too many times for one day: email.; Run via form trigger as codectechnologies0@gmail.com; Timestamp: Aug 24, 2026 5:16 AM</t>
  </si>
  <si>
    <t>Kasturi Bharat Jadhav</t>
  </si>
  <si>
    <t>kasturijadhav16@gmail.com</t>
  </si>
  <si>
    <t>1vUi8tG9D56vQD4-ZE8WuDJN0aXUbb31n</t>
  </si>
  <si>
    <t>https://drive.google.com/file/d/1vUi8tG9D56vQD4-ZE8WuDJN0aXUbb31n/view?usp=drivesdk</t>
  </si>
  <si>
    <t>Document successfully created; Document successfully merged; PDF created; !!Error Sending Emails: Service invoked too many times for one day: email.; Run via form trigger as codectechnologies0@gmail.com; Timestamp: Aug 24, 2026 5:17 AM</t>
  </si>
  <si>
    <t xml:space="preserve">Raushan pathak </t>
  </si>
  <si>
    <t>raushanpathak464@gmail.com</t>
  </si>
  <si>
    <t>1xZaiyIT2nsI5dzT9sSd3HhBIdmvsRX3j</t>
  </si>
  <si>
    <t>https://drive.google.com/file/d/1xZaiyIT2nsI5dzT9sSd3HhBIdmvsRX3j/view?usp=drivesdk</t>
  </si>
  <si>
    <t>Saumitra Milind Tambe</t>
  </si>
  <si>
    <t>saumitratambe09@gmail.com</t>
  </si>
  <si>
    <t>Pimpri Chinchwad University</t>
  </si>
  <si>
    <t>1ZNoo7zw9M3oGkqCZFlZ_Txwf_fZuoxpP</t>
  </si>
  <si>
    <t>https://drive.google.com/file/d/1ZNoo7zw9M3oGkqCZFlZ_Txwf_fZuoxpP/view?usp=drivesdk</t>
  </si>
  <si>
    <t>Document successfully created; Document successfully merged; PDF created; !!Error Sending Emails: Service invoked too many times for one day: email.; Run via form trigger as codectechnologies0@gmail.com; Timestamp: Aug 24, 2026 5:18 AM</t>
  </si>
  <si>
    <t>ANISH KUMAR.S</t>
  </si>
  <si>
    <t>ak9444726802@gmail.com</t>
  </si>
  <si>
    <t>J.N.N.INSTITUTE OF ENGINEERING</t>
  </si>
  <si>
    <t>1wMdWNB90VBD_dcjKgOgK2W6ImVNLRZ_Q</t>
  </si>
  <si>
    <t>https://drive.google.com/file/d/1wMdWNB90VBD_dcjKgOgK2W6ImVNLRZ_Q/view?usp=drivesdk</t>
  </si>
  <si>
    <t>Document successfully created; Document successfully merged; PDF created; !!Error Sending Emails: Service invoked too many times for one day: email.; Run via form trigger as codectechnologies0@gmail.com; Timestamp: Aug 24, 2026 5:20 AM</t>
  </si>
  <si>
    <t>Arun Maurya</t>
  </si>
  <si>
    <t>akmaurya1182114@gmail.com</t>
  </si>
  <si>
    <t xml:space="preserve">Rameshwaram Institute of Technology and Management </t>
  </si>
  <si>
    <t>1mrn8a8roxPysX2ibtYz18J0_KVS-S8St</t>
  </si>
  <si>
    <t>https://drive.google.com/file/d/1mrn8a8roxPysX2ibtYz18J0_KVS-S8St/view?usp=drivesdk</t>
  </si>
  <si>
    <t>Document successfully created; Document successfully merged; PDF created; Emails Sent: [To: akmaurya1182114@gmail.com]; Run via form trigger as codectechnologies0@gmail.com; Timestamp: Aug 24, 2026 5:21 AM</t>
  </si>
  <si>
    <t xml:space="preserve">KUNAL HITESH RANE </t>
  </si>
  <si>
    <t>LinkedIn, Friend, Email, Google</t>
  </si>
  <si>
    <t>1U9d8WRsJHBjZ8-eflgq69vqvVideJYcR</t>
  </si>
  <si>
    <t>https://drive.google.com/file/d/1U9d8WRsJHBjZ8-eflgq69vqvVideJYcR/view?usp=drivesdk</t>
  </si>
  <si>
    <t>Document successfully created; Document successfully merged; PDF created; !!Error Sending Emails: Service invoked too many times for one day: email.; Run via form trigger as codectechnologies0@gmail.com; Timestamp: Aug 24, 2026 5:21 AM</t>
  </si>
  <si>
    <t>Saiful Azam</t>
  </si>
  <si>
    <t>saifulazamazam09@gmail.com</t>
  </si>
  <si>
    <t>swami vivekanad subharti University (bjsec)</t>
  </si>
  <si>
    <t>1PMPij2YxaeqDlSycu7r3aMNLdozWTsX6</t>
  </si>
  <si>
    <t>https://drive.google.com/file/d/1PMPij2YxaeqDlSycu7r3aMNLdozWTsX6/view?usp=drivesdk</t>
  </si>
  <si>
    <t>Document successfully created; Document successfully merged; PDF created; !!Error Sending Emails: Service invoked too many times for one day: email.; Run via form trigger as codectechnologies0@gmail.com; Timestamp: Aug 24, 2026 5:26 AM</t>
  </si>
  <si>
    <t xml:space="preserve">Pallavi Adavayya Mastamaradi </t>
  </si>
  <si>
    <t>pallaviam06@gmail.com</t>
  </si>
  <si>
    <t xml:space="preserve">Presidency College, Bengaluru </t>
  </si>
  <si>
    <t>1z-KNUhFYNTjumAPTd1BB8-P2nuXt3xXZ</t>
  </si>
  <si>
    <t>https://drive.google.com/file/d/1z-KNUhFYNTjumAPTd1BB8-P2nuXt3xXZ/view?usp=drivesdk</t>
  </si>
  <si>
    <t>Anshika Arora</t>
  </si>
  <si>
    <t>anshii8765@gmail.com</t>
  </si>
  <si>
    <t>1Ljzd11HkW5bksH4J-YubQlemmyQdZQO4</t>
  </si>
  <si>
    <t>https://drive.google.com/file/d/1Ljzd11HkW5bksH4J-YubQlemmyQdZQO4/view?usp=drivesdk</t>
  </si>
  <si>
    <t>Document successfully created; Document successfully merged; PDF created; !!Error Sending Emails: Service invoked too many times for one day: email.; Run via form trigger as codectechnologies0@gmail.com; Timestamp: Aug 24, 2026 5:34 AM</t>
  </si>
  <si>
    <t>Aarav Srivastava</t>
  </si>
  <si>
    <t>mansav1012@gmail.com</t>
  </si>
  <si>
    <t>10hoULf_p6ZExr8YZWiqFHF42Erm7m0HB</t>
  </si>
  <si>
    <t>https://drive.google.com/file/d/10hoULf_p6ZExr8YZWiqFHF42Erm7m0HB/view?usp=drivesdk</t>
  </si>
  <si>
    <t>Document successfully created; Document successfully merged; PDF created; !!Error Sending Emails: Service invoked too many times for one day: email.; Run via form trigger as codectechnologies0@gmail.com; Timestamp: Aug 24, 2026 5:38 AM</t>
  </si>
  <si>
    <t>Alok Kumar</t>
  </si>
  <si>
    <t>alokkumar25062005@gmail.com</t>
  </si>
  <si>
    <t>Indian Institute of Technology (BHU)</t>
  </si>
  <si>
    <t>1GfbtupGIJ13cL5WKjyELiATxxe86Al6d</t>
  </si>
  <si>
    <t>https://drive.google.com/file/d/1GfbtupGIJ13cL5WKjyELiATxxe86Al6d/view?usp=drivesdk</t>
  </si>
  <si>
    <t xml:space="preserve">Sumit Santosh Ohol </t>
  </si>
  <si>
    <t>sumitohol97@gmail.com</t>
  </si>
  <si>
    <t xml:space="preserve">PDEA'S College of Engineering Hadapsar </t>
  </si>
  <si>
    <t>1IL28rqijh6vYSIXu0uHAkazcoWCcMYNf</t>
  </si>
  <si>
    <t>https://drive.google.com/file/d/1IL28rqijh6vYSIXu0uHAkazcoWCcMYNf/view?usp=drivesdk</t>
  </si>
  <si>
    <t>Document successfully created; Document successfully merged; PDF created; !!Error Sending Emails: Service invoked too many times for one day: email.; Run via form trigger as codectechnologies0@gmail.com; Timestamp: Aug 24, 2026 5:51 AM</t>
  </si>
  <si>
    <t xml:space="preserve">Aima zubair </t>
  </si>
  <si>
    <t>aimashaikh.7017@gmail.com</t>
  </si>
  <si>
    <t xml:space="preserve">Dr.P.A.Inamdar university </t>
  </si>
  <si>
    <t>1x_FXocr2KPPpV5Z89n4lDgEtz5JySHNo</t>
  </si>
  <si>
    <t>https://drive.google.com/file/d/1x_FXocr2KPPpV5Z89n4lDgEtz5JySHNo/view?usp=drivesdk</t>
  </si>
  <si>
    <t>Document successfully created; Document successfully merged; PDF created; !!Error Sending Emails: Service invoked too many times for one day: email.; Run via form trigger as codectechnologies0@gmail.com; Timestamp: Aug 24, 2026 5:53 AM</t>
  </si>
  <si>
    <t>Piyush</t>
  </si>
  <si>
    <t>pk2589261@gmail.com</t>
  </si>
  <si>
    <t>govt. college, hansi</t>
  </si>
  <si>
    <t>1542eMvhLudCdYjNJUyf5XS68E8Vx7jJO</t>
  </si>
  <si>
    <t>https://drive.google.com/file/d/1542eMvhLudCdYjNJUyf5XS68E8Vx7jJO/view?usp=drivesdk</t>
  </si>
  <si>
    <t>Document successfully created; Document successfully merged; PDF created; !!Error Sending Emails: Service invoked too many times for one day: email.; Run via form trigger as codectechnologies0@gmail.com; Timestamp: Aug 24, 2026 6:02 AM</t>
  </si>
  <si>
    <t>G VIGNESH</t>
  </si>
  <si>
    <t>gvignesh2008z@gmail.com</t>
  </si>
  <si>
    <t xml:space="preserve">PANIMALAR ENGINEERING COLLEGE </t>
  </si>
  <si>
    <t>1K-gFCrLo9X3cxt6RC4-aVDxSzrJwITxo</t>
  </si>
  <si>
    <t>https://drive.google.com/file/d/1K-gFCrLo9X3cxt6RC4-aVDxSzrJwITxo/view?usp=drivesdk</t>
  </si>
  <si>
    <t>Document successfully created; Document successfully merged; PDF created; !!Error Sending Emails: Service invoked too many times for one day: email.; Run via form trigger as codectechnologies0@gmail.com; Timestamp: Aug 24, 2026 6:07 AM</t>
  </si>
  <si>
    <t>Rishi Bhavsar</t>
  </si>
  <si>
    <t>rishimbhavsar@gmail.com</t>
  </si>
  <si>
    <t xml:space="preserve">Kishinchand Chellaram College </t>
  </si>
  <si>
    <t>1_aUibojBjMydUUbpvEwa8k_NWLrdG6gx</t>
  </si>
  <si>
    <t>https://drive.google.com/file/d/1_aUibojBjMydUUbpvEwa8k_NWLrdG6gx/view?usp=drivesdk</t>
  </si>
  <si>
    <t>Document successfully created; Document successfully merged; PDF created; !!Error Sending Emails: Service invoked too many times for one day: email.; Run via form trigger as codectechnologies0@gmail.com; Timestamp: Aug 24, 2026 6:18 AM</t>
  </si>
  <si>
    <t xml:space="preserve">Aima Shaikh </t>
  </si>
  <si>
    <t>1UGrfyEQX3gDzphgFJled7d8qa7NeZwvH</t>
  </si>
  <si>
    <t>https://drive.google.com/file/d/1UGrfyEQX3gDzphgFJled7d8qa7NeZwvH/view?usp=drivesdk</t>
  </si>
  <si>
    <t>Document successfully created; Document successfully merged; PDF created; !!Error Sending Emails: Service invoked too many times for one day: email.; Run via form trigger as codectechnologies0@gmail.com; Timestamp: Aug 24, 2026 6:19 AM</t>
  </si>
  <si>
    <t>Lokesh Reddy Dornala</t>
  </si>
  <si>
    <t>Lokeshreddy1808@gmail.com</t>
  </si>
  <si>
    <t>Vignan's Foundation for Science, Technology &amp; Research (Deemed to be University)</t>
  </si>
  <si>
    <t>12kwGcq8sT5VkM5qhrhoSKpdLcOAeL3TF</t>
  </si>
  <si>
    <t>https://drive.google.com/file/d/12kwGcq8sT5VkM5qhrhoSKpdLcOAeL3TF/view?usp=drivesdk</t>
  </si>
  <si>
    <t>Document successfully created; Document successfully merged; PDF created; !!Error Sending Emails: Service invoked too many times for one day: email.; Run via form trigger as codectechnologies0@gmail.com; Timestamp: Aug 24, 2026 6:20 AM</t>
  </si>
  <si>
    <t>Kapil Kushwaha</t>
  </si>
  <si>
    <t>kkushwaha7509@gmail.com</t>
  </si>
  <si>
    <t xml:space="preserve">St.aloysius college </t>
  </si>
  <si>
    <t>1Cf8suRFila8w-Re2pD5HRy3NaGOWdKN_</t>
  </si>
  <si>
    <t>https://drive.google.com/file/d/1Cf8suRFila8w-Re2pD5HRy3NaGOWdKN_/view?usp=drivesdk</t>
  </si>
  <si>
    <t>Document successfully created; Document successfully merged; PDF created; !!Error Sending Emails: Service invoked too many times for one day: email.; Run via form trigger as codectechnologies0@gmail.com; Timestamp: Aug 24, 2026 6:25 AM</t>
  </si>
  <si>
    <t>SHOUVIK ACHARYYA</t>
  </si>
  <si>
    <t>shouvikacharyya.23@nshm.edu.in</t>
  </si>
  <si>
    <t>NSHM KNOWLEDGE CAMPUS DURGAPUR</t>
  </si>
  <si>
    <t>1cMw3SsRkVXuyEqrreDEypDww1f7VRxvD</t>
  </si>
  <si>
    <t>https://drive.google.com/file/d/1cMw3SsRkVXuyEqrreDEypDww1f7VRxvD/view?usp=drivesdk</t>
  </si>
  <si>
    <t>Document successfully created; Document successfully merged; PDF created; !!Error Sending Emails: Service invoked too many times for one day: email.; Run via form trigger as codectechnologies0@gmail.com; Timestamp: Aug 24, 2026 6:35 AM</t>
  </si>
  <si>
    <t>Ramadhar Kumar Prasad</t>
  </si>
  <si>
    <t>nikhilkumar9336r@gmail.com</t>
  </si>
  <si>
    <t>1dnOjLEOk5cjzH5oRKY8fzJTIu15gVYMz</t>
  </si>
  <si>
    <t>https://drive.google.com/file/d/1dnOjLEOk5cjzH5oRKY8fzJTIu15gVYMz/view?usp=drivesdk</t>
  </si>
  <si>
    <t>Document successfully created; Document successfully merged; PDF created; !!Error Sending Emails: Service invoked too many times for one day: email.; Run via form trigger as codectechnologies0@gmail.com; Timestamp: Aug 24, 2026 6:41 AM</t>
  </si>
  <si>
    <t xml:space="preserve">Dyansagar Institute of management and research pune. </t>
  </si>
  <si>
    <t>1vUbkH4jdO92YfCDA1xUAeVHE-ouRu56V</t>
  </si>
  <si>
    <t>https://drive.google.com/file/d/1vUbkH4jdO92YfCDA1xUAeVHE-ouRu56V/view?usp=drivesdk</t>
  </si>
  <si>
    <t>Document successfully created; Document successfully merged; PDF created; !!Error Sending Emails: Service invoked too many times for one day: email.; Run via form trigger as codectechnologies0@gmail.com; Timestamp: Aug 24, 2026 6:43 AM</t>
  </si>
  <si>
    <t>Rishi bhavsar</t>
  </si>
  <si>
    <t>Kishinchand Chellaram College</t>
  </si>
  <si>
    <t>12Qg8-p9UPBTFhCGpVLqkqQhVR3_a81C3</t>
  </si>
  <si>
    <t>https://drive.google.com/file/d/12Qg8-p9UPBTFhCGpVLqkqQhVR3_a81C3/view?usp=drivesdk</t>
  </si>
  <si>
    <t>Document successfully created; Document successfully merged; PDF created; !!Error Sending Emails: Service invoked too many times for one day: email.; Run via form trigger as codectechnologies0@gmail.com; Timestamp: Aug 24, 2026 6:51 AM</t>
  </si>
  <si>
    <t>BHUKYA VARUN</t>
  </si>
  <si>
    <t>bhukyavarun321@gmail.com</t>
  </si>
  <si>
    <t>The Vignan's Foundation for Science, Technology and Research</t>
  </si>
  <si>
    <t>1_K8T7vHaaHiDe-Yz4JPKsZR-VeL54BVf</t>
  </si>
  <si>
    <t>https://drive.google.com/file/d/1_K8T7vHaaHiDe-Yz4JPKsZR-VeL54BVf/view?usp=drivesdk</t>
  </si>
  <si>
    <t>Document successfully created; Document successfully merged; PDF created; !!Error Sending Emails: Service invoked too many times for one day: email.; Run via form trigger as codectechnologies0@gmail.com; Timestamp: Aug 24, 2026 6:56 AM</t>
  </si>
  <si>
    <t xml:space="preserve">Lodiga Sathish </t>
  </si>
  <si>
    <t>lodigasatish@gmail.com</t>
  </si>
  <si>
    <t>Vignan's Foundation for Science, Technology and Research</t>
  </si>
  <si>
    <t>16GrUX7dfFjpT1641wdwFDmvnCkIA0tVr</t>
  </si>
  <si>
    <t>https://drive.google.com/file/d/16GrUX7dfFjpT1641wdwFDmvnCkIA0tVr/view?usp=drivesdk</t>
  </si>
  <si>
    <t>Document successfully created; Document successfully merged; PDF created; !!Error Sending Emails: Service invoked too many times for one day: email.; Run via form trigger as codectechnologies0@gmail.com; Timestamp: Aug 24, 2026 6:57 AM</t>
  </si>
  <si>
    <t>Nitish Kumar</t>
  </si>
  <si>
    <t>amarjeet.kumar.mec23@itbhu.ac.in</t>
  </si>
  <si>
    <t>1FU1ICN2vXcxJ1vfcmjBoZn3i0sap6kmV</t>
  </si>
  <si>
    <t>https://drive.google.com/file/d/1FU1ICN2vXcxJ1vfcmjBoZn3i0sap6kmV/view?usp=drivesdk</t>
  </si>
  <si>
    <t>Document successfully created; Document successfully merged; PDF created; !!Error Sending Emails: Service invoked too many times for one day: email.; Run via form trigger as codectechnologies0@gmail.com; Timestamp: Aug 24, 2026 6:58 AM</t>
  </si>
  <si>
    <t xml:space="preserve">Maccha Venkata Neha Rani </t>
  </si>
  <si>
    <t>neharanimaccha@gmail.com</t>
  </si>
  <si>
    <t xml:space="preserve">Chaitanya Bharathi Institute Of Technology, proddatur </t>
  </si>
  <si>
    <t>1Dx11S-cX2rShvpB5qbY1F6Fib7vT4tz6</t>
  </si>
  <si>
    <t>https://drive.google.com/file/d/1Dx11S-cX2rShvpB5qbY1F6Fib7vT4tz6/view?usp=drivesdk</t>
  </si>
  <si>
    <t>Document successfully created; Document successfully merged; PDF created; !!Error Sending Emails: Service invoked too many times for one day: email.; Run via form trigger as codectechnologies0@gmail.com; Timestamp: Aug 24, 2026 7:02 AM</t>
  </si>
  <si>
    <t>Amarjeet Kumar</t>
  </si>
  <si>
    <t>146vFsGiWI2EVeCzHFA6Byqwel0832zQP</t>
  </si>
  <si>
    <t>https://drive.google.com/file/d/146vFsGiWI2EVeCzHFA6Byqwel0832zQP/view?usp=drivesdk</t>
  </si>
  <si>
    <t>Document successfully created; Document successfully merged; PDF created; !!Error Sending Emails: Service invoked too many times for one day: email.; Run via form trigger as codectechnologies0@gmail.com; Timestamp: Aug 24, 2026 7:03 AM</t>
  </si>
  <si>
    <t xml:space="preserve">Aditya Purushottam Raut </t>
  </si>
  <si>
    <t>raut15951@gmail.com</t>
  </si>
  <si>
    <t xml:space="preserve">Karanjekar College of Engineering and Management Sakoli </t>
  </si>
  <si>
    <t>1wqXdwb4BuqUC9q3M9L4myQZbN6ZzVpFm</t>
  </si>
  <si>
    <t>https://drive.google.com/file/d/1wqXdwb4BuqUC9q3M9L4myQZbN6ZzVpFm/view?usp=drivesdk</t>
  </si>
  <si>
    <t>Document successfully created; Document successfully merged; PDF created; !!Error Sending Emails: Service invoked too many times for one day: email.; Run via form trigger as codectechnologies0@gmail.com; Timestamp: Aug 24, 2026 7:05 AM</t>
  </si>
  <si>
    <t>Kshitija Sarode</t>
  </si>
  <si>
    <t>kshitijasarode4@gmail.com</t>
  </si>
  <si>
    <t>Nutan College of Engineering and Reserch</t>
  </si>
  <si>
    <t>1Mq5UrMJhep3frC_aWTS0K_bnSAuilA_B</t>
  </si>
  <si>
    <t>https://drive.google.com/file/d/1Mq5UrMJhep3frC_aWTS0K_bnSAuilA_B/view?usp=drivesdk</t>
  </si>
  <si>
    <t>Document successfully created; Document successfully merged; PDF created; !!Error Sending Emails: Service invoked too many times for one day: email.; Run via form trigger as codectechnologies0@gmail.com; Timestamp: Aug 24, 2026 7:07 AM</t>
  </si>
  <si>
    <t>Gandla Siva Sandhyana</t>
  </si>
  <si>
    <t>sivasandhyanagandla@gmail.com</t>
  </si>
  <si>
    <t xml:space="preserve">G.Pullaiah College Of Engineering and Technology </t>
  </si>
  <si>
    <t>1IARpy1bn3UeFAt3wpSI8KQ5rDhCZIzj_</t>
  </si>
  <si>
    <t>https://drive.google.com/file/d/1IARpy1bn3UeFAt3wpSI8KQ5rDhCZIzj_/view?usp=drivesdk</t>
  </si>
  <si>
    <t>Document successfully created; Document successfully merged; PDF created; !!Error Sending Emails: Service invoked too many times for one day: email.; Run via form trigger as codectechnologies0@gmail.com; Timestamp: Aug 24, 2026 7:13 AM</t>
  </si>
  <si>
    <t>Harshitha Amulothu</t>
  </si>
  <si>
    <t>amulothuharshitha@gmail.com</t>
  </si>
  <si>
    <t>1mVXwsoQ82kwfz3xMS9iTumRRp4jvhzSX</t>
  </si>
  <si>
    <t>https://drive.google.com/file/d/1mVXwsoQ82kwfz3xMS9iTumRRp4jvhzSX/view?usp=drivesdk</t>
  </si>
  <si>
    <t>Document successfully created; Document successfully merged; PDF created; !!Error Sending Emails: Service invoked too many times for one day: email.; Run via form trigger as codectechnologies0@gmail.com; Timestamp: Aug 24, 2026 7:12 AM</t>
  </si>
  <si>
    <t>Rishi Shukla</t>
  </si>
  <si>
    <t>rishi.shukla1519@gmail.com</t>
  </si>
  <si>
    <t>1Mp64lLmEJTrLnWIL-E4wYKwfHpitMUuC</t>
  </si>
  <si>
    <t>https://drive.google.com/file/d/1Mp64lLmEJTrLnWIL-E4wYKwfHpitMUuC/view?usp=drivesdk</t>
  </si>
  <si>
    <t>Document successfully created; Document successfully merged; PDF created; !!Error Sending Emails: Service invoked too many times for one day: email.; Run via form trigger as codectechnologies0@gmail.com; Timestamp: Aug 24, 2026 7:14 AM</t>
  </si>
  <si>
    <t>SUTAR RAJ DINESH</t>
  </si>
  <si>
    <t>raj24it@student.mes.ac.in</t>
  </si>
  <si>
    <t>Pillai college of Arts,Commerce and science (Autonomous)</t>
  </si>
  <si>
    <t>1BdX4wArbbGsFsjSBtOYqkW8ftk9KWT2i</t>
  </si>
  <si>
    <t>https://drive.google.com/file/d/1BdX4wArbbGsFsjSBtOYqkW8ftk9KWT2i/view?usp=drivesdk</t>
  </si>
  <si>
    <t>Document successfully created; Document successfully merged; PDF created; !!Error Sending Emails: Service invoked too many times for one day: email.; Run via form trigger as codectechnologies0@gmail.com; Timestamp: Aug 24, 2026 7:17 AM</t>
  </si>
  <si>
    <t>Kiran k v</t>
  </si>
  <si>
    <t>kirangowda9645@gmail.com</t>
  </si>
  <si>
    <t>Presidency college</t>
  </si>
  <si>
    <t>1XHJTJaIaGjvUvLjquQXkENdK-O6MnBf7</t>
  </si>
  <si>
    <t>https://drive.google.com/file/d/1XHJTJaIaGjvUvLjquQXkENdK-O6MnBf7/view?usp=drivesdk</t>
  </si>
  <si>
    <t>Document successfully created; Document successfully merged; PDF created; !!Error Sending Emails: Service invoked too many times for one day: email.; Run via form trigger as codectechnologies0@gmail.com; Timestamp: Aug 24, 2026 7:28 AM</t>
  </si>
  <si>
    <t>SHIVAM KUMAR</t>
  </si>
  <si>
    <t>shivam8621116@gmail.com</t>
  </si>
  <si>
    <t>Indian Institute of Information Technology, Manipur</t>
  </si>
  <si>
    <t>1EXlGtPI4ZE8NPcQJyr3XsJ3OupKz4l9q</t>
  </si>
  <si>
    <t>https://drive.google.com/file/d/1EXlGtPI4ZE8NPcQJyr3XsJ3OupKz4l9q/view?usp=drivesdk</t>
  </si>
  <si>
    <t>Document successfully created; Document successfully merged; PDF created; Emails Sent: [To: shivam8621116@gmail.com]; Run via form trigger as codectechnologies0@gmail.com; Timestamp: Aug 24, 2026 7:33 AM</t>
  </si>
  <si>
    <t xml:space="preserve">Dipanshu Yadav </t>
  </si>
  <si>
    <t>ishulko2696@gmail.com</t>
  </si>
  <si>
    <t>University of Lucknow</t>
  </si>
  <si>
    <t>1k0FyI_oKgcbqGG593gEERCsUambAl_IZ</t>
  </si>
  <si>
    <t>https://drive.google.com/file/d/1k0FyI_oKgcbqGG593gEERCsUambAl_IZ/view?usp=drivesdk</t>
  </si>
  <si>
    <t>Document successfully created; Document successfully merged; PDF created; !!Error Sending Emails: Service invoked too many times for one day: email.; Run via form trigger as codectechnologies0@gmail.com; Timestamp: Aug 24, 2026 7:35 AM</t>
  </si>
  <si>
    <t>Dyansagar Institute of management and research pune</t>
  </si>
  <si>
    <t>11q_oyK4JVwtAN_AfVD3Lr9cW5Xk4hmOd</t>
  </si>
  <si>
    <t>https://drive.google.com/file/d/11q_oyK4JVwtAN_AfVD3Lr9cW5Xk4hmOd/view?usp=drivesdk</t>
  </si>
  <si>
    <t>Document successfully created; Document successfully merged; PDF created; !!Error Sending Emails: Service invoked too many times for one day: email.; Run via form trigger as codectechnologies0@gmail.com; Timestamp: Aug 24, 2026 7:46 AM</t>
  </si>
  <si>
    <t>Namratha V</t>
  </si>
  <si>
    <t>namrathavijayan@gmail.com</t>
  </si>
  <si>
    <t>East West Institute of Technology</t>
  </si>
  <si>
    <t>1a8FlJZCjDtH1SBATHl7h7hIEg2KsgxcG</t>
  </si>
  <si>
    <t>https://drive.google.com/file/d/1a8FlJZCjDtH1SBATHl7h7hIEg2KsgxcG/view?usp=drivesdk</t>
  </si>
  <si>
    <t>Document successfully created; Document successfully merged; PDF created; !!Error Sending Emails: Service invoked too many times for one day: email.; Run via form trigger as codectechnologies0@gmail.com; Timestamp: Aug 24, 2026 7:48 AM</t>
  </si>
  <si>
    <t>Ashmitha V</t>
  </si>
  <si>
    <t>ashmithavijayan1104@gmail.com</t>
  </si>
  <si>
    <t>REVA University</t>
  </si>
  <si>
    <t>1iHxWCCJ3E1ejAE-3LXVPyMh4H3jbe2rs</t>
  </si>
  <si>
    <t>https://drive.google.com/file/d/1iHxWCCJ3E1ejAE-3LXVPyMh4H3jbe2rs/view?usp=drivesdk</t>
  </si>
  <si>
    <t xml:space="preserve">Rushikesh Umesh Patil </t>
  </si>
  <si>
    <t>rushikeshupatil11@gmail.com</t>
  </si>
  <si>
    <t>Yashwantrao chavan institute of science satara</t>
  </si>
  <si>
    <t>1r8G_lPydiLFhQVEpIBH6eyDuGM3cuG0B</t>
  </si>
  <si>
    <t>https://drive.google.com/file/d/1r8G_lPydiLFhQVEpIBH6eyDuGM3cuG0B/view?usp=drivesdk</t>
  </si>
  <si>
    <t>Document successfully created; Document successfully merged; PDF created; !!Error Sending Emails: Service invoked too many times for one day: email.; Run via form trigger as codectechnologies0@gmail.com; Timestamp: Aug 24, 2026 7:57 AM</t>
  </si>
  <si>
    <t>SUTHISH T</t>
  </si>
  <si>
    <t>tsuthish333@gmail.com</t>
  </si>
  <si>
    <t xml:space="preserve">Erode sengunthar engineering college </t>
  </si>
  <si>
    <t>1DVCkExcXlFk-HcT7B-oShYjwog3juyMO</t>
  </si>
  <si>
    <t>https://drive.google.com/file/d/1DVCkExcXlFk-HcT7B-oShYjwog3juyMO/view?usp=drivesdk</t>
  </si>
  <si>
    <t xml:space="preserve">E.Thirupugazhan </t>
  </si>
  <si>
    <t>pugazhanthiru@gmail.com</t>
  </si>
  <si>
    <t>University of Madras</t>
  </si>
  <si>
    <t>14jtg6y4Wifw0YsPNypqUbu-wi42zyJ18</t>
  </si>
  <si>
    <t>https://drive.google.com/file/d/14jtg6y4Wifw0YsPNypqUbu-wi42zyJ18/view?usp=drivesdk</t>
  </si>
  <si>
    <t>Document successfully created; Document successfully merged; PDF created; !!Error Sending Emails: Service invoked too many times for one day: email.; Run via form trigger as codectechnologies0@gmail.com; Timestamp: Aug 24, 2026 8:04 AM</t>
  </si>
  <si>
    <t xml:space="preserve">rushikeshupatil11@gmail.com </t>
  </si>
  <si>
    <t xml:space="preserve">Yashwantrao chavan institute of science </t>
  </si>
  <si>
    <t>1LVDmldH0ZTnCDiy0kcbmubZrv4I30n5I</t>
  </si>
  <si>
    <t>https://drive.google.com/file/d/1LVDmldH0ZTnCDiy0kcbmubZrv4I30n5I/view?usp=drivesdk</t>
  </si>
  <si>
    <t>Document successfully created; Document successfully merged; PDF created; !!Error Sending Emails: Service invoked too many times for one day: email.; Run via form trigger as codectechnologies0@gmail.com; Timestamp: Aug 24, 2026 8:10 AM</t>
  </si>
  <si>
    <t xml:space="preserve">Mereddy sai Varshini </t>
  </si>
  <si>
    <t>mereddysaivarshini@gmail.com</t>
  </si>
  <si>
    <t xml:space="preserve">Bharath institute of engineering and technology </t>
  </si>
  <si>
    <t>1mz4hUqPV5cxkiDIVVJoJhYN5kRHwSlqw</t>
  </si>
  <si>
    <t>https://drive.google.com/file/d/1mz4hUqPV5cxkiDIVVJoJhYN5kRHwSlqw/view?usp=drivesdk</t>
  </si>
  <si>
    <t>Document successfully created; Document successfully merged; PDF created; !!Error Sending Emails: Service invoked too many times for one day: email.; Run via form trigger as codectechnologies0@gmail.com; Timestamp: Aug 24, 2026 8:11 AM</t>
  </si>
  <si>
    <t xml:space="preserve">Muthukumaran E </t>
  </si>
  <si>
    <t>muthukumaranelumalai029@gmail.com</t>
  </si>
  <si>
    <t xml:space="preserve">J.N.N INSTITUTE OF ENGINEERING </t>
  </si>
  <si>
    <t>16oUn4OziLcGo6JaFA7Oot_pR39C7XXJf</t>
  </si>
  <si>
    <t>https://drive.google.com/file/d/16oUn4OziLcGo6JaFA7Oot_pR39C7XXJf/view?usp=drivesdk</t>
  </si>
  <si>
    <t>Document successfully created; Document successfully merged; PDF created; !!Error Sending Emails: Service invoked too many times for one day: email.; Run via form trigger as codectechnologies0@gmail.com; Timestamp: Aug 24, 2026 8:16 AM</t>
  </si>
  <si>
    <t>DEBANG DHAN</t>
  </si>
  <si>
    <t>debangdhan20@gmail.com</t>
  </si>
  <si>
    <t>LinkedIn, Friend, Email</t>
  </si>
  <si>
    <t>1XDCQrSfHwAi5CTDeLvPkGUPKYTLyNmvv</t>
  </si>
  <si>
    <t>https://drive.google.com/file/d/1XDCQrSfHwAi5CTDeLvPkGUPKYTLyNmvv/view?usp=drivesdk</t>
  </si>
  <si>
    <t>Document successfully created; Document successfully merged; PDF created; !!Error Sending Emails: Service invoked too many times for one day: email.; Run via form trigger as codectechnologies0@gmail.com; Timestamp: Aug 24, 2026 8:27 AM</t>
  </si>
  <si>
    <t>MEGHA KUMARI</t>
  </si>
  <si>
    <t>meghakumari1571@gmail.com</t>
  </si>
  <si>
    <t>AIMTY UNIVERSITY</t>
  </si>
  <si>
    <t>1eEHezBadEyovh29htQ7MGA-2StRZWPhJ</t>
  </si>
  <si>
    <t>https://drive.google.com/file/d/1eEHezBadEyovh29htQ7MGA-2StRZWPhJ/view?usp=drivesdk</t>
  </si>
  <si>
    <t>Document successfully created; Document successfully merged; PDF created; !!Error Sending Emails: Service invoked too many times for one day: email.; Run via form trigger as codectechnologies0@gmail.com; Timestamp: Aug 24, 2026 8:28 AM</t>
  </si>
  <si>
    <t xml:space="preserve">Puttha venkata mohith reddy </t>
  </si>
  <si>
    <t>mohithmohith7313@gmail.com</t>
  </si>
  <si>
    <t xml:space="preserve">Parul university </t>
  </si>
  <si>
    <t>1Pnb3UFjAKBjSsOowLNPBVeiNujVwk-3r</t>
  </si>
  <si>
    <t>https://drive.google.com/file/d/1Pnb3UFjAKBjSsOowLNPBVeiNujVwk-3r/view?usp=drivesdk</t>
  </si>
  <si>
    <t>Document successfully created; Document successfully merged; PDF created; !!Error Sending Emails: Service invoked too many times for one day: email.; Run via form trigger as codectechnologies0@gmail.com; Timestamp: Aug 24, 2026 8:30 AM</t>
  </si>
  <si>
    <t>Debang Dhan</t>
  </si>
  <si>
    <t>IILM UNIVESITY</t>
  </si>
  <si>
    <t>1rqN8R3zHnnIBvEvvzusBiGl94O6oyQMC</t>
  </si>
  <si>
    <t>https://drive.google.com/file/d/1rqN8R3zHnnIBvEvvzusBiGl94O6oyQMC/view?usp=drivesdk</t>
  </si>
  <si>
    <t>Document successfully created; Document successfully merged; PDF created; !!Error Sending Emails: Service invoked too many times for one day: email.; Run via form trigger as codectechnologies0@gmail.com; Timestamp: Aug 24, 2026 8:35 AM</t>
  </si>
  <si>
    <t>Puttha venkata mohith reddy</t>
  </si>
  <si>
    <t>1eJu6Aaj9BfO27Sdugapoq3utFAT2vH1V</t>
  </si>
  <si>
    <t>https://drive.google.com/file/d/1eJu6Aaj9BfO27Sdugapoq3utFAT2vH1V/view?usp=drivesdk</t>
  </si>
  <si>
    <t>1og-XAdR2OddGld2ifNzvIc_EG138J2Cr</t>
  </si>
  <si>
    <t>https://drive.google.com/file/d/1og-XAdR2OddGld2ifNzvIc_EG138J2Cr/view?usp=drivesdk</t>
  </si>
  <si>
    <t>Document successfully created; Document successfully merged; PDF created; !!Error Sending Emails: Service invoked too many times for one day: email.; Run via form trigger as codectechnologies0@gmail.com; Timestamp: Aug 24, 2026 8:37 AM</t>
  </si>
  <si>
    <t>Sowpati Sathish</t>
  </si>
  <si>
    <t>sathishspt03@gmail.com</t>
  </si>
  <si>
    <t>RV institute of technology</t>
  </si>
  <si>
    <t>1j3jcMGmYPfQfSHimaEGwCvxIjQAT9oLA</t>
  </si>
  <si>
    <t>https://drive.google.com/file/d/1j3jcMGmYPfQfSHimaEGwCvxIjQAT9oLA/view?usp=drivesdk</t>
  </si>
  <si>
    <t>Document successfully created; Document successfully merged; PDF created; !!Error Sending Emails: Service invoked too many times for one day: email.; Run via form trigger as codectechnologies0@gmail.com; Timestamp: Aug 24, 2026 8:38 AM</t>
  </si>
  <si>
    <t xml:space="preserve">Neha A G </t>
  </si>
  <si>
    <t>nehagowda353@gmail.com</t>
  </si>
  <si>
    <t xml:space="preserve">Presidency autonomous college, hebbal, Bengaluru </t>
  </si>
  <si>
    <t>1a9De2FY64SM176iDWmpFh0K00sGY3FjR</t>
  </si>
  <si>
    <t>https://drive.google.com/file/d/1a9De2FY64SM176iDWmpFh0K00sGY3FjR/view?usp=drivesdk</t>
  </si>
  <si>
    <t>Document successfully created; Document successfully merged; PDF created; !!Error Sending Emails: Service invoked too many times for one day: email.; Run via form trigger as codectechnologies0@gmail.com; Timestamp: Aug 24, 2026 8:40 AM</t>
  </si>
  <si>
    <t>PRAGATHI</t>
  </si>
  <si>
    <t>pragathishetty1021@gmail.com</t>
  </si>
  <si>
    <t>Dr G Shankar govt Womens First grade college Ajjarkadu</t>
  </si>
  <si>
    <t>1bNpm9zJ2QNIS7TFk61M9jOFAaW8YJb-j</t>
  </si>
  <si>
    <t>https://drive.google.com/file/d/1bNpm9zJ2QNIS7TFk61M9jOFAaW8YJb-j/view?usp=drivesdk</t>
  </si>
  <si>
    <t>1AlfSCAMcwulnemmElJ-2J1qwTj-fb0fu</t>
  </si>
  <si>
    <t>https://drive.google.com/file/d/1AlfSCAMcwulnemmElJ-2J1qwTj-fb0fu/view?usp=drivesdk</t>
  </si>
  <si>
    <t>Document successfully created; Document successfully merged; PDF created; !!Error Sending Emails: Service invoked too many times for one day: email.; Run via form trigger as codectechnologies0@gmail.com; Timestamp: Aug 24, 2026 8:41 AM</t>
  </si>
  <si>
    <t xml:space="preserve">Abhishek Ashok Rai </t>
  </si>
  <si>
    <t>abhirai2277@gmail.com</t>
  </si>
  <si>
    <t xml:space="preserve">Pillai College of Arts, Commerce and Science </t>
  </si>
  <si>
    <t>WhatsApp, Friend, Google</t>
  </si>
  <si>
    <t>1AZ0acF0Y4dgzc8CuOMpj_yKDy5mpJ-Mm</t>
  </si>
  <si>
    <t>https://drive.google.com/file/d/1AZ0acF0Y4dgzc8CuOMpj_yKDy5mpJ-Mm/view?usp=drivesdk</t>
  </si>
  <si>
    <t>Document successfully created; Document successfully merged; PDF created; !!Error Sending Emails: Service invoked too many times for one day: email.; Run via form trigger as codectechnologies0@gmail.com; Timestamp: Aug 24, 2026 8:44 AM</t>
  </si>
  <si>
    <t xml:space="preserve">PUTTHA VENKATA MOHITH REDDY </t>
  </si>
  <si>
    <t>1nkLyVucsJROnUc4WR9LhYZLkUd1EJ8IB</t>
  </si>
  <si>
    <t>https://drive.google.com/file/d/1nkLyVucsJROnUc4WR9LhYZLkUd1EJ8IB/view?usp=drivesdk</t>
  </si>
  <si>
    <t>Document successfully created; Document successfully merged; PDF created; !!Error Sending Emails: Service invoked too many times for one day: email.; Run via form trigger as codectechnologies0@gmail.com; Timestamp: Aug 24, 2026 8:46 AM</t>
  </si>
  <si>
    <t>1Y4_g3E-Z-2OPn7FK8-MbjLWFgvBJzUH_</t>
  </si>
  <si>
    <t>https://drive.google.com/file/d/1Y4_g3E-Z-2OPn7FK8-MbjLWFgvBJzUH_/view?usp=drivesdk</t>
  </si>
  <si>
    <t>Document successfully created; Document successfully merged; PDF created; !!Error Sending Emails: Service invoked too many times for one day: email.; Run via form trigger as codectechnologies0@gmail.com; Timestamp: Aug 24, 2026 8:50 AM</t>
  </si>
  <si>
    <t>subhalaxmikodamsingh</t>
  </si>
  <si>
    <t>250314100082@cutm.ac.in</t>
  </si>
  <si>
    <t>Centurion University of Technology andManagement</t>
  </si>
  <si>
    <t>10s3s784qFs3b5Y9pLTBA-qeKUF8c_N8I</t>
  </si>
  <si>
    <t>https://drive.google.com/file/d/10s3s784qFs3b5Y9pLTBA-qeKUF8c_N8I/view?usp=drivesdk</t>
  </si>
  <si>
    <t>Document successfully created; Document successfully merged; PDF created; !!Error Sending Emails: Service invoked too many times for one day: email.; Run via form trigger as codectechnologies0@gmail.com; Timestamp: Aug 24, 2026 8:52 AM</t>
  </si>
  <si>
    <t xml:space="preserve">MHAMANE PRACHI PANDURANG </t>
  </si>
  <si>
    <t>prachimhamane09@gmail.com</t>
  </si>
  <si>
    <t xml:space="preserve">Shree Siddheshwar women's college of engineering solapur </t>
  </si>
  <si>
    <t>1Vw3TTU-AEKFEijLQiaH_BqELx8BEF34t</t>
  </si>
  <si>
    <t>https://drive.google.com/file/d/1Vw3TTU-AEKFEijLQiaH_BqELx8BEF34t/view?usp=drivesdk</t>
  </si>
  <si>
    <t>Ramya R Shivoor</t>
  </si>
  <si>
    <t>ramyashivoor30@gmail.com</t>
  </si>
  <si>
    <t>Rural engineering college hulkoti</t>
  </si>
  <si>
    <t>1auPLA-vPxecmdoxCgF_MFQIu33n1Qh3x</t>
  </si>
  <si>
    <t>https://drive.google.com/file/d/1auPLA-vPxecmdoxCgF_MFQIu33n1Qh3x/view?usp=drivesdk</t>
  </si>
  <si>
    <t>Document successfully created; Document successfully merged; PDF created; !!Error Sending Emails: Service invoked too many times for one day: email.; Run via form trigger as codectechnologies0@gmail.com; Timestamp: Aug 24, 2026 8:54 AM</t>
  </si>
  <si>
    <t>1BlTSAKmVL6NOC-xmnUkbGmL2CYisk0N4</t>
  </si>
  <si>
    <t>https://drive.google.com/file/d/1BlTSAKmVL6NOC-xmnUkbGmL2CYisk0N4/view?usp=drivesdk</t>
  </si>
  <si>
    <t>Document successfully created; Document successfully merged; PDF created; !!Error Sending Emails: Service invoked too many times for one day: email.; Run via form trigger as codectechnologies0@gmail.com; Timestamp: Aug 24, 2026 8:58 AM</t>
  </si>
  <si>
    <t xml:space="preserve">Preetam Kumar </t>
  </si>
  <si>
    <t>kumarshundram470@gmail.com</t>
  </si>
  <si>
    <t xml:space="preserve">IIT Patna </t>
  </si>
  <si>
    <t>1XgtzAK3aKLWE7FMVOfY8xcadJ3-JBGcT</t>
  </si>
  <si>
    <t>https://drive.google.com/file/d/1XgtzAK3aKLWE7FMVOfY8xcadJ3-JBGcT/view?usp=drivesdk</t>
  </si>
  <si>
    <t>Document successfully created; Document successfully merged; PDF created; !!Error Sending Emails: Service invoked too many times for one day: email.; Run via form trigger as codectechnologies0@gmail.com; Timestamp: Aug 24, 2026 9:07 AM</t>
  </si>
  <si>
    <t>Ramya Shivoor</t>
  </si>
  <si>
    <t>1IhPXxlAwdJTSWxxpOceX6yU3ilyCCkqz</t>
  </si>
  <si>
    <t>https://drive.google.com/file/d/1IhPXxlAwdJTSWxxpOceX6yU3ilyCCkqz/view?usp=drivesdk</t>
  </si>
  <si>
    <t>Document successfully created; Document successfully merged; PDF created; !!Error Sending Emails: Service invoked too many times for one day: email.; Run via form trigger as codectechnologies0@gmail.com; Timestamp: Aug 24, 2026 9:12 AM</t>
  </si>
  <si>
    <t xml:space="preserve">Yerramsetti Lakshmi Mounica </t>
  </si>
  <si>
    <t>mounicayerramsetti7@gmail.com</t>
  </si>
  <si>
    <t>1KSqCyfkz1woGCXdBbs9HMilsG1vVeRsd</t>
  </si>
  <si>
    <t>https://drive.google.com/file/d/1KSqCyfkz1woGCXdBbs9HMilsG1vVeRsd/view?usp=drivesdk</t>
  </si>
  <si>
    <t>Deshmukh Kiran Avinash</t>
  </si>
  <si>
    <t>kiran44deshmukh@gmail.com</t>
  </si>
  <si>
    <t>Vidya Niketan College of Engineering Sangamner</t>
  </si>
  <si>
    <t>1dwBUUJiLfuIQcgDRy2khH1PLqD-j-gRj</t>
  </si>
  <si>
    <t>https://drive.google.com/file/d/1dwBUUJiLfuIQcgDRy2khH1PLqD-j-gRj/view?usp=drivesdk</t>
  </si>
  <si>
    <t>Document successfully created; Document successfully merged; PDF created; !!Error Sending Emails: Service invoked too many times for one day: email.; Run via form trigger as codectechnologies0@gmail.com; Timestamp: Aug 24, 2026 9:14 AM</t>
  </si>
  <si>
    <t>whitney Isabel Xerinda</t>
  </si>
  <si>
    <t>xerindawitney@gmail.com</t>
  </si>
  <si>
    <t>1XJJHaBQqDGrpSiPD0JyepW_gLCv40RPe</t>
  </si>
  <si>
    <t>https://drive.google.com/file/d/1XJJHaBQqDGrpSiPD0JyepW_gLCv40RPe/view?usp=drivesdk</t>
  </si>
  <si>
    <t>Document successfully created; Document successfully merged; PDF created; !!Error Sending Emails: Service invoked too many times for one day: email.; Run via form trigger as codectechnologies0@gmail.com; Timestamp: Aug 24, 2026 9:16 AM</t>
  </si>
  <si>
    <t>smrutirekha</t>
  </si>
  <si>
    <t>250314100072@cutm.ac.in</t>
  </si>
  <si>
    <t>1uwV7CP_PDZ1FvpvAM0ilnvrrQKSzF7V7</t>
  </si>
  <si>
    <t>https://drive.google.com/file/d/1uwV7CP_PDZ1FvpvAM0ilnvrrQKSzF7V7/view?usp=drivesdk</t>
  </si>
  <si>
    <t>Document successfully created; Document successfully merged; PDF created; !!Error Sending Emails: Service invoked too many times for one day: email.; Run via form trigger as codectechnologies0@gmail.com; Timestamp: Aug 24, 2026 9:18 AM</t>
  </si>
  <si>
    <t>JANGITI SRI HARI</t>
  </si>
  <si>
    <t>1mlg1TGDCFymYlnVYxDHjGDPAu1LrRuQA</t>
  </si>
  <si>
    <t>https://drive.google.com/file/d/1mlg1TGDCFymYlnVYxDHjGDPAu1LrRuQA/view?usp=drivesdk</t>
  </si>
  <si>
    <t>Document successfully created; Document successfully merged; PDF created; !!Error Sending Emails: Service invoked too many times for one day: email.; Run via form trigger as codectechnologies0@gmail.com; Timestamp: Aug 24, 2026 9:21 AM</t>
  </si>
  <si>
    <t>1vXZvFooS8TqSriGeAJvn6b4EcNozyB9q</t>
  </si>
  <si>
    <t>https://drive.google.com/file/d/1vXZvFooS8TqSriGeAJvn6b4EcNozyB9q/view?usp=drivesdk</t>
  </si>
  <si>
    <t>Document successfully created; Document successfully merged; PDF created; !!Error Sending Emails: Service invoked too many times for one day: email.; Run via form trigger as codectechnologies0@gmail.com; Timestamp: Aug 24, 2026 9:28 AM</t>
  </si>
  <si>
    <t xml:space="preserve">Prachi Pandurang Mhamane </t>
  </si>
  <si>
    <t>1v2z7Z03bJ8VrCCa-5Q3Epz14qkc9qOM_</t>
  </si>
  <si>
    <t>https://drive.google.com/file/d/1v2z7Z03bJ8VrCCa-5Q3Epz14qkc9qOM_/view?usp=drivesdk</t>
  </si>
  <si>
    <t>Document successfully created; Document successfully merged; PDF created; !!Error Sending Emails: Service invoked too many times for one day: email.; Run via form trigger as codectechnologies0@gmail.com; Timestamp: Aug 24, 2026 9:31 AM</t>
  </si>
  <si>
    <t>Dhanvin Gowda A G</t>
  </si>
  <si>
    <t>dhanvingowda791@gmail.com</t>
  </si>
  <si>
    <t xml:space="preserve">A J institute of engineering and technology </t>
  </si>
  <si>
    <t>1EhsPLFr0qARCL0UxJFzvY75G4eA81wsf</t>
  </si>
  <si>
    <t>https://drive.google.com/file/d/1EhsPLFr0qARCL0UxJFzvY75G4eA81wsf/view?usp=drivesdk</t>
  </si>
  <si>
    <t>Document successfully created; Document successfully merged; PDF created; !!Error Sending Emails: Service invoked too many times for one day: email.; Run via form trigger as codectechnologies0@gmail.com; Timestamp: Aug 24, 2026 9:36 AM</t>
  </si>
  <si>
    <t>Satyam Sharma</t>
  </si>
  <si>
    <t>sat9431@gmail.com</t>
  </si>
  <si>
    <t>IIT (BHU) VARANASI</t>
  </si>
  <si>
    <t>1PHTlsXrzHbmHVRQ8kj45v9NSYHE7BbIT</t>
  </si>
  <si>
    <t>https://drive.google.com/file/d/1PHTlsXrzHbmHVRQ8kj45v9NSYHE7BbIT/view?usp=drivesdk</t>
  </si>
  <si>
    <t>Document successfully created; Document successfully merged; PDF created; !!Error Sending Emails: Service invoked too many times for one day: email.; Run via form trigger as codectechnologies0@gmail.com; Timestamp: Aug 24, 2026 9:39 AM</t>
  </si>
  <si>
    <t>Anurag Chowdhury</t>
  </si>
  <si>
    <t>eldenring3@gmail.com</t>
  </si>
  <si>
    <t>1lh7QCW-WLJY0DlA2wTPf5AYIgTnkcXa3</t>
  </si>
  <si>
    <t>https://drive.google.com/file/d/1lh7QCW-WLJY0DlA2wTPf5AYIgTnkcXa3/view?usp=drivesdk</t>
  </si>
  <si>
    <t>Document successfully created; Document successfully merged; PDF created; !!Error Sending Emails: Service invoked too many times for one day: email.; Run via form trigger as codectechnologies0@gmail.com; Timestamp: Aug 24, 2026 9:49 AM</t>
  </si>
  <si>
    <t>SUKRIT BALA</t>
  </si>
  <si>
    <t>balasukrit@gmail.com</t>
  </si>
  <si>
    <t>NETAJI SUBHAS ENGINNERING COLLEGE</t>
  </si>
  <si>
    <t>LinkedIn, Google, AICTE/Indeed, Internshala</t>
  </si>
  <si>
    <t>1orNkY44pPQ5YNMK4s0ep_DoU0_y5U0Hp</t>
  </si>
  <si>
    <t>https://drive.google.com/file/d/1orNkY44pPQ5YNMK4s0ep_DoU0_y5U0Hp/view?usp=drivesdk</t>
  </si>
  <si>
    <t>Document successfully created; Document successfully merged; PDF created; !!Error Sending Emails: Service invoked too many times for one day: email.; Run via form trigger as codectechnologies0@gmail.com; Timestamp: Aug 24, 2026 9:58 AM</t>
  </si>
  <si>
    <t>Subham Acharjya</t>
  </si>
  <si>
    <t>subhamacharjya1347@gmail.com</t>
  </si>
  <si>
    <t>09635028902</t>
  </si>
  <si>
    <t>INSTRITUTE OF ENGINEERING AND MANAGEMENT,NEWTOWN</t>
  </si>
  <si>
    <t>1cZWQpz5rWcHbpwhc2azKjHTqDt6xR1oH</t>
  </si>
  <si>
    <t>https://drive.google.com/file/d/1cZWQpz5rWcHbpwhc2azKjHTqDt6xR1oH/view?usp=drivesdk</t>
  </si>
  <si>
    <t>Document successfully created; Document successfully merged; PDF created; !!Error Sending Emails: Service invoked too many times for one day: email.; Run via form trigger as codectechnologies0@gmail.com; Timestamp: Aug 24, 2026 10:01 AM</t>
  </si>
  <si>
    <t>Siddhartha Banerjee</t>
  </si>
  <si>
    <t>banerjeesiddhartha2004@gmail.com</t>
  </si>
  <si>
    <t xml:space="preserve">RCC INSTITUTE OF INFORMATION TECHNOLOGY </t>
  </si>
  <si>
    <t>1KRM8lNYpz_1h7PkSv6zB_G16tnOlZLrr</t>
  </si>
  <si>
    <t>https://drive.google.com/file/d/1KRM8lNYpz_1h7PkSv6zB_G16tnOlZLrr/view?usp=drivesdk</t>
  </si>
  <si>
    <t>Document successfully created; Document successfully merged; PDF created; !!Error Sending Emails: Service invoked too many times for one day: email.; Run via form trigger as codectechnologies0@gmail.com; Timestamp: Aug 24, 2026 10:03 AM</t>
  </si>
  <si>
    <t>Indushree A</t>
  </si>
  <si>
    <t>indushree1904@gmail.com</t>
  </si>
  <si>
    <t>Sai Vidya institute of technology</t>
  </si>
  <si>
    <t>16QDl2xmMstBkK2h7xd9Mel_XUN3IcTx-</t>
  </si>
  <si>
    <t>https://drive.google.com/file/d/16QDl2xmMstBkK2h7xd9Mel_XUN3IcTx-/view?usp=drivesdk</t>
  </si>
  <si>
    <t>Document successfully created; Document successfully merged; PDF created; !!Error Sending Emails: Service invoked too many times for one day: email.; Run via form trigger as codectechnologies0@gmail.com; Timestamp: Aug 24, 2026 10:15 AM</t>
  </si>
  <si>
    <t>Kakkirala Jeevananand</t>
  </si>
  <si>
    <t>jeevananandk28@gmail.com</t>
  </si>
  <si>
    <t xml:space="preserve">vignan's foundation for science and technology </t>
  </si>
  <si>
    <t>1Ae4XduZZ4Va6M2E8EX0J0MffF8vadyJV</t>
  </si>
  <si>
    <t>https://drive.google.com/file/d/1Ae4XduZZ4Va6M2E8EX0J0MffF8vadyJV/view?usp=drivesdk</t>
  </si>
  <si>
    <t>Document successfully created; Document successfully merged; PDF created; !!Error Sending Emails: Service invoked too many times for one day: email.; Run via form trigger as codectechnologies0@gmail.com; Timestamp: Aug 24, 2026 10:31 AM</t>
  </si>
  <si>
    <t>RERF</t>
  </si>
  <si>
    <t>1Z7sg0_SOBaWNDugzhLha1-hvdbcxnn2a</t>
  </si>
  <si>
    <t>https://drive.google.com/file/d/1Z7sg0_SOBaWNDugzhLha1-hvdbcxnn2a/view?usp=drivesdk</t>
  </si>
  <si>
    <t>Document successfully created; Document successfully merged; PDF created; Emails Sent: [To: sovanshit20@gmail.com]; Run via form trigger as codectechnologies0@gmail.com; Timestamp: Aug 24, 2026 10:39 AM</t>
  </si>
  <si>
    <t xml:space="preserve">HARSHDA RANGNATH HONRAO </t>
  </si>
  <si>
    <t>rudrarh99@gmail.com</t>
  </si>
  <si>
    <t>Prefer not to say</t>
  </si>
  <si>
    <t xml:space="preserve">Shree Siddheshwar Women's College of Engineering Solapur </t>
  </si>
  <si>
    <t>1xUFwJaSh9TM3g_k9_pJuUIHz0vWAD-B-</t>
  </si>
  <si>
    <t>https://drive.google.com/file/d/1xUFwJaSh9TM3g_k9_pJuUIHz0vWAD-B-/view?usp=drivesdk</t>
  </si>
  <si>
    <t>Document successfully created; Document successfully merged; PDF created; Emails Sent: [To: rudrarh99@gmail.com]; Run via form trigger as codectechnologies0@gmail.com; Timestamp: Aug 24, 2026 10:42 AM</t>
  </si>
  <si>
    <t>Paranish K</t>
  </si>
  <si>
    <t>paranishk@gmail.com</t>
  </si>
  <si>
    <t>J.N.N Institute of Engineering</t>
  </si>
  <si>
    <t>1ExaZaqHlz8E4BQFTY9QQqGuY-Yy3FOM8</t>
  </si>
  <si>
    <t>https://drive.google.com/file/d/1ExaZaqHlz8E4BQFTY9QQqGuY-Yy3FOM8/view?usp=drivesdk</t>
  </si>
  <si>
    <t>Document successfully created; Document successfully merged; PDF created; Emails Sent: [To: paranishk@gmail.com]; Run via form trigger as codectechnologies0@gmail.com; Timestamp: Aug 24, 2026 10:43 AM</t>
  </si>
  <si>
    <t>Nikita Patil</t>
  </si>
  <si>
    <t>patilnikita1080@gmail.com</t>
  </si>
  <si>
    <t>Presidency College, Hebbal, Bengaluru</t>
  </si>
  <si>
    <t>155r0jiLRgF0Ils_8vUS1OqOGA0Z190lb</t>
  </si>
  <si>
    <t>https://drive.google.com/file/d/155r0jiLRgF0Ils_8vUS1OqOGA0Z190lb/view?usp=drivesdk</t>
  </si>
  <si>
    <t>Document successfully created; Document successfully merged; PDF created; Emails Sent: [To: patilnikita1080@gmail.com]; Run via form trigger as codectechnologies0@gmail.com; Timestamp: Aug 24, 2026 10:57 AM</t>
  </si>
  <si>
    <t>Haripriya Malwal</t>
  </si>
  <si>
    <t xml:space="preserve"> haripriyamalwal@gmail.com</t>
  </si>
  <si>
    <t>1276WZOxbEJFCwCHjDmDAylMziCPmRxvU</t>
  </si>
  <si>
    <t>https://drive.google.com/file/d/1276WZOxbEJFCwCHjDmDAylMziCPmRxvU/view?usp=drivesdk</t>
  </si>
  <si>
    <t>Document successfully created; Document successfully merged; PDF created; Emails Sent: [To: haripriyamalwal@gmail.com]; Run via form trigger as codectechnologies0@gmail.com; Timestamp: Aug 24, 2026 10:58 AM</t>
  </si>
  <si>
    <t>Parshwa Honale</t>
  </si>
  <si>
    <t>parshwahonale@gmail.com</t>
  </si>
  <si>
    <t xml:space="preserve">Dr Dy Patil parthishtans </t>
  </si>
  <si>
    <t>1d7nOIAFbPxb3g0m9-XLTo4TplLU5ETuA</t>
  </si>
  <si>
    <t>https://drive.google.com/file/d/1d7nOIAFbPxb3g0m9-XLTo4TplLU5ETuA/view?usp=drivesdk</t>
  </si>
  <si>
    <t>Document successfully created; Document successfully merged; PDF created; Emails Sent: [To: parshwahonale@gmail.com]; Run via form trigger as codectechnologies0@gmail.com; Timestamp: Aug 24, 2026 11:02 AM</t>
  </si>
  <si>
    <t>Divyanshu Raj</t>
  </si>
  <si>
    <t>divyanshuraj7033808754@gmail.com</t>
  </si>
  <si>
    <t>Accurate institute of management &amp; technology</t>
  </si>
  <si>
    <t>1eM1H6fJ_7sXxlKa8qmRoTrTd-ypcRfyR</t>
  </si>
  <si>
    <t>https://drive.google.com/file/d/1eM1H6fJ_7sXxlKa8qmRoTrTd-ypcRfyR/view?usp=drivesdk</t>
  </si>
  <si>
    <t>Document successfully created; Document successfully merged; PDF created; Emails Sent: [To: divyanshuraj7033808754@gmail.com]; Run via form trigger as codectechnologies0@gmail.com; Timestamp: Aug 24, 2026 11:04 AM</t>
  </si>
  <si>
    <t>MOHAMED FAIZ F</t>
  </si>
  <si>
    <t>faizfaiz0211@gmail.com</t>
  </si>
  <si>
    <t>BS ABDUR RAHMAN CRECENT UNIVERSITY</t>
  </si>
  <si>
    <t>1aC5Oy-y3DqZo2Pohf7wO1vDnelidI4O7</t>
  </si>
  <si>
    <t>https://drive.google.com/file/d/1aC5Oy-y3DqZo2Pohf7wO1vDnelidI4O7/view?usp=drivesdk</t>
  </si>
  <si>
    <t>Document successfully created; Document successfully merged; PDF created; Emails Sent: [To: faizfaiz0211@gmail.com]; Run via form trigger as codectechnologies0@gmail.com; Timestamp: Aug 24, 2026 11:06 AM</t>
  </si>
  <si>
    <t>UTTAM KUMAR</t>
  </si>
  <si>
    <t>uk39uttam@gmai.com</t>
  </si>
  <si>
    <t>ROORKEE INSTITUTE OF TECHNOLOGY(RIT ROORKEE)</t>
  </si>
  <si>
    <t>LinkedIn, Google</t>
  </si>
  <si>
    <t>14uGviV4yP4YcBhx-pdFeuNQkPvSoGSi8</t>
  </si>
  <si>
    <t>https://drive.google.com/file/d/14uGviV4yP4YcBhx-pdFeuNQkPvSoGSi8/view?usp=drivesdk</t>
  </si>
  <si>
    <t>Document successfully created; Document successfully merged; PDF created; Emails Sent: [To: uk39uttam@gmai.com]; Run via form trigger as codectechnologies0@gmail.com; Timestamp: Aug 24, 2026 11:10 AM</t>
  </si>
  <si>
    <t>Abhishek Kumar</t>
  </si>
  <si>
    <t>ak5932371@gmail.com</t>
  </si>
  <si>
    <t xml:space="preserve">Swami Vivekanand subharti university </t>
  </si>
  <si>
    <t>1ZeiinPSL8u7JBFbwtTKGiQ0olwyTc5WD</t>
  </si>
  <si>
    <t>https://drive.google.com/file/d/1ZeiinPSL8u7JBFbwtTKGiQ0olwyTc5WD/view?usp=drivesdk</t>
  </si>
  <si>
    <t>Document successfully created; Document successfully merged; PDF created; Emails Sent: [To: ak5932371@gmail.com]; Run via form trigger as codectechnologies0@gmail.com; Timestamp: Aug 24, 2026 11:11 AM</t>
  </si>
  <si>
    <t>Nandani kumari</t>
  </si>
  <si>
    <t>nandanisingh1728@gmail.com</t>
  </si>
  <si>
    <t>Ganga institute technology and management</t>
  </si>
  <si>
    <t>1oWyU3jFxrVJwa1mvXyBVBJ3ozqYWMzAd</t>
  </si>
  <si>
    <t>https://drive.google.com/file/d/1oWyU3jFxrVJwa1mvXyBVBJ3ozqYWMzAd/view?usp=drivesdk</t>
  </si>
  <si>
    <t>Document successfully created; Document successfully merged; PDF created; Emails Sent: [To: nandanisingh1728@gmail.com]; Run via form trigger as codectechnologies0@gmail.com; Timestamp: Aug 24, 2026 11:13 AM</t>
  </si>
  <si>
    <t>MKVSSS TAPASWINI SARVANI</t>
  </si>
  <si>
    <t>tapaswinimangalapalli7@gmail.com</t>
  </si>
  <si>
    <t>lendi</t>
  </si>
  <si>
    <t>1738ky23JSdq1GjzrCG8lzDsD0xy2ppi7</t>
  </si>
  <si>
    <t>https://drive.google.com/file/d/1738ky23JSdq1GjzrCG8lzDsD0xy2ppi7/view?usp=drivesdk</t>
  </si>
  <si>
    <t>Document successfully created; Document successfully merged; PDF created; Emails Sent: [To: tapaswinimangalapalli7@gmail.com]; Run via form trigger as codectechnologies0@gmail.com; Timestamp: Aug 24, 2026 11:14 AM</t>
  </si>
  <si>
    <t xml:space="preserve">Snehanshu Anand </t>
  </si>
  <si>
    <t>snehanshua7@gmail.com</t>
  </si>
  <si>
    <t xml:space="preserve">Uttranchal university </t>
  </si>
  <si>
    <t>1iDVvUwmOy-ypUH6HD8nkptiF1KJlQVHH</t>
  </si>
  <si>
    <t>https://drive.google.com/file/d/1iDVvUwmOy-ypUH6HD8nkptiF1KJlQVHH/view?usp=drivesdk</t>
  </si>
  <si>
    <t>Document successfully created; Document successfully merged; PDF created; Emails Sent: [To: snehanshua7@gmail.com]; Run via form trigger as codectechnologies0@gmail.com; Timestamp: Aug 24, 2026 11:17 AM</t>
  </si>
  <si>
    <t xml:space="preserve">Ganga institute technology and management </t>
  </si>
  <si>
    <t>1PZOjMQwGLeyn8etVdbGSWnJC8hA3Twkx</t>
  </si>
  <si>
    <t>https://drive.google.com/file/d/1PZOjMQwGLeyn8etVdbGSWnJC8hA3Twkx/view?usp=drivesdk</t>
  </si>
  <si>
    <t>Document successfully created; Document successfully merged; PDF created; Emails Sent: [To: nandanisingh1728@gmail.com]; Run via form trigger as codectechnologies0@gmail.com; Timestamp: Aug 24, 2026 11:21 AM</t>
  </si>
  <si>
    <t>haripriyamalwal@gmail.com</t>
  </si>
  <si>
    <t>1pVOQLPy8CKHm8J_SCiGPAPglo4BEfj7A</t>
  </si>
  <si>
    <t>https://drive.google.com/file/d/1pVOQLPy8CKHm8J_SCiGPAPglo4BEfj7A/view?usp=drivesdk</t>
  </si>
  <si>
    <t>Document successfully created; Document successfully merged; PDF created; Emails Sent: [To: haripriyamalwal@gmail.com]; Run via form trigger as codectechnologies0@gmail.com; Timestamp: Aug 24, 2026 11:22 AM</t>
  </si>
  <si>
    <t>uk39uttam@gmail.com</t>
  </si>
  <si>
    <t xml:space="preserve">ROORKEE INSTITUTE OF TECHNOLOGY , ROORKEE </t>
  </si>
  <si>
    <t>1azS8HgJIuCzov_F8LvNUB0D62ToyYncq</t>
  </si>
  <si>
    <t>https://drive.google.com/file/d/1azS8HgJIuCzov_F8LvNUB0D62ToyYncq/view?usp=drivesdk</t>
  </si>
  <si>
    <t>Document successfully created; Document successfully merged; PDF created; Emails Sent: [To: uk39uttam@gmail.com]; Run via form trigger as codectechnologies0@gmail.com; Timestamp: Aug 24, 2026 11:22 AM</t>
  </si>
  <si>
    <t>Rishabh Tiwari</t>
  </si>
  <si>
    <t>rishabhtiwari4446@gmail.com</t>
  </si>
  <si>
    <t>Maharishi University of Information Technology ,Lucknow</t>
  </si>
  <si>
    <t>1jzwnfYXuT3B3XusYdhnr9SACbURxkgDx</t>
  </si>
  <si>
    <t>https://drive.google.com/file/d/1jzwnfYXuT3B3XusYdhnr9SACbURxkgDx/view?usp=drivesdk</t>
  </si>
  <si>
    <t>Document successfully created; Document successfully merged; PDF created; Emails Sent: [To: rishabhtiwari4446@gmail.com]; Run via form trigger as codectechnologies0@gmail.com; Timestamp: Aug 24, 2026 11:30 AM</t>
  </si>
  <si>
    <t>Darkhsha Khatoon</t>
  </si>
  <si>
    <t>mnafees9935@gmail.com</t>
  </si>
  <si>
    <t>Maharishi University of Information Technology</t>
  </si>
  <si>
    <t>1JcBhDmgauOTZegAfr-J5hx13HaSDRofm</t>
  </si>
  <si>
    <t>https://drive.google.com/file/d/1JcBhDmgauOTZegAfr-J5hx13HaSDRofm/view?usp=drivesdk</t>
  </si>
  <si>
    <t>Document successfully created; Document successfully merged; PDF created; Emails Sent: [To: mnafees9935@gmail.com]; Run via form trigger as codectechnologies0@gmail.com; Timestamp: Aug 24, 2026 11:39 AM</t>
  </si>
  <si>
    <t>Ansh Chaudhary</t>
  </si>
  <si>
    <t>anshchaudhary432@gmail.com</t>
  </si>
  <si>
    <t>KDG GROUP OF INSTITUTIONS SANSARPUR BASTI</t>
  </si>
  <si>
    <t>1rUzFZ-3Vm7M_SbcRcujj7AanO5QY3JWx</t>
  </si>
  <si>
    <t>https://drive.google.com/file/d/1rUzFZ-3Vm7M_SbcRcujj7AanO5QY3JWx/view?usp=drivesdk</t>
  </si>
  <si>
    <t>Document successfully created; Document successfully merged; PDF created; Emails Sent: [To: anshchaudhary432@gmail.com]; Run via form trigger as codectechnologies0@gmail.com; Timestamp: Aug 24, 2026 11:44 AM</t>
  </si>
  <si>
    <t>Yuvraj Aditya</t>
  </si>
  <si>
    <t xml:space="preserve">yuvrajaditya831@gmail.com </t>
  </si>
  <si>
    <t>+917903868923</t>
  </si>
  <si>
    <t>Vellore institute of technology Bhopal</t>
  </si>
  <si>
    <t>1jvBiPGIoIH16IOnc90kIZkKtAOXjkfJS</t>
  </si>
  <si>
    <t>https://drive.google.com/file/d/1jvBiPGIoIH16IOnc90kIZkKtAOXjkfJS/view?usp=drivesdk</t>
  </si>
  <si>
    <t>Document successfully created; Document successfully merged; PDF created; Emails Sent: [To: yuvrajaditya831@gmail.com]; Run via form trigger as codectechnologies0@gmail.com; Timestamp: Aug 24, 2026 11:45 AM</t>
  </si>
  <si>
    <t>Alfiya Altaf Inamdar</t>
  </si>
  <si>
    <t>alfiyainamdar19@gmail.com</t>
  </si>
  <si>
    <t>Shree Vitthal Education And Research Institute, Pandharpur</t>
  </si>
  <si>
    <t>16iDYIyGlf-vMdc-bun_W7kszdcZQH1iL</t>
  </si>
  <si>
    <t>https://drive.google.com/file/d/16iDYIyGlf-vMdc-bun_W7kszdcZQH1iL/view?usp=drivesdk</t>
  </si>
  <si>
    <t>Document successfully created; Document successfully merged; PDF created; Emails Sent: [To: alfiyainamdar19@gmail.com]; Run via form trigger as codectechnologies0@gmail.com; Timestamp: Aug 24, 2026 11:48 AM</t>
  </si>
  <si>
    <t>1LFMWbwiaHCYnbRg1SDF7iOsrlMjzalEi</t>
  </si>
  <si>
    <t>https://drive.google.com/file/d/1LFMWbwiaHCYnbRg1SDF7iOsrlMjzalEi/view?usp=drivesdk</t>
  </si>
  <si>
    <t>Document successfully created; Document successfully merged; PDF created; Emails Sent: [To: shivamsoni0210@gmail.com]; Run via form trigger as codectechnologies0@gmail.com; Timestamp: Aug 24, 2026 11:51 AM</t>
  </si>
  <si>
    <t>SHIVAM SINGH</t>
  </si>
  <si>
    <t>anjalisingh23to@gmail.com</t>
  </si>
  <si>
    <t xml:space="preserve">UIET Chatrapati sahu ji university </t>
  </si>
  <si>
    <t>1S39lyVs3MDI-8DTiaejd00jTKkiUTSMU</t>
  </si>
  <si>
    <t>https://drive.google.com/file/d/1S39lyVs3MDI-8DTiaejd00jTKkiUTSMU/view?usp=drivesdk</t>
  </si>
  <si>
    <t>Document successfully created; Document successfully merged; PDF created; Emails Sent: [To: anjalisingh23to@gmail.com]; Run via form trigger as codectechnologies0@gmail.com; Timestamp: Aug 24, 2026 11:51 AM</t>
  </si>
  <si>
    <t>Anjali Hajare</t>
  </si>
  <si>
    <t>anjalihajare164@gmail.com</t>
  </si>
  <si>
    <t xml:space="preserve">Yashwantrao Chavan Institute of Science Satara </t>
  </si>
  <si>
    <t>1TZQHMpHFYEx-rAEPwYyFUKtJSC9eNd3W</t>
  </si>
  <si>
    <t>https://drive.google.com/file/d/1TZQHMpHFYEx-rAEPwYyFUKtJSC9eNd3W/view?usp=drivesdk</t>
  </si>
  <si>
    <t>Document successfully created; Document successfully merged; PDF created; Emails Sent: [To: anjalihajare164@gmail.com]; Run via form trigger as codectechnologies0@gmail.com; Timestamp: Aug 24, 2026 11:53 AM</t>
  </si>
  <si>
    <t>Prachi Mohan More</t>
  </si>
  <si>
    <t>pmore9187@gmail.com</t>
  </si>
  <si>
    <t>G.H.Raisoni College of Engineering and Managment  pune</t>
  </si>
  <si>
    <t>1-7G0pLe_-ZRIRJOF_p9boMNmTZeeMmEm</t>
  </si>
  <si>
    <t>https://drive.google.com/file/d/1-7G0pLe_-ZRIRJOF_p9boMNmTZeeMmEm/view?usp=drivesdk</t>
  </si>
  <si>
    <t>Document successfully created; Document successfully merged; PDF created; Emails Sent: [To: pmore9187@gmail.com]; Run via form trigger as codectechnologies0@gmail.com; Timestamp: Aug 24, 2026 11:56 AM</t>
  </si>
  <si>
    <t>Smila Subashini D</t>
  </si>
  <si>
    <t>smiladennis@gmail.com</t>
  </si>
  <si>
    <t>VRS College of Engg and Tech</t>
  </si>
  <si>
    <t>1CzJDOysSXZBUXa-SVJGx4NqvgJmYrlxh</t>
  </si>
  <si>
    <t>https://drive.google.com/file/d/1CzJDOysSXZBUXa-SVJGx4NqvgJmYrlxh/view?usp=drivesdk</t>
  </si>
  <si>
    <t>Document successfully created; Document successfully merged; PDF created; Emails Sent: [To: smiladennis@gmail.com]; Run via form trigger as codectechnologies0@gmail.com; Timestamp: Aug 24, 2026 12:08 PM</t>
  </si>
  <si>
    <t>Harsh Anand</t>
  </si>
  <si>
    <t>harsh.anand.phe23@itbhu.ac.in</t>
  </si>
  <si>
    <t>IIT BHU (VARANASI)</t>
  </si>
  <si>
    <t>1F4D1wqABvPbQxJhKDxPf_dRqEOVBPzk0</t>
  </si>
  <si>
    <t>https://drive.google.com/file/d/1F4D1wqABvPbQxJhKDxPf_dRqEOVBPzk0/view?usp=drivesdk</t>
  </si>
  <si>
    <t>Document successfully created; Document successfully merged; PDF created; Emails Sent: [To: harsh.anand.phe23@itbhu.ac.in]; Run via form trigger as codectechnologies0@gmail.com; Timestamp: Aug 24, 2026 12:19 PM</t>
  </si>
  <si>
    <t>Akash Gowda N C</t>
  </si>
  <si>
    <t>akashgowda.n.c.2005@gmail.com</t>
  </si>
  <si>
    <t>Navkis College Of Engineering</t>
  </si>
  <si>
    <t>1lkTnU1a8vwKRMsv-qPtxiJgXJ3_qqlxp</t>
  </si>
  <si>
    <t>https://drive.google.com/file/d/1lkTnU1a8vwKRMsv-qPtxiJgXJ3_qqlxp/view?usp=drivesdk</t>
  </si>
  <si>
    <t>Document successfully created; Document successfully merged; PDF created; Emails Sent: [To: akashgowda.n.c.2005@gmail.com]; Run via form trigger as codectechnologies0@gmail.com; Timestamp: Aug 24, 2026 12:21 PM</t>
  </si>
  <si>
    <t>1Ir5bXpbqp9FQGIRpRvtrcfI6kY52jzeS</t>
  </si>
  <si>
    <t>https://drive.google.com/file/d/1Ir5bXpbqp9FQGIRpRvtrcfI6kY52jzeS/view?usp=drivesdk</t>
  </si>
  <si>
    <t>Document successfully created; Document successfully merged; PDF created; Emails Sent: [To: wadkarsunil4907@gmail.com]; Run via form trigger as codectechnologies0@gmail.com; Timestamp: Aug 24, 2026 12:30 PM</t>
  </si>
  <si>
    <t>PASSEDDULA CHARITHA</t>
  </si>
  <si>
    <t>charithap146@gmail.com</t>
  </si>
  <si>
    <t>Mohan babu university</t>
  </si>
  <si>
    <t>1QXeD3jC_SLobSxU6X1iqjzm3ErbWVUqq</t>
  </si>
  <si>
    <t>https://drive.google.com/file/d/1QXeD3jC_SLobSxU6X1iqjzm3ErbWVUqq/view?usp=drivesdk</t>
  </si>
  <si>
    <t>Document successfully created; Document successfully merged; PDF created; Emails Sent: [To: charithap146@gmail.com]; Run via form trigger as codectechnologies0@gmail.com; Timestamp: Aug 24, 2026 12:31 PM</t>
  </si>
  <si>
    <t>1KfRWlwtk88_QqOHYfSyRsW89_kvJwU2m</t>
  </si>
  <si>
    <t>https://drive.google.com/file/d/1KfRWlwtk88_QqOHYfSyRsW89_kvJwU2m/view?usp=drivesdk</t>
  </si>
  <si>
    <t>Document successfully created; Document successfully merged; PDF created; Emails Sent: [To: ramyadurgam10@gmail.com]; Run via form trigger as codectechnologies0@gmail.com; Timestamp: Aug 24, 2026 12:35 PM</t>
  </si>
  <si>
    <t xml:space="preserve">Kasani Naveen </t>
  </si>
  <si>
    <t>naveenkasani69@gmail.com</t>
  </si>
  <si>
    <t>1t7dlhl2yLfcYQadzx2uRC6OJUK1cL4I9</t>
  </si>
  <si>
    <t>https://drive.google.com/file/d/1t7dlhl2yLfcYQadzx2uRC6OJUK1cL4I9/view?usp=drivesdk</t>
  </si>
  <si>
    <t>Document successfully created; Document successfully merged; PDF created; Emails Sent: [To: naveenkasani69@gmail.com]; Run via form trigger as codectechnologies0@gmail.com; Timestamp: Aug 24, 2026 12:51 PM</t>
  </si>
  <si>
    <t>08329836928</t>
  </si>
  <si>
    <t>Dyanasagar institute of management and research pune</t>
  </si>
  <si>
    <t>1L9kZbbTzcATGY0Um9hOggYtQkPjOWYyE</t>
  </si>
  <si>
    <t>https://drive.google.com/file/d/1L9kZbbTzcATGY0Um9hOggYtQkPjOWYyE/view?usp=drivesdk</t>
  </si>
  <si>
    <t>Document successfully created; Document successfully merged; PDF created; Emails Sent: [To: sarikapawar9646@gmail.com]; Run via form trigger as codectechnologies0@gmail.com; Timestamp: Aug 24, 2026 12:53 PM</t>
  </si>
  <si>
    <t>Neeraj Rana</t>
  </si>
  <si>
    <t>nr569924@gmail.com</t>
  </si>
  <si>
    <t xml:space="preserve">Institute of technology gopeshwar Chamoli Uttarakhand </t>
  </si>
  <si>
    <t>1oNWUGA1GPqGN3Z9o0lZZPZ86zCk36AvM</t>
  </si>
  <si>
    <t>https://drive.google.com/file/d/1oNWUGA1GPqGN3Z9o0lZZPZ86zCk36AvM/view?usp=drivesdk</t>
  </si>
  <si>
    <t>Document successfully created; Document successfully merged; PDF created; Emails Sent: [To: nr569924@gmail.com]; Run via form trigger as codectechnologies0@gmail.com; Timestamp: Aug 24, 2026 12:54 PM</t>
  </si>
  <si>
    <t>Prayag Rajpoot</t>
  </si>
  <si>
    <t>mkji7860@gmail.com</t>
  </si>
  <si>
    <t>1EBl-xhpgMF5Wm1NJdS4GtvwwHOHvGoq0</t>
  </si>
  <si>
    <t>https://drive.google.com/file/d/1EBl-xhpgMF5Wm1NJdS4GtvwwHOHvGoq0/view?usp=drivesdk</t>
  </si>
  <si>
    <t>Document successfully created; Document successfully merged; PDF created; Emails Sent: [To: mkji7860@gmail.com]; Run via form trigger as codectechnologies0@gmail.com; Timestamp: Aug 24, 2026 1:01 PM</t>
  </si>
  <si>
    <t>Keerti</t>
  </si>
  <si>
    <t>allapurkeerti@gmail.com</t>
  </si>
  <si>
    <t>+918497042755</t>
  </si>
  <si>
    <t>Guru Nanak Dev Engineering College, Bidar</t>
  </si>
  <si>
    <t>1oOzERdxwCjf3mRsr-UYqFw-28vSY6dJ7</t>
  </si>
  <si>
    <t>https://drive.google.com/file/d/1oOzERdxwCjf3mRsr-UYqFw-28vSY6dJ7/view?usp=drivesdk</t>
  </si>
  <si>
    <t>Document successfully created; Document successfully merged; PDF created; Emails Sent: [To: allapurkeerti@gmail.com]; Run via form trigger as codectechnologies0@gmail.com; Timestamp: Aug 24, 2026 1:02 PM</t>
  </si>
  <si>
    <t>Pranavi Batchu</t>
  </si>
  <si>
    <t>bvennela2808@gmail.com</t>
  </si>
  <si>
    <t>Malla Reddy Deemed to be University</t>
  </si>
  <si>
    <t>1lxpSI_1AxraC_BdFcqX-p-45fYgY1tE3</t>
  </si>
  <si>
    <t>https://drive.google.com/file/d/1lxpSI_1AxraC_BdFcqX-p-45fYgY1tE3/view?usp=drivesdk</t>
  </si>
  <si>
    <t>Document successfully created; Document successfully merged; PDF created; Emails Sent: [To: bvennela2808@gmail.com]; Run via form trigger as codectechnologies0@gmail.com; Timestamp: Aug 24, 2026 1:06 PM</t>
  </si>
  <si>
    <t>Keerti Allapur</t>
  </si>
  <si>
    <t>13Vj3Yx6QtO1fGKVIlPR7Xo9A2RRxL6Zn</t>
  </si>
  <si>
    <t>https://drive.google.com/file/d/13Vj3Yx6QtO1fGKVIlPR7Xo9A2RRxL6Zn/view?usp=drivesdk</t>
  </si>
  <si>
    <t>Document successfully created; Document successfully merged; PDF created; Emails Sent: [To: allapurkeerti@gmail.com]; Run via form trigger as codectechnologies0@gmail.com; Timestamp: Aug 24, 2026 1:07 PM</t>
  </si>
  <si>
    <t xml:space="preserve">NABIL HASSANE ALI </t>
  </si>
  <si>
    <t>323106410065@andhrauniversity.edu.in</t>
  </si>
  <si>
    <t>06301533975</t>
  </si>
  <si>
    <t>ANDHRA UNIVERSITY COLLEGE OF ENG</t>
  </si>
  <si>
    <t>1Cq28nnDbH2Nr-2LHC7E959Y4aCw1nQyp</t>
  </si>
  <si>
    <t>https://drive.google.com/file/d/1Cq28nnDbH2Nr-2LHC7E959Y4aCw1nQyp/view?usp=drivesdk</t>
  </si>
  <si>
    <t>Document successfully created; Document successfully merged; PDF created; Emails Sent: [To: 323106410065@andhrauniversity.edu.in]; Run via form trigger as codectechnologies0@gmail.com; Timestamp: Aug 24, 2026 1:11 PM</t>
  </si>
  <si>
    <t>LinkedIn, Instagram, WhatsApp</t>
  </si>
  <si>
    <t>1I72r4QkpXOwKF8bllOI4fadKnqcbvZX9</t>
  </si>
  <si>
    <t>https://drive.google.com/file/d/1I72r4QkpXOwKF8bllOI4fadKnqcbvZX9/view?usp=drivesdk</t>
  </si>
  <si>
    <t>Document successfully created; Document successfully merged; PDF created; Emails Sent: [To: sarikapawar9646@gmail.com]; Run via form trigger as codectechnologies0@gmail.com; Timestamp: Aug 24, 2026 1:21 PM</t>
  </si>
  <si>
    <t>Yoshana Chaudhary</t>
  </si>
  <si>
    <t>yoshanachaudhary2gmail.com</t>
  </si>
  <si>
    <t>MRIIRS</t>
  </si>
  <si>
    <t>1FoPCK5Um9lQl9moSjQwK_Etu3pnnZwmc</t>
  </si>
  <si>
    <t>https://drive.google.com/file/d/1FoPCK5Um9lQl9moSjQwK_Etu3pnnZwmc/view?usp=drivesdk</t>
  </si>
  <si>
    <t>Document successfully created; Document successfully merged; PDF created; !!Error Sending Emails: Invalid email: yoshanachaudhary2gmail.com; Run via form trigger as codectechnologies0@gmail.com; Timestamp: Aug 24, 2026 1:24 PM</t>
  </si>
  <si>
    <t xml:space="preserve">Atchaya K </t>
  </si>
  <si>
    <t xml:space="preserve">atchaya164@gmail.com </t>
  </si>
  <si>
    <t xml:space="preserve">K Ramakrishnan College Of Technology </t>
  </si>
  <si>
    <t>1b6RnzOkKvPlQQ-XpmEfJjvw5FfjJToMJ</t>
  </si>
  <si>
    <t>https://drive.google.com/file/d/1b6RnzOkKvPlQQ-XpmEfJjvw5FfjJToMJ/view?usp=drivesdk</t>
  </si>
  <si>
    <t>Document successfully created; Document successfully merged; PDF created; Emails Sent: [To: atchaya164@gmail.com]; Run via form trigger as codectechnologies0@gmail.com; Timestamp: Aug 24, 2026 1:34 PM</t>
  </si>
  <si>
    <t>Anshu Kumar</t>
  </si>
  <si>
    <t>anshukumar99901@gmail.com</t>
  </si>
  <si>
    <t>shri mata vaishno  devi university , katra</t>
  </si>
  <si>
    <t>1XLgM2a2gsVyc9TRsnU2Dq-DB7s29Ewl1</t>
  </si>
  <si>
    <t>https://drive.google.com/file/d/1XLgM2a2gsVyc9TRsnU2Dq-DB7s29Ewl1/view?usp=drivesdk</t>
  </si>
  <si>
    <t>Document successfully created; Document successfully merged; PDF created; Emails Sent: [To: anshukumar99901@gmail.com]; Run via form trigger as codectechnologies0@gmail.com; Timestamp: Aug 24, 2026 1:35 PM</t>
  </si>
  <si>
    <t xml:space="preserve">Devishi Singla </t>
  </si>
  <si>
    <t>devishisingla08@gmail.com</t>
  </si>
  <si>
    <t xml:space="preserve">Noida Institute of Engeneering and Technology </t>
  </si>
  <si>
    <t>1pOX5ZoMqqEuV75lZxPbNZ8fMZj4i6wKk</t>
  </si>
  <si>
    <t>https://drive.google.com/file/d/1pOX5ZoMqqEuV75lZxPbNZ8fMZj4i6wKk/view?usp=drivesdk</t>
  </si>
  <si>
    <t>Document successfully created; Document successfully merged; PDF created; Emails Sent: [To: devishisingla08@gmail.com]; Run via form trigger as codectechnologies0@gmail.com; Timestamp: Aug 24, 2026 1:38 PM</t>
  </si>
  <si>
    <t xml:space="preserve">Mrunmayi Pramod Pusrekar </t>
  </si>
  <si>
    <t>mrunmayipusrekar@gmail.com</t>
  </si>
  <si>
    <t>Guru Gobind Singh College Of Engineering and Research Centre,Nashik</t>
  </si>
  <si>
    <t>1n9AHPrHwUO79w63fdrIXFNVa2bBJ_DiC</t>
  </si>
  <si>
    <t>https://drive.google.com/file/d/1n9AHPrHwUO79w63fdrIXFNVa2bBJ_DiC/view?usp=drivesdk</t>
  </si>
  <si>
    <t>Document successfully created; Document successfully merged; PDF created; Emails Sent: [To: mrunmayipusrekar@gmail.com]; Run via form trigger as codectechnologies0@gmail.com; Timestamp: Aug 24, 2026 1:41 PM</t>
  </si>
  <si>
    <t>shri mata vaishno devi university</t>
  </si>
  <si>
    <t>1fG6FtIWt0-1HbUOB-GXjNSB3edVMZWS_</t>
  </si>
  <si>
    <t>https://drive.google.com/file/d/1fG6FtIWt0-1HbUOB-GXjNSB3edVMZWS_/view?usp=drivesdk</t>
  </si>
  <si>
    <t>Document successfully created; Document successfully merged; PDF created; Emails Sent: [To: anshukumar99901@gmail.com]; Run via form trigger as codectechnologies0@gmail.com; Timestamp: Aug 24, 2026 1:54 PM</t>
  </si>
  <si>
    <t>Amaan Merchant</t>
  </si>
  <si>
    <t>amaanmerchant406@gmail.com</t>
  </si>
  <si>
    <t>gyanmanjari innovative university</t>
  </si>
  <si>
    <t>1ELyzrPoybgQ7voBN4gTBkZ4Fj52w4aMw</t>
  </si>
  <si>
    <t>https://drive.google.com/file/d/1ELyzrPoybgQ7voBN4gTBkZ4Fj52w4aMw/view?usp=drivesdk</t>
  </si>
  <si>
    <t>Document successfully created; Document successfully merged; PDF created; Emails Sent: [To: amaanmerchant406@gmail.com]; Run via form trigger as codectechnologies0@gmail.com; Timestamp: Aug 24, 2026 2:05 PM</t>
  </si>
  <si>
    <t xml:space="preserve">Vedika Sanjay Nerkar </t>
  </si>
  <si>
    <t>vedikanerkar24@gmail.com</t>
  </si>
  <si>
    <t xml:space="preserve">Guru Gobind Singh college of engineering and research centre, Nashik </t>
  </si>
  <si>
    <t>1x6GHNV2VwC3JTcB4EUm8r3dtRUcb4EOI</t>
  </si>
  <si>
    <t>https://drive.google.com/file/d/1x6GHNV2VwC3JTcB4EUm8r3dtRUcb4EOI/view?usp=drivesdk</t>
  </si>
  <si>
    <t>Document successfully created; Document successfully merged; PDF created; Emails Sent: [To: vedikanerkar24@gmail.com]; Run via form trigger as codectechnologies0@gmail.com; Timestamp: Aug 24, 2026 2:08 PM</t>
  </si>
  <si>
    <t>Akhilesh Abhay Bargi</t>
  </si>
  <si>
    <t>akhileshbargi1207@gmail.com</t>
  </si>
  <si>
    <t>Shri Sai College of Engineering and Technology, Bhadrawati</t>
  </si>
  <si>
    <t>1GEKXme1yt4AxmpmznBCDGpkgWWJmv9Rp</t>
  </si>
  <si>
    <t>https://drive.google.com/file/d/1GEKXme1yt4AxmpmznBCDGpkgWWJmv9Rp/view?usp=drivesdk</t>
  </si>
  <si>
    <t>Document successfully created; Document successfully merged; PDF created; Emails Sent: [To: akhileshbargi1207@gmail.com]; Run via form trigger as codectechnologies0@gmail.com; Timestamp: Aug 24, 2026 2:54 PM</t>
  </si>
  <si>
    <t>H S Sudarshan Iyengar</t>
  </si>
  <si>
    <t>sudarshaniyengar324@gmail.com</t>
  </si>
  <si>
    <t>Vemana Institute of technology</t>
  </si>
  <si>
    <t>1O5mZ_cm_EqcfaNdOpfyPe-p82_hq5CXu</t>
  </si>
  <si>
    <t>https://drive.google.com/file/d/1O5mZ_cm_EqcfaNdOpfyPe-p82_hq5CXu/view?usp=drivesdk</t>
  </si>
  <si>
    <t>Document successfully created; Document successfully merged; PDF created; Emails Sent: [To: sudarshaniyengar324@gmail.com]; Run via form trigger as codectechnologies0@gmail.com; Timestamp: Aug 24, 2026 2:56 PM</t>
  </si>
  <si>
    <t>Dinesh Chahar</t>
  </si>
  <si>
    <t>dinesh.25.chahar@gmail.com</t>
  </si>
  <si>
    <t xml:space="preserve">Arya College of engineering main campus jaipur </t>
  </si>
  <si>
    <t>15I-gdPvqVYTW_gD6rN6_aCkr67WgcWDZ</t>
  </si>
  <si>
    <t>https://drive.google.com/file/d/15I-gdPvqVYTW_gD6rN6_aCkr67WgcWDZ/view?usp=drivesdk</t>
  </si>
  <si>
    <t>Document successfully created; Document successfully merged; PDF created; Emails Sent: [To: dinesh.25.chahar@gmail.com]; Run via form trigger as codectechnologies0@gmail.com; Timestamp: Aug 24, 2026 3:01 PM</t>
  </si>
  <si>
    <t xml:space="preserve">Shivam Kumar Singh </t>
  </si>
  <si>
    <t>sshivamkumarssingh2@gmail.com</t>
  </si>
  <si>
    <t xml:space="preserve">Swami Vivekanand Subharti University </t>
  </si>
  <si>
    <t>1u2iIwvGBmKNopAmKYnqeTzCzok_VJxu6</t>
  </si>
  <si>
    <t>https://drive.google.com/file/d/1u2iIwvGBmKNopAmKYnqeTzCzok_VJxu6/view?usp=drivesdk</t>
  </si>
  <si>
    <t>Document successfully created; Document successfully merged; PDF created; Emails Sent: [To: sshivamkumarssingh2@gmail.com]; Run via form trigger as codectechnologies0@gmail.com; Timestamp: Aug 24, 2026 3:26 PM</t>
  </si>
  <si>
    <t xml:space="preserve">Sarthak Jitendra Kulkarni </t>
  </si>
  <si>
    <t>sarthakkulkarni1611@gmail.com</t>
  </si>
  <si>
    <t xml:space="preserve">Jspm's Bhivarabai sawant institute of technology and research </t>
  </si>
  <si>
    <t>1HQI-iv6zeEZH7tLBF4NYqcr3kPdNcL43</t>
  </si>
  <si>
    <t>https://drive.google.com/file/d/1HQI-iv6zeEZH7tLBF4NYqcr3kPdNcL43/view?usp=drivesdk</t>
  </si>
  <si>
    <t>Document successfully created; Document successfully merged; PDF created; Emails Sent: [To: sarthakkulkarni1611@gmail.com]; Run via form trigger as codectechnologies0@gmail.com; Timestamp: Aug 24, 2026 3:31 PM</t>
  </si>
  <si>
    <t xml:space="preserve">Faheem Khan </t>
  </si>
  <si>
    <t>faheem6367730280@gmail.com</t>
  </si>
  <si>
    <t>Arya College of Engineering main campus jaipur</t>
  </si>
  <si>
    <t>1FGF4Xc4I4vb4CUQo5w06bq_uUQLyys5T</t>
  </si>
  <si>
    <t>https://drive.google.com/file/d/1FGF4Xc4I4vb4CUQo5w06bq_uUQLyys5T/view?usp=drivesdk</t>
  </si>
  <si>
    <t>Document successfully created; Document successfully merged; PDF created; Emails Sent: [To: faheem6367730280@gmail.com]; Run via form trigger as codectechnologies0@gmail.com; Timestamp: Aug 24, 2026 3:33 PM</t>
  </si>
  <si>
    <t xml:space="preserve">Niraj Kumar </t>
  </si>
  <si>
    <t>nirajstudent74880@gmail.com</t>
  </si>
  <si>
    <t xml:space="preserve">Subharti institute of technology and engineering </t>
  </si>
  <si>
    <t>1ogaJIKVJ9ErChfOXxMcESHy0dJ2D4hpE</t>
  </si>
  <si>
    <t>https://drive.google.com/file/d/1ogaJIKVJ9ErChfOXxMcESHy0dJ2D4hpE/view?usp=drivesdk</t>
  </si>
  <si>
    <t>Document successfully created; Document successfully merged; PDF created; Emails Sent: [To: nirajstudent74880@gmail.com]; Run via form trigger as codectechnologies0@gmail.com; Timestamp: Aug 24, 2026 3:37 PM</t>
  </si>
  <si>
    <t>1j_r5cUPngj-d5DakkMRH_FJm7gjg4gIF</t>
  </si>
  <si>
    <t>https://drive.google.com/file/d/1j_r5cUPngj-d5DakkMRH_FJm7gjg4gIF/view?usp=drivesdk</t>
  </si>
  <si>
    <t>Document successfully created; Document successfully merged; PDF created; Emails Sent: [To: nirajstudent74880@gmail.com]; Run via form trigger as codectechnologies0@gmail.com; Timestamp: Aug 24, 2026 3:41 PM</t>
  </si>
  <si>
    <t xml:space="preserve">Bijitesh Vishal Singh </t>
  </si>
  <si>
    <t>singhbijitesh@gmail.com</t>
  </si>
  <si>
    <t xml:space="preserve">Sinhgad Academy of Engineering </t>
  </si>
  <si>
    <t>1BcCNdanzdFt_UG_DxwyFyel20D-6knD-</t>
  </si>
  <si>
    <t>https://drive.google.com/file/d/1BcCNdanzdFt_UG_DxwyFyel20D-6knD-/view?usp=drivesdk</t>
  </si>
  <si>
    <t>Document successfully created; Document successfully merged; PDF created; Emails Sent: [To: singhbijitesh@gmail.com]; Run via form trigger as codectechnologies0@gmail.com; Timestamp: Aug 24, 2026 3:42 PM</t>
  </si>
  <si>
    <t>Priyam dubey</t>
  </si>
  <si>
    <t>priyamdubey2008@gmail.com</t>
  </si>
  <si>
    <t>rmlau iet ayodhya</t>
  </si>
  <si>
    <t>14y9GNOT-CAb38KSVo6S5FY1oSMy7WS-N</t>
  </si>
  <si>
    <t>https://drive.google.com/file/d/14y9GNOT-CAb38KSVo6S5FY1oSMy7WS-N/view?usp=drivesdk</t>
  </si>
  <si>
    <t>Document successfully created; Document successfully merged; PDF created; Emails Sent: [To: priyamdubey2008@gmail.com]; Run via form trigger as codectechnologies0@gmail.com; Timestamp: Aug 24, 2026 3:45 PM</t>
  </si>
  <si>
    <t xml:space="preserve">Ankit kumar Singh </t>
  </si>
  <si>
    <t>ankit.singhpuraini45@gmail.com</t>
  </si>
  <si>
    <t>1SwO-NR125yM5oPhQBiz_4p7Lyiu22teY</t>
  </si>
  <si>
    <t>https://drive.google.com/file/d/1SwO-NR125yM5oPhQBiz_4p7Lyiu22teY/view?usp=drivesdk</t>
  </si>
  <si>
    <t>Document successfully created; Document successfully merged; PDF created; Emails Sent: [To: ankit.singhpuraini45@gmail.com]; Run via form trigger as codectechnologies0@gmail.com; Timestamp: Aug 24, 2026 4:15 PM</t>
  </si>
  <si>
    <t>1Kp0t7eOgg_ZJGO26W9xhQsvjqAVEYnzV</t>
  </si>
  <si>
    <t>https://drive.google.com/file/d/1Kp0t7eOgg_ZJGO26W9xhQsvjqAVEYnzV/view?usp=drivesdk</t>
  </si>
  <si>
    <t>Arun S R</t>
  </si>
  <si>
    <t>mail@arunsr.in.net</t>
  </si>
  <si>
    <t>BSA Crescent institute of science and technology</t>
  </si>
  <si>
    <t>16JRc_AfJIjZcxg--IODVLxsMa8LezKeR</t>
  </si>
  <si>
    <t>https://drive.google.com/file/d/16JRc_AfJIjZcxg--IODVLxsMa8LezKeR/view?usp=drivesdk</t>
  </si>
  <si>
    <t>Document successfully created; Document successfully merged; PDF created; Emails Sent: [To: mail@arunsr.in.net]; Run via form trigger as codectechnologies0@gmail.com; Timestamp: Aug 24, 2026 9:32 PM</t>
  </si>
  <si>
    <t xml:space="preserve">Abishek Kumar </t>
  </si>
  <si>
    <t>abishekkumar10062005@gmail.com</t>
  </si>
  <si>
    <t>1XuP8lkWvktndGSn5isxTJmEJ2cK_KYVG</t>
  </si>
  <si>
    <t>https://drive.google.com/file/d/1XuP8lkWvktndGSn5isxTJmEJ2cK_KYVG/view?usp=drivesdk</t>
  </si>
  <si>
    <t>Document successfully created; Document successfully merged; PDF created; Emails Sent: [To: abishekkumar10062005@gmail.com]; Run via form trigger as codectechnologies0@gmail.com; Timestamp: Aug 24, 2026 9:38 PM</t>
  </si>
  <si>
    <t>ABISHEK KUMAR</t>
  </si>
  <si>
    <t>1PZadWp8gpaAmm6w_HN1ftM8xPNt2_zMg</t>
  </si>
  <si>
    <t>https://drive.google.com/file/d/1PZadWp8gpaAmm6w_HN1ftM8xPNt2_zMg/view?usp=drivesdk</t>
  </si>
  <si>
    <t>Dharun Prasanna</t>
  </si>
  <si>
    <t>dharunprasanna20@gmail.com</t>
  </si>
  <si>
    <t>96005 99829</t>
  </si>
  <si>
    <t xml:space="preserve">Sri shakthi institute of engineering and technology </t>
  </si>
  <si>
    <t>1-34Ob2bRJ30aGKDQH5-47r5buzWqyL02</t>
  </si>
  <si>
    <t>https://drive.google.com/file/d/1-34Ob2bRJ30aGKDQH5-47r5buzWqyL02/view?usp=drivesdk</t>
  </si>
  <si>
    <t>Document successfully created; Document successfully merged; PDF created; Emails Sent: [To: dharunprasanna20@gmail.com]; Run via form trigger as codectechnologies0@gmail.com; Timestamp: Aug 24, 2026 10:20 PM</t>
  </si>
  <si>
    <t xml:space="preserve">ANJALI YUVRAJ KAPALE </t>
  </si>
  <si>
    <t xml:space="preserve">Shree Siddeshwar Women's College Of Engineering, Solapur </t>
  </si>
  <si>
    <t>11frXMRXZfn8ac5v4-1crwDmPpBpSXlr-</t>
  </si>
  <si>
    <t>https://drive.google.com/file/d/11frXMRXZfn8ac5v4-1crwDmPpBpSXlr-/view?usp=drivesdk</t>
  </si>
  <si>
    <t>Document successfully created; Document successfully merged; PDF created; Emails Sent: [To: anjaliy.k.22@gmail.com]; Run via form trigger as codectechnologies0@gmail.com; Timestamp: Aug 24, 2026 10:25 PM</t>
  </si>
  <si>
    <t>Priyansh Rathore</t>
  </si>
  <si>
    <t>priyanshrathore3468@gmail.com</t>
  </si>
  <si>
    <t>1RBYX4NP26IaDO40MFjv2DPhgJzjkTZ7E</t>
  </si>
  <si>
    <t>https://drive.google.com/file/d/1RBYX4NP26IaDO40MFjv2DPhgJzjkTZ7E/view?usp=drivesdk</t>
  </si>
  <si>
    <t>Document successfully created; Document successfully merged; PDF created; Emails Sent: [To: priyanshrathore3468@gmail.com]; Run via form trigger as codectechnologies0@gmail.com; Timestamp: Aug 24, 2026 10:47 PM</t>
  </si>
  <si>
    <t>HASMUKH AMBALIYA</t>
  </si>
  <si>
    <t>hasmukhambaliya01@gmail.com</t>
  </si>
  <si>
    <t>IAR UNIVERSITY</t>
  </si>
  <si>
    <t>1y0cqLV4fErKUQqDt4cwNpGmLA1Ij8zH2</t>
  </si>
  <si>
    <t>https://drive.google.com/file/d/1y0cqLV4fErKUQqDt4cwNpGmLA1Ij8zH2/view?usp=drivesdk</t>
  </si>
  <si>
    <t>Document successfully created; Document successfully merged; PDF created; Emails Sent: [To: hasmukhambaliya01@gmail.com]; Run via form trigger as codectechnologies0@gmail.com; Timestamp: Aug 24, 2026 11:03 PM</t>
  </si>
  <si>
    <t>Sanskruti Khamkar</t>
  </si>
  <si>
    <t>khamkarsanskruti72@gmail.com</t>
  </si>
  <si>
    <t xml:space="preserve">Yashwantrao Chavan Institute of Science </t>
  </si>
  <si>
    <t>1oDjUtbhiK077WA_eGJhNC1trSQ9fC8Ll</t>
  </si>
  <si>
    <t>https://drive.google.com/file/d/1oDjUtbhiK077WA_eGJhNC1trSQ9fC8Ll/view?usp=drivesdk</t>
  </si>
  <si>
    <t>Document successfully created; Document successfully merged; PDF created; Emails Sent: [To: khamkarsanskruti72@gmail.com]; Run via form trigger as codectechnologies0@gmail.com; Timestamp: Aug 24, 2026 11:25 PM</t>
  </si>
  <si>
    <t xml:space="preserve">Banka Bhanodaya Patrudu </t>
  </si>
  <si>
    <t>bhanubanka1@gmail.com</t>
  </si>
  <si>
    <t>1mB4AnWN5ykw7FTyE-B86nhIZj50xPQOU</t>
  </si>
  <si>
    <t>https://drive.google.com/file/d/1mB4AnWN5ykw7FTyE-B86nhIZj50xPQOU/view?usp=drivesdk</t>
  </si>
  <si>
    <t>Document successfully created; Document successfully merged; PDF created; Emails Sent: [To: bhanubanka1@gmail.com]; Run via form trigger as codectechnologies0@gmail.com; Timestamp: Aug 24, 2026 11:46 PM</t>
  </si>
  <si>
    <t>Arpit Singh</t>
  </si>
  <si>
    <t>arpitsinghjatav2@gmail.com</t>
  </si>
  <si>
    <t>1jY7M7Bj5B5xtSd104PilqFjDnPUBEnb5</t>
  </si>
  <si>
    <t>https://drive.google.com/file/d/1jY7M7Bj5B5xtSd104PilqFjDnPUBEnb5/view?usp=drivesdk</t>
  </si>
  <si>
    <t>Document successfully created; Document successfully merged; PDF created; Emails Sent: [To: arpitsinghjatav2@gmail.com]; Run via form trigger as codectechnologies0@gmail.com; Timestamp: Aug 24, 2026 11:57 PM</t>
  </si>
  <si>
    <t>D G Shreya Shastry</t>
  </si>
  <si>
    <t>rkdgshreyashastry@gmail.com</t>
  </si>
  <si>
    <t xml:space="preserve">Sahyadri institute of commerce,Chikkamagaluru </t>
  </si>
  <si>
    <t>1sAs07gFDBuj5SFidoyFlTGdQbjGHlBOx</t>
  </si>
  <si>
    <t>https://drive.google.com/file/d/1sAs07gFDBuj5SFidoyFlTGdQbjGHlBOx/view?usp=drivesdk</t>
  </si>
  <si>
    <t>Document successfully created; Document successfully merged; PDF created; Emails Sent: [To: rkdgshreyashastry@gmail.com]; Run via form trigger as codectechnologies0@gmail.com; Timestamp: Aug 24, 2026 11:59 PM</t>
  </si>
  <si>
    <t>MOHAMED BAKURDEEN I</t>
  </si>
  <si>
    <t>mohamedbakurdeen786@gmail.com</t>
  </si>
  <si>
    <t>LinkedIn, Instagram, WhatsApp, Friend, Email, AICTE/Indeed</t>
  </si>
  <si>
    <t>1EvC4js011WcBEvUnmI1RPAtHBjsjU9aO</t>
  </si>
  <si>
    <t>https://drive.google.com/file/d/1EvC4js011WcBEvUnmI1RPAtHBjsjU9aO/view?usp=drivesdk</t>
  </si>
  <si>
    <t>Document successfully created; Document successfully merged; PDF created; Emails Sent: [To: mohamedbakurdeen786@gmail.com]; Run via form trigger as codectechnologies0@gmail.com; Timestamp: Aug 25, 2026 12:14 AM</t>
  </si>
  <si>
    <t>Ephraim Alwin Raj.M</t>
  </si>
  <si>
    <t>ephraimalwinn@gmail.com</t>
  </si>
  <si>
    <t xml:space="preserve">SRM institute of science and technology vadapani </t>
  </si>
  <si>
    <t>1wzkhJidjMqvCUWATgJZl3EIVFgBk0zb-</t>
  </si>
  <si>
    <t>https://drive.google.com/file/d/1wzkhJidjMqvCUWATgJZl3EIVFgBk0zb-/view?usp=drivesdk</t>
  </si>
  <si>
    <t>Document successfully created; Document successfully merged; PDF created; Emails Sent: [To: ephraimalwinn@gmail.com]; Run via form trigger as codectechnologies0@gmail.com; Timestamp: Aug 25, 2026 12:16 AM</t>
  </si>
  <si>
    <t>Khushi Kushwaha</t>
  </si>
  <si>
    <t>khushikush915@gmail.com</t>
  </si>
  <si>
    <t xml:space="preserve">Allenhouse institute of technology </t>
  </si>
  <si>
    <t>10N-MKeGF0UJHQnh7BVBScbq0I6rt5Gvx</t>
  </si>
  <si>
    <t>https://drive.google.com/file/d/10N-MKeGF0UJHQnh7BVBScbq0I6rt5Gvx/view?usp=drivesdk</t>
  </si>
  <si>
    <t>Document successfully created; Document successfully merged; PDF created; Emails Sent: [To: khushikush915@gmail.com]; Run via form trigger as codectechnologies0@gmail.com; Timestamp: Aug 25, 2026 12:42 AM</t>
  </si>
  <si>
    <t>Barsapriyadarasani senapati</t>
  </si>
  <si>
    <t>barsapriyadarasanisenapati@gmail.com</t>
  </si>
  <si>
    <t>Siksha O Anusandhan University</t>
  </si>
  <si>
    <t>1hOj5pMPix1baaV-jL2RzpLhiH5Tv5hew</t>
  </si>
  <si>
    <t>https://drive.google.com/file/d/1hOj5pMPix1baaV-jL2RzpLhiH5Tv5hew/view?usp=drivesdk</t>
  </si>
  <si>
    <t>Document successfully created; Document successfully merged; PDF created; Emails Sent: [To: barsapriyadarasanisenapati@gmail.com]; Run via form trigger as codectechnologies0@gmail.com; Timestamp: Aug 25, 2026 12:42 AM</t>
  </si>
  <si>
    <t>Daksh</t>
  </si>
  <si>
    <t>daksh01bazzad@gmail.com</t>
  </si>
  <si>
    <t>panipat institute of engineering &amp; technology</t>
  </si>
  <si>
    <t>1BU1zg38g4CMvWiLZraUOo67c_HHGUv5z</t>
  </si>
  <si>
    <t>https://drive.google.com/file/d/1BU1zg38g4CMvWiLZraUOo67c_HHGUv5z/view?usp=drivesdk</t>
  </si>
  <si>
    <t>Document successfully created; Document successfully merged; PDF created; Emails Sent: [To: daksh01bazzad@gmail.com]; Run via form trigger as codectechnologies0@gmail.com; Timestamp: Aug 25, 2026 12:51 AM</t>
  </si>
  <si>
    <t>Krishana Arora</t>
  </si>
  <si>
    <t>krishanaarora27@gmail.com</t>
  </si>
  <si>
    <t xml:space="preserve">panipat institute of engineering and technology </t>
  </si>
  <si>
    <t>14E7NXxyalni18wflNVXodaRpjRxZJVpv</t>
  </si>
  <si>
    <t>https://drive.google.com/file/d/14E7NXxyalni18wflNVXodaRpjRxZJVpv/view?usp=drivesdk</t>
  </si>
  <si>
    <t>Document successfully created; Document successfully merged; PDF created; Emails Sent: [To: krishanaarora27@gmail.com]; Run via form trigger as codectechnologies0@gmail.com; Timestamp: Aug 25, 2026 1:02 AM</t>
  </si>
  <si>
    <t>Lakshay Rohilla</t>
  </si>
  <si>
    <t>lakshayrohilla208@gmail.com</t>
  </si>
  <si>
    <t>Panipat Institute of Engineering &amp; Technology</t>
  </si>
  <si>
    <t>11BmunayOFI-z9i8RhJum1B9rDGHqVEvD</t>
  </si>
  <si>
    <t>https://drive.google.com/file/d/11BmunayOFI-z9i8RhJum1B9rDGHqVEvD/view?usp=drivesdk</t>
  </si>
  <si>
    <t>Document successfully created; Document successfully merged; PDF created; Emails Sent: [To: lakshayrohilla208@gmail.com]; Run via form trigger as codectechnologies0@gmail.com; Timestamp: Aug 25, 2026 1:03 AM</t>
  </si>
  <si>
    <t>kabhishek28977@gmail.com</t>
  </si>
  <si>
    <t xml:space="preserve">Government Engineering College Gopalganj, Bihar </t>
  </si>
  <si>
    <t>1JF8Xmo0SGKLKZ4GR2nU88i6sNfNBIjgh</t>
  </si>
  <si>
    <t>https://drive.google.com/file/d/1JF8Xmo0SGKLKZ4GR2nU88i6sNfNBIjgh/view?usp=drivesdk</t>
  </si>
  <si>
    <t>Document successfully created; Document successfully merged; PDF created; Emails Sent: [To: kabhishek28977@gmail.com]; Run via form trigger as codectechnologies0@gmail.com; Timestamp: Aug 25, 2026 1:07 AM</t>
  </si>
  <si>
    <t>1V6JrTEP6VvHr5D8gnEZiocuhqk0px8B6</t>
  </si>
  <si>
    <t>https://drive.google.com/file/d/1V6JrTEP6VvHr5D8gnEZiocuhqk0px8B6/view?usp=drivesdk</t>
  </si>
  <si>
    <t>Document successfully created; Document successfully merged; PDF created; Emails Sent: [To: kabhishek28977@gmail.com]; Run via form trigger as codectechnologies0@gmail.com; Timestamp: Aug 25, 2026 1:13 AM</t>
  </si>
  <si>
    <t xml:space="preserve">Allenhouse institute of technology,rooma,kanpur </t>
  </si>
  <si>
    <t>1czVE0sacuyoVhHodmBeSb5B4uj17JvXt</t>
  </si>
  <si>
    <t>https://drive.google.com/file/d/1czVE0sacuyoVhHodmBeSb5B4uj17JvXt/view?usp=drivesdk</t>
  </si>
  <si>
    <t>Document successfully created; Document successfully merged; PDF created; Emails Sent: [To: khushikush915@gmail.com]; Run via form trigger as codectechnologies0@gmail.com; Timestamp: Aug 25, 2026 1:22 AM</t>
  </si>
  <si>
    <t>vishalkm867@gmail.com</t>
  </si>
  <si>
    <t>Presidency College (Autonomous)</t>
  </si>
  <si>
    <t>13CX2S0OFPvDzSJ_M_nv1ucQLKGy4F79c</t>
  </si>
  <si>
    <t>https://drive.google.com/file/d/13CX2S0OFPvDzSJ_M_nv1ucQLKGy4F79c/view?usp=drivesdk</t>
  </si>
  <si>
    <t>Document successfully created; Document successfully merged; PDF created; Emails Sent: [To: vishalkm867@gmail.com]; Run via form trigger as codectechnologies0@gmail.com; Timestamp: Aug 25, 2026 1:31 AM</t>
  </si>
  <si>
    <t>Ankita Rani</t>
  </si>
  <si>
    <t>ankitasharma.6407@gmail.com</t>
  </si>
  <si>
    <t xml:space="preserve">Patna Women's College </t>
  </si>
  <si>
    <t>19Ef62OwZ42qAt41k9bG9a5TdwpgzNK9v</t>
  </si>
  <si>
    <t>https://drive.google.com/file/d/19Ef62OwZ42qAt41k9bG9a5TdwpgzNK9v/view?usp=drivesdk</t>
  </si>
  <si>
    <t>Document successfully created; Document successfully merged; PDF created; Emails Sent: [To: ankitasharma.6407@gmail.com]; Run via form trigger as codectechnologies0@gmail.com; Timestamp: Aug 25, 2026 1:42 AM</t>
  </si>
  <si>
    <t>HIMANSHU BHAGAT</t>
  </si>
  <si>
    <t>himanshubhagat696@gmail.com</t>
  </si>
  <si>
    <t>1I_X7xEfm-7AK_BsuqfLQJKt21F1RBIwZ</t>
  </si>
  <si>
    <t>https://drive.google.com/file/d/1I_X7xEfm-7AK_BsuqfLQJKt21F1RBIwZ/view?usp=drivesdk</t>
  </si>
  <si>
    <t>Document successfully created; Document successfully merged; PDF created; Emails Sent: [To: himanshubhagat696@gmail.com]; Run via form trigger as codectechnologies0@gmail.com; Timestamp: Aug 25, 2026 1:47 AM</t>
  </si>
  <si>
    <t xml:space="preserve">ROHAN GARG </t>
  </si>
  <si>
    <t>rohan.25scs1003004398@iilm.edu</t>
  </si>
  <si>
    <t>08700286792</t>
  </si>
  <si>
    <t xml:space="preserve">IILM university greater noida </t>
  </si>
  <si>
    <t>LinkedIn, Other</t>
  </si>
  <si>
    <t>1Wtpgkz3PN96xXc9h9Y4AoMTKyV7z44OT</t>
  </si>
  <si>
    <t>https://drive.google.com/file/d/1Wtpgkz3PN96xXc9h9Y4AoMTKyV7z44OT/view?usp=drivesdk</t>
  </si>
  <si>
    <t>Document successfully created; Document successfully merged; PDF created; Emails Sent: [To: rohan.25scs1003004398@iilm.edu]; Run via form trigger as codectechnologies0@gmail.com; Timestamp: Aug 25, 2026 1:51 AM</t>
  </si>
  <si>
    <t>Ashish Singh Bhandari</t>
  </si>
  <si>
    <t>Ashishbhandari0408@gmail.com</t>
  </si>
  <si>
    <t>Quantam university , Roorkee</t>
  </si>
  <si>
    <t>10J7nqkmEeKeQwjCCvmjld_DvH539jXw0</t>
  </si>
  <si>
    <t>https://drive.google.com/file/d/10J7nqkmEeKeQwjCCvmjld_DvH539jXw0/view?usp=drivesdk</t>
  </si>
  <si>
    <t>Document successfully created; Document successfully merged; PDF created; Emails Sent: [To: Ashishbhandari0408@gmail.com]; Run via form trigger as codectechnologies0@gmail.com; Timestamp: Aug 25, 2026 1:56 AM</t>
  </si>
  <si>
    <t xml:space="preserve">Saurabh kashyap </t>
  </si>
  <si>
    <t>saurabhkashyap827954@gmail.com</t>
  </si>
  <si>
    <t>1e7iKeg4bRXa2bKQPyfZwfI53SKEM-RHQ</t>
  </si>
  <si>
    <t>https://drive.google.com/file/d/1e7iKeg4bRXa2bKQPyfZwfI53SKEM-RHQ/view?usp=drivesdk</t>
  </si>
  <si>
    <t>Document successfully created; Document successfully merged; PDF created; Emails Sent: [To: saurabhkashyap827954@gmail.com]; Run via form trigger as codectechnologies0@gmail.com; Timestamp: Aug 25, 2026 1:57 AM</t>
  </si>
  <si>
    <t>Ratchitha R</t>
  </si>
  <si>
    <t>rameshratchitha594@gmail.com</t>
  </si>
  <si>
    <t>SRM TRP Engineering College</t>
  </si>
  <si>
    <t>1_0DI7kfRPIPl_Ww4Gc8bN8eyFzlbcNgV</t>
  </si>
  <si>
    <t>https://drive.google.com/file/d/1_0DI7kfRPIPl_Ww4Gc8bN8eyFzlbcNgV/view?usp=drivesdk</t>
  </si>
  <si>
    <t>Document successfully created; Document successfully merged; PDF created; Emails Sent: [To: rameshratchitha594@gmail.com]; Run via form trigger as codectechnologies0@gmail.com; Timestamp: Aug 25, 2026 2:03 AM</t>
  </si>
  <si>
    <t xml:space="preserve">Quantam university </t>
  </si>
  <si>
    <t>1TGRa64NWj4Cpsq3nQDxnzEma5eC79Qd2</t>
  </si>
  <si>
    <t>https://drive.google.com/file/d/1TGRa64NWj4Cpsq3nQDxnzEma5eC79Qd2/view?usp=drivesdk</t>
  </si>
  <si>
    <t>Document successfully created; Document successfully merged; PDF created; Emails Sent: [To: Ashishbhandari0408@gmail.com]; Run via form trigger as codectechnologies0@gmail.com; Timestamp: Aug 25, 2026 2:04 AM</t>
  </si>
  <si>
    <t>Ankit Sahu</t>
  </si>
  <si>
    <t>ankit17032004@gmail.com</t>
  </si>
  <si>
    <t>Rewa engineering college rewa</t>
  </si>
  <si>
    <t>10jCR11oVSrFLLqm0NtG3gysMEPiIgyC3</t>
  </si>
  <si>
    <t>https://drive.google.com/file/d/10jCR11oVSrFLLqm0NtG3gysMEPiIgyC3/view?usp=drivesdk</t>
  </si>
  <si>
    <t>Document successfully created; Document successfully merged; PDF created; Emails Sent: [To: ankit17032004@gmail.com]; Run via form trigger as codectechnologies0@gmail.com; Timestamp: Aug 25, 2026 2:08 AM</t>
  </si>
  <si>
    <t>ch.vansh.sahu@gmail.com</t>
  </si>
  <si>
    <t xml:space="preserve">SRM IST </t>
  </si>
  <si>
    <t>1rjDGbz9ri4rKmetTPPKeQg7BrnnmYH08</t>
  </si>
  <si>
    <t>https://drive.google.com/file/d/1rjDGbz9ri4rKmetTPPKeQg7BrnnmYH08/view?usp=drivesdk</t>
  </si>
  <si>
    <t>Document successfully created; Document successfully merged; PDF created; Emails Sent: [To: ch.vansh.sahu@gmail.com]; Run via form trigger as codectechnologies0@gmail.com; Timestamp: Aug 25, 2026 2:13 AM</t>
  </si>
  <si>
    <t>SIDDHU KUNTA</t>
  </si>
  <si>
    <t>aryavardhankunta@gmail.com</t>
  </si>
  <si>
    <t>KAKATHIYA UNIVERSITY</t>
  </si>
  <si>
    <t>12cmTOukvN9Bxx_9-VQdlJX712iaCRafX</t>
  </si>
  <si>
    <t>https://drive.google.com/file/d/12cmTOukvN9Bxx_9-VQdlJX712iaCRafX/view?usp=drivesdk</t>
  </si>
  <si>
    <t>Document successfully created; Document successfully merged; PDF created; Emails Sent: [To: aryavardhankunta@gmail.com]; Run via form trigger as codectechnologies0@gmail.com; Timestamp: Aug 25, 2026 2:22 AM</t>
  </si>
  <si>
    <t>Mahesh E</t>
  </si>
  <si>
    <t>maheshemahesh001@gmail.com</t>
  </si>
  <si>
    <t>Presidency college (Autonomous)</t>
  </si>
  <si>
    <t>17PmenW4LirMe7R1RT351T8GORUavG8dq</t>
  </si>
  <si>
    <t>https://drive.google.com/file/d/17PmenW4LirMe7R1RT351T8GORUavG8dq/view?usp=drivesdk</t>
  </si>
  <si>
    <t>Document successfully created; Document successfully merged; PDF created; Emails Sent: [To: maheshemahesh001@gmail.com]; Run via form trigger as codectechnologies0@gmail.com; Timestamp: Aug 25, 2026 2:24 AM</t>
  </si>
  <si>
    <t>Jay Pratap Parmar</t>
  </si>
  <si>
    <t>tonnnyyy44@gmail.com</t>
  </si>
  <si>
    <t>Dr. Harisingh Gour University Sagar (m.p)</t>
  </si>
  <si>
    <t>17anZtuuMgYqdDXIb6ydwccAFAAvD6hkZ</t>
  </si>
  <si>
    <t>https://drive.google.com/file/d/17anZtuuMgYqdDXIb6ydwccAFAAvD6hkZ/view?usp=drivesdk</t>
  </si>
  <si>
    <t>Document successfully created; Document successfully merged; PDF created; Emails Sent: [To: tonnnyyy44@gmail.com]; Run via form trigger as codectechnologies0@gmail.com; Timestamp: Aug 25, 2026 2:27 AM</t>
  </si>
  <si>
    <t>Punith C M</t>
  </si>
  <si>
    <t>punithcm166@gmail.com</t>
  </si>
  <si>
    <t>1uTzbmJBROhzJWKDpjvnvoFZLkmjO8R4V</t>
  </si>
  <si>
    <t>https://drive.google.com/file/d/1uTzbmJBROhzJWKDpjvnvoFZLkmjO8R4V/view?usp=drivesdk</t>
  </si>
  <si>
    <t>Document successfully created; Document successfully merged; PDF created; Emails Sent: [To: punithcm166@gmail.com]; Run via form trigger as codectechnologies0@gmail.com; Timestamp: Aug 25, 2026 2:27 AM</t>
  </si>
  <si>
    <t>Facebook, WhatsApp, Friend, Email, Google, AICTE/Indeed, Internshala</t>
  </si>
  <si>
    <t>1En7eMiYqyra7A2z6qXjEhXo0t-ubXh3d</t>
  </si>
  <si>
    <t>https://drive.google.com/file/d/1En7eMiYqyra7A2z6qXjEhXo0t-ubXh3d/view?usp=drivesdk</t>
  </si>
  <si>
    <t>Document successfully created; Document successfully merged; PDF created; Emails Sent: [To: aryavardhankunta@gmail.com]; Run via form trigger as codectechnologies0@gmail.com; Timestamp: Aug 25, 2026 2:29 AM</t>
  </si>
  <si>
    <t>Aryan Choudhary</t>
  </si>
  <si>
    <t>aryanchoudhary112007@gmail.com</t>
  </si>
  <si>
    <t>1SalVbEKW0XjrjOdKhTBUVyQ_tqE2IpNL</t>
  </si>
  <si>
    <t>https://drive.google.com/file/d/1SalVbEKW0XjrjOdKhTBUVyQ_tqE2IpNL/view?usp=drivesdk</t>
  </si>
  <si>
    <t>Document successfully created; Document successfully merged; PDF created; Emails Sent: [To: aryanchoudhary112007@gmail.com]; Run via form trigger as codectechnologies0@gmail.com; Timestamp: Aug 25, 2026 2:32 AM</t>
  </si>
  <si>
    <t>HEMANTH S</t>
  </si>
  <si>
    <t>hemanths1155@gmail.com</t>
  </si>
  <si>
    <t>Presidency College Bengaluru -560024</t>
  </si>
  <si>
    <t>1tz4TAyPfGyJ4mlMKqvCAvnnvI9I0F7XS</t>
  </si>
  <si>
    <t>https://drive.google.com/file/d/1tz4TAyPfGyJ4mlMKqvCAvnnvI9I0F7XS/view?usp=drivesdk</t>
  </si>
  <si>
    <t>Document successfully created; Document successfully merged; PDF created; !!Error Sending Emails: Service invoked too many times for one day: email.; Run via form trigger as codectechnologies0@gmail.com; Timestamp: Aug 25, 2026 2:33 AM</t>
  </si>
  <si>
    <t>Ganesh S</t>
  </si>
  <si>
    <t>ganeshsganeshs211@gmail.com</t>
  </si>
  <si>
    <t xml:space="preserve">Presidency college </t>
  </si>
  <si>
    <t>1lpAgeNtYVpCAY8Q7cy-P0SH7B8kChVoG</t>
  </si>
  <si>
    <t>https://drive.google.com/file/d/1lpAgeNtYVpCAY8Q7cy-P0SH7B8kChVoG/view?usp=drivesdk</t>
  </si>
  <si>
    <t>Document successfully created; Document successfully merged; PDF created; Emails Sent: [To: ganeshsganeshs211@gmail.com]; Run via form trigger as codectechnologies0@gmail.com; Timestamp: Aug 25, 2026 2:36 AM</t>
  </si>
  <si>
    <t>Kritika</t>
  </si>
  <si>
    <t>kritirajput027@gmail.com</t>
  </si>
  <si>
    <t>Dav College</t>
  </si>
  <si>
    <t>1aQnd5aaCw6ildm9WHevJESAdAiVIlkeq</t>
  </si>
  <si>
    <t>https://drive.google.com/file/d/1aQnd5aaCw6ildm9WHevJESAdAiVIlkeq/view?usp=drivesdk</t>
  </si>
  <si>
    <t>Document successfully created; Document successfully merged; PDF created; !!Error Sending Emails: Service invoked too many times for one day: email.; Run via form trigger as codectechnologies0@gmail.com; Timestamp: Aug 25, 2026 2:36 AM</t>
  </si>
  <si>
    <t xml:space="preserve">Payal Rajesh Sabale </t>
  </si>
  <si>
    <t>sabalekhushi52@gmail.com</t>
  </si>
  <si>
    <t xml:space="preserve">Prof. Ram Meghe Institute Of Technology &amp; Research </t>
  </si>
  <si>
    <t>1oKzlugwPKfjHpYuffwsbXPNiLf_aap6d</t>
  </si>
  <si>
    <t>https://drive.google.com/file/d/1oKzlugwPKfjHpYuffwsbXPNiLf_aap6d/view?usp=drivesdk</t>
  </si>
  <si>
    <t>Document successfully created; Document successfully merged; PDF created; Emails Sent: [To: sabalekhushi52@gmail.com]; Run via form trigger as codectechnologies0@gmail.com; Timestamp: Aug 25, 2026 2:40 AM</t>
  </si>
  <si>
    <t xml:space="preserve">Presidency College Bengaluru </t>
  </si>
  <si>
    <t>1WIjqmjKrl33cGhmu3j3pV6DjfLBlDQHL</t>
  </si>
  <si>
    <t>https://drive.google.com/file/d/1WIjqmjKrl33cGhmu3j3pV6DjfLBlDQHL/view?usp=drivesdk</t>
  </si>
  <si>
    <t>Document successfully created; Document successfully merged; PDF created; Emails Sent: [To: hemanths1155@gmail.com]; Run via form trigger as codectechnologies0@gmail.com; Timestamp: Aug 25, 2026 2:41 AM</t>
  </si>
  <si>
    <t xml:space="preserve">Vikanta kumar </t>
  </si>
  <si>
    <t>vikantakumar65@gmail.com</t>
  </si>
  <si>
    <t>08393013176</t>
  </si>
  <si>
    <t xml:space="preserve">Vivek Group of College </t>
  </si>
  <si>
    <t>1WLoLYi1loVEjDQpc7eiqlqfA8PseHOck</t>
  </si>
  <si>
    <t>https://drive.google.com/file/d/1WLoLYi1loVEjDQpc7eiqlqfA8PseHOck/view?usp=drivesdk</t>
  </si>
  <si>
    <t>Document successfully created; Document successfully merged; PDF created; Emails Sent: [To: vikantakumar65@gmail.com]; Run via form trigger as codectechnologies0@gmail.com; Timestamp: Aug 25, 2026 2:43 AM</t>
  </si>
  <si>
    <t>AYUSH YADAV</t>
  </si>
  <si>
    <t>ayushyadav.eoc2024@agra.sharda.ac.in</t>
  </si>
  <si>
    <t>Sharda University Agra</t>
  </si>
  <si>
    <t>1JjW4ht45BmJhsARD69z_Q1UvfQw9VE9I</t>
  </si>
  <si>
    <t>https://drive.google.com/file/d/1JjW4ht45BmJhsARD69z_Q1UvfQw9VE9I/view?usp=drivesdk</t>
  </si>
  <si>
    <t>Document successfully created; Document successfully merged; PDF created; Emails Sent: [To: ayushyadav.eoc2024@agra.sharda.ac.in]; Run via form trigger as codectechnologies0@gmail.com; Timestamp: Aug 25, 2026 2:44 AM</t>
  </si>
  <si>
    <t>MARIMUTHU A</t>
  </si>
  <si>
    <t>amarimuthu5898@gmail.com</t>
  </si>
  <si>
    <t>1428erfDWGR5bevDbZW5jCG-lglMUIo0j</t>
  </si>
  <si>
    <t>https://drive.google.com/file/d/1428erfDWGR5bevDbZW5jCG-lglMUIo0j/view?usp=drivesdk</t>
  </si>
  <si>
    <t>Document successfully created; Document successfully merged; PDF created; Emails Sent: [To: amarimuthu5898@gmail.com]; Run via form trigger as codectechnologies0@gmail.com; Timestamp: Aug 25, 2026 2:46 AM</t>
  </si>
  <si>
    <t>Mayank</t>
  </si>
  <si>
    <t>paragagarwal715@gmail.com</t>
  </si>
  <si>
    <t xml:space="preserve">Gurugram University,Gurugram </t>
  </si>
  <si>
    <t>10NAkeu2dioqlex2xwNQUO_ouPdWzGvdH</t>
  </si>
  <si>
    <t>https://drive.google.com/file/d/10NAkeu2dioqlex2xwNQUO_ouPdWzGvdH/view?usp=drivesdk</t>
  </si>
  <si>
    <t>Document successfully created; Document successfully merged; PDF created; Emails Sent: [To: paragagarwal715@gmail.com]; Run via form trigger as codectechnologies0@gmail.com; Timestamp: Aug 25, 2026 2:48 AM</t>
  </si>
  <si>
    <t>Akshit Daryan</t>
  </si>
  <si>
    <t>akshitdaryan6@gmail.com</t>
  </si>
  <si>
    <t>1HKJL_duCGsJJyw8oK1JEKNf30CUBwT2W</t>
  </si>
  <si>
    <t>https://drive.google.com/file/d/1HKJL_duCGsJJyw8oK1JEKNf30CUBwT2W/view?usp=drivesdk</t>
  </si>
  <si>
    <t>Document successfully created; Document successfully merged; PDF created; !!Error Sending Emails: Service invoked too many times for one day: email.; Run via form trigger as codectechnologies0@gmail.com; Timestamp: Aug 25, 2026 2:54 AM</t>
  </si>
  <si>
    <t>Prathvi Kumar</t>
  </si>
  <si>
    <t>1J8jqgig3LWfJYJePm5hTWLEwdcKOEoej</t>
  </si>
  <si>
    <t>https://drive.google.com/file/d/1J8jqgig3LWfJYJePm5hTWLEwdcKOEoej/view?usp=drivesdk</t>
  </si>
  <si>
    <t>Document successfully created; Document successfully merged; PDF created; Emails Sent: [To: prathvihegde04@gmail.com]; Run via form trigger as codectechnologies0@gmail.com; Timestamp: Aug 25, 2026 2:55 AM</t>
  </si>
  <si>
    <t>Abhay Kumar</t>
  </si>
  <si>
    <t>abhayykumar108@gmail.com</t>
  </si>
  <si>
    <t>1HuoKOJjzz_cW9eKPI1UhC3VAbEV4MQkW</t>
  </si>
  <si>
    <t>https://drive.google.com/file/d/1HuoKOJjzz_cW9eKPI1UhC3VAbEV4MQkW/view?usp=drivesdk</t>
  </si>
  <si>
    <t>Document successfully created; Document successfully merged; PDF created; !!Error Sending Emails: Service invoked too many times for one day: email.; Run via form trigger as codectechnologies0@gmail.com; Timestamp: Aug 25, 2026 2:56 AM</t>
  </si>
  <si>
    <t>akshitdaryan6@gmail.com@gmail.com</t>
  </si>
  <si>
    <t>1yoA2rZVk0eKtjbG0NiKOS6asfcQeMk8O</t>
  </si>
  <si>
    <t>https://drive.google.com/file/d/1yoA2rZVk0eKtjbG0NiKOS6asfcQeMk8O/view?usp=drivesdk</t>
  </si>
  <si>
    <t>Document successfully created; Document successfully merged; PDF created; !!Error Sending Emails: Invalid email: akshitdaryan6@gmail.com@gmail.com; Run via form trigger as codectechnologies0@gmail.com; Timestamp: Aug 25, 2026 2:59 AM</t>
  </si>
  <si>
    <t>Pramod N Revankar</t>
  </si>
  <si>
    <t>pramodrevankar45@gmail.com</t>
  </si>
  <si>
    <t>14cXQMYp-DC2DYEcunP9DMSVTbZ76xdNE</t>
  </si>
  <si>
    <t>https://drive.google.com/file/d/14cXQMYp-DC2DYEcunP9DMSVTbZ76xdNE/view?usp=drivesdk</t>
  </si>
  <si>
    <t>Document successfully created; Document successfully merged; PDF created; Emails Sent: [To: pramodrevankar45@gmail.com]; Run via form trigger as codectechnologies0@gmail.com; Timestamp: Aug 25, 2026 3:03 AM</t>
  </si>
  <si>
    <t>Pranav Patil</t>
  </si>
  <si>
    <t>pranavpatil2092@gmail.com</t>
  </si>
  <si>
    <t>Dr. D. Y. Patil Prathisthan's College of Engineering</t>
  </si>
  <si>
    <t>1UpY3qYW0qorePOECDNEZppk4KC2bYj61</t>
  </si>
  <si>
    <t>https://drive.google.com/file/d/1UpY3qYW0qorePOECDNEZppk4KC2bYj61/view?usp=drivesdk</t>
  </si>
  <si>
    <t>Document successfully created; Document successfully merged; PDF created; !!Error Sending Emails: Service invoked too many times for one day: email.; Run via form trigger as codectechnologies0@gmail.com; Timestamp: Aug 25, 2026 3:08 AM</t>
  </si>
  <si>
    <t>RAJ RAO</t>
  </si>
  <si>
    <t>rajrao8887@gmail.com</t>
  </si>
  <si>
    <t xml:space="preserve">Samrat ashok rajkiya engeneering college mirzapur </t>
  </si>
  <si>
    <t>1DIGWDA36P6nqwxh9_ng2iKgWWi3nc_kr</t>
  </si>
  <si>
    <t>https://drive.google.com/file/d/1DIGWDA36P6nqwxh9_ng2iKgWWi3nc_kr/view?usp=drivesdk</t>
  </si>
  <si>
    <t>Document successfully created; Document successfully merged; PDF created; Emails Sent: [To: rajrao8887@gmail.com]; Run via form trigger as codectechnologies0@gmail.com; Timestamp: Aug 25, 2026 3:12 AM</t>
  </si>
  <si>
    <t xml:space="preserve"> Thanki Jigya</t>
  </si>
  <si>
    <t>thankijigya@gmail.com</t>
  </si>
  <si>
    <t xml:space="preserve">Lukhdhirji Engineering College, Morbi </t>
  </si>
  <si>
    <t>1URX1PEPQj9rOqpONb3aRqP_zFSmtrxGS</t>
  </si>
  <si>
    <t>https://drive.google.com/file/d/1URX1PEPQj9rOqpONb3aRqP_zFSmtrxGS/view?usp=drivesdk</t>
  </si>
  <si>
    <t>Document successfully created; Document successfully merged; PDF created; Emails Sent: [To: thankijigya@gmail.com]; Run via form trigger as codectechnologies0@gmail.com; Timestamp: Aug 25, 2026 3:25 AM</t>
  </si>
  <si>
    <t>Donish S</t>
  </si>
  <si>
    <t>doonish19994@gmail.com</t>
  </si>
  <si>
    <t xml:space="preserve">Sri Bhagwan mahaver jain college </t>
  </si>
  <si>
    <t>Instagram, WhatsApp, Friend, Email, Google</t>
  </si>
  <si>
    <t>1ZyVIX_N5LUoudKnjZQCQkjP_eIAqkJiq</t>
  </si>
  <si>
    <t>https://drive.google.com/file/d/1ZyVIX_N5LUoudKnjZQCQkjP_eIAqkJiq/view?usp=drivesdk</t>
  </si>
  <si>
    <t>Document successfully created; Document successfully merged; PDF created; !!Error Sending Emails: Service invoked too many times for one day: email.; Run via form trigger as codectechnologies0@gmail.com; Timestamp: Aug 25, 2026 3:38 AM</t>
  </si>
  <si>
    <t>Akash Harsh</t>
  </si>
  <si>
    <t>akash.25scs1003004381@iilm.edu</t>
  </si>
  <si>
    <t>1TMJassHeZKNa7rXQ3m6Wv5rwkPhL_xcU</t>
  </si>
  <si>
    <t>https://drive.google.com/file/d/1TMJassHeZKNa7rXQ3m6Wv5rwkPhL_xcU/view?usp=drivesdk</t>
  </si>
  <si>
    <t>Document successfully created; Document successfully merged; PDF created; Emails Sent: [To: akash.25scs1003004381@iilm.edu]; Run via form trigger as codectechnologies0@gmail.com; Timestamp: Aug 25, 2026 3:39 AM</t>
  </si>
  <si>
    <t>Dinesh U</t>
  </si>
  <si>
    <t>dinesh.mu0777@gmail.com</t>
  </si>
  <si>
    <t>St. Joseph's College of engineering</t>
  </si>
  <si>
    <t>1C23NzzKRpRsyb1klQVpJunuTRBP5-xve</t>
  </si>
  <si>
    <t>https://drive.google.com/file/d/1C23NzzKRpRsyb1klQVpJunuTRBP5-xve/view?usp=drivesdk</t>
  </si>
  <si>
    <t>Document successfully created; Document successfully merged; PDF created; Emails Sent: [To: dinesh.mu0777@gmail.com]; Run via form trigger as codectechnologies0@gmail.com; Timestamp: Aug 25, 2026 3:46 AM</t>
  </si>
  <si>
    <t>Karthik Raj P V</t>
  </si>
  <si>
    <t>karthikrajpv2006@gmail.com</t>
  </si>
  <si>
    <t xml:space="preserve">East point college of Management </t>
  </si>
  <si>
    <t>1JIqbQNOcvX3Nxv_3PcPkGkWQhlj56cSr</t>
  </si>
  <si>
    <t>https://drive.google.com/file/d/1JIqbQNOcvX3Nxv_3PcPkGkWQhlj56cSr/view?usp=drivesdk</t>
  </si>
  <si>
    <t>Document successfully created; Document successfully merged; PDF created; Emails Sent: [To: karthikrajpv2006@gmail.com]; Run via form trigger as codectechnologies0@gmail.com; Timestamp: Aug 25, 2026 4:06 AM</t>
  </si>
  <si>
    <t>1ZkUTtRk8_-ls2ddP3sg02kmcoXw2qF_2</t>
  </si>
  <si>
    <t>https://drive.google.com/file/d/1ZkUTtRk8_-ls2ddP3sg02kmcoXw2qF_2/view?usp=drivesdk</t>
  </si>
  <si>
    <t>Document successfully created; Document successfully merged; PDF created; !!Error Sending Emails: Service invoked too many times for one day: email.; Run via form trigger as codectechnologies0@gmail.com; Timestamp: Aug 25, 2026 4:09 AM</t>
  </si>
  <si>
    <t xml:space="preserve">Samrat ashok rajkiya engineering college mirzapur </t>
  </si>
  <si>
    <t>1PeyHPrPu1tjatJx16Stjjqs5pEppB4uU</t>
  </si>
  <si>
    <t>https://drive.google.com/file/d/1PeyHPrPu1tjatJx16Stjjqs5pEppB4uU/view?usp=drivesdk</t>
  </si>
  <si>
    <t>Document successfully created; Document successfully merged; PDF created; !!Error Sending Emails: Service invoked too many times for one day: email.; Run via form trigger as codectechnologies0@gmail.com; Timestamp: Aug 25, 2026 4:11 AM</t>
  </si>
  <si>
    <t>rapolu bhavyasri</t>
  </si>
  <si>
    <t>rapolubhavyasri13@gmail.com</t>
  </si>
  <si>
    <t>anurag enginnering college</t>
  </si>
  <si>
    <t>1EiPh16zq0T5CklrjuVZj40bxZcczL3bh</t>
  </si>
  <si>
    <t>https://drive.google.com/file/d/1EiPh16zq0T5CklrjuVZj40bxZcczL3bh/view?usp=drivesdk</t>
  </si>
  <si>
    <t>Document successfully created; Document successfully merged; PDF created; Emails Sent: [To: rapolubhavyasri13@gmail.com]; Run via form trigger as codectechnologies0@gmail.com; Timestamp: Aug 25, 2026 4:14 AM</t>
  </si>
  <si>
    <t>1T7SliI7VZcees1KL1FpA3wzABk9E30eB</t>
  </si>
  <si>
    <t>https://drive.google.com/file/d/1T7SliI7VZcees1KL1FpA3wzABk9E30eB/view?usp=drivesdk</t>
  </si>
  <si>
    <t>Document successfully created; Document successfully merged; PDF created; !!Error Sending Emails: Service invoked too many times for one day: email.; Run via form trigger as codectechnologies0@gmail.com; Timestamp: Aug 25, 2026 4:15 AM</t>
  </si>
  <si>
    <t>Sadmaan Ansari</t>
  </si>
  <si>
    <t>sadmaanansari5@gmail.com</t>
  </si>
  <si>
    <t xml:space="preserve">Amity University patna </t>
  </si>
  <si>
    <t>1Tp94l_SxPzwLN-RF07039X5534Rz8y0P</t>
  </si>
  <si>
    <t>https://drive.google.com/file/d/1Tp94l_SxPzwLN-RF07039X5534Rz8y0P/view?usp=drivesdk</t>
  </si>
  <si>
    <t>Document successfully created; Document successfully merged; PDF created; Emails Sent: [To: sadmaanansari5@gmail.com]; Run via form trigger as codectechnologies0@gmail.com; Timestamp: Aug 25, 2026 4:15 AM</t>
  </si>
  <si>
    <t>GUNDAPAREDDY VEERA SEKHAR REDDY</t>
  </si>
  <si>
    <t>230770.cd@rmkec.ac.in</t>
  </si>
  <si>
    <t>R.M.K ENGINEERING COLLEGE</t>
  </si>
  <si>
    <t>1O_E8bhxIkJRVUeFWXcPyPQmFOZ34z3Rx</t>
  </si>
  <si>
    <t>https://drive.google.com/file/d/1O_E8bhxIkJRVUeFWXcPyPQmFOZ34z3Rx/view?usp=drivesdk</t>
  </si>
  <si>
    <t>Document successfully created; Document successfully merged; PDF created; Emails Sent: [To: 230770.cd@rmkec.ac.in]; Run via form trigger as codectechnologies0@gmail.com; Timestamp: Aug 25, 2026 4:18 AM</t>
  </si>
  <si>
    <t>1ZfOI_mR04dMjSMMSHV5F2QXNSmMTo959</t>
  </si>
  <si>
    <t>https://drive.google.com/file/d/1ZfOI_mR04dMjSMMSHV5F2QXNSmMTo959/view?usp=drivesdk</t>
  </si>
  <si>
    <t>Document successfully created; Document successfully merged; PDF created; Emails Sent: [To: rajrao8887@gmail.com]; Run via form trigger as codectechnologies0@gmail.com; Timestamp: Aug 25, 2026 4:18 AM</t>
  </si>
  <si>
    <t xml:space="preserve">Mayank Swaraj </t>
  </si>
  <si>
    <t>mayankswaraj18cr@gmail.com</t>
  </si>
  <si>
    <t xml:space="preserve">Indraprastha institute of technology and Management bahadurgarh </t>
  </si>
  <si>
    <t>1qkIAqsRSGIiLr16nRGZdCH8wtqFL2K3n</t>
  </si>
  <si>
    <t>https://drive.google.com/file/d/1qkIAqsRSGIiLr16nRGZdCH8wtqFL2K3n/view?usp=drivesdk</t>
  </si>
  <si>
    <t>Document successfully created; Document successfully merged; PDF created; Emails Sent: [To: mayankswaraj18cr@gmail.com]; Run via form trigger as codectechnologies0@gmail.com; Timestamp: Aug 25, 2026 4:20 AM</t>
  </si>
  <si>
    <t>PALLAMREDDY VENKATA KOUSHIK KUMAR REDDY</t>
  </si>
  <si>
    <t>230752.CD@rmkec.ac.in</t>
  </si>
  <si>
    <t>RMK ENGINEERING COLLEGE</t>
  </si>
  <si>
    <t>1RZZXVX5Z2Rv8hp8CwWNxNBtf-NaPclRU</t>
  </si>
  <si>
    <t>https://drive.google.com/file/d/1RZZXVX5Z2Rv8hp8CwWNxNBtf-NaPclRU/view?usp=drivesdk</t>
  </si>
  <si>
    <t>Document successfully created; Document successfully merged; PDF created; Emails Sent: [To: 230752.CD@rmkec.ac.in]; Run via form trigger as codectechnologies0@gmail.com; Timestamp: Aug 25, 2026 4:25 AM</t>
  </si>
  <si>
    <t xml:space="preserve">MAYANK PANDEY </t>
  </si>
  <si>
    <t>mayank.25scs1003002626@iilm.edu</t>
  </si>
  <si>
    <t>1rgBFgi78BehypuczPb1o9zFdh3iL07IU</t>
  </si>
  <si>
    <t>https://drive.google.com/file/d/1rgBFgi78BehypuczPb1o9zFdh3iL07IU/view?usp=drivesdk</t>
  </si>
  <si>
    <t>Document successfully created; Document successfully merged; PDF created; !!Error Sending Emails: Service invoked too many times for one day: email.; Run via form trigger as codectechnologies0@gmail.com; Timestamp: Aug 25, 2026 4:27 AM</t>
  </si>
  <si>
    <t xml:space="preserve">Gurram Rutvij Kumar </t>
  </si>
  <si>
    <t>anumukondasirihasini@gmail.com</t>
  </si>
  <si>
    <t xml:space="preserve">Sidhartha academy of higher education </t>
  </si>
  <si>
    <t>1Zy2z6A3giTzwQhkPbUBV2IQqCOYCfvIS</t>
  </si>
  <si>
    <t>https://drive.google.com/file/d/1Zy2z6A3giTzwQhkPbUBV2IQqCOYCfvIS/view?usp=drivesdk</t>
  </si>
  <si>
    <t>Document successfully created; Document successfully merged; PDF created; !!Error Sending Emails: Service invoked too many times for one day: email.; Run via form trigger as codectechnologies0@gmail.com; Timestamp: Aug 25, 2026 4:30 AM</t>
  </si>
  <si>
    <t xml:space="preserve">Bhoomi Sahu </t>
  </si>
  <si>
    <t>i.bhoomisahu18@gmail.com</t>
  </si>
  <si>
    <t xml:space="preserve">Rewa Engineering College </t>
  </si>
  <si>
    <t>1RHSLi4MyunfxKtglgJQx-EYSqUvXKhZN</t>
  </si>
  <si>
    <t>https://drive.google.com/file/d/1RHSLi4MyunfxKtglgJQx-EYSqUvXKhZN/view?usp=drivesdk</t>
  </si>
  <si>
    <t>Document successfully created; Document successfully merged; PDF created; !!Error Sending Emails: Service invoked too many times for one day: email.; Run via form trigger as codectechnologies0@gmail.com; Timestamp: Aug 25, 2026 4:38 AM</t>
  </si>
  <si>
    <t>Aaditya Kumar</t>
  </si>
  <si>
    <t>aadityarakesh777@gmail.com</t>
  </si>
  <si>
    <t>1umPXLIQxAe2AjHPFbPuj0es2uIsnJk8A</t>
  </si>
  <si>
    <t>https://drive.google.com/file/d/1umPXLIQxAe2AjHPFbPuj0es2uIsnJk8A/view?usp=drivesdk</t>
  </si>
  <si>
    <t>Document successfully created; Document successfully merged; PDF created; !!Error Sending Emails: Service invoked too many times for one day: email.; Run via form trigger as codectechnologies0@gmail.com; Timestamp: Aug 25, 2026 4:39 AM</t>
  </si>
  <si>
    <t xml:space="preserve">Rewa Engineering College,Rewa </t>
  </si>
  <si>
    <t>1ruqtHuI-9BnD5NlOBlgnErR7u5ZGlRMx</t>
  </si>
  <si>
    <t>https://drive.google.com/file/d/1ruqtHuI-9BnD5NlOBlgnErR7u5ZGlRMx/view?usp=drivesdk</t>
  </si>
  <si>
    <t>Document successfully created; Document successfully merged; PDF created; !!Error Sending Emails: Service invoked too many times for one day: email.; Run via form trigger as codectechnologies0@gmail.com; Timestamp: Aug 25, 2026 4:42 AM</t>
  </si>
  <si>
    <t xml:space="preserve">Sri Bhagwan mahaver jain first grade college </t>
  </si>
  <si>
    <t>LinkedIn, Instagram, Facebook, WhatsApp, Friend, Google</t>
  </si>
  <si>
    <t>1Lu16bXn7o9aV7xfZ4XvAY4civoz3S7lx</t>
  </si>
  <si>
    <t>https://drive.google.com/file/d/1Lu16bXn7o9aV7xfZ4XvAY4civoz3S7lx/view?usp=drivesdk</t>
  </si>
  <si>
    <t>Document successfully created; Document successfully merged; PDF created; !!Error Sending Emails: Service invoked too many times for one day: email.; Run via form trigger as codectechnologies0@gmail.com; Timestamp: Aug 25, 2026 4:49 AM</t>
  </si>
  <si>
    <t>1nNTRicAXhnQyXs8ABGPKZW7nME-lJt6F</t>
  </si>
  <si>
    <t>https://drive.google.com/file/d/1nNTRicAXhnQyXs8ABGPKZW7nME-lJt6F/view?usp=drivesdk</t>
  </si>
  <si>
    <t>Vivek yadav</t>
  </si>
  <si>
    <t>raov83568@gmail.com</t>
  </si>
  <si>
    <t xml:space="preserve">Maharishi Dayanand University </t>
  </si>
  <si>
    <t>1RCm2OyTVqHRyyXwGdMJMRj15Hbr_PjFc</t>
  </si>
  <si>
    <t>https://drive.google.com/file/d/1RCm2OyTVqHRyyXwGdMJMRj15Hbr_PjFc/view?usp=drivesdk</t>
  </si>
  <si>
    <t>Document successfully created; Document successfully merged; PDF created; !!Error Sending Emails: Service invoked too many times for one day: email.; Run via form trigger as codectechnologies0@gmail.com; Timestamp: Aug 25, 2026 4:56 AM</t>
  </si>
  <si>
    <t>1Mil9BteL1m0bSagV9Qg1hrIsf9dfz-Ax</t>
  </si>
  <si>
    <t>https://drive.google.com/file/d/1Mil9BteL1m0bSagV9Qg1hrIsf9dfz-Ax/view?usp=drivesdk</t>
  </si>
  <si>
    <t>Document successfully created; Document successfully merged; PDF created; !!Error Sending Emails: Service invoked too many times for one day: email.; Run via form trigger as codectechnologies0@gmail.com; Timestamp: Aug 25, 2026 5:00 AM</t>
  </si>
  <si>
    <t xml:space="preserve">Deepanshu Verma </t>
  </si>
  <si>
    <t>vermaji211200@gmail.com</t>
  </si>
  <si>
    <t xml:space="preserve">Galgotia University </t>
  </si>
  <si>
    <t>18WTSwkAaaF3pVmh5HS4u-454E9zJAfVV</t>
  </si>
  <si>
    <t>https://drive.google.com/file/d/18WTSwkAaaF3pVmh5HS4u-454E9zJAfVV/view?usp=drivesdk</t>
  </si>
  <si>
    <t>Mayank Kumar</t>
  </si>
  <si>
    <t>mayankkr1306@gmail.com</t>
  </si>
  <si>
    <t>1NRO7sH1y4JisO_grMHzHqOwFMgoGdXjS</t>
  </si>
  <si>
    <t>https://drive.google.com/file/d/1NRO7sH1y4JisO_grMHzHqOwFMgoGdXjS/view?usp=drivesdk</t>
  </si>
  <si>
    <t>Document successfully created; Document successfully merged; PDF created; !!Error Sending Emails: Service invoked too many times for one day: email.; Run via form trigger as codectechnologies0@gmail.com; Timestamp: Aug 25, 2026 5:06 AM</t>
  </si>
  <si>
    <t xml:space="preserve">Rewa Engineering College Rewa </t>
  </si>
  <si>
    <t>1OaH0krypcXNAWF_g3g8zGuqVTCM_PFQc</t>
  </si>
  <si>
    <t>https://drive.google.com/file/d/1OaH0krypcXNAWF_g3g8zGuqVTCM_PFQc/view?usp=drivesdk</t>
  </si>
  <si>
    <t>Document successfully created; Document successfully merged; PDF created; Emails Sent: [To: i.bhoomisahu18@gmail.com]; Run via form trigger as codectechnologies0@gmail.com; Timestamp: Aug 25, 2026 5:17 AM</t>
  </si>
  <si>
    <t>Ravi Prajapati</t>
  </si>
  <si>
    <t>ravi.prj009@gmail.com</t>
  </si>
  <si>
    <t>Global Institute of Technology and Management</t>
  </si>
  <si>
    <t>1_lMki0wn3cBWBH44E6H4xsDdJcWc0nR4</t>
  </si>
  <si>
    <t>https://drive.google.com/file/d/1_lMki0wn3cBWBH44E6H4xsDdJcWc0nR4/view?usp=drivesdk</t>
  </si>
  <si>
    <t>Document successfully created; Document successfully merged; PDF created; Emails Sent: [To: ravi.prj009@gmail.com]; Run via form trigger as codectechnologies0@gmail.com; Timestamp: Aug 25, 2026 5:23 AM</t>
  </si>
  <si>
    <t>Muskan Sharma</t>
  </si>
  <si>
    <t>iammuskan796@gmail.com</t>
  </si>
  <si>
    <t>1FEwZUSA7RfAP_6gEqr6ge2ABvMfQAf-U</t>
  </si>
  <si>
    <t>https://drive.google.com/file/d/1FEwZUSA7RfAP_6gEqr6ge2ABvMfQAf-U/view?usp=drivesdk</t>
  </si>
  <si>
    <t>Document successfully created; Document successfully merged; PDF created; !!Error Sending Emails: Service invoked too many times for one day: email.; Run via form trigger as codectechnologies0@gmail.com; Timestamp: Aug 25, 2026 5:31 AM</t>
  </si>
  <si>
    <t>Krupakar S Bilichod</t>
  </si>
  <si>
    <t>Blockchain Technology Intern</t>
  </si>
  <si>
    <t>ubiquie@gmail.com</t>
  </si>
  <si>
    <t>GMU</t>
  </si>
  <si>
    <t>1vgM5LTAReivSYHCt0qTKSvkF_gx95fXW</t>
  </si>
  <si>
    <t>https://drive.google.com/file/d/1vgM5LTAReivSYHCt0qTKSvkF_gx95fXW/view?usp=drivesdk</t>
  </si>
  <si>
    <t>Document successfully created; Document successfully merged; PDF created; Emails Sent: [To: ubiquie@gmail.com]; Run via form trigger as codectechnologies0@gmail.com; Timestamp: Aug 25, 2026 5:53 AM</t>
  </si>
  <si>
    <t xml:space="preserve">Cheera Rahul </t>
  </si>
  <si>
    <t>19TAD03KaZVKrmx7cF-LT3n05jpdKgyaX</t>
  </si>
  <si>
    <t>https://drive.google.com/file/d/19TAD03KaZVKrmx7cF-LT3n05jpdKgyaX/view?usp=drivesdk</t>
  </si>
  <si>
    <t>Document successfully created; Document successfully merged; PDF created; !!Error Sending Emails: Service invoked too many times for one day: email.; Run via form trigger as codectechnologies0@gmail.com; Timestamp: Aug 25, 2026 6:04 AM</t>
  </si>
  <si>
    <t>Vajresh Sapaliga</t>
  </si>
  <si>
    <t xml:space="preserve">Shree Niranjana Swami Polytechnic </t>
  </si>
  <si>
    <t>1wJ6FODqBYSp9QWbvpt4BwGLRFV_zC22j</t>
  </si>
  <si>
    <t>https://drive.google.com/file/d/1wJ6FODqBYSp9QWbvpt4BwGLRFV_zC22j/view?usp=drivesdk</t>
  </si>
  <si>
    <t>Document successfully created; Document successfully merged; PDF created; Emails Sent: [To: vajreshganiga17@gmail.com]; Run via form trigger as codectechnologies0@gmail.com; Timestamp: Aug 25, 2026 6:06 AM</t>
  </si>
  <si>
    <t>Rongala karthik</t>
  </si>
  <si>
    <t>1XceOaYN58B4aa9N5tkXvJMCNTGzZi1aY</t>
  </si>
  <si>
    <t>https://drive.google.com/file/d/1XceOaYN58B4aa9N5tkXvJMCNTGzZi1aY/view?usp=drivesdk</t>
  </si>
  <si>
    <t>Document successfully created; Document successfully merged; PDF created; !!Error Sending Emails: Service invoked too many times for one day: email.; Run via form trigger as codectechnologies0@gmail.com; Timestamp: Aug 25, 2026 6:17 AM</t>
  </si>
  <si>
    <t>Shyam Sundar</t>
  </si>
  <si>
    <t>shyamsundar111209@gmail.com</t>
  </si>
  <si>
    <t xml:space="preserve">Nalla Narasimha Reddy </t>
  </si>
  <si>
    <t>1IouI97fvh4a4-5ne2sB_wpn5Bw7z_shM</t>
  </si>
  <si>
    <t>https://drive.google.com/file/d/1IouI97fvh4a4-5ne2sB_wpn5Bw7z_shM/view?usp=drivesdk</t>
  </si>
  <si>
    <t>Document successfully created; Document successfully merged; PDF created; !!Error Sending Emails: Service invoked too many times for one day: email.; Run via form trigger as codectechnologies0@gmail.com; Timestamp: Aug 25, 2026 6:19 AM</t>
  </si>
  <si>
    <t>Kunapareddi Rohith</t>
  </si>
  <si>
    <t>10SuuwjARaSUnjdUWlso3wwL6Ori0fAk4</t>
  </si>
  <si>
    <t>https://drive.google.com/file/d/10SuuwjARaSUnjdUWlso3wwL6Ori0fAk4/view?usp=drivesdk</t>
  </si>
  <si>
    <t>Document successfully created; Document successfully merged; PDF created; !!Error Sending Emails: Service invoked too many times for one day: email.; Run via form trigger as codectechnologies0@gmail.com; Timestamp: Aug 25, 2026 6:21 AM</t>
  </si>
  <si>
    <t>1OP0ENNYnLQaziWPdR0U-WFZOmT1BoLOZ</t>
  </si>
  <si>
    <t>https://drive.google.com/file/d/1OP0ENNYnLQaziWPdR0U-WFZOmT1BoLOZ/view?usp=drivesdk</t>
  </si>
  <si>
    <t>Document successfully created; Document successfully merged; PDF created; !!Error Sending Emails: Service invoked too many times for one day: email.; Run via form trigger as codectechnologies0@gmail.com; Timestamp: Aug 25, 2026 6:22 AM</t>
  </si>
  <si>
    <t>HARISHA H</t>
  </si>
  <si>
    <t>mailtoharish205@gmail.com</t>
  </si>
  <si>
    <t>Presidency College (autonomous)</t>
  </si>
  <si>
    <t>1yMkyPrT0t8a9NCaCJGuyhr1jiqmviIe8</t>
  </si>
  <si>
    <t>https://drive.google.com/file/d/1yMkyPrT0t8a9NCaCJGuyhr1jiqmviIe8/view?usp=drivesdk</t>
  </si>
  <si>
    <t>Document successfully created; Document successfully merged; PDF created; Emails Sent: [To: mailtoharish205@gmail.com]; Run via form trigger as codectechnologies0@gmail.com; Timestamp: Aug 25, 2026 6:32 AM</t>
  </si>
  <si>
    <t>TANAYA AVINASH PHOPALE</t>
  </si>
  <si>
    <t>tanayaphopale@gmail.com</t>
  </si>
  <si>
    <t>Sknsits College Of Engineering Lonavala</t>
  </si>
  <si>
    <t>1oiM3pOYtA5UejpALVRWrwnlLiPXO3h07</t>
  </si>
  <si>
    <t>https://drive.google.com/file/d/1oiM3pOYtA5UejpALVRWrwnlLiPXO3h07/view?usp=drivesdk</t>
  </si>
  <si>
    <t>Document successfully created; Document successfully merged; PDF created; !!Error Sending Emails: Service invoked too many times for one day: email.; Run via form trigger as codectechnologies0@gmail.com; Timestamp: Aug 25, 2026 6:33 AM</t>
  </si>
  <si>
    <t xml:space="preserve">Presidency College autonomous </t>
  </si>
  <si>
    <t>1cLoVxiErhjyszfXwSuH6Z5-imfu4zBxT</t>
  </si>
  <si>
    <t>https://drive.google.com/file/d/1cLoVxiErhjyszfXwSuH6Z5-imfu4zBxT/view?usp=drivesdk</t>
  </si>
  <si>
    <t>Document successfully created; Document successfully merged; PDF created; !!Error Sending Emails: Service invoked too many times for one day: email.; Run via form trigger as codectechnologies0@gmail.com; Timestamp: Aug 25, 2026 6:41 AM</t>
  </si>
  <si>
    <t>siddarda varma</t>
  </si>
  <si>
    <t>varmasiddu78@gmail.com</t>
  </si>
  <si>
    <t>woxsen university</t>
  </si>
  <si>
    <t>1ufnNbiuHod-mA3eAins-KmjNbVtP1LbF</t>
  </si>
  <si>
    <t>https://drive.google.com/file/d/1ufnNbiuHod-mA3eAins-KmjNbVtP1LbF/view?usp=drivesdk</t>
  </si>
  <si>
    <t>Document successfully created; Document successfully merged; PDF created; !!Error Sending Emails: Service invoked too many times for one day: email.; Run via form trigger as codectechnologies0@gmail.com; Timestamp: Aug 25, 2026 6:43 AM</t>
  </si>
  <si>
    <t>1NYCNI_obcoViY4_IKrkYIyqLQCJ4apKT</t>
  </si>
  <si>
    <t>https://drive.google.com/file/d/1NYCNI_obcoViY4_IKrkYIyqLQCJ4apKT/view?usp=drivesdk</t>
  </si>
  <si>
    <t>Document successfully created; Document successfully merged; PDF created; !!Error Sending Emails: Service invoked too many times for one day: email.; Run via form trigger as codectechnologies0@gmail.com; Timestamp: Aug 25, 2026 6:44 AM</t>
  </si>
  <si>
    <t xml:space="preserve">Harisha H </t>
  </si>
  <si>
    <t xml:space="preserve">Presidency college  </t>
  </si>
  <si>
    <t>1uuSf2a8DJrkNVmaofXEl3mKI-qlRQHSU</t>
  </si>
  <si>
    <t>https://drive.google.com/file/d/1uuSf2a8DJrkNVmaofXEl3mKI-qlRQHSU/view?usp=drivesdk</t>
  </si>
  <si>
    <t>Document successfully created; Document successfully merged; PDF created; !!Error Sending Emails: Service invoked too many times for one day: email.; Run via form trigger as codectechnologies0@gmail.com; Timestamp: Aug 25, 2026 6:49 AM</t>
  </si>
  <si>
    <t>Baire Gowda</t>
  </si>
  <si>
    <t>bairegowda1003@gmail.com</t>
  </si>
  <si>
    <t>Chanakya University</t>
  </si>
  <si>
    <t>1yIZ396eDGt7rB1mguk8amHy-WAAgKrYN</t>
  </si>
  <si>
    <t>https://drive.google.com/file/d/1yIZ396eDGt7rB1mguk8amHy-WAAgKrYN/view?usp=drivesdk</t>
  </si>
  <si>
    <t>Document successfully created; Document successfully merged; PDF created; !!Error Sending Emails: Service invoked too many times for one day: email.; Run via form trigger as codectechnologies0@gmail.com; Timestamp: Aug 25, 2026 6:51 AM</t>
  </si>
  <si>
    <t>Aman Yadav</t>
  </si>
  <si>
    <t>amanyadav200167@gmail.com</t>
  </si>
  <si>
    <t>Gurugram University, Gurugram</t>
  </si>
  <si>
    <t>1i3UN8TOIAyTUINhX1QtJGwL0q9jJMFi2</t>
  </si>
  <si>
    <t>https://drive.google.com/file/d/1i3UN8TOIAyTUINhX1QtJGwL0q9jJMFi2/view?usp=drivesdk</t>
  </si>
  <si>
    <t>Document successfully created; Document successfully merged; PDF created; !!Error Sending Emails: Service invoked too many times for one day: email.; Run via form trigger as codectechnologies0@gmail.com; Timestamp: Aug 25, 2026 6:57 AM</t>
  </si>
  <si>
    <t xml:space="preserve">Rahul Kumar </t>
  </si>
  <si>
    <t>rahulkrnsg6459@gmail.com</t>
  </si>
  <si>
    <t>1ktSDBJ_GrWFalzaNrqIsAvWAqBcY6r9t</t>
  </si>
  <si>
    <t>https://drive.google.com/file/d/1ktSDBJ_GrWFalzaNrqIsAvWAqBcY6r9t/view?usp=drivesdk</t>
  </si>
  <si>
    <t>Document successfully created; Document successfully merged; PDF created; !!Error Sending Emails: Service invoked too many times for one day: email.; Run via form trigger as codectechnologies0@gmail.com; Timestamp: Aug 25, 2026 7:13 AM</t>
  </si>
  <si>
    <t xml:space="preserve">RANJEET KUMAR MAHTO </t>
  </si>
  <si>
    <t>ranjeetkumar62100@gmail.com</t>
  </si>
  <si>
    <t xml:space="preserve">VIVEKANANDA GLOBAL UNIVERSITY JAIPUR </t>
  </si>
  <si>
    <t>1ozrKp16CXNfwcufXMI0Tr67GoNPOxnWs</t>
  </si>
  <si>
    <t>https://drive.google.com/file/d/1ozrKp16CXNfwcufXMI0Tr67GoNPOxnWs/view?usp=drivesdk</t>
  </si>
  <si>
    <t>Document successfully created; Document successfully merged; PDF created; Emails Sent: [To: ranjeetkumar62100@gmail.com]; Run via form trigger as codectechnologies0@gmail.com; Timestamp: Aug 25, 2026 7:29 AM</t>
  </si>
  <si>
    <t>Kudupudi Asha Sai Varshini</t>
  </si>
  <si>
    <t>varshiniv074@gmail.com</t>
  </si>
  <si>
    <t>Vishnu womens university</t>
  </si>
  <si>
    <t>1arX-eUr13j9NGkXo2bdwrw9aj5J29pBA</t>
  </si>
  <si>
    <t>https://drive.google.com/file/d/1arX-eUr13j9NGkXo2bdwrw9aj5J29pBA/view?usp=drivesdk</t>
  </si>
  <si>
    <t>Document successfully created; Document successfully merged; PDF created; !!Error Sending Emails: Service invoked too many times for one day: email.; Run via form trigger as codectechnologies0@gmail.com; Timestamp: Aug 25, 2026 7:49 AM</t>
  </si>
  <si>
    <t>GUJJULA DINESH</t>
  </si>
  <si>
    <t>dineshgujjula9966@gmail.com</t>
  </si>
  <si>
    <t>1xkTRJ2G7Me7X8-IaahMKdWy8VyRYdU3U</t>
  </si>
  <si>
    <t>https://drive.google.com/file/d/1xkTRJ2G7Me7X8-IaahMKdWy8VyRYdU3U/view?usp=drivesdk</t>
  </si>
  <si>
    <t>Document successfully created; Document successfully merged; PDF created; !!Error Sending Emails: Service invoked too many times for one day: email.; Run via form trigger as codectechnologies0@gmail.com; Timestamp: Aug 25, 2026 7:55 AM</t>
  </si>
  <si>
    <t>Komal Jaiswal</t>
  </si>
  <si>
    <t>jaiswalkomal1305@gmail.com</t>
  </si>
  <si>
    <t xml:space="preserve">Dr. S C ghulhane prerna college </t>
  </si>
  <si>
    <t>1HsCtY9FyNm5XTp27ZHkajBVXVghG_r0f</t>
  </si>
  <si>
    <t>https://drive.google.com/file/d/1HsCtY9FyNm5XTp27ZHkajBVXVghG_r0f/view?usp=drivesdk</t>
  </si>
  <si>
    <t>Document successfully created; Document successfully merged; PDF created; !!Error Sending Emails: Service invoked too many times for one day: email.; Run via form trigger as codectechnologies0@gmail.com; Timestamp: Aug 25, 2026 8:00 AM</t>
  </si>
  <si>
    <t>Aman</t>
  </si>
  <si>
    <t>amanburmanji@gmail.com</t>
  </si>
  <si>
    <t>1RjNFuOtyh3t74EnzCe_ytzlyo1lAyQ8z</t>
  </si>
  <si>
    <t>https://drive.google.com/file/d/1RjNFuOtyh3t74EnzCe_ytzlyo1lAyQ8z/view?usp=drivesdk</t>
  </si>
  <si>
    <t>Document successfully created; Document successfully merged; PDF created; !!Error Sending Emails: Service invoked too many times for one day: email.; Run via form trigger as codectechnologies0@gmail.com; Timestamp: Aug 25, 2026 8:16 AM</t>
  </si>
  <si>
    <t xml:space="preserve">YETHIRAJULA MADHU MOULALI </t>
  </si>
  <si>
    <t>madhumikel901448@gmail.com</t>
  </si>
  <si>
    <t>WhatsApp, Other</t>
  </si>
  <si>
    <t>16IHHalyOy5vK5FRWapv6uyAb9XV0UqsQ</t>
  </si>
  <si>
    <t>https://drive.google.com/file/d/16IHHalyOy5vK5FRWapv6uyAb9XV0UqsQ/view?usp=drivesdk</t>
  </si>
  <si>
    <t>Document successfully created; Document successfully merged; PDF created; !!Error Sending Emails: Service invoked too many times for one day: email.; Run via form trigger as codectechnologies0@gmail.com; Timestamp: Aug 25, 2026 8:31 AM</t>
  </si>
  <si>
    <t xml:space="preserve">Yash Ramdas Khaire </t>
  </si>
  <si>
    <t>yashkhaire984@gmail.com</t>
  </si>
  <si>
    <t>Dr. D. Y Patil College Pimpri</t>
  </si>
  <si>
    <t>18VD1V8y-V2YsMCiXtL0rb-sWvSjcpyfF</t>
  </si>
  <si>
    <t>https://drive.google.com/file/d/18VD1V8y-V2YsMCiXtL0rb-sWvSjcpyfF/view?usp=drivesdk</t>
  </si>
  <si>
    <t>Document successfully created; Document successfully merged; PDF created; !!Error Sending Emails: Service invoked too many times for one day: email.; Run via form trigger as codectechnologies0@gmail.com; Timestamp: Aug 25, 2026 8:42 AM</t>
  </si>
  <si>
    <t>Dr. D. Y Patil Arts, Commerce &amp; Science College, Pimpri</t>
  </si>
  <si>
    <t>17sxF8Ugo3mPlAerq63y8a709htrKBQJV</t>
  </si>
  <si>
    <t>https://drive.google.com/file/d/17sxF8Ugo3mPlAerq63y8a709htrKBQJV/view?usp=drivesdk</t>
  </si>
  <si>
    <t>Document successfully created; Document successfully merged; PDF created; !!Error Sending Emails: Service invoked too many times for one day: email.; Run via form trigger as codectechnologies0@gmail.com; Timestamp: Aug 25, 2026 8:46 AM</t>
  </si>
  <si>
    <t xml:space="preserve">Thati Vyshali </t>
  </si>
  <si>
    <t>vyshalithati015@gmail.com</t>
  </si>
  <si>
    <t xml:space="preserve">Chaitanya Bharathi Institute of Technology </t>
  </si>
  <si>
    <t>1fbKP3QtTe6AFZdztgmDvs2iRup5E-tYD</t>
  </si>
  <si>
    <t>https://drive.google.com/file/d/1fbKP3QtTe6AFZdztgmDvs2iRup5E-tYD/view?usp=drivesdk</t>
  </si>
  <si>
    <t>Document successfully created; Document successfully merged; PDF created; !!Error Sending Emails: Service invoked too many times for one day: email.; Run via form trigger as codectechnologies0@gmail.com; Timestamp: Aug 25, 2026 8:47 AM</t>
  </si>
  <si>
    <t>Srushthi Bharat Upadhye</t>
  </si>
  <si>
    <t>upadhyesrushtibharat@gmail.com</t>
  </si>
  <si>
    <t>Presidency College, Bengaluru</t>
  </si>
  <si>
    <t>1KlihtFsjOajUwC_RN0EjPw1Brrsd_ljM</t>
  </si>
  <si>
    <t>https://drive.google.com/file/d/1KlihtFsjOajUwC_RN0EjPw1Brrsd_ljM/view?usp=drivesdk</t>
  </si>
  <si>
    <t>Document successfully created; Document successfully merged; PDF created; !!Error Sending Emails: Service invoked too many times for one day: email.; Run via form trigger as codectechnologies0@gmail.com; Timestamp: Aug 25, 2026 8:55 AM</t>
  </si>
  <si>
    <t>Raushan Kumar</t>
  </si>
  <si>
    <t>raushan790s@gmail.com</t>
  </si>
  <si>
    <t>1_gAxWEJ_qOOalkYPrZnxOyzVIeL4WFfN</t>
  </si>
  <si>
    <t>https://drive.google.com/file/d/1_gAxWEJ_qOOalkYPrZnxOyzVIeL4WFfN/view?usp=drivesdk</t>
  </si>
  <si>
    <t>Document successfully created; Document successfully merged; PDF created; !!Error Sending Emails: Service invoked too many times for one day: email.; Run via form trigger as codectechnologies0@gmail.com; Timestamp: Aug 25, 2026 9:13 AM</t>
  </si>
  <si>
    <t>MOHAMMED HUDAIF</t>
  </si>
  <si>
    <t>nnm24vl026@nmamit.in</t>
  </si>
  <si>
    <t xml:space="preserve">NMAM INSTITUTE OF TECHNOLOGY </t>
  </si>
  <si>
    <t>1kk_2eQ4hc0vKcaVEhnR8UiXf2hasa7QU</t>
  </si>
  <si>
    <t>https://drive.google.com/file/d/1kk_2eQ4hc0vKcaVEhnR8UiXf2hasa7QU/view?usp=drivesdk</t>
  </si>
  <si>
    <t>Document successfully created; Document successfully merged; PDF created; !!Error Sending Emails: Service invoked too many times for one day: email.; Run via form trigger as codectechnologies0@gmail.com; Timestamp: Aug 25, 2026 9:21 AM</t>
  </si>
  <si>
    <t>Suha Fathima</t>
  </si>
  <si>
    <t>suhaf2008@gmail.com</t>
  </si>
  <si>
    <t xml:space="preserve">Sahyadri institute of commerce </t>
  </si>
  <si>
    <t>1W7Xr9Zr8u9HabGxX_DOAGYMvh-E9x5-T</t>
  </si>
  <si>
    <t>https://drive.google.com/file/d/1W7Xr9Zr8u9HabGxX_DOAGYMvh-E9x5-T/view?usp=drivesdk</t>
  </si>
  <si>
    <t>Document successfully created; Document successfully merged; PDF created; !!Error Sending Emails: Service invoked too many times for one day: email.; Run via form trigger as codectechnologies0@gmail.com; Timestamp: Aug 25, 2026 9:43 AM</t>
  </si>
  <si>
    <t xml:space="preserve">Spandana </t>
  </si>
  <si>
    <t>anithaanitha32183@gmail.com</t>
  </si>
  <si>
    <t>yenepoya school of engineering and technology in mangaluru</t>
  </si>
  <si>
    <t>1Ahxhb4KlpeBBcaqXukOUtDDdf5zlJ8ip</t>
  </si>
  <si>
    <t>https://drive.google.com/file/d/1Ahxhb4KlpeBBcaqXukOUtDDdf5zlJ8ip/view?usp=drivesdk</t>
  </si>
  <si>
    <t>Document successfully created; Document successfully merged; PDF created; !!Error Sending Emails: Service invoked too many times for one day: email.; Run via form trigger as codectechnologies0@gmail.com; Timestamp: Aug 25, 2026 9:48 AM</t>
  </si>
  <si>
    <t xml:space="preserve">VEERAMALLA ABHINAVREDDY </t>
  </si>
  <si>
    <t>var2k6@gmail.com</t>
  </si>
  <si>
    <t xml:space="preserve">VAAGDEVI ENGINEERING COLLEGE </t>
  </si>
  <si>
    <t>1rGaqMCWDPI_WZjYn4zypL86X-IU-JAIJ</t>
  </si>
  <si>
    <t>https://drive.google.com/file/d/1rGaqMCWDPI_WZjYn4zypL86X-IU-JAIJ/view?usp=drivesdk</t>
  </si>
  <si>
    <t>Document successfully created; Document successfully merged; PDF created; !!Error Sending Emails: Service invoked too many times for one day: email.; Run via form trigger as codectechnologies0@gmail.com; Timestamp: Aug 25, 2026 10:12 AM</t>
  </si>
  <si>
    <t>Munnaluri Shanmukhi Sai Tanmayi</t>
  </si>
  <si>
    <t>tanmayimss@gmail.com</t>
  </si>
  <si>
    <t>1EOO8bZFpvflyaZGhLJPSCnVX3Ky4Xbn2</t>
  </si>
  <si>
    <t>https://drive.google.com/file/d/1EOO8bZFpvflyaZGhLJPSCnVX3Ky4Xbn2/view?usp=drivesdk</t>
  </si>
  <si>
    <t>Document successfully created; Document successfully merged; PDF created; !!Error Sending Emails: Service invoked too many times for one day: email.; Run via form trigger as codectechnologies0@gmail.com; Timestamp: Aug 25, 2026 10:27 AM</t>
  </si>
  <si>
    <t>Sani Gobade</t>
  </si>
  <si>
    <t>sanigobade12@gmail.com</t>
  </si>
  <si>
    <t>Vidya Bharati Mahavidyalaya Amravati</t>
  </si>
  <si>
    <t>14Y0d8I5zbqIfwk-Ad1dKwyV8M3HnQedc</t>
  </si>
  <si>
    <t>https://drive.google.com/file/d/14Y0d8I5zbqIfwk-Ad1dKwyV8M3HnQedc/view?usp=drivesdk</t>
  </si>
  <si>
    <t>Document successfully created; Document successfully merged; PDF created; !!Error Sending Emails: Service invoked too many times for one day: email.; Run via form trigger as codectechnologies0@gmail.com; Timestamp: Aug 25, 2026 10:35 AM</t>
  </si>
  <si>
    <t>NALLURU SAI NISHCHAL</t>
  </si>
  <si>
    <t>nishchalraju78@gmail.com</t>
  </si>
  <si>
    <t>LinkedIn, Instagram, Facebook</t>
  </si>
  <si>
    <t>1h7PyNW8BRV_DHgtgERRZr-jHTa-5C1FC</t>
  </si>
  <si>
    <t>https://drive.google.com/file/d/1h7PyNW8BRV_DHgtgERRZr-jHTa-5C1FC/view?usp=drivesdk</t>
  </si>
  <si>
    <t>Document successfully created; Document successfully merged; PDF created; !!Error Sending Emails: Service invoked too many times for one day: email.; Run via form trigger as codectechnologies0@gmail.com; Timestamp: Aug 25, 2026 10:37 AM</t>
  </si>
  <si>
    <t>Shweta Subhash Belgudri</t>
  </si>
  <si>
    <t>belgudrishweta@gmail.com</t>
  </si>
  <si>
    <t>Presidency college,benglore</t>
  </si>
  <si>
    <t>1PAdLvDU1A8OcBp0lmHDj9gGJn-zD2MS_</t>
  </si>
  <si>
    <t>https://drive.google.com/file/d/1PAdLvDU1A8OcBp0lmHDj9gGJn-zD2MS_/view?usp=drivesdk</t>
  </si>
  <si>
    <t>Document successfully created; Document successfully merged; PDF created; Emails Sent: [To: belgudrishweta@gmail.com]; Run via form trigger as codectechnologies0@gmail.com; Timestamp: Aug 25, 2026 10:40 AM</t>
  </si>
  <si>
    <t xml:space="preserve">Sheerin Farhana J </t>
  </si>
  <si>
    <t>parveensheerin114@gmail.com</t>
  </si>
  <si>
    <t xml:space="preserve">Sri Kanyaka Parameswari Arts and Science college for women </t>
  </si>
  <si>
    <t>1whRNO6gvUNEZSgBFmw3xFHvCL16RKy4Y</t>
  </si>
  <si>
    <t>https://drive.google.com/file/d/1whRNO6gvUNEZSgBFmw3xFHvCL16RKy4Y/view?usp=drivesdk</t>
  </si>
  <si>
    <t>Document successfully created; Document successfully merged; PDF created; Emails Sent: [To: parveensheerin114@gmail.com]; Run via form trigger as codectechnologies0@gmail.com; Timestamp: Aug 25, 2026 10:40 AM</t>
  </si>
  <si>
    <t>1LKoO-pOwPk7bEo4BXmgeaqUcZ6iZuQHq</t>
  </si>
  <si>
    <t>https://drive.google.com/file/d/1LKoO-pOwPk7bEo4BXmgeaqUcZ6iZuQHq/view?usp=drivesdk</t>
  </si>
  <si>
    <t>Document successfully created; Document successfully merged; PDF created; Emails Sent: [To: nishchalraju78@gmail.com]; Run via form trigger as codectechnologies0@gmail.com; Timestamp: Aug 25, 2026 10:45 AM</t>
  </si>
  <si>
    <t>Puneet Singh</t>
  </si>
  <si>
    <t>puneetsingh.amity@gmail.com</t>
  </si>
  <si>
    <t>09336786733</t>
  </si>
  <si>
    <t>Noida Institute of Engineering and Technology Greater Noida</t>
  </si>
  <si>
    <t>1K4jn63MPRtACPl3GKureS-WE_4Xsyj_3</t>
  </si>
  <si>
    <t>https://drive.google.com/file/d/1K4jn63MPRtACPl3GKureS-WE_4Xsyj_3/view?usp=drivesdk</t>
  </si>
  <si>
    <t>Document successfully created; Document successfully merged; PDF created; Emails Sent: [To: puneetsingh.amity@gmail.com]; Run via form trigger as codectechnologies0@gmail.com; Timestamp: Aug 25, 2026 10:46 AM</t>
  </si>
  <si>
    <t>Johith V</t>
  </si>
  <si>
    <t>vjohith73@jnn.edu.in</t>
  </si>
  <si>
    <t xml:space="preserve">JNN INSTITUTE OF ENGINEERING </t>
  </si>
  <si>
    <t>1KEucp2VluHtUbZkZsFg4C4OMxO_wKfvo</t>
  </si>
  <si>
    <t>https://drive.google.com/file/d/1KEucp2VluHtUbZkZsFg4C4OMxO_wKfvo/view?usp=drivesdk</t>
  </si>
  <si>
    <t>Document successfully created; Document successfully merged; PDF created; Emails Sent: [To: vjohith73@jnn.edu.in]; Run via form trigger as codectechnologies0@gmail.com; Timestamp: Aug 25, 2026 10:47 AM</t>
  </si>
  <si>
    <t>Malla Reddy (MR) Deemed to be University</t>
  </si>
  <si>
    <t>1FNG3JC17LSjA-jYWY0fm1aZdIQW1ZDcJ</t>
  </si>
  <si>
    <t>https://drive.google.com/file/d/1FNG3JC17LSjA-jYWY0fm1aZdIQW1ZDcJ/view?usp=drivesdk</t>
  </si>
  <si>
    <t>Document successfully created; Document successfully merged; PDF created; Emails Sent: [To: tanmayimss@gmail.com]; Run via form trigger as codectechnologies0@gmail.com; Timestamp: Aug 25, 2026 10:56 AM</t>
  </si>
  <si>
    <t xml:space="preserve">Johith V </t>
  </si>
  <si>
    <t>1iw8opIWlMSEfY9YwJmMYd8YZVgONmz18</t>
  </si>
  <si>
    <t>https://drive.google.com/file/d/1iw8opIWlMSEfY9YwJmMYd8YZVgONmz18/view?usp=drivesdk</t>
  </si>
  <si>
    <t>Document successfully created; Document successfully merged; PDF created; Emails Sent: [To: vjohith73@jnn.edu.in]; Run via form trigger as codectechnologies0@gmail.com; Timestamp: Aug 25, 2026 10:59 AM</t>
  </si>
  <si>
    <t xml:space="preserve">Yash Raj suman </t>
  </si>
  <si>
    <t>821yashrajsuman@gmail.com</t>
  </si>
  <si>
    <t>1do7AncjTkFFJiqcVi4NEZEox9HUbAQct</t>
  </si>
  <si>
    <t>https://drive.google.com/file/d/1do7AncjTkFFJiqcVi4NEZEox9HUbAQct/view?usp=drivesdk</t>
  </si>
  <si>
    <t>Document successfully created; Document successfully merged; PDF created; Emails Sent: [To: 821yashrajsuman@gmail.com]; Run via form trigger as codectechnologies0@gmail.com; Timestamp: Aug 25, 2026 11:13 AM</t>
  </si>
  <si>
    <t>ayushkumarlxr7@gmail.com</t>
  </si>
  <si>
    <t xml:space="preserve">COER University </t>
  </si>
  <si>
    <t>1U2QoIBePLM6_Tfc21Y4royvF4xM4kUTk</t>
  </si>
  <si>
    <t>https://drive.google.com/file/d/1U2QoIBePLM6_Tfc21Y4royvF4xM4kUTk/view?usp=drivesdk</t>
  </si>
  <si>
    <t>Document successfully created; Document successfully merged; PDF created; Emails Sent: [To: ayushkumarlxr7@gmail.com]; Run via form trigger as codectechnologies0@gmail.com; Timestamp: Aug 25, 2026 11:17 AM</t>
  </si>
  <si>
    <t>Muhammad Farsin A N</t>
  </si>
  <si>
    <t>farsinmuhammadfarsin773@gmail.com</t>
  </si>
  <si>
    <t>CUSAT</t>
  </si>
  <si>
    <t>1XC4bzIt4T0Ai-jSAEAuofQvyTCvArYfL</t>
  </si>
  <si>
    <t>https://drive.google.com/file/d/1XC4bzIt4T0Ai-jSAEAuofQvyTCvArYfL/view?usp=drivesdk</t>
  </si>
  <si>
    <t>Document successfully created; Document successfully merged; PDF created; Emails Sent: [To: farsinmuhammadfarsin773@gmail.com]; Run via form trigger as codectechnologies0@gmail.com; Timestamp: Aug 25, 2026 11:22 AM</t>
  </si>
  <si>
    <t xml:space="preserve">Aman Raj </t>
  </si>
  <si>
    <t>amanraj706149@gmail.com</t>
  </si>
  <si>
    <t>1nvzCInsqdM0--4JHeNOvAqZwSAfPbI8H</t>
  </si>
  <si>
    <t>https://drive.google.com/file/d/1nvzCInsqdM0--4JHeNOvAqZwSAfPbI8H/view?usp=drivesdk</t>
  </si>
  <si>
    <t>Document successfully created; Document successfully merged; PDF created; Emails Sent: [To: amanraj706149@gmail.com]; Run via form trigger as codectechnologies0@gmail.com; Timestamp: Aug 25, 2026 11:29 AM</t>
  </si>
  <si>
    <t>Ramesh Kumar</t>
  </si>
  <si>
    <t>ramesh.25scs1003005166@iilm.edu</t>
  </si>
  <si>
    <t>1jEQdnyyQadiHL8Jn4G8nHPgZ87Vcra1S</t>
  </si>
  <si>
    <t>https://drive.google.com/file/d/1jEQdnyyQadiHL8Jn4G8nHPgZ87Vcra1S/view?usp=drivesdk</t>
  </si>
  <si>
    <t>Document successfully created; Document successfully merged; PDF created; Emails Sent: [To: ramesh.25scs1003005166@iilm.edu]; Run via form trigger as codectechnologies0@gmail.com; Timestamp: Aug 25, 2026 11:47 AM</t>
  </si>
  <si>
    <t xml:space="preserve">SACHIN KUMAR </t>
  </si>
  <si>
    <t>sachinsingehl@gmail.com</t>
  </si>
  <si>
    <t xml:space="preserve">Chandigarh University </t>
  </si>
  <si>
    <t>19AxzuQ3tTVGc2t9IbHF3m_JSIBa80C_P</t>
  </si>
  <si>
    <t>https://drive.google.com/file/d/19AxzuQ3tTVGc2t9IbHF3m_JSIBa80C_P/view?usp=drivesdk</t>
  </si>
  <si>
    <t>Document successfully created; Document successfully merged; PDF created; Emails Sent: [To: sachinsingehl@gmail.com]; Run via form trigger as codectechnologies0@gmail.com; Timestamp: Aug 25, 2026 11:55 AM</t>
  </si>
  <si>
    <t>Hamilton Antonio Guirrugo</t>
  </si>
  <si>
    <t>guirrugohamilton8h@gmail.com</t>
  </si>
  <si>
    <t>Andhra University</t>
  </si>
  <si>
    <t>1yVaMCQ0-P3UAFon3QHWbAcFRKJXtzsHi</t>
  </si>
  <si>
    <t>https://drive.google.com/file/d/1yVaMCQ0-P3UAFon3QHWbAcFRKJXtzsHi/view?usp=drivesdk</t>
  </si>
  <si>
    <t>Document successfully created; Document successfully merged; PDF created; Emails Sent: [To: guirrugohamilton8h@gmail.com]; Run via form trigger as codectechnologies0@gmail.com; Timestamp: Aug 25, 2026 12:02 PM</t>
  </si>
  <si>
    <t>Bhakti Koli</t>
  </si>
  <si>
    <t>kolibhakti836@gmail.com</t>
  </si>
  <si>
    <t xml:space="preserve">Sanjay Ghodawat institute kolhapur </t>
  </si>
  <si>
    <t>1GCYUso88qCIc30m_RM68NVqw7KxdCowE</t>
  </si>
  <si>
    <t>https://drive.google.com/file/d/1GCYUso88qCIc30m_RM68NVqw7KxdCowE/view?usp=drivesdk</t>
  </si>
  <si>
    <t>Document successfully created; Document successfully merged; PDF created; Emails Sent: [To: kolibhakti836@gmail.com]; Run via form trigger as codectechnologies0@gmail.com; Timestamp: Aug 25, 2026 12:11 PM</t>
  </si>
  <si>
    <t>SATYAM BORDOLOI</t>
  </si>
  <si>
    <t>skrbordoloi123@gmail.com</t>
  </si>
  <si>
    <t>Dibrugarh University</t>
  </si>
  <si>
    <t>1d5hcj8k-pILkIYiTJiYrzuXiR4Aa3fAy</t>
  </si>
  <si>
    <t>https://drive.google.com/file/d/1d5hcj8k-pILkIYiTJiYrzuXiR4Aa3fAy/view?usp=drivesdk</t>
  </si>
  <si>
    <t>Document successfully created; Document successfully merged; PDF created; Emails Sent: [To: skrbordoloi123@gmail.com]; Run via form trigger as codectechnologies0@gmail.com; Timestamp: Aug 25, 2026 12:24 PM</t>
  </si>
  <si>
    <t>Nikhitha Cheni</t>
  </si>
  <si>
    <t>nikhithacheni07@gmail.com</t>
  </si>
  <si>
    <t xml:space="preserve">Jntuh university college of engineering sulthanpur </t>
  </si>
  <si>
    <t>1n8mrM4Bj8mZ3d-x6vGxu-OXrsXo2XlU9</t>
  </si>
  <si>
    <t>https://drive.google.com/file/d/1n8mrM4Bj8mZ3d-x6vGxu-OXrsXo2XlU9/view?usp=drivesdk</t>
  </si>
  <si>
    <t>Document successfully created; Document successfully merged; PDF created; Emails Sent: [To: nikhithacheni07@gmail.com]; Run via form trigger as codectechnologies0@gmail.com; Timestamp: Aug 25, 2026 12:36 PM</t>
  </si>
  <si>
    <t>Aditya MIshra</t>
  </si>
  <si>
    <t>2006adimish@gmail.com</t>
  </si>
  <si>
    <t>1_0UCd3YJ0PLLkYV4j0TrpLndbUG8y6u1</t>
  </si>
  <si>
    <t>https://drive.google.com/file/d/1_0UCd3YJ0PLLkYV4j0TrpLndbUG8y6u1/view?usp=drivesdk</t>
  </si>
  <si>
    <t>Document successfully created; Document successfully merged; PDF created; Emails Sent: [To: 2006adimish@gmail.com]; Run via form trigger as codectechnologies0@gmail.com; Timestamp: Aug 25, 2026 12:37 PM</t>
  </si>
  <si>
    <t>Himanshu</t>
  </si>
  <si>
    <t>himanshu3513b@gmail.com</t>
  </si>
  <si>
    <t xml:space="preserve">I.I.T BHU </t>
  </si>
  <si>
    <t>1THxhHjLjb5d9dR0c8BqI5YykmV_APOTO</t>
  </si>
  <si>
    <t>https://drive.google.com/file/d/1THxhHjLjb5d9dR0c8BqI5YykmV_APOTO/view?usp=drivesdk</t>
  </si>
  <si>
    <t>Document successfully created; Document successfully merged; PDF created; Emails Sent: [To: himanshu3513b@gmail.com]; Run via form trigger as codectechnologies0@gmail.com; Timestamp: Aug 25, 2026 12:42 PM</t>
  </si>
  <si>
    <t>Manthina Vinay</t>
  </si>
  <si>
    <t>costcobeautyproducts@gmail.com</t>
  </si>
  <si>
    <t>uttaranchal university</t>
  </si>
  <si>
    <t>1B83U2Hd9ROMBsF9BgTereUFw1qpYav1m</t>
  </si>
  <si>
    <t>https://drive.google.com/file/d/1B83U2Hd9ROMBsF9BgTereUFw1qpYav1m/view?usp=drivesdk</t>
  </si>
  <si>
    <t>Document successfully created; Document successfully merged; PDF created; Emails Sent: [To: costcobeautyproducts@gmail.com]; Run via form trigger as codectechnologies0@gmail.com; Timestamp: Aug 25, 2026 12:45 PM</t>
  </si>
  <si>
    <t>Arpit verma</t>
  </si>
  <si>
    <t>vermaarpit412@gmail.com</t>
  </si>
  <si>
    <t>Shri Vishwakarma Skill University</t>
  </si>
  <si>
    <t>1SKNxTdWQuLA-1-mxMTJuOKYBN9fTjsKO</t>
  </si>
  <si>
    <t>https://drive.google.com/file/d/1SKNxTdWQuLA-1-mxMTJuOKYBN9fTjsKO/view?usp=drivesdk</t>
  </si>
  <si>
    <t>Document successfully created; Document successfully merged; PDF created; Emails Sent: [To: vermaarpit412@gmail.com]; Run via form trigger as codectechnologies0@gmail.com; Timestamp: Aug 25, 2026 1:03 PM</t>
  </si>
  <si>
    <t>Arpit Verma</t>
  </si>
  <si>
    <t>8/12/0026</t>
  </si>
  <si>
    <t>13fz9BV1puPk7Pf7ame6Ph1cg-XGg3Elx</t>
  </si>
  <si>
    <t>https://drive.google.com/file/d/13fz9BV1puPk7Pf7ame6Ph1cg-XGg3Elx/view?usp=drivesdk</t>
  </si>
  <si>
    <t>Document successfully created; Document successfully merged; PDF created; Emails Sent: [To: vermaarpit412@gmail.com]; Run via form trigger as codectechnologies0@gmail.com; Timestamp: Aug 25, 2026 1:08 PM</t>
  </si>
  <si>
    <t>Kaushal Kumar</t>
  </si>
  <si>
    <t>kaushalk3216@gmail.com</t>
  </si>
  <si>
    <t>09123122909</t>
  </si>
  <si>
    <t>1Xa-6wNmwCC1tYrO0vknyaJiS7Thi1WXD</t>
  </si>
  <si>
    <t>https://drive.google.com/file/d/1Xa-6wNmwCC1tYrO0vknyaJiS7Thi1WXD/view?usp=drivesdk</t>
  </si>
  <si>
    <t>Document successfully created; Document successfully merged; PDF created; Emails Sent: [To: kaushalk3216@gmail.com]; Run via form trigger as codectechnologies0@gmail.com; Timestamp: Aug 25, 2026 1:15 PM</t>
  </si>
  <si>
    <t>1k1XjLYJsVQpQoL_qDaS0vd3YZp8KsyEo</t>
  </si>
  <si>
    <t>https://drive.google.com/file/d/1k1XjLYJsVQpQoL_qDaS0vd3YZp8KsyEo/view?usp=drivesdk</t>
  </si>
  <si>
    <t>Document successfully created; Document successfully merged; PDF created; Emails Sent: [To: kaushalk3216@gmail.com]; Run via form trigger as codectechnologies0@gmail.com; Timestamp: Aug 25, 2026 1:17 PM</t>
  </si>
  <si>
    <t>Ayushi Yadav</t>
  </si>
  <si>
    <t>ayu6241997@gmail.com</t>
  </si>
  <si>
    <t xml:space="preserve">Shri Ram Swaroop Memorial University </t>
  </si>
  <si>
    <t>1tdvhhGwwOK1yWfcQhR2AnQJam_3vPcau</t>
  </si>
  <si>
    <t>https://drive.google.com/file/d/1tdvhhGwwOK1yWfcQhR2AnQJam_3vPcau/view?usp=drivesdk</t>
  </si>
  <si>
    <t>Document successfully created; Document successfully merged; PDF created; Emails Sent: [To: ayu6241997@gmail.com]; Run via form trigger as codectechnologies0@gmail.com; Timestamp: Aug 25, 2026 1:20 PM</t>
  </si>
  <si>
    <t>Harshad Rajendra Patil</t>
  </si>
  <si>
    <t>hp0039104@gmail.com</t>
  </si>
  <si>
    <t xml:space="preserve">Rajarambapu Institute of Technology </t>
  </si>
  <si>
    <t>1vmBJ0JLgL_6XEVz32BQP_LX1zfNo2mbM</t>
  </si>
  <si>
    <t>https://drive.google.com/file/d/1vmBJ0JLgL_6XEVz32BQP_LX1zfNo2mbM/view?usp=drivesdk</t>
  </si>
  <si>
    <t>Document successfully created; Document successfully merged; PDF created; Emails Sent: [To: hp0039104@gmail.com]; Run via form trigger as codectechnologies0@gmail.com; Timestamp: Aug 25, 2026 1:32 PM</t>
  </si>
  <si>
    <t xml:space="preserve">Darshan Naik </t>
  </si>
  <si>
    <t>darshannaik563@gmail.com</t>
  </si>
  <si>
    <t xml:space="preserve">Anjuman institute of technology and management </t>
  </si>
  <si>
    <t>1CG06lZwpktqULPnf3peUxD48RCzFBUgj</t>
  </si>
  <si>
    <t>https://drive.google.com/file/d/1CG06lZwpktqULPnf3peUxD48RCzFBUgj/view?usp=drivesdk</t>
  </si>
  <si>
    <t>Document successfully created; Document successfully merged; PDF created; Emails Sent: [To: darshannaik563@gmail.com]; Run via form trigger as codectechnologies0@gmail.com; Timestamp: Aug 25, 2026 1:39 PM</t>
  </si>
  <si>
    <t>Chandan Naik</t>
  </si>
  <si>
    <t>chandunaik2107@gmail.com</t>
  </si>
  <si>
    <t>Anjuman Institute of Technology and Management</t>
  </si>
  <si>
    <t>1DebRXBGm1quNud6bvIgwgYIBhh1BKIW8</t>
  </si>
  <si>
    <t>https://drive.google.com/file/d/1DebRXBGm1quNud6bvIgwgYIBhh1BKIW8/view?usp=drivesdk</t>
  </si>
  <si>
    <t>Document successfully created; Document successfully merged; PDF created; Emails Sent: [To: chandunaik2107@gmail.com]; Run via form trigger as codectechnologies0@gmail.com; Timestamp: Aug 25, 2026 1:40 PM</t>
  </si>
  <si>
    <t>Rachit</t>
  </si>
  <si>
    <t>whathappensbro1@gmail.com</t>
  </si>
  <si>
    <t>IILM university, greater noida</t>
  </si>
  <si>
    <t>1C-fWfV5OX63qPSQWKyGXDS2qb1hbOn2F</t>
  </si>
  <si>
    <t>https://drive.google.com/file/d/1C-fWfV5OX63qPSQWKyGXDS2qb1hbOn2F/view?usp=drivesdk</t>
  </si>
  <si>
    <t>Document successfully created; Document successfully merged; PDF created; Emails Sent: [To: whathappensbro1@gmail.com]; Run via form trigger as codectechnologies0@gmail.com; Timestamp: Aug 25, 2026 2:06 PM</t>
  </si>
  <si>
    <t>19BWqar8CPQ7Bi5eHH18see7QovDdVtiU</t>
  </si>
  <si>
    <t>https://drive.google.com/file/d/19BWqar8CPQ7Bi5eHH18see7QovDdVtiU/view?usp=drivesdk</t>
  </si>
  <si>
    <t>Document successfully created; Document successfully merged; PDF created; Emails Sent: [To: whathappensbro1@gmail.com]; Run via form trigger as codectechnologies0@gmail.com; Timestamp: Aug 25, 2026 2:20 PM</t>
  </si>
  <si>
    <t>Kamlesh Kumar</t>
  </si>
  <si>
    <t>kamleshk94117@gmail.com</t>
  </si>
  <si>
    <t>11BLEtk15pvx1tKQ1xm_Ud5k55c1u9Ag2</t>
  </si>
  <si>
    <t>https://drive.google.com/file/d/11BLEtk15pvx1tKQ1xm_Ud5k55c1u9Ag2/view?usp=drivesdk</t>
  </si>
  <si>
    <t>Document successfully created; Document successfully merged; PDF created; Emails Sent: [To: kamleshk94117@gmail.com]; Run via form trigger as codectechnologies0@gmail.com; Timestamp: Aug 25, 2026 2:42 PM</t>
  </si>
  <si>
    <t>1gVvi3VXd2zNfRlZA_Gd6ssjtP8-XE6JV</t>
  </si>
  <si>
    <t>https://drive.google.com/file/d/1gVvi3VXd2zNfRlZA_Gd6ssjtP8-XE6JV/view?usp=drivesdk</t>
  </si>
  <si>
    <t>Document successfully created; Document successfully merged; PDF created; Emails Sent: [To: debangdhan20@gmail.com]; Run via form trigger as codectechnologies0@gmail.com; Timestamp: Aug 25, 2026 2:58 PM</t>
  </si>
  <si>
    <t>Arpit Dwivedi</t>
  </si>
  <si>
    <t>arpitdwivedi104@gmail.com</t>
  </si>
  <si>
    <t xml:space="preserve">Iilm university, Greater Noida </t>
  </si>
  <si>
    <t>1278YxcK4W5G_ipdFVHPtJHovhUVVg9gK</t>
  </si>
  <si>
    <t>https://drive.google.com/file/d/1278YxcK4W5G_ipdFVHPtJHovhUVVg9gK/view?usp=drivesdk</t>
  </si>
  <si>
    <t>Document successfully created; Document successfully merged; PDF created; Emails Sent: [To: arpitdwivedi104@gmail.com]; Run via form trigger as codectechnologies0@gmail.com; Timestamp: Aug 25, 2026 3:43 PM</t>
  </si>
  <si>
    <t>Pratik Aman</t>
  </si>
  <si>
    <t>pratik.25scs1003003592@iilm.edu</t>
  </si>
  <si>
    <t>LinkedIn, Friend, Google, Internshala</t>
  </si>
  <si>
    <t>1VCYz3go4UtVR5m3hk4hWktITMt8jYbDt</t>
  </si>
  <si>
    <t>https://drive.google.com/file/d/1VCYz3go4UtVR5m3hk4hWktITMt8jYbDt/view?usp=drivesdk</t>
  </si>
  <si>
    <t>Document successfully created; Document successfully merged; PDF created; Emails Sent: [To: pratik.25scs1003003592@iilm.edu]; Run via form trigger as codectechnologies0@gmail.com; Timestamp: Aug 25, 2026 3:58 PM</t>
  </si>
  <si>
    <t>ANKIT GUPTA</t>
  </si>
  <si>
    <t>ankitgupta61825@gmail.com</t>
  </si>
  <si>
    <t>1RKzsnXTbu3HwXFeIAH4OjtX0DBFykNVx</t>
  </si>
  <si>
    <t>https://drive.google.com/file/d/1RKzsnXTbu3HwXFeIAH4OjtX0DBFykNVx/view?usp=drivesdk</t>
  </si>
  <si>
    <t>Document successfully created; Document successfully merged; PDF created; Emails Sent: [To: ankitgupta61825@gmail.com]; Run via form trigger as codectechnologies0@gmail.com; Timestamp: Aug 25, 2026 7:51 PM</t>
  </si>
  <si>
    <t>Simarjeet Kaur</t>
  </si>
  <si>
    <t>simarjeetkaur.ece2024@ritroorkee.com</t>
  </si>
  <si>
    <t>09781356077</t>
  </si>
  <si>
    <t xml:space="preserve">Roorkee Institute of technology </t>
  </si>
  <si>
    <t>1FCMyxyczF-USmIX1sL8VYAng-lu8dV0r</t>
  </si>
  <si>
    <t>https://drive.google.com/file/d/1FCMyxyczF-USmIX1sL8VYAng-lu8dV0r/view?usp=drivesdk</t>
  </si>
  <si>
    <t>Document successfully created; Document successfully merged; PDF created; Emails Sent: [To: simarjeetkaur.ece2024@ritroorkee.com]; Run via form trigger as codectechnologies0@gmail.com; Timestamp: Aug 25, 2026 10:11 PM</t>
  </si>
  <si>
    <t>Tamidhala SaiSree</t>
  </si>
  <si>
    <t>tamidhalasaisree@gmail.com</t>
  </si>
  <si>
    <t xml:space="preserve">Ace Engineering college </t>
  </si>
  <si>
    <t>11B33iCr8XsHGoQq4vKR4_Qr7V-G_Lex4</t>
  </si>
  <si>
    <t>https://drive.google.com/file/d/11B33iCr8XsHGoQq4vKR4_Qr7V-G_Lex4/view?usp=drivesdk</t>
  </si>
  <si>
    <t>Document successfully created; Document successfully merged; PDF created; Emails Sent: [To: tamidhalasaisree@gmail.com]; Run via form trigger as codectechnologies0@gmail.com; Timestamp: Aug 25, 2026 10:37 PM</t>
  </si>
  <si>
    <t>G. INDHU VADANA</t>
  </si>
  <si>
    <t>MALLA REDDY COLLEGE OF ENGINEERING AND TECHNOLOGY</t>
  </si>
  <si>
    <t>1fz_a5G9Up0XjyFVK_tYTaJEIE80KVXek</t>
  </si>
  <si>
    <t>https://drive.google.com/file/d/1fz_a5G9Up0XjyFVK_tYTaJEIE80KVXek/view?usp=drivesdk</t>
  </si>
  <si>
    <t>Document successfully created; Document successfully merged; PDF created; Emails Sent: [To: induvadana145@gmail.com]; Run via form trigger as codectechnologies0@gmail.com; Timestamp: Aug 25, 2026 10:43 PM</t>
  </si>
  <si>
    <t xml:space="preserve">Anirudh </t>
  </si>
  <si>
    <t>anirudh280410@gmail.com</t>
  </si>
  <si>
    <t>1tgxVb5f9CYuxAcqHboVCTS--oFJv5ZV0</t>
  </si>
  <si>
    <t>https://drive.google.com/file/d/1tgxVb5f9CYuxAcqHboVCTS--oFJv5ZV0/view?usp=drivesdk</t>
  </si>
  <si>
    <t>Document successfully created; Document successfully merged; PDF created; Emails Sent: [To: anirudh280410@gmail.com]; Run via form trigger as codectechnologies0@gmail.com; Timestamp: Aug 25, 2026 10:56 PM</t>
  </si>
  <si>
    <t>Pradeep Maurya</t>
  </si>
  <si>
    <t>pradeepkmaurya005@gmail.com</t>
  </si>
  <si>
    <t xml:space="preserve">Dr Ram Manohar Lohia Avadh University Ayodhya </t>
  </si>
  <si>
    <t>1nhRHRHUOTnFVWjoYyyIDhvymeYqWXVfb</t>
  </si>
  <si>
    <t>https://drive.google.com/file/d/1nhRHRHUOTnFVWjoYyyIDhvymeYqWXVfb/view?usp=drivesdk</t>
  </si>
  <si>
    <t>Document successfully created; Document successfully merged; PDF created; Emails Sent: [To: pradeepkmaurya005@gmail.com]; Run via form trigger as codectechnologies0@gmail.com; Timestamp: Aug 25, 2026 11:30 PM</t>
  </si>
  <si>
    <t>Yash Arvind</t>
  </si>
  <si>
    <t>yash.25scs1003002423@iilm.edu</t>
  </si>
  <si>
    <t>IILM University, IILM</t>
  </si>
  <si>
    <t>1hYyNNAroIQ_GXZ8tptY51qNkF84Qd5_F</t>
  </si>
  <si>
    <t>https://drive.google.com/file/d/1hYyNNAroIQ_GXZ8tptY51qNkF84Qd5_F/view?usp=drivesdk</t>
  </si>
  <si>
    <t>Document successfully created; Document successfully merged; PDF created; Emails Sent: [To: yash.25scs1003002423@iilm.edu]; Run via form trigger as codectechnologies0@gmail.com; Timestamp: Aug 25, 2026 11:58 PM</t>
  </si>
  <si>
    <t xml:space="preserve">Vidyashree Rajesh Umrani </t>
  </si>
  <si>
    <t>vidyashree7798@gmail.com</t>
  </si>
  <si>
    <t xml:space="preserve">Zeal institute of technology sangli </t>
  </si>
  <si>
    <t>16_DGdTn6yBHPCoKT4WYg3gryKNaOcjWt</t>
  </si>
  <si>
    <t>https://drive.google.com/file/d/16_DGdTn6yBHPCoKT4WYg3gryKNaOcjWt/view?usp=drivesdk</t>
  </si>
  <si>
    <t>Document successfully created; Document successfully merged; PDF created; Emails Sent: [To: vidyashree7798@gmail.com]; Run via form trigger as codectechnologies0@gmail.com; Timestamp: Aug 26, 2026 12:16 AM</t>
  </si>
  <si>
    <t>ROHIT KUMAR</t>
  </si>
  <si>
    <t>rohit02007k@gmail.com</t>
  </si>
  <si>
    <t xml:space="preserve">Vivekananda global University Jaipur </t>
  </si>
  <si>
    <t>1o_Okvhs6Y2fchcauB9HSYJKL4PS96RaN</t>
  </si>
  <si>
    <t>https://drive.google.com/file/d/1o_Okvhs6Y2fchcauB9HSYJKL4PS96RaN/view?usp=drivesdk</t>
  </si>
  <si>
    <t>Document successfully created; Document successfully merged; PDF created; Emails Sent: [To: rohit02007k@gmail.com]; Run via form trigger as codectechnologies0@gmail.com; Timestamp: Aug 26, 2026 12:21 AM</t>
  </si>
  <si>
    <t>Manikanta Padala</t>
  </si>
  <si>
    <t>padalamanikantagoud842@gmail.com</t>
  </si>
  <si>
    <t xml:space="preserve">Parul University </t>
  </si>
  <si>
    <t>1Tc3r6nHJ6Dv88WPJloZ3dG8IVSCyADy9</t>
  </si>
  <si>
    <t>https://drive.google.com/file/d/1Tc3r6nHJ6Dv88WPJloZ3dG8IVSCyADy9/view?usp=drivesdk</t>
  </si>
  <si>
    <t>Document successfully created; Document successfully merged; PDF created; Emails Sent: [To: padalamanikantagoud842@gmail.com]; Run via form trigger as codectechnologies0@gmail.com; Timestamp: Aug 26, 2026 12:51 AM</t>
  </si>
  <si>
    <t xml:space="preserve">DURGAM JYOTHSNA </t>
  </si>
  <si>
    <t>jyoshnadurgam28@gmail.com</t>
  </si>
  <si>
    <t>1WbwlFgJDiZyAvKOVhdrn8NDw1ohSRU82</t>
  </si>
  <si>
    <t>https://drive.google.com/file/d/1WbwlFgJDiZyAvKOVhdrn8NDw1ohSRU82/view?usp=drivesdk</t>
  </si>
  <si>
    <t>Document successfully created; Document successfully merged; PDF created; Emails Sent: [To: jyoshnadurgam28@gmail.com]; Run via form trigger as codectechnologies0@gmail.com; Timestamp: Aug 26, 2026 12:56 AM</t>
  </si>
  <si>
    <t>Gouda Rohith</t>
  </si>
  <si>
    <t>rohithgouda2005@gmail.com</t>
  </si>
  <si>
    <t xml:space="preserve">Bharath Institute Of Higher Education and Research </t>
  </si>
  <si>
    <t>1c6amt094s7UuP73B3L-UutpGm0T-bevC</t>
  </si>
  <si>
    <t>https://drive.google.com/file/d/1c6amt094s7UuP73B3L-UutpGm0T-bevC/view?usp=drivesdk</t>
  </si>
  <si>
    <t>Document successfully created; Document successfully merged; PDF created; Emails Sent: [To: rohithgouda2005@gmail.com]; Run via form trigger as codectechnologies0@gmail.com; Timestamp: Aug 26, 2026 1:01 AM</t>
  </si>
  <si>
    <t>Nishtha Gupta</t>
  </si>
  <si>
    <t>nishthag805@gmail.com</t>
  </si>
  <si>
    <t xml:space="preserve">Allenhouse Institute of technology </t>
  </si>
  <si>
    <t>1m2cmh98ZzWWkpjKsNsCMaRcAiZZw1k-7</t>
  </si>
  <si>
    <t>https://drive.google.com/file/d/1m2cmh98ZzWWkpjKsNsCMaRcAiZZw1k-7/view?usp=drivesdk</t>
  </si>
  <si>
    <t>Document successfully created; Document successfully merged; PDF created; Emails Sent: [To: nishthag805@gmail.com]; Run via form trigger as codectechnologies0@gmail.com; Timestamp: Aug 26, 2026 1:03 AM</t>
  </si>
  <si>
    <t xml:space="preserve">Dr. S c ghulhane prerna college </t>
  </si>
  <si>
    <t>18rckEj0cBXxCcTyP6UkD2DdyPX3fzJ2n</t>
  </si>
  <si>
    <t>https://drive.google.com/file/d/18rckEj0cBXxCcTyP6UkD2DdyPX3fzJ2n/view?usp=drivesdk</t>
  </si>
  <si>
    <t>Document successfully created; Document successfully merged; PDF created; Emails Sent: [To: jaiswalkomal1305@gmail.com]; Run via form trigger as codectechnologies0@gmail.com; Timestamp: Aug 26, 2026 1:15 AM</t>
  </si>
  <si>
    <t xml:space="preserve">Onkar Sambhaji Bhosale </t>
  </si>
  <si>
    <t>onkarbhosale1773@gmail.com</t>
  </si>
  <si>
    <t xml:space="preserve">Sanjay ghodawat institute </t>
  </si>
  <si>
    <t>10VNvuCwPeQ4c-jfSjXq4MZF74B-R3V2M</t>
  </si>
  <si>
    <t>https://drive.google.com/file/d/10VNvuCwPeQ4c-jfSjXq4MZF74B-R3V2M/view?usp=drivesdk</t>
  </si>
  <si>
    <t>Document successfully created; Document successfully merged; PDF created; Emails Sent: [To: onkarbhosale1773@gmail.com]; Run via form trigger as codectechnologies0@gmail.com; Timestamp: Aug 26, 2026 1:24 AM</t>
  </si>
  <si>
    <t xml:space="preserve">pranjal chandra </t>
  </si>
  <si>
    <t>National PG College</t>
  </si>
  <si>
    <t>1nv0MSRNRH5T7j9Hc5B3dLAqkP_3LqKej</t>
  </si>
  <si>
    <t>https://drive.google.com/file/d/1nv0MSRNRH5T7j9Hc5B3dLAqkP_3LqKej/view?usp=drivesdk</t>
  </si>
  <si>
    <t>Document successfully created; Document successfully merged; PDF created; Emails Sent: [To: vaibhavgupta4239@gmail.com]; Run via form trigger as codectechnologies0@gmail.com; Timestamp: Aug 26, 2026 1:25 AM</t>
  </si>
  <si>
    <t>lakshay rohilla</t>
  </si>
  <si>
    <t>1zBX8MFSP9iO7fcd-4Ezch-uWQyR1yUKG</t>
  </si>
  <si>
    <t>https://drive.google.com/file/d/1zBX8MFSP9iO7fcd-4Ezch-uWQyR1yUKG/view?usp=drivesdk</t>
  </si>
  <si>
    <t>Document successfully created; Document successfully merged; PDF created; Emails Sent: [To: lakshayrohilla208@gmail.com]; Run via form trigger as codectechnologies0@gmail.com; Timestamp: Aug 26, 2026 1:28 AM</t>
  </si>
  <si>
    <t>Narendra Nath</t>
  </si>
  <si>
    <t>narendranath1903@gmail.com</t>
  </si>
  <si>
    <t>Shri Vaishnav Vidyapeeth Vishwavidyalaya,Indore</t>
  </si>
  <si>
    <t>1bqHLQFECIpR3gl601znMdfbEBRpzCwuX</t>
  </si>
  <si>
    <t>https://drive.google.com/file/d/1bqHLQFECIpR3gl601znMdfbEBRpzCwuX/view?usp=drivesdk</t>
  </si>
  <si>
    <t>Document successfully created; Document successfully merged; PDF created; Emails Sent: [To: narendranath1903@gmail.com]; Run via form trigger as codectechnologies0@gmail.com; Timestamp: Aug 26, 2026 1:46 AM</t>
  </si>
  <si>
    <t>1Q6aOy491vtQUirhu1WYP49H4Fuc5Z4d_</t>
  </si>
  <si>
    <t>https://drive.google.com/file/d/1Q6aOy491vtQUirhu1WYP49H4Fuc5Z4d_/view?usp=drivesdk</t>
  </si>
  <si>
    <t>Document successfully created; Document successfully merged; PDF created; Emails Sent: [To: narendranath1903@gmail.com]; Run via form trigger as codectechnologies0@gmail.com; Timestamp: Aug 26, 2026 1:51 AM</t>
  </si>
  <si>
    <t>Lavanya Dattajirao Mohite</t>
  </si>
  <si>
    <t>lavanyamohite6@gmail.com</t>
  </si>
  <si>
    <t>D Y Patil college of engineering,  ambi pune</t>
  </si>
  <si>
    <t>1vJRPl5_CDnh-aKoKHvzlAWk1ZU2D1PiA</t>
  </si>
  <si>
    <t>https://drive.google.com/file/d/1vJRPl5_CDnh-aKoKHvzlAWk1ZU2D1PiA/view?usp=drivesdk</t>
  </si>
  <si>
    <t>Document successfully created; Document successfully merged; PDF created; Emails Sent: [To: lavanyamohite6@gmail.com]; Run via form trigger as codectechnologies0@gmail.com; Timestamp: Aug 26, 2026 1:55 AM</t>
  </si>
  <si>
    <t>Aman Khan</t>
  </si>
  <si>
    <t>khanaman0606@gmail.com</t>
  </si>
  <si>
    <t>Institute of Technical Education and Research</t>
  </si>
  <si>
    <t>1fxJaN9NZV1l0ZOcbnZanAFjsBCxIC69n</t>
  </si>
  <si>
    <t>https://drive.google.com/file/d/1fxJaN9NZV1l0ZOcbnZanAFjsBCxIC69n/view?usp=drivesdk</t>
  </si>
  <si>
    <t>Document successfully created; Document successfully merged; PDF created; Emails Sent: [To: khanaman0606@gmail.com]; Run via form trigger as codectechnologies0@gmail.com; Timestamp: Aug 26, 2026 1:57 AM</t>
  </si>
  <si>
    <t>MAJHIA MURMU</t>
  </si>
  <si>
    <t>majhiamurmu900@gmail.com</t>
  </si>
  <si>
    <t xml:space="preserve">KONARK INSTITUTE OF SCIENCE AND TECHNOLOGY, JATNI, BHUBANESWAR </t>
  </si>
  <si>
    <t>1TP33aW7jNTM5kwEqx4u4ygsBMLAC_ZzV</t>
  </si>
  <si>
    <t>https://drive.google.com/file/d/1TP33aW7jNTM5kwEqx4u4ygsBMLAC_ZzV/view?usp=drivesdk</t>
  </si>
  <si>
    <t>Document successfully created; Document successfully merged; PDF created; Emails Sent: [To: majhiamurmu900@gmail.com]; Run via form trigger as codectechnologies0@gmail.com; Timestamp: Aug 26, 2026 2:18 AM</t>
  </si>
  <si>
    <t>Ashwini N</t>
  </si>
  <si>
    <t>ashwiniroy2006@gmail.com</t>
  </si>
  <si>
    <t>Silicon city college</t>
  </si>
  <si>
    <t>1-eCvSL4XnjNCuhSuewwwo4cNK5Wdgwx7</t>
  </si>
  <si>
    <t>https://drive.google.com/file/d/1-eCvSL4XnjNCuhSuewwwo4cNK5Wdgwx7/view?usp=drivesdk</t>
  </si>
  <si>
    <t>Document successfully created; Document successfully merged; PDF created; Emails Sent: [To: ashwiniroy2006@gmail.com]; Run via form trigger as codectechnologies0@gmail.com; Timestamp: Aug 26, 2026 2:35 AM</t>
  </si>
  <si>
    <t>Dharla Saibabu</t>
  </si>
  <si>
    <t>saidharla11@gmail.com</t>
  </si>
  <si>
    <t xml:space="preserve">Methodist Collage of Engineering and Technology </t>
  </si>
  <si>
    <t>1XCSc2y3d9WSS1HTsA1x-Vwp9It8FcfN-</t>
  </si>
  <si>
    <t>https://drive.google.com/file/d/1XCSc2y3d9WSS1HTsA1x-Vwp9It8FcfN-/view?usp=drivesdk</t>
  </si>
  <si>
    <t>Document successfully created; Document successfully merged; PDF created; Emails Sent: [To: saidharla11@gmail.com]; Run via form trigger as codectechnologies0@gmail.com; Timestamp: Aug 26, 2026 2:41 AM</t>
  </si>
  <si>
    <t>Aman Kumar</t>
  </si>
  <si>
    <t>raddosingh@gmail.com</t>
  </si>
  <si>
    <t>Harcourt Butler Technical University, Kanpur</t>
  </si>
  <si>
    <t>1q5zMKXxCnf67ybGd-x-6mhDEa_7X8eEi</t>
  </si>
  <si>
    <t>https://drive.google.com/file/d/1q5zMKXxCnf67ybGd-x-6mhDEa_7X8eEi/view?usp=drivesdk</t>
  </si>
  <si>
    <t>Document successfully created; Document successfully merged; PDF created; Emails Sent: [To: raddosingh@gmail.com]; Run via form trigger as codectechnologies0@gmail.com; Timestamp: Aug 26, 2026 2:42 AM</t>
  </si>
  <si>
    <t xml:space="preserve">Azmeera Nehru </t>
  </si>
  <si>
    <t>azmeeranehru2004@gmail.com</t>
  </si>
  <si>
    <t>13KBP8_aDxTBeipD_NiuJB1VlV-l23Iub</t>
  </si>
  <si>
    <t>https://drive.google.com/file/d/13KBP8_aDxTBeipD_NiuJB1VlV-l23Iub/view?usp=drivesdk</t>
  </si>
  <si>
    <t>Document successfully created; Document successfully merged; PDF created; Emails Sent: [To: azmeeranehru2004@gmail.com]; Run via form trigger as codectechnologies0@gmail.com; Timestamp: Aug 26, 2026 3:11 AM</t>
  </si>
  <si>
    <t xml:space="preserve">MARUBOTHULA NAGA THARUN </t>
  </si>
  <si>
    <t>tharumarutharun.123@gmail.com</t>
  </si>
  <si>
    <t xml:space="preserve">UTTARANCHAL UNIVERSITY </t>
  </si>
  <si>
    <t>1lofarULcAzZW73DGhYnMg2LHZ05wtWOL</t>
  </si>
  <si>
    <t>https://drive.google.com/file/d/1lofarULcAzZW73DGhYnMg2LHZ05wtWOL/view?usp=drivesdk</t>
  </si>
  <si>
    <t>Document successfully created; Document successfully merged; PDF created; Emails Sent: [To: tharumarutharun.123@gmail.com]; Run via form trigger as codectechnologies0@gmail.com; Timestamp: Aug 26, 2026 3:36 AM</t>
  </si>
  <si>
    <t>Jhothiprakash S</t>
  </si>
  <si>
    <t>sjothi92@jnn.edu.in</t>
  </si>
  <si>
    <t>10MZ94baUPd81cE5IjwMQYwoRgDc5Fw89</t>
  </si>
  <si>
    <t>https://drive.google.com/file/d/10MZ94baUPd81cE5IjwMQYwoRgDc5Fw89/view?usp=drivesdk</t>
  </si>
  <si>
    <t>Document successfully created; Document successfully merged; PDF created; Emails Sent: [To: sjothi92@jnn.edu.in]; Run via form trigger as codectechnologies0@gmail.com; Timestamp: Aug 26, 2026 3:37 AM</t>
  </si>
  <si>
    <t xml:space="preserve">Ayush singh kalakoti </t>
  </si>
  <si>
    <t>iotgamer38@gmail.com</t>
  </si>
  <si>
    <t>1bFzqWUd_bT2DAvVV28Fko83-4IuF4hR9</t>
  </si>
  <si>
    <t>https://drive.google.com/file/d/1bFzqWUd_bT2DAvVV28Fko83-4IuF4hR9/view?usp=drivesdk</t>
  </si>
  <si>
    <t>Document successfully created; Document successfully merged; PDF created; Emails Sent: [To: iotgamer38@gmail.com]; Run via form trigger as codectechnologies0@gmail.com; Timestamp: Aug 26, 2026 3:40 AM</t>
  </si>
  <si>
    <t>Adarsh Pal</t>
  </si>
  <si>
    <t>paladarsh1947@gmail.com</t>
  </si>
  <si>
    <t>Chhatrapati shahu G maharaj university kanpur</t>
  </si>
  <si>
    <t>1uX5keQs7x-mQ4z3kldNBuEPSOWXH4Be4</t>
  </si>
  <si>
    <t>https://drive.google.com/file/d/1uX5keQs7x-mQ4z3kldNBuEPSOWXH4Be4/view?usp=drivesdk</t>
  </si>
  <si>
    <t>Document successfully created; Document successfully merged; PDF created; Emails Sent: [To: paladarsh1947@gmail.com]; Run via form trigger as codectechnologies0@gmail.com; Timestamp: Aug 26, 2026 3:43 AM</t>
  </si>
  <si>
    <t>Gorusetti Prasanna</t>
  </si>
  <si>
    <t>gp420177@gmail.com</t>
  </si>
  <si>
    <t>Bapatla women's engineering College</t>
  </si>
  <si>
    <t>LinkedIn, Friend, Other</t>
  </si>
  <si>
    <t>1KjBxdYkM4BGB3-WNMA77gFlPSc7f1GP6</t>
  </si>
  <si>
    <t>https://drive.google.com/file/d/1KjBxdYkM4BGB3-WNMA77gFlPSc7f1GP6/view?usp=drivesdk</t>
  </si>
  <si>
    <t>Document successfully created; Document successfully merged; PDF created; Emails Sent: [To: gp420177@gmail.com]; Run via form trigger as codectechnologies0@gmail.com; Timestamp: Aug 26, 2026 4:10 AM</t>
  </si>
  <si>
    <t>Ankush Kumar</t>
  </si>
  <si>
    <t>annkkushh@gmail.com</t>
  </si>
  <si>
    <t>JCD</t>
  </si>
  <si>
    <t>1DW-JlD2zhkMjcjf2PA3o3TZ72g6Iukr3</t>
  </si>
  <si>
    <t>https://drive.google.com/file/d/1DW-JlD2zhkMjcjf2PA3o3TZ72g6Iukr3/view?usp=drivesdk</t>
  </si>
  <si>
    <t>Document successfully created; Document successfully merged; PDF created; Emails Sent: [To: annkkushh@gmail.com]; Run via form trigger as codectechnologies0@gmail.com; Timestamp: Aug 26, 2026 4:24 AM</t>
  </si>
  <si>
    <t>Adarsh Raj</t>
  </si>
  <si>
    <t>adarsh.25scs1003000873@iilm.edu</t>
  </si>
  <si>
    <t xml:space="preserve">IILM University Greater Noida </t>
  </si>
  <si>
    <t>15z5D6cJB1dSdmPthUDIznmDuD9bGS8c4</t>
  </si>
  <si>
    <t>https://drive.google.com/file/d/15z5D6cJB1dSdmPthUDIznmDuD9bGS8c4/view?usp=drivesdk</t>
  </si>
  <si>
    <t>Document successfully created; Document successfully merged; PDF created; Emails Sent: [To: adarsh.25scs1003000873@iilm.edu]; Run via form trigger as codectechnologies0@gmail.com; Timestamp: Aug 26, 2026 4:24 AM</t>
  </si>
  <si>
    <t>Amruta Tekale</t>
  </si>
  <si>
    <t>atekale046@gmail.com</t>
  </si>
  <si>
    <t>Trinity Academy of Engineering</t>
  </si>
  <si>
    <t>1PI9fZi7FRZsc7S5e1_MMJ4Vpj3IDH0M0</t>
  </si>
  <si>
    <t>https://drive.google.com/file/d/1PI9fZi7FRZsc7S5e1_MMJ4Vpj3IDH0M0/view?usp=drivesdk</t>
  </si>
  <si>
    <t>Document successfully created; Document successfully merged; PDF created; Emails Sent: [To: atekale046@gmail.com]; Run via form trigger as codectechnologies0@gmail.com; Timestamp: Aug 26, 2026 4:26 AM</t>
  </si>
  <si>
    <t>Sakshi Pawar</t>
  </si>
  <si>
    <t>sakshipawar485@gmail.com</t>
  </si>
  <si>
    <t>Gokhale Education Society's R. H. Sapat College of Engineering, Management Studies and Research, Nashik.</t>
  </si>
  <si>
    <t>1PVmmpFKn7Iik2Y0ESfolkN_JGIUxuRA5</t>
  </si>
  <si>
    <t>https://drive.google.com/file/d/1PVmmpFKn7Iik2Y0ESfolkN_JGIUxuRA5/view?usp=drivesdk</t>
  </si>
  <si>
    <t>Document successfully created; Document successfully merged; PDF created; Emails Sent: [To: sakshipawar485@gmail.com]; Run via form trigger as codectechnologies0@gmail.com; Timestamp: Aug 26, 2026 4:36 AM</t>
  </si>
  <si>
    <t xml:space="preserve">Rutuja Hanmant Wagh </t>
  </si>
  <si>
    <t>rutuwagh02@gmail.com</t>
  </si>
  <si>
    <t>PES's College of engineering,Phaltan.</t>
  </si>
  <si>
    <t>1vK24NFXkAEK0bu_9NdAn5bBK9QOXWC3-</t>
  </si>
  <si>
    <t>https://drive.google.com/file/d/1vK24NFXkAEK0bu_9NdAn5bBK9QOXWC3-/view?usp=drivesdk</t>
  </si>
  <si>
    <t>Document successfully created; Document successfully merged; PDF created; Emails Sent: [To: rutuwagh02@gmail.com]; Run via form trigger as codectechnologies0@gmail.com; Timestamp: Aug 26, 2026 4:48 AM</t>
  </si>
  <si>
    <t>Mane Shrutika Abaso</t>
  </si>
  <si>
    <t>maneshrutika770@gmail.com</t>
  </si>
  <si>
    <t>PES' college of engineering, phaltan</t>
  </si>
  <si>
    <t>1N-bXiqQLCzyrPueTyKg_hfVZEcbIp5dS</t>
  </si>
  <si>
    <t>https://drive.google.com/file/d/1N-bXiqQLCzyrPueTyKg_hfVZEcbIp5dS/view?usp=drivesdk</t>
  </si>
  <si>
    <t>Document successfully created; Document successfully merged; PDF created; Emails Sent: [To: maneshrutika770@gmail.com]; Run via form trigger as codectechnologies0@gmail.com; Timestamp: Aug 26, 2026 4:48 AM</t>
  </si>
  <si>
    <t>Sakshi Dattu Jadhav</t>
  </si>
  <si>
    <t>sj2424140@gmail.com</t>
  </si>
  <si>
    <t>deogiri institute of engineering and management studies, chh sambhajinagar</t>
  </si>
  <si>
    <t>1Pz6daYsXFFB3N4f7GtBP-lBhIWXPSb9x</t>
  </si>
  <si>
    <t>https://drive.google.com/file/d/1Pz6daYsXFFB3N4f7GtBP-lBhIWXPSb9x/view?usp=drivesdk</t>
  </si>
  <si>
    <t>Document successfully created; Document successfully merged; PDF created; Emails Sent: [To: sj2424140@gmail.com]; Run via form trigger as codectechnologies0@gmail.com; Timestamp: Aug 26, 2026 4:57 AM</t>
  </si>
  <si>
    <t xml:space="preserve">Raunak kumar </t>
  </si>
  <si>
    <t>singhraunak125i@gmail.com</t>
  </si>
  <si>
    <t xml:space="preserve">IILM University </t>
  </si>
  <si>
    <t>113KylLtbnruCxp6M4T1D7WagZsNHF68Q</t>
  </si>
  <si>
    <t>https://drive.google.com/file/d/113KylLtbnruCxp6M4T1D7WagZsNHF68Q/view?usp=drivesdk</t>
  </si>
  <si>
    <t>Document successfully created; Document successfully merged; PDF created; Emails Sent: [To: singhraunak125i@gmail.com]; Run via form trigger as codectechnologies0@gmail.com; Timestamp: Aug 26, 2026 5:09 AM</t>
  </si>
  <si>
    <t>LAHARI DERANGULA</t>
  </si>
  <si>
    <t>lahariderangula55@gmail.com</t>
  </si>
  <si>
    <t>Qis college of engineering and technology</t>
  </si>
  <si>
    <t>1S35QSIXVyJ4TvycREA5rGCHGhQ0MlRv8</t>
  </si>
  <si>
    <t>https://drive.google.com/file/d/1S35QSIXVyJ4TvycREA5rGCHGhQ0MlRv8/view?usp=drivesdk</t>
  </si>
  <si>
    <t>Document successfully created; Document successfully merged; PDF created; Emails Sent: [To: lahariderangula55@gmail.com]; Run via form trigger as codectechnologies0@gmail.com; Timestamp: Aug 26, 2026 5:15 AM</t>
  </si>
  <si>
    <t>1FMjiMMV224JXGuVgYFSc3mHStedDY-Tc</t>
  </si>
  <si>
    <t>https://drive.google.com/file/d/1FMjiMMV224JXGuVgYFSc3mHStedDY-Tc/view?usp=drivesdk</t>
  </si>
  <si>
    <t>Document successfully created; Document successfully merged; PDF created; Emails Sent: [To: singhraunak125i@gmail.com]; Run via form trigger as codectechnologies0@gmail.com; Timestamp: Aug 26, 2026 5:16 AM</t>
  </si>
  <si>
    <t>Addepalli Bhanu sri</t>
  </si>
  <si>
    <t>bhanusriaddepalli8886227874@gmail.com</t>
  </si>
  <si>
    <t>1odu8uY3qEQRfGMPiokfKs8mgFO7rXXLK</t>
  </si>
  <si>
    <t>https://drive.google.com/file/d/1odu8uY3qEQRfGMPiokfKs8mgFO7rXXLK/view?usp=drivesdk</t>
  </si>
  <si>
    <t>Document successfully created; Document successfully merged; PDF created; Emails Sent: [To: bhanusriaddepalli8886227874@gmail.com]; Run via form trigger as codectechnologies0@gmail.com; Timestamp: Aug 26, 2026 5:20 AM</t>
  </si>
  <si>
    <t>Ayush Negi</t>
  </si>
  <si>
    <t>anegi52005@gmail.com</t>
  </si>
  <si>
    <t>19rqqzPrqUXCY_fgU-F6RFRme-6uUx33C</t>
  </si>
  <si>
    <t>https://drive.google.com/file/d/19rqqzPrqUXCY_fgU-F6RFRme-6uUx33C/view?usp=drivesdk</t>
  </si>
  <si>
    <t>Document successfully created; Document successfully merged; PDF created; Emails Sent: [To: anegi52005@gmail.com]; Run via form trigger as codectechnologies0@gmail.com; Timestamp: Aug 26, 2026 5:24 AM</t>
  </si>
  <si>
    <t>Instagram, Friend, Email</t>
  </si>
  <si>
    <t>1f8gBspxfx9llCr6rGxXoXyHzcHU0V2AA</t>
  </si>
  <si>
    <t>https://drive.google.com/file/d/1f8gBspxfx9llCr6rGxXoXyHzcHU0V2AA/view?usp=drivesdk</t>
  </si>
  <si>
    <t>Document successfully created; Document successfully merged; PDF created; Emails Sent: [To: iotgamer38@gmail.com]; Run via form trigger as codectechnologies0@gmail.com; Timestamp: Aug 26, 2026 5:24 AM</t>
  </si>
  <si>
    <t>Ritheeshwar s</t>
  </si>
  <si>
    <t>ritheeshwar64@gmail.com</t>
  </si>
  <si>
    <t>14llfwU_MMBW4J2qDqcQXjc8_1Dq46sXN</t>
  </si>
  <si>
    <t>https://drive.google.com/file/d/14llfwU_MMBW4J2qDqcQXjc8_1Dq46sXN/view?usp=drivesdk</t>
  </si>
  <si>
    <t>Document successfully created; Document successfully merged; PDF created; Emails Sent: [To: ritheeshwar64@gmail.com]; Run via form trigger as codectechnologies0@gmail.com; Timestamp: Aug 26, 2026 5:24 AM</t>
  </si>
  <si>
    <t>Babul Shriwastav</t>
  </si>
  <si>
    <t>babulshriwastav2222@gmail.com</t>
  </si>
  <si>
    <t xml:space="preserve">Galgotias University </t>
  </si>
  <si>
    <t>1r1Os5XLBZ8g4KU0WnIjOjJqiipMOiDGi</t>
  </si>
  <si>
    <t>https://drive.google.com/file/d/1r1Os5XLBZ8g4KU0WnIjOjJqiipMOiDGi/view?usp=drivesdk</t>
  </si>
  <si>
    <t>Document successfully created; Document successfully merged; PDF created; Emails Sent: [To: babulshriwastav2222@gmail.com]; Run via form trigger as codectechnologies0@gmail.com; Timestamp: Aug 26, 2026 5:38 AM</t>
  </si>
  <si>
    <t xml:space="preserve">St.Aloysius College </t>
  </si>
  <si>
    <t>1RsmPFiEE3-9Xv2SPBcstm3QeckE85aNX</t>
  </si>
  <si>
    <t>https://drive.google.com/file/d/1RsmPFiEE3-9Xv2SPBcstm3QeckE85aNX/view?usp=drivesdk</t>
  </si>
  <si>
    <t>Document successfully created; Document successfully merged; PDF created; Emails Sent: [To: kkushwaha7509@gmail.com]; Run via form trigger as codectechnologies0@gmail.com; Timestamp: Aug 26, 2026 5:44 AM</t>
  </si>
  <si>
    <t xml:space="preserve">SHAIK SAMEER BASHA </t>
  </si>
  <si>
    <t>1NuRBY8ZazeoVcTiwtuqYndT7cBfK7dBh</t>
  </si>
  <si>
    <t>https://drive.google.com/file/d/1NuRBY8ZazeoVcTiwtuqYndT7cBfK7dBh/view?usp=drivesdk</t>
  </si>
  <si>
    <t>Document successfully created; Document successfully merged; PDF created; Emails Sent: [To: sameerbashashaik09@gmail.com]; Run via form trigger as codectechnologies0@gmail.com; Timestamp: Aug 26, 2026 5:51 AM</t>
  </si>
  <si>
    <t>Abhishek Rao</t>
  </si>
  <si>
    <t>23csu008@ncuindia.edu</t>
  </si>
  <si>
    <t xml:space="preserve">The NorthCap University </t>
  </si>
  <si>
    <t>1Yuo0bwT2Dq-mZeTeCxLu5cKXppZtBdnn</t>
  </si>
  <si>
    <t>https://drive.google.com/file/d/1Yuo0bwT2Dq-mZeTeCxLu5cKXppZtBdnn/view?usp=drivesdk</t>
  </si>
  <si>
    <t>Document successfully created; Document successfully merged; PDF created; Emails Sent: [To: 23csu008@ncuindia.edu]; Run via form trigger as codectechnologies0@gmail.com; Timestamp: Aug 26, 2026 6:07 AM</t>
  </si>
  <si>
    <t>Ayush Chauhan</t>
  </si>
  <si>
    <t>chauhanayush07mod@gmail.com</t>
  </si>
  <si>
    <t xml:space="preserve">Uttaranchal Institute Of Technology </t>
  </si>
  <si>
    <t>1RThdfmY1gGkvqPcvvWD_rRQZTnphjzze</t>
  </si>
  <si>
    <t>https://drive.google.com/file/d/1RThdfmY1gGkvqPcvvWD_rRQZTnphjzze/view?usp=drivesdk</t>
  </si>
  <si>
    <t>Document successfully created; Document successfully merged; PDF created; Emails Sent: [To: chauhanayush07mod@gmail.com]; Run via form trigger as codectechnologies0@gmail.com; Timestamp: Aug 26, 2026 6:07 AM</t>
  </si>
  <si>
    <t>sk1732836@gmail.com</t>
  </si>
  <si>
    <t>1-Ae5TDEQ7BeR69QrxtSCRI81csC5MpJL</t>
  </si>
  <si>
    <t>https://drive.google.com/file/d/1-Ae5TDEQ7BeR69QrxtSCRI81csC5MpJL/view?usp=drivesdk</t>
  </si>
  <si>
    <t>Document successfully created; Document successfully merged; PDF created; Emails Sent: [To: sk1732836@gmail.com]; Run via form trigger as codectechnologies0@gmail.com; Timestamp: Aug 26, 2026 6:10 AM</t>
  </si>
  <si>
    <t>Sudarshan Sidram Koli</t>
  </si>
  <si>
    <t>kolisudarshan14@gmail.com</t>
  </si>
  <si>
    <t>Dayanand Science college ,Latur</t>
  </si>
  <si>
    <t>1vwR3Y-HQWymFhZfskfHxpjzSak49a-JT</t>
  </si>
  <si>
    <t>https://drive.google.com/file/d/1vwR3Y-HQWymFhZfskfHxpjzSak49a-JT/view?usp=drivesdk</t>
  </si>
  <si>
    <t>Document successfully created; Document successfully merged; PDF created; Emails Sent: [To: kolisudarshan14@gmail.com]; Run via form trigger as codectechnologies0@gmail.com; Timestamp: Aug 26, 2026 6:14 AM</t>
  </si>
  <si>
    <t>Pratik Yadav</t>
  </si>
  <si>
    <t>yadavpratik2018@gmail.com</t>
  </si>
  <si>
    <t>The NorthCap University</t>
  </si>
  <si>
    <t>1oFt_EO2rpAIaQzJl4XWHBQsYa-g5YbtP</t>
  </si>
  <si>
    <t>https://drive.google.com/file/d/1oFt_EO2rpAIaQzJl4XWHBQsYa-g5YbtP/view?usp=drivesdk</t>
  </si>
  <si>
    <t>Document successfully created; Document successfully merged; PDF created; Emails Sent: [To: yadavpratik2018@gmail.com]; Run via form trigger as codectechnologies0@gmail.com; Timestamp: Aug 26, 2026 6:18 AM</t>
  </si>
  <si>
    <t xml:space="preserve">Siddharth Singh A </t>
  </si>
  <si>
    <t>siddharthsingh.tech08@gmail.com</t>
  </si>
  <si>
    <t>1HLNGukKdC63r_97eNKq_SBTkjri3NmUO</t>
  </si>
  <si>
    <t>https://drive.google.com/file/d/1HLNGukKdC63r_97eNKq_SBTkjri3NmUO/view?usp=drivesdk</t>
  </si>
  <si>
    <t>Document successfully created; Document successfully merged; PDF created; Emails Sent: [To: siddharthsingh.tech08@gmail.com]; Run via form trigger as codectechnologies0@gmail.com; Timestamp: Aug 26, 2026 6:21 AM</t>
  </si>
  <si>
    <t>Harsh Sharma</t>
  </si>
  <si>
    <t>harshtsharma004@gmail.com</t>
  </si>
  <si>
    <t>09759812283</t>
  </si>
  <si>
    <t>JSS academy of technical education</t>
  </si>
  <si>
    <t>1vRVVQdEH-MMAO8Rjx4hbfzRpNMh2e60Y</t>
  </si>
  <si>
    <t>https://drive.google.com/file/d/1vRVVQdEH-MMAO8Rjx4hbfzRpNMh2e60Y/view?usp=drivesdk</t>
  </si>
  <si>
    <t>Document successfully created; Document successfully merged; PDF created; Emails Sent: [To: harshtsharma004@gmail.com]; Run via form trigger as codectechnologies0@gmail.com; Timestamp: Aug 26, 2026 7:06 AM</t>
  </si>
  <si>
    <t>116KF163kIg9i3OgLXT-m_7B1euFjRc_g</t>
  </si>
  <si>
    <t>https://drive.google.com/file/d/116KF163kIg9i3OgLXT-m_7B1euFjRc_g/view?usp=drivesdk</t>
  </si>
  <si>
    <t>Document successfully created; Document successfully merged; PDF created; Emails Sent: [To: bhanusriaddepalli8886227874@gmail.com]; Run via form trigger as codectechnologies0@gmail.com; Timestamp: Aug 26, 2026 7:15 AM</t>
  </si>
  <si>
    <t>Vrushali Mohan Karpe</t>
  </si>
  <si>
    <t>vrushalikarpe1204@gmail.com</t>
  </si>
  <si>
    <t xml:space="preserve">Vidyalankar Institute Of Technology </t>
  </si>
  <si>
    <t>1Y3J1fDbdsMjKKfMIwx9SDsoRI-uTjX73</t>
  </si>
  <si>
    <t>https://drive.google.com/file/d/1Y3J1fDbdsMjKKfMIwx9SDsoRI-uTjX73/view?usp=drivesdk</t>
  </si>
  <si>
    <t>Document successfully created; Document successfully merged; PDF created; Emails Sent: [To: vrushalikarpe1204@gmail.com]; Run via form trigger as codectechnologies0@gmail.com; Timestamp: Aug 26, 2026 7:16 AM</t>
  </si>
  <si>
    <t xml:space="preserve">Uppalapati Likhitha </t>
  </si>
  <si>
    <t>239x1a05m5@gprec.ac.in</t>
  </si>
  <si>
    <t xml:space="preserve">G.Pulla Reddy Engineering College </t>
  </si>
  <si>
    <t>1q1kj8Yfb9ecozZ9UZe3_QpaDZsitJVAj</t>
  </si>
  <si>
    <t>https://drive.google.com/file/d/1q1kj8Yfb9ecozZ9UZe3_QpaDZsitJVAj/view?usp=drivesdk</t>
  </si>
  <si>
    <t>Document successfully created; Document successfully merged; PDF created; Emails Sent: [To: 239x1a05m5@gprec.ac.in]; Run via form trigger as codectechnologies0@gmail.com; Timestamp: Aug 26, 2026 7:32 AM</t>
  </si>
  <si>
    <t>Suraj Sah</t>
  </si>
  <si>
    <t>kumarsah2347@gmailcom</t>
  </si>
  <si>
    <t>Shaheed Sukhdev College Of Business Studies</t>
  </si>
  <si>
    <t>1Y5JB75HwBL0K97groEaulQPdv7oiPiLD</t>
  </si>
  <si>
    <t>https://drive.google.com/file/d/1Y5JB75HwBL0K97groEaulQPdv7oiPiLD/view?usp=drivesdk</t>
  </si>
  <si>
    <t>Document successfully created; Document successfully merged; PDF created; Emails Sent: [To: kumarsah2347@gmailcom]; Run via form trigger as codectechnologies0@gmail.com; Timestamp: Aug 26, 2026 7:38 AM</t>
  </si>
  <si>
    <t>Suraj Kumar Sah</t>
  </si>
  <si>
    <t>kumarsah2347@gmail.com</t>
  </si>
  <si>
    <t xml:space="preserve">Shaheed Sukhdev College Of Business Studies </t>
  </si>
  <si>
    <t>1IMACt_CfXAia3By-RGn_uKVon-8imZKt</t>
  </si>
  <si>
    <t>https://drive.google.com/file/d/1IMACt_CfXAia3By-RGn_uKVon-8imZKt/view?usp=drivesdk</t>
  </si>
  <si>
    <t>Document successfully created; Document successfully merged; PDF created; Emails Sent: [To: kumarsah2347@gmail.com]; Run via form trigger as codectechnologies0@gmail.com; Timestamp: Aug 26, 2026 7:49 AM</t>
  </si>
  <si>
    <t>Sinthuja</t>
  </si>
  <si>
    <t>sinthujaaroumougam@gmail.com</t>
  </si>
  <si>
    <t>Sri Manakula Vinayagar Engineering College</t>
  </si>
  <si>
    <t>1y_7cYaz1dZG1-95wBmrQAOx0bHHvBByS</t>
  </si>
  <si>
    <t>https://drive.google.com/file/d/1y_7cYaz1dZG1-95wBmrQAOx0bHHvBByS/view?usp=drivesdk</t>
  </si>
  <si>
    <t>Document successfully created; Document successfully merged; PDF created; Emails Sent: [To: sinthujaaroumougam@gmail.com]; Run via form trigger as codectechnologies0@gmail.com; Timestamp: Aug 26, 2026 7:53 AM</t>
  </si>
  <si>
    <t>Alok Anand</t>
  </si>
  <si>
    <t>alokanand831@gmail.com</t>
  </si>
  <si>
    <t>dyal singh college karnal</t>
  </si>
  <si>
    <t>1uZms4d5UOeTHJvoe_n4nFjuJpGyieouc</t>
  </si>
  <si>
    <t>https://drive.google.com/file/d/1uZms4d5UOeTHJvoe_n4nFjuJpGyieouc/view?usp=drivesdk</t>
  </si>
  <si>
    <t>Document successfully created; Document successfully merged; PDF created; Emails Sent: [To: alokanand831@gmail.com]; Run via form trigger as codectechnologies0@gmail.com; Timestamp: Aug 26, 2026 7:54 AM</t>
  </si>
  <si>
    <t>Jagjeeth C Karunakaran</t>
  </si>
  <si>
    <t>mdmubarak8904890479@gmail.com</t>
  </si>
  <si>
    <t xml:space="preserve">CMR University </t>
  </si>
  <si>
    <t>1TKgBCsk9nbkIkbNSARvFqD_ut6vSkvmm</t>
  </si>
  <si>
    <t>https://drive.google.com/file/d/1TKgBCsk9nbkIkbNSARvFqD_ut6vSkvmm/view?usp=drivesdk</t>
  </si>
  <si>
    <t>Document successfully created; Document successfully merged; PDF created; Emails Sent: [To: mdmubarak8904890479@gmail.com]; Run via form trigger as codectechnologies0@gmail.com; Timestamp: Aug 26, 2026 8:09 AM</t>
  </si>
  <si>
    <t>Saksham Gupta</t>
  </si>
  <si>
    <t>1TlYJe7M56u8x3tUX4CY2LG8ADiNY2NaS</t>
  </si>
  <si>
    <t>https://drive.google.com/file/d/1TlYJe7M56u8x3tUX4CY2LG8ADiNY2NaS/view?usp=drivesdk</t>
  </si>
  <si>
    <t>Document successfully created; Document successfully merged; PDF created; Emails Sent: [To: sakshamsggupta0@gmail.com]; Run via form trigger as codectechnologies0@gmail.com; Timestamp: Aug 26, 2026 8:34 AM</t>
  </si>
  <si>
    <t>Amit meena</t>
  </si>
  <si>
    <t>amitjhirwal11@gmail.com</t>
  </si>
  <si>
    <t>IIT ROORKEE</t>
  </si>
  <si>
    <t>1zZ96HTVfZIj528kKmDY94QBpaF-oqhnL</t>
  </si>
  <si>
    <t>https://drive.google.com/file/d/1zZ96HTVfZIj528kKmDY94QBpaF-oqhnL/view?usp=drivesdk</t>
  </si>
  <si>
    <t>Document successfully created; Document successfully merged; PDF created; Emails Sent: [To: amitjhirwal11@gmail.com]; Run via form trigger as codectechnologies0@gmail.com; Timestamp: Aug 26, 2026 8:48 AM</t>
  </si>
  <si>
    <t xml:space="preserve">Subrat Barik </t>
  </si>
  <si>
    <t>subratbarik53311@gmail.com</t>
  </si>
  <si>
    <t xml:space="preserve">Shishu Ananta degree mahavidyalaya, Balipatna </t>
  </si>
  <si>
    <t>1UmG2Zm9D0A3_z7DNxbWVJsn3_5Jx2IuO</t>
  </si>
  <si>
    <t>https://drive.google.com/file/d/1UmG2Zm9D0A3_z7DNxbWVJsn3_5Jx2IuO/view?usp=drivesdk</t>
  </si>
  <si>
    <t>Document successfully created; Document successfully merged; PDF created; Emails Sent: [To: subratbarik53311@gmail.com]; Run via form trigger as codectechnologies0@gmail.com; Timestamp: Aug 26, 2026 8:58 AM</t>
  </si>
  <si>
    <t>Pradeep Chalamcharla</t>
  </si>
  <si>
    <t>pradeepchalamcharla24@gmail.com</t>
  </si>
  <si>
    <t>SRM University AP</t>
  </si>
  <si>
    <t>12nzitjTb8D5-3dsVHTLE8HOAfJDLpd5_</t>
  </si>
  <si>
    <t>https://drive.google.com/file/d/12nzitjTb8D5-3dsVHTLE8HOAfJDLpd5_/view?usp=drivesdk</t>
  </si>
  <si>
    <t>Document successfully created; Document successfully merged; PDF created; Emails Sent: [To: pradeepchalamcharla24@gmail.com]; Run via form trigger as codectechnologies0@gmail.com; Timestamp: Aug 26, 2026 9:21 AM</t>
  </si>
  <si>
    <t xml:space="preserve">Ankit </t>
  </si>
  <si>
    <t>Friend, Email, Other</t>
  </si>
  <si>
    <t>1SSINg63yFml2y9ZX02JrmQ0s9W0IiX1v</t>
  </si>
  <si>
    <t>https://drive.google.com/file/d/1SSINg63yFml2y9ZX02JrmQ0s9W0IiX1v/view?usp=drivesdk</t>
  </si>
  <si>
    <t>Document successfully created; Document successfully merged; PDF created; Emails Sent: [To: ankit.25scs1003005290@iilm.edu]; Run via form trigger as codectechnologies0@gmail.com; Timestamp: Aug 26, 2026 9:23 AM</t>
  </si>
  <si>
    <t>Anusha Rana</t>
  </si>
  <si>
    <t>ranaanusha172@gmail.com</t>
  </si>
  <si>
    <t xml:space="preserve">KC COLLEGE </t>
  </si>
  <si>
    <t>1JgLqXm3q-SY7WNrLIv_e2ZGz86W2PWHI</t>
  </si>
  <si>
    <t>https://drive.google.com/file/d/1JgLqXm3q-SY7WNrLIv_e2ZGz86W2PWHI/view?usp=drivesdk</t>
  </si>
  <si>
    <t>Document successfully created; Document successfully merged; PDF created; Emails Sent: [To: ranaanusha172@gmail.com]; Run via form trigger as codectechnologies0@gmail.com; Timestamp: Aug 26, 2026 9:24 AM</t>
  </si>
  <si>
    <t>1y8_PrQ-DiDvXp_AETLqaUI5WJtBkRWf2</t>
  </si>
  <si>
    <t>https://drive.google.com/file/d/1y8_PrQ-DiDvXp_AETLqaUI5WJtBkRWf2/view?usp=drivesdk</t>
  </si>
  <si>
    <t>Document successfully created; Document successfully merged; PDF created; Emails Sent: [To: rudrarh99@gmail.com]; Run via form trigger as codectechnologies0@gmail.com; Timestamp: Aug 26, 2026 9:37 AM</t>
  </si>
  <si>
    <t>1O-QJLLDw1h1pOI4HhF9SjCiuFQOiRqOK</t>
  </si>
  <si>
    <t>https://drive.google.com/file/d/1O-QJLLDw1h1pOI4HhF9SjCiuFQOiRqOK/view?usp=drivesdk</t>
  </si>
  <si>
    <t>Document successfully created; Document successfully merged; PDF created; !!Error Sending Emails: Service invoked too many times for one day: email.; Run via form trigger as codectechnologies0@gmail.com; Timestamp: Aug 26, 2026 9:43 AM</t>
  </si>
  <si>
    <t xml:space="preserve">Swayam Singh </t>
  </si>
  <si>
    <t>samyt2104@gmail.com</t>
  </si>
  <si>
    <t xml:space="preserve">Uttaranchal Institute of Technology </t>
  </si>
  <si>
    <t>1NdA34u8J_cnOeLttfVf_uoZIvoGKq9fA</t>
  </si>
  <si>
    <t>https://drive.google.com/file/d/1NdA34u8J_cnOeLttfVf_uoZIvoGKq9fA/view?usp=drivesdk</t>
  </si>
  <si>
    <t>Document successfully created; Document successfully merged; PDF created; Emails Sent: [To: samyt2104@gmail.com]; Run via form trigger as codectechnologies0@gmail.com; Timestamp: Aug 26, 2026 9:45 AM</t>
  </si>
  <si>
    <t>Ayush singh kalakoti</t>
  </si>
  <si>
    <t>1nH0dvB_TX_0OvgQgZ4xCR5WU_FFe8mUS</t>
  </si>
  <si>
    <t>https://drive.google.com/file/d/1nH0dvB_TX_0OvgQgZ4xCR5WU_FFe8mUS/view?usp=drivesdk</t>
  </si>
  <si>
    <t>Document successfully created; Document successfully merged; PDF created; Emails Sent: [To: iotgamer38@gmail.com]; Run via form trigger as codectechnologies0@gmail.com; Timestamp: Aug 26, 2026 9:55 AM</t>
  </si>
  <si>
    <t xml:space="preserve">Ayush singh Kalakoti </t>
  </si>
  <si>
    <t>iothamer38@gmail.com</t>
  </si>
  <si>
    <t>10Qd2WSZEzdM8WLmFExzsQhD-8ExfLsMN</t>
  </si>
  <si>
    <t>https://drive.google.com/file/d/10Qd2WSZEzdM8WLmFExzsQhD-8ExfLsMN/view?usp=drivesdk</t>
  </si>
  <si>
    <t>Document successfully created; Document successfully merged; PDF created; !!Error Sending Emails: Service invoked too many times for one day: email.; Run via form trigger as codectechnologies0@gmail.com; Timestamp: Aug 26, 2026 9:59 AM</t>
  </si>
  <si>
    <t xml:space="preserve">Bhawesh </t>
  </si>
  <si>
    <t>vigbhavesh880@gmail.com</t>
  </si>
  <si>
    <t>DAV COLLEGE</t>
  </si>
  <si>
    <t>1SQIP7k8cQ-iwsoEQhFONKyP0Jb-8Scwd</t>
  </si>
  <si>
    <t>https://drive.google.com/file/d/1SQIP7k8cQ-iwsoEQhFONKyP0Jb-8Scwd/view?usp=drivesdk</t>
  </si>
  <si>
    <t>Document successfully created; Document successfully merged; PDF created; Emails Sent: [To: vigbhavesh880@gmail.com]; Run via form trigger as codectechnologies0@gmail.com; Timestamp: Aug 26, 2026 10:06 AM</t>
  </si>
  <si>
    <t xml:space="preserve">Mohd Aakib </t>
  </si>
  <si>
    <t>kaakib144@gmail.com</t>
  </si>
  <si>
    <t xml:space="preserve">Abes Institute of Technology </t>
  </si>
  <si>
    <t>1yF6IYX-pqh_F1ODYKSlxLgfbDJxRmO8Y</t>
  </si>
  <si>
    <t>https://drive.google.com/file/d/1yF6IYX-pqh_F1ODYKSlxLgfbDJxRmO8Y/view?usp=drivesdk</t>
  </si>
  <si>
    <t>Document successfully created; Document successfully merged; PDF created; Emails Sent: [To: kaakib144@gmail.com]; Run via form trigger as codectechnologies0@gmail.com; Timestamp: Aug 26, 2026 10:08 AM</t>
  </si>
  <si>
    <t>Utkarsh Abhik</t>
  </si>
  <si>
    <t>utkarshabhik6@gmail.com</t>
  </si>
  <si>
    <t>1EauVhetTHyoNAhHnND0qCKc9ZMPalsux</t>
  </si>
  <si>
    <t>https://drive.google.com/file/d/1EauVhetTHyoNAhHnND0qCKc9ZMPalsux/view?usp=drivesdk</t>
  </si>
  <si>
    <t>Document successfully created; Document successfully merged; PDF created; !!Error Sending Emails: Service invoked too many times for one day: email.; Run via form trigger as codectechnologies0@gmail.com; Timestamp: Aug 26, 2026 10:09 AM</t>
  </si>
  <si>
    <t>PAWAN KRISHNA S</t>
  </si>
  <si>
    <t>ak9444626802@gmail.com</t>
  </si>
  <si>
    <t>1C8-KXIZfNTeurlCfgP6R1NB8PadE324o</t>
  </si>
  <si>
    <t>https://drive.google.com/file/d/1C8-KXIZfNTeurlCfgP6R1NB8PadE324o/view?usp=drivesdk</t>
  </si>
  <si>
    <t>Document successfully created; Document successfully merged; PDF created; Emails Sent: [To: ak9444626802@gmail.com]; Run via form trigger as codectechnologies0@gmail.com; Timestamp: Aug 26, 2026 10:17 AM</t>
  </si>
  <si>
    <t>TURPUNATI SHAIK MOBINA</t>
  </si>
  <si>
    <t>tsmobina4@gmail.com</t>
  </si>
  <si>
    <t xml:space="preserve">SRI Ramakrishna degree College </t>
  </si>
  <si>
    <t>1Al73qP8dWW0CZnPBeBF74x6NI8xv3LIT</t>
  </si>
  <si>
    <t>https://drive.google.com/file/d/1Al73qP8dWW0CZnPBeBF74x6NI8xv3LIT/view?usp=drivesdk</t>
  </si>
  <si>
    <t>Document successfully created; Document successfully merged; PDF created; Emails Sent: [To: tsmobina4@gmail.com]; Run via form trigger as codectechnologies0@gmail.com; Timestamp: Aug 26, 2026 10:19 AM</t>
  </si>
  <si>
    <t>Sandeep Chaurasiya</t>
  </si>
  <si>
    <t>sandeepgolu0143@gmail.com</t>
  </si>
  <si>
    <t>ITM GIDA GORAKHPUR</t>
  </si>
  <si>
    <t>1ylxBYTDFPW5y7uHJ_56SJiBtCLt3Xd3-</t>
  </si>
  <si>
    <t>https://drive.google.com/file/d/1ylxBYTDFPW5y7uHJ_56SJiBtCLt3Xd3-/view?usp=drivesdk</t>
  </si>
  <si>
    <t>Document successfully created; Document successfully merged; PDF created; !!Error Sending Emails: Service invoked too many times for one day: email.; Run via form trigger as codectechnologies0@gmail.com; Timestamp: Aug 26, 2026 10:20 AM</t>
  </si>
  <si>
    <t>Panya Shree M</t>
  </si>
  <si>
    <t>panyashree1275@gmail.com</t>
  </si>
  <si>
    <t>Vemana Institute of Technology</t>
  </si>
  <si>
    <t>1AWQWPjwnZXimwQk0vL0cGveMGdOHLMZe</t>
  </si>
  <si>
    <t>https://drive.google.com/file/d/1AWQWPjwnZXimwQk0vL0cGveMGdOHLMZe/view?usp=drivesdk</t>
  </si>
  <si>
    <t>Document successfully created; Document successfully merged; PDF created; !!Error Sending Emails: Service invoked too many times for one day: email.; Run via form trigger as codectechnologies0@gmail.com; Timestamp: Aug 26, 2026 10:21 AM</t>
  </si>
  <si>
    <t>1eS51r_R6wWzUQ-atIzRPi8GHzzbUCSZN</t>
  </si>
  <si>
    <t>https://drive.google.com/file/d/1eS51r_R6wWzUQ-atIzRPi8GHzzbUCSZN/view?usp=drivesdk</t>
  </si>
  <si>
    <t>Document successfully created; Document successfully merged; PDF created; Emails Sent: [To: tsmobina4@gmail.com]; Run via form trigger as codectechnologies0@gmail.com; Timestamp: Aug 26, 2026 10:26 AM</t>
  </si>
  <si>
    <t>1tZ5jUgaUKPxXwg94ivyv-rvJK-fU-qCy</t>
  </si>
  <si>
    <t>https://drive.google.com/file/d/1tZ5jUgaUKPxXwg94ivyv-rvJK-fU-qCy/view?usp=drivesdk</t>
  </si>
  <si>
    <t>Document successfully created; Document successfully merged; PDF created; !!Error Sending Emails: Service invoked too many times for one day: email.; Run via form trigger as codectechnologies0@gmail.com; Timestamp: Aug 26, 2026 10:28 AM</t>
  </si>
  <si>
    <t xml:space="preserve">Rohit Kumar </t>
  </si>
  <si>
    <t>krohit75859@gmail.com</t>
  </si>
  <si>
    <t xml:space="preserve">Acharya bangalore business school </t>
  </si>
  <si>
    <t>1KsXhIFv_jC3jZUE6_KEmA14PyTC4ern3</t>
  </si>
  <si>
    <t>https://drive.google.com/file/d/1KsXhIFv_jC3jZUE6_KEmA14PyTC4ern3/view?usp=drivesdk</t>
  </si>
  <si>
    <t>Document successfully created; Document successfully merged; PDF created; !!Error Sending Emails: Service invoked too many times for one day: email.; Run via form trigger as codectechnologies0@gmail.com; Timestamp: Aug 26, 2026 10:29 AM</t>
  </si>
  <si>
    <t>1wygrkrGzHAFNxHr3PLNAW-GXMfkPb0iy</t>
  </si>
  <si>
    <t>https://drive.google.com/file/d/1wygrkrGzHAFNxHr3PLNAW-GXMfkPb0iy/view?usp=drivesdk</t>
  </si>
  <si>
    <t>Document successfully created; Document successfully merged; PDF created; !!Error Sending Emails: Service invoked too many times for one day: email.; Run via form trigger as codectechnologies0@gmail.com; Timestamp: Aug 26, 2026 10:32 AM</t>
  </si>
  <si>
    <t xml:space="preserve">Shravani Milind Kadam </t>
  </si>
  <si>
    <t xml:space="preserve">kadamshravani736@gmail.com </t>
  </si>
  <si>
    <t>1Aw0HRY6oAGmde2s4UEymiAFXpbnLo7Dd</t>
  </si>
  <si>
    <t>https://drive.google.com/file/d/1Aw0HRY6oAGmde2s4UEymiAFXpbnLo7Dd/view?usp=drivesdk</t>
  </si>
  <si>
    <t>Document successfully created; Document successfully merged; PDF created; Emails Sent: [To: kadamshravani736@gmail.com]; Run via form trigger as codectechnologies0@gmail.com; Timestamp: Aug 26, 2026 10:39 AM</t>
  </si>
  <si>
    <t xml:space="preserve">TURPUNATI SHAIK MOBINA </t>
  </si>
  <si>
    <t>1Syl-HimJtwrhuKM_-gH7N7WMAEC_GqAA</t>
  </si>
  <si>
    <t>https://drive.google.com/file/d/1Syl-HimJtwrhuKM_-gH7N7WMAEC_GqAA/view?usp=drivesdk</t>
  </si>
  <si>
    <t>Document successfully created; Document successfully merged; PDF created; Emails Sent: [To: tsmobina4@gmail.com]; Run via form trigger as codectechnologies0@gmail.com; Timestamp: Aug 26, 2026 10:39 AM</t>
  </si>
  <si>
    <t>Vaka.Nandini</t>
  </si>
  <si>
    <t>goudnandu83@gmail.com</t>
  </si>
  <si>
    <t xml:space="preserve">Priyadarshini Institute of Science and Technology for women khammam </t>
  </si>
  <si>
    <t>15dJgk3Y2-VnlSEMxA7aQJ9VQGKHOFZ9I</t>
  </si>
  <si>
    <t>https://drive.google.com/file/d/15dJgk3Y2-VnlSEMxA7aQJ9VQGKHOFZ9I/view?usp=drivesdk</t>
  </si>
  <si>
    <t>Document successfully created; Document successfully merged; PDF created; Emails Sent: [To: goudnandu83@gmail.com]; Run via form trigger as codectechnologies0@gmail.com; Timestamp: Aug 26, 2026 10:59 AM</t>
  </si>
  <si>
    <t>BHUVAN CHANDRA VADDEPALLY</t>
  </si>
  <si>
    <t>bhuvanvaddepally@gmail.com</t>
  </si>
  <si>
    <t>PARUL UNIVERSITY</t>
  </si>
  <si>
    <t>11DX53L-qdi207xE9O1Ek04Qf1Kwg8Xvq</t>
  </si>
  <si>
    <t>https://drive.google.com/file/d/11DX53L-qdi207xE9O1Ek04Qf1Kwg8Xvq/view?usp=drivesdk</t>
  </si>
  <si>
    <t>Document successfully created; Document successfully merged; PDF created; Emails Sent: [To: bhuvanvaddepally@gmail.com]; Run via form trigger as codectechnologies0@gmail.com; Timestamp: Aug 26, 2026 11:04 AM</t>
  </si>
  <si>
    <t>Ayush Butola</t>
  </si>
  <si>
    <t>ashbutola94@gmail.com</t>
  </si>
  <si>
    <t>1eqn1ZZ6GvFz2vxNj_kraUxfTwk2cgpwg</t>
  </si>
  <si>
    <t>https://drive.google.com/file/d/1eqn1ZZ6GvFz2vxNj_kraUxfTwk2cgpwg/view?usp=drivesdk</t>
  </si>
  <si>
    <t>Document successfully created; Document successfully merged; PDF created; Emails Sent: [To: ashbutola94@gmail.com]; Run via form trigger as codectechnologies0@gmail.com; Timestamp: Aug 26, 2026 11:08 AM</t>
  </si>
  <si>
    <t>1lT23iCXEDpSAZbV3i9FPYWJ9CL0PUrqf</t>
  </si>
  <si>
    <t>https://drive.google.com/file/d/1lT23iCXEDpSAZbV3i9FPYWJ9CL0PUrqf/view?usp=drivesdk</t>
  </si>
  <si>
    <t>Document successfully created; Document successfully merged; PDF created; Emails Sent: [To: ashbutola94@gmail.com]; Run via form trigger as codectechnologies0@gmail.com; Timestamp: Aug 26, 2026 11:14 AM</t>
  </si>
  <si>
    <t>Swarna Jyothi Sunkara</t>
  </si>
  <si>
    <t>itsswarna09@gmail.com</t>
  </si>
  <si>
    <t>Parul University</t>
  </si>
  <si>
    <t>17mhGVChH32qEb-P7F6A1lOujLAY1Jl9i</t>
  </si>
  <si>
    <t>https://drive.google.com/file/d/17mhGVChH32qEb-P7F6A1lOujLAY1Jl9i/view?usp=drivesdk</t>
  </si>
  <si>
    <t>Document successfully created; Document successfully merged; PDF created; Emails Sent: [To: itsswarna09@gmail.com]; Run via form trigger as codectechnologies0@gmail.com; Timestamp: Aug 26, 2026 11:25 AM</t>
  </si>
  <si>
    <t>Himanshu Gusain</t>
  </si>
  <si>
    <t>Himanshugusain9122000@gmail.com</t>
  </si>
  <si>
    <t>GEHU</t>
  </si>
  <si>
    <t>15ABEr4cX8V_zpadjmSZlyrLk1NogbUsb</t>
  </si>
  <si>
    <t>https://drive.google.com/file/d/15ABEr4cX8V_zpadjmSZlyrLk1NogbUsb/view?usp=drivesdk</t>
  </si>
  <si>
    <t>Document successfully created; Document successfully merged; PDF created; Emails Sent: [To: Himanshugusain9122000@gmail.com]; Run via form trigger as codectechnologies0@gmail.com; Timestamp: Aug 26, 2026 11:28 AM</t>
  </si>
  <si>
    <t>Manikandan P</t>
  </si>
  <si>
    <t>vmanikandan27@jnn.edu.in</t>
  </si>
  <si>
    <t>63838 28979</t>
  </si>
  <si>
    <t xml:space="preserve">J.N.N Institute of engineering </t>
  </si>
  <si>
    <t>1qV9F8KwmhwreFJ2ZiiSKEwImY35NK0Yx</t>
  </si>
  <si>
    <t>https://drive.google.com/file/d/1qV9F8KwmhwreFJ2ZiiSKEwImY35NK0Yx/view?usp=drivesdk</t>
  </si>
  <si>
    <t>Document successfully created; Document successfully merged; PDF created; Emails Sent: [To: vmanikandan27@jnn.edu.in]; Run via form trigger as codectechnologies0@gmail.com; Timestamp: Aug 26, 2026 11:38 AM</t>
  </si>
  <si>
    <t>Imdadullah O A</t>
  </si>
  <si>
    <t>imdadullahakbarali@gmail.com</t>
  </si>
  <si>
    <t xml:space="preserve">B.S.Abdur Rahman Crescent Institute of science and technology </t>
  </si>
  <si>
    <t>1RraK5HzRp0JGV7CZef9vEvG17RdfBs_B</t>
  </si>
  <si>
    <t>https://drive.google.com/file/d/1RraK5HzRp0JGV7CZef9vEvG17RdfBs_B/view?usp=drivesdk</t>
  </si>
  <si>
    <t>Document successfully created; Document successfully merged; PDF created; Emails Sent: [To: imdadullahakbarali@gmail.com]; Run via form trigger as codectechnologies0@gmail.com; Timestamp: Aug 26, 2026 11:41 AM</t>
  </si>
  <si>
    <t>Ritesh</t>
  </si>
  <si>
    <t>riteshsingal586@gmail.com</t>
  </si>
  <si>
    <t>U.I.E.T KuK</t>
  </si>
  <si>
    <t>1rzIGU2-A_DvJy-UuEh3q462mbGjCii0t</t>
  </si>
  <si>
    <t>https://drive.google.com/file/d/1rzIGU2-A_DvJy-UuEh3q462mbGjCii0t/view?usp=drivesdk</t>
  </si>
  <si>
    <t>Document successfully created; Document successfully merged; PDF created; Emails Sent: [To: riteshsingal586@gmail.com]; Run via form trigger as codectechnologies0@gmail.com; Timestamp: Aug 26, 2026 11:42 AM</t>
  </si>
  <si>
    <t>Garima Sharma</t>
  </si>
  <si>
    <t>shar.garima05@gmail.com</t>
  </si>
  <si>
    <t>10ENUcyPmqRCXwqzhxIYiiwLqudXisO5C</t>
  </si>
  <si>
    <t>https://drive.google.com/file/d/10ENUcyPmqRCXwqzhxIYiiwLqudXisO5C/view?usp=drivesdk</t>
  </si>
  <si>
    <t>Document successfully created; Document successfully merged; PDF created; Emails Sent: [To: shar.garima05@gmail.com]; Run via form trigger as codectechnologies0@gmail.com; Timestamp: Aug 26, 2026 11:47 AM</t>
  </si>
  <si>
    <t>Lakkireddy Hanumanthu GopalReddy</t>
  </si>
  <si>
    <t>Android Development Intern</t>
  </si>
  <si>
    <t>lakkireddyhanumanthugopalreddy@gmail.com</t>
  </si>
  <si>
    <t xml:space="preserve">Mahendra institute tecnology </t>
  </si>
  <si>
    <t>1lwNZ_SCqit3wFRr26O-fiHFoT8roBCzE</t>
  </si>
  <si>
    <t>https://drive.google.com/file/d/1lwNZ_SCqit3wFRr26O-fiHFoT8roBCzE/view?usp=drivesdk</t>
  </si>
  <si>
    <t>Document successfully created; Document successfully merged; PDF created; Emails Sent: [To: lakkireddyhanumanthugopalreddy@gmail.com]; Run via form trigger as codectechnologies0@gmail.com; Timestamp: Aug 26, 2026 11:48 AM</t>
  </si>
  <si>
    <t xml:space="preserve">SANJAY KUMAR S </t>
  </si>
  <si>
    <t>sanjaykumarnew1722@gmail.com</t>
  </si>
  <si>
    <t xml:space="preserve">Chennai institute of technology </t>
  </si>
  <si>
    <t>1EEYJtzHLFcZ7IWif_5SSU-pJJZTpf_Eh</t>
  </si>
  <si>
    <t>https://drive.google.com/file/d/1EEYJtzHLFcZ7IWif_5SSU-pJJZTpf_Eh/view?usp=drivesdk</t>
  </si>
  <si>
    <t>Document successfully created; Document successfully merged; PDF created; Emails Sent: [To: sanjaykumarnew1722@gmail.com]; Run via form trigger as codectechnologies0@gmail.com; Timestamp: Aug 26, 2026 11:51 AM</t>
  </si>
  <si>
    <t xml:space="preserve">Lakkireddy Hanumanthu Gopalreddy </t>
  </si>
  <si>
    <t>15qSXycrJBkIuUHNGZSx0dQC1JxSfAwff</t>
  </si>
  <si>
    <t>https://drive.google.com/file/d/15qSXycrJBkIuUHNGZSx0dQC1JxSfAwff/view?usp=drivesdk</t>
  </si>
  <si>
    <t>Document successfully created; Document successfully merged; PDF created; Emails Sent: [To: lakkireddyhanumanthugopalreddy@gmail.com]; Run via form trigger as codectechnologies0@gmail.com; Timestamp: Aug 26, 2026 11:55 AM</t>
  </si>
  <si>
    <t>S S V GANA SANTHOSH MALAKALA</t>
  </si>
  <si>
    <t>santhoshmalakala9@gmail.com</t>
  </si>
  <si>
    <t>1CjQIEnDDcDvhTD58qHHYEmXbMllbyQIv</t>
  </si>
  <si>
    <t>https://drive.google.com/file/d/1CjQIEnDDcDvhTD58qHHYEmXbMllbyQIv/view?usp=drivesdk</t>
  </si>
  <si>
    <t>Document successfully created; Document successfully merged; PDF created; Emails Sent: [To: santhoshmalakala9@gmail.com]; Run via form trigger as codectechnologies0@gmail.com; Timestamp: Aug 26, 2026 12:05 PM</t>
  </si>
  <si>
    <t>Mohanraj Loganathan</t>
  </si>
  <si>
    <t>wanderlust9944@gmail.com</t>
  </si>
  <si>
    <t xml:space="preserve">J.N.N Institute of Engineering </t>
  </si>
  <si>
    <t>1vjgLMLtVzPXV7sLsAJKn3xeah_HXvyZq</t>
  </si>
  <si>
    <t>https://drive.google.com/file/d/1vjgLMLtVzPXV7sLsAJKn3xeah_HXvyZq/view?usp=drivesdk</t>
  </si>
  <si>
    <t>Document successfully created; Document successfully merged; PDF created; Emails Sent: [To: wanderlust9944@gmail.com]; Run via form trigger as codectechnologies0@gmail.com; Timestamp: Aug 26, 2026 12:17 PM</t>
  </si>
  <si>
    <t>1AWo-kHmGO0HM5Mfn0nFbx2mQg9g-rBkS</t>
  </si>
  <si>
    <t>https://drive.google.com/file/d/1AWo-kHmGO0HM5Mfn0nFbx2mQg9g-rBkS/view?usp=drivesdk</t>
  </si>
  <si>
    <t>Document successfully created; Document successfully merged; PDF created; Emails Sent: [To: wanderlust9944@gmail.com]; Run via form trigger as codectechnologies0@gmail.com; Timestamp: Aug 26, 2026 12:20 PM</t>
  </si>
  <si>
    <t>Mohd Azeez Zaidi</t>
  </si>
  <si>
    <t>azeezzaidi71@gmail.com</t>
  </si>
  <si>
    <t>Instagram, Other</t>
  </si>
  <si>
    <t>1MREjB6PkBnRamzO-hY26aKKOIYj89JMv</t>
  </si>
  <si>
    <t>https://drive.google.com/file/d/1MREjB6PkBnRamzO-hY26aKKOIYj89JMv/view?usp=drivesdk</t>
  </si>
  <si>
    <t>Document successfully created; Document successfully merged; PDF created; Emails Sent: [To: azeezzaidi71@gmail.com]; Run via form trigger as codectechnologies0@gmail.com; Timestamp: Aug 26, 2026 12:35 PM</t>
  </si>
  <si>
    <t>Moksh Verma</t>
  </si>
  <si>
    <t>mokshverma.mv98@gmail.com</t>
  </si>
  <si>
    <t>1uQLawUyvIpG1gQfbeJggr7FTJusZ4U7Q</t>
  </si>
  <si>
    <t>https://drive.google.com/file/d/1uQLawUyvIpG1gQfbeJggr7FTJusZ4U7Q/view?usp=drivesdk</t>
  </si>
  <si>
    <t>Document successfully created; Document successfully merged; PDF created; Emails Sent: [To: mokshverma.mv98@gmail.com]; Run via form trigger as codectechnologies0@gmail.com; Timestamp: Aug 26, 2026 12:42 PM</t>
  </si>
  <si>
    <t>Sundara priyan.S</t>
  </si>
  <si>
    <t>ssundharapriyan@gmail.com</t>
  </si>
  <si>
    <t xml:space="preserve">SRM University </t>
  </si>
  <si>
    <t>13ToWdYgXTFBM3lOvyEgS7BYxUoSvl6gh</t>
  </si>
  <si>
    <t>https://drive.google.com/file/d/13ToWdYgXTFBM3lOvyEgS7BYxUoSvl6gh/view?usp=drivesdk</t>
  </si>
  <si>
    <t>Document successfully created; Document successfully merged; PDF created; Emails Sent: [To: ssundharapriyan@gmail.com]; Run via form trigger as codectechnologies0@gmail.com; Timestamp: Aug 26, 2026 12:43 PM</t>
  </si>
  <si>
    <t>Aryan Dhama</t>
  </si>
  <si>
    <t>aryangujjar4136@gmail.com</t>
  </si>
  <si>
    <t>Shri Ram Group of College (muzzafarnagar)</t>
  </si>
  <si>
    <t>1BVLAG3cy5Wl3KzF1wWmLXmbEW71b2NTK</t>
  </si>
  <si>
    <t>https://drive.google.com/file/d/1BVLAG3cy5Wl3KzF1wWmLXmbEW71b2NTK/view?usp=drivesdk</t>
  </si>
  <si>
    <t>Document successfully created; Document successfully merged; PDF created; Emails Sent: [To: aryangujjar4136@gmail.com]; Run via form trigger as codectechnologies0@gmail.com; Timestamp: Aug 26, 2026 12:57 PM</t>
  </si>
  <si>
    <t>Kartik Gajanan Gadekar</t>
  </si>
  <si>
    <t>kartikgadekar91@gmail.com</t>
  </si>
  <si>
    <t xml:space="preserve"> International Centre of Excellence in Engineering &amp; Management</t>
  </si>
  <si>
    <t>1y_5KGH0_hMCgQQWv7tfEU8mnUIa9y5lz</t>
  </si>
  <si>
    <t>https://drive.google.com/file/d/1y_5KGH0_hMCgQQWv7tfEU8mnUIa9y5lz/view?usp=drivesdk</t>
  </si>
  <si>
    <t>Document successfully created; Document successfully merged; PDF created; Emails Sent: [To: kartikgadekar91@gmail.com]; Run via form trigger as codectechnologies0@gmail.com; Timestamp: Aug 26, 2026 12:58 PM</t>
  </si>
  <si>
    <t>Sivaguru S</t>
  </si>
  <si>
    <t>priya853187@gmail.com</t>
  </si>
  <si>
    <t>1I0rDgnUeMwlE6hdri-lL8QYwyMQV0diE</t>
  </si>
  <si>
    <t>https://drive.google.com/file/d/1I0rDgnUeMwlE6hdri-lL8QYwyMQV0diE/view?usp=drivesdk</t>
  </si>
  <si>
    <t>Document successfully created; Document successfully merged; PDF created; Emails Sent: [To: priya853187@gmail.com]; Run via form trigger as codectechnologies0@gmail.com; Timestamp: Aug 26, 2026 1:24 PM</t>
  </si>
  <si>
    <t>UTSAV PRASAD</t>
  </si>
  <si>
    <t>mail.utsavprasad@gmail.com</t>
  </si>
  <si>
    <t>10MYbNJGw4hHtW5yJ1Szm3cmnakGifcXN</t>
  </si>
  <si>
    <t>https://drive.google.com/file/d/10MYbNJGw4hHtW5yJ1Szm3cmnakGifcXN/view?usp=drivesdk</t>
  </si>
  <si>
    <t>Document successfully created; Document successfully merged; PDF created; Emails Sent: [To: mail.utsavprasad@gmail.com]; Run via form trigger as codectechnologies0@gmail.com; Timestamp: Aug 26, 2026 2:01 PM</t>
  </si>
  <si>
    <t xml:space="preserve">Nishant Joshi </t>
  </si>
  <si>
    <t>62561@gbpuat.ac.in</t>
  </si>
  <si>
    <t xml:space="preserve">College of Technology </t>
  </si>
  <si>
    <t>Facebook</t>
  </si>
  <si>
    <t>11Bpx6-aATFpgypjJvtuVqxyaFz8NJJwk</t>
  </si>
  <si>
    <t>https://drive.google.com/file/d/11Bpx6-aATFpgypjJvtuVqxyaFz8NJJwk/view?usp=drivesdk</t>
  </si>
  <si>
    <t>Document successfully created; Document successfully merged; PDF created; Emails Sent: [To: 62561@gbpuat.ac.in]; Run via form trigger as codectechnologies0@gmail.com; Timestamp: Aug 26, 2026 2:18 PM</t>
  </si>
  <si>
    <t>Vishal Yadav</t>
  </si>
  <si>
    <t>visha29lyadav@gmail.com</t>
  </si>
  <si>
    <t>GLA university</t>
  </si>
  <si>
    <t>1Ou3nwWrQbCk_wn3liwpr4kC6hf5ewLkL</t>
  </si>
  <si>
    <t>https://drive.google.com/file/d/1Ou3nwWrQbCk_wn3liwpr4kC6hf5ewLkL/view?usp=drivesdk</t>
  </si>
  <si>
    <t>Document successfully created; Document successfully merged; PDF created; Emails Sent: [To: visha29lyadav@gmail.com]; Run via form trigger as codectechnologies0@gmail.com; Timestamp: Aug 26, 2026 2:24 PM</t>
  </si>
  <si>
    <t>institute of technology gopeshwar</t>
  </si>
  <si>
    <t>1DwGeBfyU52u6ojIn15ZGadrgXRkD3rB9</t>
  </si>
  <si>
    <t>https://drive.google.com/file/d/1DwGeBfyU52u6ojIn15ZGadrgXRkD3rB9/view?usp=drivesdk</t>
  </si>
  <si>
    <t>Document successfully created; Document successfully merged; PDF created; Emails Sent: [To: nr569924@gmail.com]; Run via form trigger as codectechnologies0@gmail.com; Timestamp: Aug 26, 2026 2:40 PM</t>
  </si>
  <si>
    <t>Sandeep Sable</t>
  </si>
  <si>
    <t>sables123@gmail.com</t>
  </si>
  <si>
    <t>Vedica Institute of Technology</t>
  </si>
  <si>
    <t>1xwjimXWw_bMendfv6D3EtpTVwdKfp5qX</t>
  </si>
  <si>
    <t>https://drive.google.com/file/d/1xwjimXWw_bMendfv6D3EtpTVwdKfp5qX/view?usp=drivesdk</t>
  </si>
  <si>
    <t>Document successfully created; Document successfully merged; PDF created; Emails Sent: [To: sables123@gmail.com]; Run via form trigger as codectechnologies0@gmail.com; Timestamp: Aug 26, 2026 2:45 PM</t>
  </si>
  <si>
    <t xml:space="preserve">Niraj Kumar Singh </t>
  </si>
  <si>
    <t>niraj162002@gmail.com</t>
  </si>
  <si>
    <t>1tEUJsx6Tq9EFWcmTdkEp7TmgW2DXRcVQ</t>
  </si>
  <si>
    <t>https://drive.google.com/file/d/1tEUJsx6Tq9EFWcmTdkEp7TmgW2DXRcVQ/view?usp=drivesdk</t>
  </si>
  <si>
    <t>Document successfully created; Document successfully merged; PDF created; Emails Sent: [To: niraj162002@gmail.com]; Run via form trigger as codectechnologies0@gmail.com; Timestamp: Aug 26, 2026 2:59 PM</t>
  </si>
  <si>
    <t>Rajesh Naskar</t>
  </si>
  <si>
    <t>rajeshnaskar3448@gmail.com</t>
  </si>
  <si>
    <t>RCC Institute Of Information Technology</t>
  </si>
  <si>
    <t>1pqWHZv7xY3M2gHTDl5JG0ICuGoyc7fPe</t>
  </si>
  <si>
    <t>https://drive.google.com/file/d/1pqWHZv7xY3M2gHTDl5JG0ICuGoyc7fPe/view?usp=drivesdk</t>
  </si>
  <si>
    <t>Document successfully created; Document successfully merged; PDF created; Emails Sent: [To: rajeshnaskar3448@gmail.com]; Run via form trigger as codectechnologies0@gmail.com; Timestamp: Aug 26, 2026 5:34 PM</t>
  </si>
  <si>
    <t xml:space="preserve">SUNKLEKAR AVINASH PRABHU </t>
  </si>
  <si>
    <t xml:space="preserve">Dr. D Y patil technical campus Varale </t>
  </si>
  <si>
    <t>1n9tNSmqA1CryGzNEevO1ELApnLcOvlUg</t>
  </si>
  <si>
    <t>https://drive.google.com/file/d/1n9tNSmqA1CryGzNEevO1ELApnLcOvlUg/view?usp=drivesdk</t>
  </si>
  <si>
    <t>Document successfully created; Document successfully merged; PDF created; Emails Sent: [To: avinashsunklekar@gmail.com]; Run via form trigger as codectechnologies0@gmail.com; Timestamp: Aug 26, 2026 8:09 PM</t>
  </si>
  <si>
    <t>Pravin Kumar S</t>
  </si>
  <si>
    <t>nsfoundations@gmail.com</t>
  </si>
  <si>
    <t>1D4M3L4pSJCxAVZjGkBYKzu_txUfoRPTx</t>
  </si>
  <si>
    <t>https://drive.google.com/file/d/1D4M3L4pSJCxAVZjGkBYKzu_txUfoRPTx/view?usp=drivesdk</t>
  </si>
  <si>
    <t>Document successfully created; Document successfully merged; PDF created; Emails Sent: [To: nsfoundations@gmail.com]; Run via form trigger as codectechnologies0@gmail.com; Timestamp: Aug 26, 2026 9:46 PM</t>
  </si>
  <si>
    <t>Prerna Raj</t>
  </si>
  <si>
    <t>prernaraj490@gmail.com</t>
  </si>
  <si>
    <t>19k1WF2n3aJmjhToclM1CixsEN8G7w1Bk</t>
  </si>
  <si>
    <t>https://drive.google.com/file/d/19k1WF2n3aJmjhToclM1CixsEN8G7w1Bk/view?usp=drivesdk</t>
  </si>
  <si>
    <t>Document successfully created; Document successfully merged; PDF created; Emails Sent: [To: prernaraj490@gmail.com]; Run via form trigger as codectechnologies0@gmail.com; Timestamp: Aug 26, 2026 11:24 PM</t>
  </si>
  <si>
    <t>Pratham Shinde</t>
  </si>
  <si>
    <t>prathambeast21@gmail.com</t>
  </si>
  <si>
    <t xml:space="preserve">Pravin Rohidas Patil College Of Engineering And Technology </t>
  </si>
  <si>
    <t>1ewKwdj9Bsgo3Plbixj_yPyxrUwYTn3RM</t>
  </si>
  <si>
    <t>https://drive.google.com/file/d/1ewKwdj9Bsgo3Plbixj_yPyxrUwYTn3RM/view?usp=drivesdk</t>
  </si>
  <si>
    <t>Document successfully created; Document successfully merged; PDF created; Emails Sent: [To: prathambeast21@gmail.com]; Run via form trigger as codectechnologies0@gmail.com; Timestamp: Aug 26, 2026 11:30 PM</t>
  </si>
  <si>
    <t>Deekshith UK</t>
  </si>
  <si>
    <t>vinudeekshith777s@gmail.com</t>
  </si>
  <si>
    <t>Dr ACS College Of Engineering</t>
  </si>
  <si>
    <t>1qWoL0BuuzAhWHCVJBQV6xinob0Te5Tz0</t>
  </si>
  <si>
    <t>https://drive.google.com/file/d/1qWoL0BuuzAhWHCVJBQV6xinob0Te5Tz0/view?usp=drivesdk</t>
  </si>
  <si>
    <t>Document successfully created; Document successfully merged; PDF created; Emails Sent: [To: vinudeekshith777s@gmail.com]; Run via form trigger as codectechnologies0@gmail.com; Timestamp: Aug 26, 2026 11:39 PM</t>
  </si>
  <si>
    <t>Prince Rawat</t>
  </si>
  <si>
    <t>princerawat2580@gmail.com</t>
  </si>
  <si>
    <t xml:space="preserve">Manav rachna international institute of research and studies </t>
  </si>
  <si>
    <t>1gtk33TxdF6XwV1c9IDQIA4NgZP8pms1X</t>
  </si>
  <si>
    <t>https://drive.google.com/file/d/1gtk33TxdF6XwV1c9IDQIA4NgZP8pms1X/view?usp=drivesdk</t>
  </si>
  <si>
    <t>Document successfully created; Document successfully merged; PDF created; Emails Sent: [To: princerawat2580@gmail.com]; Run via form trigger as codectechnologies0@gmail.com; Timestamp: Aug 26, 2026 11:47 PM</t>
  </si>
  <si>
    <t>BALAJI SAKTHIVEL N</t>
  </si>
  <si>
    <t>balasakthi6996@gmail.com</t>
  </si>
  <si>
    <t>Panimalar Engineering College</t>
  </si>
  <si>
    <t>1CsZxz-q0MMf0xDMbi4whkF6GPWFgqzR7</t>
  </si>
  <si>
    <t>https://drive.google.com/file/d/1CsZxz-q0MMf0xDMbi4whkF6GPWFgqzR7/view?usp=drivesdk</t>
  </si>
  <si>
    <t>Document successfully created; Document successfully merged; PDF created; Emails Sent: [To: balasakthi6996@gmail.com]; Run via form trigger as codectechnologies0@gmail.com; Timestamp: Aug 27, 2026 12:02 AM</t>
  </si>
  <si>
    <t>Sanjay M</t>
  </si>
  <si>
    <t>sanju722002@gmail.com</t>
  </si>
  <si>
    <t xml:space="preserve">Chanakya university </t>
  </si>
  <si>
    <t>1BByF_Ab_8tXG7Jb_AJlNhMXYtgz9WUVt</t>
  </si>
  <si>
    <t>https://drive.google.com/file/d/1BByF_Ab_8tXG7Jb_AJlNhMXYtgz9WUVt/view?usp=drivesdk</t>
  </si>
  <si>
    <t>Document successfully created; Document successfully merged; PDF created; Emails Sent: [To: sanju722002@gmail.com]; Run via form trigger as codectechnologies0@gmail.com; Timestamp: Aug 27, 2026 12:05 AM</t>
  </si>
  <si>
    <t>Sri Bhagawan Mahaveer Jain First Grade College, kgf, karnataka, india</t>
  </si>
  <si>
    <t>1q9ay-ATXRsIZfu1Rpd3PV3P81j15fxL8</t>
  </si>
  <si>
    <t>https://drive.google.com/file/d/1q9ay-ATXRsIZfu1Rpd3PV3P81j15fxL8/view?usp=drivesdk</t>
  </si>
  <si>
    <t>Document successfully created; Document successfully merged; PDF created; Emails Sent: [To: doonish19994@gmail.com]; Run via form trigger as codectechnologies0@gmail.com; Timestamp: Aug 27, 2026 12:16 AM</t>
  </si>
  <si>
    <t>Ashish Bhandari</t>
  </si>
  <si>
    <t>1fsF-OSHNZKsy9DwO86Xr0icU2tR1WVKF</t>
  </si>
  <si>
    <t>https://drive.google.com/file/d/1fsF-OSHNZKsy9DwO86Xr0icU2tR1WVKF/view?usp=drivesdk</t>
  </si>
  <si>
    <t>Document successfully created; Document successfully merged; PDF created; Emails Sent: [To: Ashishbhandari0408@gmail.com]; Run via form trigger as codectechnologies0@gmail.com; Timestamp: Aug 27, 2026 12:26 AM</t>
  </si>
  <si>
    <t>Dipak Kumar</t>
  </si>
  <si>
    <t>dipakrajput3761@gmail.com</t>
  </si>
  <si>
    <t>1w6xDhDEfDVjyaWwJHhxbUVcrCiQpkISc</t>
  </si>
  <si>
    <t>https://drive.google.com/file/d/1w6xDhDEfDVjyaWwJHhxbUVcrCiQpkISc/view?usp=drivesdk</t>
  </si>
  <si>
    <t>Document successfully created; Document successfully merged; PDF created; Emails Sent: [To: dipakrajput3761@gmail.com]; Run via form trigger as codectechnologies0@gmail.com; Timestamp: Aug 27, 2026 12:45 AM</t>
  </si>
  <si>
    <t>Manjesh kumae</t>
  </si>
  <si>
    <t>manjeshjaiswal90@gamil.com</t>
  </si>
  <si>
    <t>Subharti Insititute of Technology and Engineering</t>
  </si>
  <si>
    <t>1GlZl9UhgFrwGrWij8aOnCkWf7I6-8A1M</t>
  </si>
  <si>
    <t>https://drive.google.com/file/d/1GlZl9UhgFrwGrWij8aOnCkWf7I6-8A1M/view?usp=drivesdk</t>
  </si>
  <si>
    <t>Document successfully created; Document successfully merged; PDF created; Emails Sent: [To: manjeshjaiswal90@gamil.com]; Run via form trigger as codectechnologies0@gmail.com; Timestamp: Aug 27, 2026 12:49 AM</t>
  </si>
  <si>
    <t xml:space="preserve">Manjesh Kumar </t>
  </si>
  <si>
    <t>manjeshjaiswal90@gmail.com</t>
  </si>
  <si>
    <t>SVSau</t>
  </si>
  <si>
    <t>1n2qoXSU22GOG7zIJWF8CFg17F-PL79qj</t>
  </si>
  <si>
    <t>https://drive.google.com/file/d/1n2qoXSU22GOG7zIJWF8CFg17F-PL79qj/view?usp=drivesdk</t>
  </si>
  <si>
    <t>Document successfully created; Document successfully merged; PDF created; Emails Sent: [To: manjeshjaiswal90@gmail.com]; Run via form trigger as codectechnologies0@gmail.com; Timestamp: Aug 27, 2026 12:58 AM</t>
  </si>
  <si>
    <t>Sanjay Uday Naik</t>
  </si>
  <si>
    <t>sanjaynaik1694@gmail.com</t>
  </si>
  <si>
    <t xml:space="preserve">Dr ambedkar institute technology </t>
  </si>
  <si>
    <t>1is-kVUQYl_LsXiyquWfYIGRQf9ZROLfv</t>
  </si>
  <si>
    <t>https://drive.google.com/file/d/1is-kVUQYl_LsXiyquWfYIGRQf9ZROLfv/view?usp=drivesdk</t>
  </si>
  <si>
    <t>Document successfully created; Document successfully merged; PDF created; Emails Sent: [To: sanjaynaik1694@gmail.com]; Run via form trigger as codectechnologies0@gmail.com; Timestamp: Aug 27, 2026 1:07 AM</t>
  </si>
  <si>
    <t>1cIbas8hqAfrhQvgSEvUUrAijZoYY60R8</t>
  </si>
  <si>
    <t>https://drive.google.com/file/d/1cIbas8hqAfrhQvgSEvUUrAijZoYY60R8/view?usp=drivesdk</t>
  </si>
  <si>
    <t>Document successfully created; Document successfully merged; PDF created; Emails Sent: [To: faizan009765@gmail.com]; Run via form trigger as codectechnologies0@gmail.com; Timestamp: Aug 27, 2026 1:09 AM</t>
  </si>
  <si>
    <t xml:space="preserve">Kushal Kumar Singh </t>
  </si>
  <si>
    <t>kushalsingh09r@gmail.com</t>
  </si>
  <si>
    <t>1ZeHn7qcFVjkq2m1-zMOhYlHr6Yx-nAH_</t>
  </si>
  <si>
    <t>https://drive.google.com/file/d/1ZeHn7qcFVjkq2m1-zMOhYlHr6Yx-nAH_/view?usp=drivesdk</t>
  </si>
  <si>
    <t>Document successfully created; Document successfully merged; PDF created; Emails Sent: [To: kushalsingh09r@gmail.com]; Run via form trigger as codectechnologies0@gmail.com; Timestamp: Aug 27, 2026 1:11 AM</t>
  </si>
  <si>
    <t>Athrav neekhra</t>
  </si>
  <si>
    <t>athravneekhra2810@gmail.com</t>
  </si>
  <si>
    <t>1Yc2MgdATcTTHD6cW7s6LexHnZpjjX8R6</t>
  </si>
  <si>
    <t>https://drive.google.com/file/d/1Yc2MgdATcTTHD6cW7s6LexHnZpjjX8R6/view?usp=drivesdk</t>
  </si>
  <si>
    <t>Document successfully created; Document successfully merged; PDF created; Emails Sent: [To: athravneekhra2810@gmail.com]; Run via form trigger as codectechnologies0@gmail.com; Timestamp: Aug 27, 2026 1:17 AM</t>
  </si>
  <si>
    <t>ARSALAN FAIJ</t>
  </si>
  <si>
    <t>arsalanfaij231@gmail.com</t>
  </si>
  <si>
    <t>1IDzghbMJ55cMJw3MZDdEZ9KwVUhorxfe</t>
  </si>
  <si>
    <t>https://drive.google.com/file/d/1IDzghbMJ55cMJw3MZDdEZ9KwVUhorxfe/view?usp=drivesdk</t>
  </si>
  <si>
    <t>Document successfully created; Document successfully merged; PDF created; Emails Sent: [To: arsalanfaij231@gmail.com]; Run via form trigger as codectechnologies0@gmail.com; Timestamp: Aug 27, 2026 1:19 AM</t>
  </si>
  <si>
    <t>Avneesh Shukla</t>
  </si>
  <si>
    <t>avneesh.25scs1003000954@iilm.edu</t>
  </si>
  <si>
    <t>1Ah-npvc67wTmGmkGLjUbc00CfQXQxszl</t>
  </si>
  <si>
    <t>https://drive.google.com/file/d/1Ah-npvc67wTmGmkGLjUbc00CfQXQxszl/view?usp=drivesdk</t>
  </si>
  <si>
    <t>Document successfully created; Document successfully merged; PDF created; Emails Sent: [To: avneesh.25scs1003000954@iilm.edu]; Run via form trigger as codectechnologies0@gmail.com; Timestamp: Aug 27, 2026 1:21 AM</t>
  </si>
  <si>
    <t>Govind Kumar Mali</t>
  </si>
  <si>
    <t>gkm7766@gmail.com</t>
  </si>
  <si>
    <t>08877382082</t>
  </si>
  <si>
    <t>1zrsPLLIbE-aZ2-1qtEDnGOfSmP0Hjhqg</t>
  </si>
  <si>
    <t>https://drive.google.com/file/d/1zrsPLLIbE-aZ2-1qtEDnGOfSmP0Hjhqg/view?usp=drivesdk</t>
  </si>
  <si>
    <t>Document successfully created; Document successfully merged; PDF created; Emails Sent: [To: gkm7766@gmail.com]; Run via form trigger as codectechnologies0@gmail.com; Timestamp: Aug 27, 2026 1:38 AM</t>
  </si>
  <si>
    <t>SYED KABIR M</t>
  </si>
  <si>
    <t>syedkabir.m8@gmail.com</t>
  </si>
  <si>
    <t xml:space="preserve">R.K. vision degree college </t>
  </si>
  <si>
    <t>1qqGZOPXuIquHKykb3Nc15o_KXCiYQlx4</t>
  </si>
  <si>
    <t>https://drive.google.com/file/d/1qqGZOPXuIquHKykb3Nc15o_KXCiYQlx4/view?usp=drivesdk</t>
  </si>
  <si>
    <t>Document successfully created; Document successfully merged; PDF created; Emails Sent: [To: syedkabir.m8@gmail.com]; Run via form trigger as codectechnologies0@gmail.com; Timestamp: Aug 27, 2026 1:38 AM</t>
  </si>
  <si>
    <t xml:space="preserve">Rajnandini Amol Parit </t>
  </si>
  <si>
    <t>rajnandiniparit184@gmail.com</t>
  </si>
  <si>
    <t xml:space="preserve">NBN SINHGAD College Of Engineering Solapur </t>
  </si>
  <si>
    <t>1zn9PEwmzltYLF9pYuKIP3m2X0y1dK3ug</t>
  </si>
  <si>
    <t>https://drive.google.com/file/d/1zn9PEwmzltYLF9pYuKIP3m2X0y1dK3ug/view?usp=drivesdk</t>
  </si>
  <si>
    <t>Document successfully created; Document successfully merged; PDF created; Emails Sent: [To: rajnandiniparit184@gmail.com]; Run via form trigger as codectechnologies0@gmail.com; Timestamp: Aug 27, 2026 1:43 AM</t>
  </si>
  <si>
    <t xml:space="preserve">Srikanth S </t>
  </si>
  <si>
    <t>hssrikanth654@gmail. com</t>
  </si>
  <si>
    <t xml:space="preserve">R. K. Vision degree college </t>
  </si>
  <si>
    <t>15g35ZlZMJ8e7nA4VSCPvy3kPODJzvYWd</t>
  </si>
  <si>
    <t>https://drive.google.com/file/d/15g35ZlZMJ8e7nA4VSCPvy3kPODJzvYWd/view?usp=drivesdk</t>
  </si>
  <si>
    <t>Document successfully created; Document successfully merged; PDF created; !!Error Sending Emails: Invalid email: hssrikanth654@gmail. com; Run via form trigger as codectechnologies0@gmail.com; Timestamp: Aug 27, 2026 1:45 AM</t>
  </si>
  <si>
    <t>Vishwas Gowda</t>
  </si>
  <si>
    <t>8/27/0026</t>
  </si>
  <si>
    <t>vishwasgowda2525@gmail.com</t>
  </si>
  <si>
    <t>coorg institue of techology</t>
  </si>
  <si>
    <t>1OYgWlxzkT6ty9h6slOjKVr1kir2BVSuy</t>
  </si>
  <si>
    <t>https://drive.google.com/file/d/1OYgWlxzkT6ty9h6slOjKVr1kir2BVSuy/view?usp=drivesdk</t>
  </si>
  <si>
    <t>Document successfully created; Document successfully merged; PDF created; Emails Sent: [To: vishwasgowda2525@gmail.com]; Run via form trigger as codectechnologies0@gmail.com; Timestamp: Aug 27, 2026 1:49 AM</t>
  </si>
  <si>
    <t>Aditya Arnav</t>
  </si>
  <si>
    <t>aditya.25scs1003002426@iilm.edu</t>
  </si>
  <si>
    <t>+91 9472043555</t>
  </si>
  <si>
    <t>1ZpUMqPKPb0qoZHQAElg79hgXuGNr9HWH</t>
  </si>
  <si>
    <t>https://drive.google.com/file/d/1ZpUMqPKPb0qoZHQAElg79hgXuGNr9HWH/view?usp=drivesdk</t>
  </si>
  <si>
    <t>Document successfully created; Document successfully merged; PDF created; Emails Sent: [To: aditya.25scs1003002426@iilm.edu]; Run via form trigger as codectechnologies0@gmail.com; Timestamp: Aug 27, 2026 1:53 AM</t>
  </si>
  <si>
    <t xml:space="preserve">Manisha </t>
  </si>
  <si>
    <t>manisha133@amityonline.com</t>
  </si>
  <si>
    <t>amity university uttar pradesh</t>
  </si>
  <si>
    <t>1AE8I6WAIcCPmQ_0natCXgKwN2LCp5Z3F</t>
  </si>
  <si>
    <t>https://drive.google.com/file/d/1AE8I6WAIcCPmQ_0natCXgKwN2LCp5Z3F/view?usp=drivesdk</t>
  </si>
  <si>
    <t>Document successfully created; Document successfully merged; PDF created; Emails Sent: [To: manisha133@amityonline.com]; Run via form trigger as codectechnologies0@gmail.com; Timestamp: Aug 27, 2026 1:56 AM</t>
  </si>
  <si>
    <t>Heramb paliwal</t>
  </si>
  <si>
    <t>heramb.25scs1003000966@iilm.edu</t>
  </si>
  <si>
    <t>IILM university greater noida</t>
  </si>
  <si>
    <t>1ne6v8ppZT1qRCY76lX23fBGRmRfLnUI7</t>
  </si>
  <si>
    <t>https://drive.google.com/file/d/1ne6v8ppZT1qRCY76lX23fBGRmRfLnUI7/view?usp=drivesdk</t>
  </si>
  <si>
    <t>Document successfully created; Document successfully merged; PDF created; Emails Sent: [To: heramb.25scs1003000966@iilm.edu]; Run via form trigger as codectechnologies0@gmail.com; Timestamp: Aug 27, 2026 1:59 AM</t>
  </si>
  <si>
    <t>Tejas Agarwal</t>
  </si>
  <si>
    <t>tejaswork41@gmail.com</t>
  </si>
  <si>
    <t>07678609253</t>
  </si>
  <si>
    <t xml:space="preserve">Srm ist ghaziabad </t>
  </si>
  <si>
    <t>1Hw3ifoCDnfSkL9hNS1UfQQgE6UV8l3J2</t>
  </si>
  <si>
    <t>https://drive.google.com/file/d/1Hw3ifoCDnfSkL9hNS1UfQQgE6UV8l3J2/view?usp=drivesdk</t>
  </si>
  <si>
    <t>Document successfully created; Document successfully merged; PDF created; Emails Sent: [To: tejaswork41@gmail.com]; Run via form trigger as codectechnologies0@gmail.com; Timestamp: Aug 27, 2026 2:07 AM</t>
  </si>
  <si>
    <t>Rajeev Ranjan</t>
  </si>
  <si>
    <t>rroshankumargond276@gmail.com</t>
  </si>
  <si>
    <t>1nJceadWwwFfOdlIUnnobqCa9W7h9jm6e</t>
  </si>
  <si>
    <t>https://drive.google.com/file/d/1nJceadWwwFfOdlIUnnobqCa9W7h9jm6e/view?usp=drivesdk</t>
  </si>
  <si>
    <t>Document successfully created; Document successfully merged; PDF created; Emails Sent: [To: rroshankumargond276@gmail.com]; Run via form trigger as codectechnologies0@gmail.com; Timestamp: Aug 27, 2026 2:09 AM</t>
  </si>
  <si>
    <t>Roshan Kumar Gond</t>
  </si>
  <si>
    <t>1mQuaFaXLSnoJGwsJ0FzlIb9Em-aevTJ9</t>
  </si>
  <si>
    <t>https://drive.google.com/file/d/1mQuaFaXLSnoJGwsJ0FzlIb9Em-aevTJ9/view?usp=drivesdk</t>
  </si>
  <si>
    <t>Document successfully created; Document successfully merged; PDF created; Emails Sent: [To: rroshankumargond276@gmail.com]; Run via form trigger as codectechnologies0@gmail.com; Timestamp: Aug 27, 2026 2:16 AM</t>
  </si>
  <si>
    <t>Subhansh Kumar Singh</t>
  </si>
  <si>
    <t>subhanshkumarsingh@gmail.com</t>
  </si>
  <si>
    <t>1MkrsOtT6Tte0j3hkKvI9hRASa_qtXbbH</t>
  </si>
  <si>
    <t>https://drive.google.com/file/d/1MkrsOtT6Tte0j3hkKvI9hRASa_qtXbbH/view?usp=drivesdk</t>
  </si>
  <si>
    <t>Document successfully created; Document successfully merged; PDF created; Emails Sent: [To: subhanshkumarsingh@gmail.com]; Run via form trigger as codectechnologies0@gmail.com; Timestamp: Aug 27, 2026 2:21 AM</t>
  </si>
  <si>
    <t>shekhar kumar</t>
  </si>
  <si>
    <t>shekharkumargtc123@gmail.com</t>
  </si>
  <si>
    <t>Roorkee institute of technology</t>
  </si>
  <si>
    <t>1a3AYXuEamo9Br8ebYVClbj3FGBD0FmtS</t>
  </si>
  <si>
    <t>https://drive.google.com/file/d/1a3AYXuEamo9Br8ebYVClbj3FGBD0FmtS/view?usp=drivesdk</t>
  </si>
  <si>
    <t>Document successfully created; Document successfully merged; PDF created; Emails Sent: [To: shekharkumargtc123@gmail.com]; Run via form trigger as codectechnologies0@gmail.com; Timestamp: Aug 27, 2026 2:22 AM</t>
  </si>
  <si>
    <t>Vaibhav Pathak</t>
  </si>
  <si>
    <t>pathakvaibhav755@gmail.com</t>
  </si>
  <si>
    <t>IILM university</t>
  </si>
  <si>
    <t>1bMukRQYuTPhYKpSkJ7Lmfggh9R87kneE</t>
  </si>
  <si>
    <t>https://drive.google.com/file/d/1bMukRQYuTPhYKpSkJ7Lmfggh9R87kneE/view?usp=drivesdk</t>
  </si>
  <si>
    <t>Document successfully created; Document successfully merged; PDF created; Emails Sent: [To: pathakvaibhav755@gmail.com]; Run via form trigger as codectechnologies0@gmail.com; Timestamp: Aug 27, 2026 2:33 AM</t>
  </si>
  <si>
    <t xml:space="preserve">Alisha </t>
  </si>
  <si>
    <t>alishamehra634@gmail.com</t>
  </si>
  <si>
    <t xml:space="preserve">Hindu sabha college </t>
  </si>
  <si>
    <t>1f6n6FBStLpR4KDeUtCiIA8f-rUHKy3s8</t>
  </si>
  <si>
    <t>https://drive.google.com/file/d/1f6n6FBStLpR4KDeUtCiIA8f-rUHKy3s8/view?usp=drivesdk</t>
  </si>
  <si>
    <t>Document successfully created; Document successfully merged; PDF created; Emails Sent: [To: alishamehra634@gmail.com]; Run via form trigger as codectechnologies0@gmail.com; Timestamp: Aug 27, 2026 2:35 AM</t>
  </si>
  <si>
    <t>Srikanth S</t>
  </si>
  <si>
    <t>1AYIt27dyw0dODcbmHvphKIk0Dynf7-i1</t>
  </si>
  <si>
    <t>https://drive.google.com/file/d/1AYIt27dyw0dODcbmHvphKIk0Dynf7-i1/view?usp=drivesdk</t>
  </si>
  <si>
    <t>Document successfully created; Document successfully merged; PDF created; !!Error Sending Emails: Invalid email: hssrikanth654@gmail. com; Run via form trigger as codectechnologies0@gmail.com; Timestamp: Aug 27, 2026 2:48 AM</t>
  </si>
  <si>
    <t xml:space="preserve">Srikanth </t>
  </si>
  <si>
    <t>1v4psLIAbElIWpazX_UtusHeALSAhZlNq</t>
  </si>
  <si>
    <t>https://drive.google.com/file/d/1v4psLIAbElIWpazX_UtusHeALSAhZlNq/view?usp=drivesdk</t>
  </si>
  <si>
    <t>Document successfully created; Document successfully merged; PDF created; !!Error Sending Emails: Invalid email: hssrikanth654@gmail. com; Run via form trigger as codectechnologies0@gmail.com; Timestamp: Aug 27, 2026 2:52 AM</t>
  </si>
  <si>
    <t>1uWvO8NEr5L6XnYJ4cGZlBAXC_uvP3iCt</t>
  </si>
  <si>
    <t>https://drive.google.com/file/d/1uWvO8NEr5L6XnYJ4cGZlBAXC_uvP3iCt/view?usp=drivesdk</t>
  </si>
  <si>
    <t>Document successfully created; Document successfully merged; PDF created; Emails Sent: [To: bhanusriaddepalli8886227874@gmail.com]; Run via form trigger as codectechnologies0@gmail.com; Timestamp: Aug 27, 2026 2:52 AM</t>
  </si>
  <si>
    <t xml:space="preserve">Ayush kashyap </t>
  </si>
  <si>
    <t>ayushkashyap513@gmail.com</t>
  </si>
  <si>
    <t>1Uq2V6mK3jzICA-7PDAm-uLMjue1mmh0H</t>
  </si>
  <si>
    <t>https://drive.google.com/file/d/1Uq2V6mK3jzICA-7PDAm-uLMjue1mmh0H/view?usp=drivesdk</t>
  </si>
  <si>
    <t>Document successfully created; Document successfully merged; PDF created; Emails Sent: [To: ayushkashyap513@gmail.com]; Run via form trigger as codectechnologies0@gmail.com; Timestamp: Aug 27, 2026 3:17 AM</t>
  </si>
  <si>
    <t>Syed kabir M</t>
  </si>
  <si>
    <t>1WrVcg7W51fNDZDDbUp1eLfHLzW3Jb36u</t>
  </si>
  <si>
    <t>https://drive.google.com/file/d/1WrVcg7W51fNDZDDbUp1eLfHLzW3Jb36u/view?usp=drivesdk</t>
  </si>
  <si>
    <t>Document successfully created; Document successfully merged; PDF created; Emails Sent: [To: syedkabir.m8@gmail.com]; Run via form trigger as codectechnologies0@gmail.com; Timestamp: Aug 27, 2026 3:17 AM</t>
  </si>
  <si>
    <t xml:space="preserve">Bhukya Mahesh </t>
  </si>
  <si>
    <t>24r11a05f9@gcet.edu.in</t>
  </si>
  <si>
    <t xml:space="preserve">Geethanjali college of engineering and technology </t>
  </si>
  <si>
    <t>1eHkxjPpK_rVZKF3BuMAqTzzCmee1pbXo</t>
  </si>
  <si>
    <t>https://drive.google.com/file/d/1eHkxjPpK_rVZKF3BuMAqTzzCmee1pbXo/view?usp=drivesdk</t>
  </si>
  <si>
    <t>Document successfully created; Document successfully merged; PDF created; Emails Sent: [To: 24r11a05f9@gcet.edu.in]; Run via form trigger as codectechnologies0@gmail.com; Timestamp: Aug 27, 2026 3:18 AM</t>
  </si>
  <si>
    <t>2303031240001@paruluniversity.ac.in</t>
  </si>
  <si>
    <t>1qQ5M8HpSr6LmZ9XXI0UOb9Db7663bCD5</t>
  </si>
  <si>
    <t>https://drive.google.com/file/d/1qQ5M8HpSr6LmZ9XXI0UOb9Db7663bCD5/view?usp=drivesdk</t>
  </si>
  <si>
    <t>Document successfully created; Document successfully merged; PDF created; Emails Sent: [To: 2303031240001@paruluniversity.ac.in]; Run via form trigger as codectechnologies0@gmail.com; Timestamp: Aug 27, 2026 3:21 AM</t>
  </si>
  <si>
    <t>19XrshoZKTpzuYARwenneTtMkAEeI0FUc</t>
  </si>
  <si>
    <t>https://drive.google.com/file/d/19XrshoZKTpzuYARwenneTtMkAEeI0FUc/view?usp=drivesdk</t>
  </si>
  <si>
    <t>Document successfully created; Document successfully merged; PDF created; Emails Sent: [To: bhanusriaddepalli8886227874@gmail.com]; Run via form trigger as codectechnologies0@gmail.com; Timestamp: Aug 27, 2026 3:25 AM</t>
  </si>
  <si>
    <t>Geethanjali college of engineering and technology</t>
  </si>
  <si>
    <t>1t-1oxYlBiFoGBO2lB0gWuCQKEwoGxg3-</t>
  </si>
  <si>
    <t>https://drive.google.com/file/d/1t-1oxYlBiFoGBO2lB0gWuCQKEwoGxg3-/view?usp=drivesdk</t>
  </si>
  <si>
    <t>Document successfully created; Document successfully merged; PDF created; Emails Sent: [To: 24r11a05f9@gcet.edu.in]; Run via form trigger as codectechnologies0@gmail.com; Timestamp: Aug 27, 2026 3:33 AM</t>
  </si>
  <si>
    <t>1cuywEiec4eC1pwnBxFdhV1bMnQni6s1X</t>
  </si>
  <si>
    <t>https://drive.google.com/file/d/1cuywEiec4eC1pwnBxFdhV1bMnQni6s1X/view?usp=drivesdk</t>
  </si>
  <si>
    <t>Document successfully created; Document successfully merged; PDF created; Emails Sent: [To: 24r11a05f9@gcet.edu.in]; Run via form trigger as codectechnologies0@gmail.com; Timestamp: Aug 27, 2026 3:41 AM</t>
  </si>
  <si>
    <t>Dhruv Pandey</t>
  </si>
  <si>
    <t>dhruvrpandey18@gmail.com</t>
  </si>
  <si>
    <t>LOVELY PROFESSIONAL UNIVERSITY</t>
  </si>
  <si>
    <t>1ZatiU1Q_NnHIDtaz3ijqf7f0TfvZ9N8P</t>
  </si>
  <si>
    <t>https://drive.google.com/file/d/1ZatiU1Q_NnHIDtaz3ijqf7f0TfvZ9N8P/view?usp=drivesdk</t>
  </si>
  <si>
    <t>Document successfully created; Document successfully merged; PDF created; Emails Sent: [To: dhruvrpandey18@gmail.com]; Run via form trigger as codectechnologies0@gmail.com; Timestamp: Aug 27, 2026 3:46 AM</t>
  </si>
  <si>
    <t>amarjeetkumar93368@gmail.com</t>
  </si>
  <si>
    <t>1uzq5_GcE66QjjgVvxJdTuOPtNsJmHKVc</t>
  </si>
  <si>
    <t>https://drive.google.com/file/d/1uzq5_GcE66QjjgVvxJdTuOPtNsJmHKVc/view?usp=drivesdk</t>
  </si>
  <si>
    <t>Document successfully created; Document successfully merged; PDF created; Emails Sent: [To: amarjeetkumar93368@gmail.com]; Run via form trigger as codectechnologies0@gmail.com; Timestamp: Aug 27, 2026 3:52 AM</t>
  </si>
  <si>
    <t>Shekh Meraj</t>
  </si>
  <si>
    <t>sheikhmeraj254@gmail.com</t>
  </si>
  <si>
    <t>1NrMrsCBaEuWV2q2v2gR08P2s_ftAN5fT</t>
  </si>
  <si>
    <t>https://drive.google.com/file/d/1NrMrsCBaEuWV2q2v2gR08P2s_ftAN5fT/view?usp=drivesdk</t>
  </si>
  <si>
    <t>Document successfully created; Document successfully merged; PDF created; Emails Sent: [To: sheikhmeraj254@gmail.com]; Run via form trigger as codectechnologies0@gmail.com; Timestamp: Aug 27, 2026 3:59 AM</t>
  </si>
  <si>
    <t>JAY SHINGE</t>
  </si>
  <si>
    <t>jayshinge17@gmail.com</t>
  </si>
  <si>
    <t xml:space="preserve">DY PATIL UNIVERSITY </t>
  </si>
  <si>
    <t>1h4E4x76ImfP_Sp9gP90EbQfd0Lpd0z8a</t>
  </si>
  <si>
    <t>https://drive.google.com/file/d/1h4E4x76ImfP_Sp9gP90EbQfd0Lpd0z8a/view?usp=drivesdk</t>
  </si>
  <si>
    <t>Document successfully created; Document successfully merged; PDF created; Emails Sent: [To: jayshinge17@gmail.com]; Run via form trigger as codectechnologies0@gmail.com; Timestamp: Aug 27, 2026 4:01 AM</t>
  </si>
  <si>
    <t>Santhosh S</t>
  </si>
  <si>
    <t>sssg16090@gmail.com</t>
  </si>
  <si>
    <t xml:space="preserve">Thangavelu Engineering College </t>
  </si>
  <si>
    <t>1c2VWpFe65_oJGeLOKP1NlYc-dMkpu2Xr</t>
  </si>
  <si>
    <t>https://drive.google.com/file/d/1c2VWpFe65_oJGeLOKP1NlYc-dMkpu2Xr/view?usp=drivesdk</t>
  </si>
  <si>
    <t>Document successfully created; Document successfully merged; PDF created; Emails Sent: [To: sssg16090@gmail.com]; Run via form trigger as codectechnologies0@gmail.com; Timestamp: Aug 27, 2026 4:11 AM</t>
  </si>
  <si>
    <t>Kartik Dhingia</t>
  </si>
  <si>
    <t>kartikdhingia35@gmail.com</t>
  </si>
  <si>
    <t>Uttaranchal University, dehradun</t>
  </si>
  <si>
    <t>LinkedIn, Instagram, Friend</t>
  </si>
  <si>
    <t>1liiX48xhntVJ1VEUN5VvoOzoOilBZvtm</t>
  </si>
  <si>
    <t>https://drive.google.com/file/d/1liiX48xhntVJ1VEUN5VvoOzoOilBZvtm/view?usp=drivesdk</t>
  </si>
  <si>
    <t>Document successfully created; Document successfully merged; PDF created; Emails Sent: [To: kartikdhingia35@gmail.com]; Run via form trigger as codectechnologies0@gmail.com; Timestamp: Aug 27, 2026 4:12 AM</t>
  </si>
  <si>
    <t xml:space="preserve">TAGARAM SAI KUSHAL </t>
  </si>
  <si>
    <t>24r11a05l0@gcet.edu.in</t>
  </si>
  <si>
    <t xml:space="preserve">Geethanjali College of Engineering and Technology </t>
  </si>
  <si>
    <t>1ZC2sbx8mZT6Hq05SN_DjSxGf5rjM3R1r</t>
  </si>
  <si>
    <t>https://drive.google.com/file/d/1ZC2sbx8mZT6Hq05SN_DjSxGf5rjM3R1r/view?usp=drivesdk</t>
  </si>
  <si>
    <t>Document successfully created; Document successfully merged; PDF created; Emails Sent: [To: 24r11a05l0@gcet.edu.in]; Run via form trigger as codectechnologies0@gmail.com; Timestamp: Aug 27, 2026 4:21 AM</t>
  </si>
  <si>
    <t>Vivekananda Global university</t>
  </si>
  <si>
    <t>1zC4cGDPbmdEA8gVZSa165K5mBL62iB0O</t>
  </si>
  <si>
    <t>https://drive.google.com/file/d/1zC4cGDPbmdEA8gVZSa165K5mBL62iB0O/view?usp=drivesdk</t>
  </si>
  <si>
    <t>Document successfully created; Document successfully merged; PDF created; Emails Sent: [To: amarjeetkumar93368@gmail.com]; Run via form trigger as codectechnologies0@gmail.com; Timestamp: Aug 27, 2026 4:38 AM</t>
  </si>
  <si>
    <t>1ZKgJCKluQMecMHdlgn7NCpdvHk9bZi1B</t>
  </si>
  <si>
    <t>https://drive.google.com/file/d/1ZKgJCKluQMecMHdlgn7NCpdvHk9bZi1B/view?usp=drivesdk</t>
  </si>
  <si>
    <t>Document successfully created; Document successfully merged; PDF created; Emails Sent: [To: kartikdhingia35@gmail.com]; Run via form trigger as codectechnologies0@gmail.com; Timestamp: Aug 27, 2026 4:50 AM</t>
  </si>
  <si>
    <t>Kashyapi Gothane</t>
  </si>
  <si>
    <t>kashyapigothane6@gmail.com</t>
  </si>
  <si>
    <t>GH.Raisoni College of Engineering And Management, Nagpur</t>
  </si>
  <si>
    <t>1TAxbP2ojOoWKAMnTeGJF-6fH5N33X4xl</t>
  </si>
  <si>
    <t>https://drive.google.com/file/d/1TAxbP2ojOoWKAMnTeGJF-6fH5N33X4xl/view?usp=drivesdk</t>
  </si>
  <si>
    <t>Document successfully created; Document successfully merged; PDF created; Emails Sent: [To: kashyapigothane6@gmail.com]; Run via form trigger as codectechnologies0@gmail.com; Timestamp: Aug 27, 2026 4:52 AM</t>
  </si>
  <si>
    <t xml:space="preserve">Vasikarla Raghavendra </t>
  </si>
  <si>
    <t>24r11a05l3@gcet.edu.in</t>
  </si>
  <si>
    <t xml:space="preserve">Geetanjali college of engineering and technology </t>
  </si>
  <si>
    <t>1op7YWkrGCV8fWVhiq7_6BqANDaetjQ-r</t>
  </si>
  <si>
    <t>https://drive.google.com/file/d/1op7YWkrGCV8fWVhiq7_6BqANDaetjQ-r/view?usp=drivesdk</t>
  </si>
  <si>
    <t>Document successfully created; Document successfully merged; PDF created; Emails Sent: [To: 24r11a05l3@gcet.edu.in]; Run via form trigger as codectechnologies0@gmail.com; Timestamp: Aug 27, 2026 4:52 AM</t>
  </si>
  <si>
    <t>Shivam</t>
  </si>
  <si>
    <t>himanshu91659@gmail.com</t>
  </si>
  <si>
    <t xml:space="preserve">G.B Pant Okhla Dseu campus </t>
  </si>
  <si>
    <t>1FJpUfq83awMba6a2-XiH3zgXI0Geub3E</t>
  </si>
  <si>
    <t>https://drive.google.com/file/d/1FJpUfq83awMba6a2-XiH3zgXI0Geub3E/view?usp=drivesdk</t>
  </si>
  <si>
    <t>Document successfully created; Document successfully merged; PDF created; Emails Sent: [To: himanshu91659@gmail.com]; Run via form trigger as codectechnologies0@gmail.com; Timestamp: Aug 27, 2026 4:55 AM</t>
  </si>
  <si>
    <t>akansha mishra</t>
  </si>
  <si>
    <t>7/25/0026</t>
  </si>
  <si>
    <t>akanshamishra284@gmail.com</t>
  </si>
  <si>
    <t>18ymFZG4lGDLU28yOnH1zpOLmujUNUws2</t>
  </si>
  <si>
    <t>https://drive.google.com/file/d/18ymFZG4lGDLU28yOnH1zpOLmujUNUws2/view?usp=drivesdk</t>
  </si>
  <si>
    <t>Document successfully created; Document successfully merged; PDF created; Emails Sent: [To: akanshamishra284@gmail.com]; Run via form trigger as codectechnologies0@gmail.com; Timestamp: Aug 27, 2026 4:58 AM</t>
  </si>
  <si>
    <t xml:space="preserve">Nitish Kumar kashyap </t>
  </si>
  <si>
    <t>nitishkumarkeshyap527004@gmail.com</t>
  </si>
  <si>
    <t>1svmWOmLWshx_kjp4gY8YroUEOw78Phrh</t>
  </si>
  <si>
    <t>https://drive.google.com/file/d/1svmWOmLWshx_kjp4gY8YroUEOw78Phrh/view?usp=drivesdk</t>
  </si>
  <si>
    <t>Document successfully created; Document successfully merged; PDF created; Emails Sent: [To: nitishkumarkeshyap527004@gmail.com]; Run via form trigger as codectechnologies0@gmail.com; Timestamp: Aug 27, 2026 5:01 AM</t>
  </si>
  <si>
    <t>Uttaranchal University, Dehradun</t>
  </si>
  <si>
    <t>15H3c9Xwl56j664m4GWAf8LYLNTDDptqc</t>
  </si>
  <si>
    <t>https://drive.google.com/file/d/15H3c9Xwl56j664m4GWAf8LYLNTDDptqc/view?usp=drivesdk</t>
  </si>
  <si>
    <t>Document successfully created; Document successfully merged; PDF created; Emails Sent: [To: kartikdhingia35@gmail.com]; Run via form trigger as codectechnologies0@gmail.com; Timestamp: Aug 27, 2026 5:05 AM</t>
  </si>
  <si>
    <t>Facebook, Friend</t>
  </si>
  <si>
    <t>1A1opbalOJLSy5Q1u4pGmUts9uBFTjwjW</t>
  </si>
  <si>
    <t>https://drive.google.com/file/d/1A1opbalOJLSy5Q1u4pGmUts9uBFTjwjW/view?usp=drivesdk</t>
  </si>
  <si>
    <t>Document successfully created; Document successfully merged; PDF created; Emails Sent: [To: rroshankumargond276@gmail.com]; Run via form trigger as codectechnologies0@gmail.com; Timestamp: Aug 27, 2026 5:07 AM</t>
  </si>
  <si>
    <t>1P4LUtSUZ1Tk6Ug2nCc2ZShHZFiQgXijS</t>
  </si>
  <si>
    <t>https://drive.google.com/file/d/1P4LUtSUZ1Tk6Ug2nCc2ZShHZFiQgXijS/view?usp=drivesdk</t>
  </si>
  <si>
    <t>Document successfully created; Document successfully merged; PDF created; Emails Sent: [To: nitishkumarkeshyap527004@gmail.com]; Run via form trigger as codectechnologies0@gmail.com; Timestamp: Aug 27, 2026 5:10 AM</t>
  </si>
  <si>
    <t>13UE7s2ry_1MdWIou0E0tMfiq_XKcTHzX</t>
  </si>
  <si>
    <t>https://drive.google.com/file/d/13UE7s2ry_1MdWIou0E0tMfiq_XKcTHzX/view?usp=drivesdk</t>
  </si>
  <si>
    <t>Document successfully created; Document successfully merged; PDF created; Emails Sent: [To: kartikdhingia35@gmail.com]; Run via form trigger as codectechnologies0@gmail.com; Timestamp: Aug 27, 2026 5:11 AM</t>
  </si>
  <si>
    <t>harsh1012k@gmail.com</t>
  </si>
  <si>
    <t>1hpuouGh029pO8LQRD1DpGilmHI0GY29T</t>
  </si>
  <si>
    <t>https://drive.google.com/file/d/1hpuouGh029pO8LQRD1DpGilmHI0GY29T/view?usp=drivesdk</t>
  </si>
  <si>
    <t>Document successfully created; Document successfully merged; PDF created; Emails Sent: [To: harsh1012k@gmail.com]; Run via form trigger as codectechnologies0@gmail.com; Timestamp: Aug 27, 2026 5:41 AM</t>
  </si>
  <si>
    <t>rr6739059@gmail.com</t>
  </si>
  <si>
    <t>Instagram, Facebook</t>
  </si>
  <si>
    <t>1zdefRwpdkwW4H-4QBcXIJBQc86qGbYTv</t>
  </si>
  <si>
    <t>https://drive.google.com/file/d/1zdefRwpdkwW4H-4QBcXIJBQc86qGbYTv/view?usp=drivesdk</t>
  </si>
  <si>
    <t>Document successfully created; Document successfully merged; PDF created; Emails Sent: [To: rr6739059@gmail.com]; Run via form trigger as codectechnologies0@gmail.com; Timestamp: Aug 27, 2026 5:41 AM</t>
  </si>
  <si>
    <t>1Re1ej8OytbsVF8_bRcjSHYY4NtD0rltw</t>
  </si>
  <si>
    <t>https://drive.google.com/file/d/1Re1ej8OytbsVF8_bRcjSHYY4NtD0rltw/view?usp=drivesdk</t>
  </si>
  <si>
    <t>Document successfully created; Document successfully merged; PDF created; Emails Sent: [To: harsh1012k@gmail.com]; Run via form trigger as codectechnologies0@gmail.com; Timestamp: Aug 27, 2026 5:44 AM</t>
  </si>
  <si>
    <t>Jaydeep V Ladkat</t>
  </si>
  <si>
    <t>jaydeepladkat550@gmail.com</t>
  </si>
  <si>
    <t>GH Raisoni College on Engineering and Management</t>
  </si>
  <si>
    <t>1MauR-Qb5IJ4g-0qedDyMqAxIaSKR-YCO</t>
  </si>
  <si>
    <t>https://drive.google.com/file/d/1MauR-Qb5IJ4g-0qedDyMqAxIaSKR-YCO/view?usp=drivesdk</t>
  </si>
  <si>
    <t>Document successfully created; Document successfully merged; PDF created; Emails Sent: [To: jaydeepladkat550@gmail.com]; Run via form trigger as codectechnologies0@gmail.com; Timestamp: Aug 27, 2026 5:47 AM</t>
  </si>
  <si>
    <t>ANIMESH PANDEY</t>
  </si>
  <si>
    <t>anismp1310765@gmail.com</t>
  </si>
  <si>
    <t>REWA ENGINEERING COLLEGE, REWA</t>
  </si>
  <si>
    <t>LinkedIn, Google, Other</t>
  </si>
  <si>
    <t>1N1sOWfXVPWiiHtrZZL7zDowLC1G2A0_H</t>
  </si>
  <si>
    <t>https://drive.google.com/file/d/1N1sOWfXVPWiiHtrZZL7zDowLC1G2A0_H/view?usp=drivesdk</t>
  </si>
  <si>
    <t>Document successfully created; Document successfully merged; PDF created; Emails Sent: [To: anismp1310765@gmail.com]; Run via form trigger as codectechnologies0@gmail.com; Timestamp: Aug 27, 2026 5:57 AM</t>
  </si>
  <si>
    <t xml:space="preserve">Suryakanta Nayak </t>
  </si>
  <si>
    <t>suryakantanayak076@gmail.com</t>
  </si>
  <si>
    <t xml:space="preserve">Einstein Academy Of Technology And Management </t>
  </si>
  <si>
    <t>1Ne-nzlpvfLsVR39Na_gIb6AOTV91AGw-</t>
  </si>
  <si>
    <t>https://drive.google.com/file/d/1Ne-nzlpvfLsVR39Na_gIb6AOTV91AGw-/view?usp=drivesdk</t>
  </si>
  <si>
    <t>Document successfully created; Document successfully merged; PDF created; Emails Sent: [To: suryakantanayak076@gmail.com]; Run via form trigger as codectechnologies0@gmail.com; Timestamp: Aug 27, 2026 6:02 AM</t>
  </si>
  <si>
    <t>Ayush Patel</t>
  </si>
  <si>
    <t>ayushpateldwn@gmail.com</t>
  </si>
  <si>
    <t>1dxfjqbIe389MnZIaol3913Zih7Thp5aT</t>
  </si>
  <si>
    <t>https://drive.google.com/file/d/1dxfjqbIe389MnZIaol3913Zih7Thp5aT/view?usp=drivesdk</t>
  </si>
  <si>
    <t>Document successfully created; Document successfully merged; PDF created; Emails Sent: [To: ayushpateldwn@gmail.com]; Run via form trigger as codectechnologies0@gmail.com; Timestamp: Aug 27, 2026 6:08 AM</t>
  </si>
  <si>
    <t>kashish gupta</t>
  </si>
  <si>
    <t>Kg2219225@gmail.com</t>
  </si>
  <si>
    <t>1uiy0M_ldRewfa23UrWxA4PaQgPAZ0dbb</t>
  </si>
  <si>
    <t>https://drive.google.com/file/d/1uiy0M_ldRewfa23UrWxA4PaQgPAZ0dbb/view?usp=drivesdk</t>
  </si>
  <si>
    <t>Document successfully created; Document successfully merged; PDF created; !!Error Sending Emails: Service invoked too many times for one day: email.; Run via form trigger as codectechnologies0@gmail.com; Timestamp: Aug 27, 2026 6:17 AM</t>
  </si>
  <si>
    <t>Ankit Kumar</t>
  </si>
  <si>
    <t>ankit47kumar69@gmail.com</t>
  </si>
  <si>
    <t>USICT</t>
  </si>
  <si>
    <t>1-KeBuC2bEOoe56oSDWU0mHds9qMNnlYu</t>
  </si>
  <si>
    <t>https://drive.google.com/file/d/1-KeBuC2bEOoe56oSDWU0mHds9qMNnlYu/view?usp=drivesdk</t>
  </si>
  <si>
    <t>Document successfully created; Document successfully merged; PDF created; Emails Sent: [To: ankit47kumar69@gmail.com]; Run via form trigger as codectechnologies0@gmail.com; Timestamp: Aug 27, 2026 6:43 AM</t>
  </si>
  <si>
    <t>Shreya Roy</t>
  </si>
  <si>
    <t>shreya.roy.btech2024@sitpune.edu.in</t>
  </si>
  <si>
    <t xml:space="preserve">Symbiosis Institute of Technology, Pune </t>
  </si>
  <si>
    <t>1bYJqADdjwLM-7vK6k9Ro5sa0k1mXMYBl</t>
  </si>
  <si>
    <t>https://drive.google.com/file/d/1bYJqADdjwLM-7vK6k9Ro5sa0k1mXMYBl/view?usp=drivesdk</t>
  </si>
  <si>
    <t>Document successfully created; Document successfully merged; PDF created; Emails Sent: [To: shreya.roy.btech2024@sitpune.edu.in]; Run via form trigger as codectechnologies0@gmail.com; Timestamp: Aug 27, 2026 6:45 AM</t>
  </si>
  <si>
    <t>1gC_h9nMIOj8RcP0hHcOrgLJqXV73zxlR</t>
  </si>
  <si>
    <t>https://drive.google.com/file/d/1gC_h9nMIOj8RcP0hHcOrgLJqXV73zxlR/view?usp=drivesdk</t>
  </si>
  <si>
    <t>Document successfully created; Document successfully merged; PDF created; Emails Sent: [To: ankit47kumar69@gmail.com]; Run via form trigger as codectechnologies0@gmail.com; Timestamp: Aug 27, 2026 6:49 AM</t>
  </si>
  <si>
    <t>anilgoyal0144@gmail.com</t>
  </si>
  <si>
    <t>19Uo4OTBOh134MtJvLImR-RTC76BfwrGy</t>
  </si>
  <si>
    <t>https://drive.google.com/file/d/19Uo4OTBOh134MtJvLImR-RTC76BfwrGy/view?usp=drivesdk</t>
  </si>
  <si>
    <t>Document successfully created; Document successfully merged; PDF created; Emails Sent: [To: anilgoyal0144@gmail.com]; Run via form trigger as codectechnologies0@gmail.com; Timestamp: Aug 27, 2026 7:05 AM</t>
  </si>
  <si>
    <t>DEEPAK YADUWANSHI</t>
  </si>
  <si>
    <t>deepakyaduwanshi99@gmail.com</t>
  </si>
  <si>
    <t xml:space="preserve">MADHAV INSTITUTE OF TECHNOLOGY AND SCIENCE </t>
  </si>
  <si>
    <t>12pkZkhvukerdrNosNTw-BwCvibsDCaLJ</t>
  </si>
  <si>
    <t>https://drive.google.com/file/d/12pkZkhvukerdrNosNTw-BwCvibsDCaLJ/view?usp=drivesdk</t>
  </si>
  <si>
    <t>Document successfully created; Document successfully merged; PDF created; Emails Sent: [To: deepakyaduwanshi99@gmail.com]; Run via form trigger as codectechnologies0@gmail.com; Timestamp: Aug 27, 2026 7:05 AM</t>
  </si>
  <si>
    <t>Vidya Bharati Mahavidyalay</t>
  </si>
  <si>
    <t>1F1iHazWaI4m8JJeKFvAVsgnV8O_ptr6L</t>
  </si>
  <si>
    <t>https://drive.google.com/file/d/1F1iHazWaI4m8JJeKFvAVsgnV8O_ptr6L/view?usp=drivesdk</t>
  </si>
  <si>
    <t>Document successfully created; Document successfully merged; PDF created; Emails Sent: [To: sanigobade12@gmail.com]; Run via form trigger as codectechnologies0@gmail.com; Timestamp: Aug 27, 2026 7:06 AM</t>
  </si>
  <si>
    <t>tanisha goyal</t>
  </si>
  <si>
    <t>1Q1vXgOuoZSS7iJElsst2PcKRq7hWuChO</t>
  </si>
  <si>
    <t>https://drive.google.com/file/d/1Q1vXgOuoZSS7iJElsst2PcKRq7hWuChO/view?usp=drivesdk</t>
  </si>
  <si>
    <t>Document successfully created; Document successfully merged; PDF created; Emails Sent: [To: anilgoyal0144@gmail.com]; Run via form trigger as codectechnologies0@gmail.com; Timestamp: Aug 27, 2026 7:15 AM</t>
  </si>
  <si>
    <t>DARSHAN  DATARAJ TULAJANNANAVAR</t>
  </si>
  <si>
    <t>darshandatarajt5@gmail.com</t>
  </si>
  <si>
    <t xml:space="preserve">G.M Insitute of Technology </t>
  </si>
  <si>
    <t>158kAJ3V54JRdJS9n0yVDeYJA-tBsGnBI</t>
  </si>
  <si>
    <t>https://drive.google.com/file/d/158kAJ3V54JRdJS9n0yVDeYJA-tBsGnBI/view?usp=drivesdk</t>
  </si>
  <si>
    <t>Document successfully created; Document successfully merged; PDF created; Emails Sent: [To: darshandatarajt5@gmail.com]; Run via form trigger as codectechnologies0@gmail.com; Timestamp: Aug 27, 2026 7:15 AM</t>
  </si>
  <si>
    <t>Giri R</t>
  </si>
  <si>
    <t>giri210704@gmail.com</t>
  </si>
  <si>
    <t xml:space="preserve">Vels University-Pallavaram,chennai </t>
  </si>
  <si>
    <t>1e4iEdYc4SvtJZltthd2DrsVX4FmozNgg</t>
  </si>
  <si>
    <t>https://drive.google.com/file/d/1e4iEdYc4SvtJZltthd2DrsVX4FmozNgg/view?usp=drivesdk</t>
  </si>
  <si>
    <t>Document successfully created; Document successfully merged; PDF created; Emails Sent: [To: giri210704@gmail.com]; Run via form trigger as codectechnologies0@gmail.com; Timestamp: Aug 27, 2026 7:18 AM</t>
  </si>
  <si>
    <t>KURUBA BHASKAR</t>
  </si>
  <si>
    <t>bhaskarkuruba20@mail.com</t>
  </si>
  <si>
    <t>16OvvakAESpiIqMsa54FWiKlDVwjVm_dn</t>
  </si>
  <si>
    <t>https://drive.google.com/file/d/16OvvakAESpiIqMsa54FWiKlDVwjVm_dn/view?usp=drivesdk</t>
  </si>
  <si>
    <t>Document successfully created; Document successfully merged; PDF created; Emails Sent: [To: bhaskarkuruba20@mail.com]; Run via form trigger as codectechnologies0@gmail.com; Timestamp: Aug 27, 2026 7:25 AM</t>
  </si>
  <si>
    <t>Rakoti Kusuma</t>
  </si>
  <si>
    <t>rakotikusumasai@gmail.com</t>
  </si>
  <si>
    <t xml:space="preserve">MVGR College Of Engineering </t>
  </si>
  <si>
    <t>1Y9TwF-2Os3-ocGNXCDEaxaVYJCRaFiA1</t>
  </si>
  <si>
    <t>https://drive.google.com/file/d/1Y9TwF-2Os3-ocGNXCDEaxaVYJCRaFiA1/view?usp=drivesdk</t>
  </si>
  <si>
    <t>Document successfully created; Document successfully merged; PDF created; Emails Sent: [To: rakotikusumasai@gmail.com]; Run via form trigger as codectechnologies0@gmail.com; Timestamp: Aug 27, 2026 7:37 AM</t>
  </si>
  <si>
    <t xml:space="preserve">Vangapandu Reshma </t>
  </si>
  <si>
    <t>reshmavangapandu1@gmail.com</t>
  </si>
  <si>
    <t xml:space="preserve">MVGR college of engineering </t>
  </si>
  <si>
    <t>12ISVZ7Sxjs0blgPzjNP-fknMCIawa4eh</t>
  </si>
  <si>
    <t>https://drive.google.com/file/d/12ISVZ7Sxjs0blgPzjNP-fknMCIawa4eh/view?usp=drivesdk</t>
  </si>
  <si>
    <t>Document successfully created; Document successfully merged; PDF created; Emails Sent: [To: reshmavangapandu1@gmail.com]; Run via form trigger as codectechnologies0@gmail.com; Timestamp: Aug 27, 2026 7:37 AM</t>
  </si>
  <si>
    <t xml:space="preserve">Meenakshi Chokkapu </t>
  </si>
  <si>
    <t>meenakshichokkapu091@gmail.com</t>
  </si>
  <si>
    <t xml:space="preserve">Mvgr college of engineering </t>
  </si>
  <si>
    <t>1vz_VK7CXG-kR0JpKvLJvzm8Mbz88cE4q</t>
  </si>
  <si>
    <t>https://drive.google.com/file/d/1vz_VK7CXG-kR0JpKvLJvzm8Mbz88cE4q/view?usp=drivesdk</t>
  </si>
  <si>
    <t>Document successfully created; Document successfully merged; PDF created; !!Error Sending Emails: Service invoked too many times for one day: email.; Run via form trigger as codectechnologies0@gmail.com; Timestamp: Aug 27, 2026 7:40 AM</t>
  </si>
  <si>
    <t>Mohit Rajput</t>
  </si>
  <si>
    <t>mrajput24679@gmail.com</t>
  </si>
  <si>
    <t>IILM University Greater noida</t>
  </si>
  <si>
    <t>12AEVwkm-Doj2CC1Ds_Mtrb98Z2RgCRem</t>
  </si>
  <si>
    <t>https://drive.google.com/file/d/12AEVwkm-Doj2CC1Ds_Mtrb98Z2RgCRem/view?usp=drivesdk</t>
  </si>
  <si>
    <t>Document successfully created; Document successfully merged; PDF created; Emails Sent: [To: mrajput24679@gmail.com]; Run via form trigger as codectechnologies0@gmail.com; Timestamp: Aug 27, 2026 7:46 AM</t>
  </si>
  <si>
    <t>Shivani Sinha</t>
  </si>
  <si>
    <t>shivanisinhacbse@gmail.com</t>
  </si>
  <si>
    <t>College of Technology and Engineering</t>
  </si>
  <si>
    <t>1V-SPoFok2UbjflJkzoUnkDKdpFFsSG0Q</t>
  </si>
  <si>
    <t>https://drive.google.com/file/d/1V-SPoFok2UbjflJkzoUnkDKdpFFsSG0Q/view?usp=drivesdk</t>
  </si>
  <si>
    <t>Document successfully created; Document successfully merged; PDF created; Emails Sent: [To: shivanisinhacbse@gmail.com]; Run via form trigger as codectechnologies0@gmail.com; Timestamp: Aug 27, 2026 7:50 AM</t>
  </si>
  <si>
    <t>Kanuri kiran babu</t>
  </si>
  <si>
    <t>1D-X1zaw2c-HDMvDyvvYJ-_4_R0prdIPE</t>
  </si>
  <si>
    <t>https://drive.google.com/file/d/1D-X1zaw2c-HDMvDyvvYJ-_4_R0prdIPE/view?usp=drivesdk</t>
  </si>
  <si>
    <t>Document successfully created; Document successfully merged; PDF created; Emails Sent: [To: akhil8309991301@gmail.com]; Run via form trigger as codectechnologies0@gmail.com; Timestamp: Aug 27, 2026 8:07 AM</t>
  </si>
  <si>
    <t xml:space="preserve">Veeranki Praveen Sai </t>
  </si>
  <si>
    <t>2403031461655@paruluniversity.ac.in</t>
  </si>
  <si>
    <t>1oPLVrBYJMqOMYx1GVzxTDq9fsep2bZvr</t>
  </si>
  <si>
    <t>https://drive.google.com/file/d/1oPLVrBYJMqOMYx1GVzxTDq9fsep2bZvr/view?usp=drivesdk</t>
  </si>
  <si>
    <t>Document successfully created; Document successfully merged; PDF created; !!Error Sending Emails: Service invoked too many times for one day: email.; Run via form trigger as codectechnologies0@gmail.com; Timestamp: Aug 27, 2026 8:11 AM</t>
  </si>
  <si>
    <t xml:space="preserve">Yash pradip Adhalage </t>
  </si>
  <si>
    <t>yashadhalage2005@gmail.com</t>
  </si>
  <si>
    <t xml:space="preserve">Dr dy patil college pimpri acs </t>
  </si>
  <si>
    <t>1XIp9VS0tyjw1vxBXj7jgJ1uJCqqQQbOV</t>
  </si>
  <si>
    <t>https://drive.google.com/file/d/1XIp9VS0tyjw1vxBXj7jgJ1uJCqqQQbOV/view?usp=drivesdk</t>
  </si>
  <si>
    <t>Document successfully created; Document successfully merged; PDF created; !!Error Sending Emails: Service invoked too many times for one day: email.; Run via form trigger as codectechnologies0@gmail.com; Timestamp: Aug 27, 2026 9:48 AM</t>
  </si>
  <si>
    <t>Prashanth P</t>
  </si>
  <si>
    <t>prashanthalwin4612@gmail.com</t>
  </si>
  <si>
    <t>192rQAUnFrKNZZfzoDr5TElUpjBEzVOUh</t>
  </si>
  <si>
    <t>https://drive.google.com/file/d/192rQAUnFrKNZZfzoDr5TElUpjBEzVOUh/view?usp=drivesdk</t>
  </si>
  <si>
    <t>Document successfully created; Document successfully merged; PDF created; Emails Sent: [To: prashanthalwin4612@gmail.com]; Run via form trigger as codectechnologies0@gmail.com; Timestamp: Aug 27, 2026 9:53 AM</t>
  </si>
  <si>
    <t xml:space="preserve">Shubham Punjabrao Chavan </t>
  </si>
  <si>
    <t>shubhamchavan1976@gmail.com</t>
  </si>
  <si>
    <t xml:space="preserve">Dr D Y Patil Arts Commerce Science College Pimpri </t>
  </si>
  <si>
    <t>10vxKjRtqsjfxK4pEGyCakcwGHxN01bV_</t>
  </si>
  <si>
    <t>https://drive.google.com/file/d/10vxKjRtqsjfxK4pEGyCakcwGHxN01bV_/view?usp=drivesdk</t>
  </si>
  <si>
    <t>Document successfully created; Document successfully merged; PDF created; !!Error Sending Emails: Service invoked too many times for one day: email.; Run via form trigger as codectechnologies0@gmail.com; Timestamp: Aug 27, 2026 10:07 AM</t>
  </si>
  <si>
    <t>8/25/0026</t>
  </si>
  <si>
    <t>9/25/0026</t>
  </si>
  <si>
    <t>Guru Gobind Singh College of Engineering and Research Centre Nashik</t>
  </si>
  <si>
    <t>1r2iU2pNLDB0INxdqWC74CWVk-HYRFLRp</t>
  </si>
  <si>
    <t>https://drive.google.com/file/d/1r2iU2pNLDB0INxdqWC74CWVk-HYRFLRp/view?usp=drivesdk</t>
  </si>
  <si>
    <t>Document successfully created; Document successfully merged; PDF created; Emails Sent: [To: mrunmayipusrekar@gmail.com]; Run via form trigger as codectechnologies0@gmail.com; Timestamp: Aug 27, 2026 10:22 AM</t>
  </si>
  <si>
    <t>DINESH KUMAR A</t>
  </si>
  <si>
    <t>dd701091515@gmail.com</t>
  </si>
  <si>
    <t>Rathinam Technical Campus</t>
  </si>
  <si>
    <t>1DC6-RyBgzpgAgNkCjguws7DO3eJPQad6</t>
  </si>
  <si>
    <t>https://drive.google.com/file/d/1DC6-RyBgzpgAgNkCjguws7DO3eJPQad6/view?usp=drivesdk</t>
  </si>
  <si>
    <t>Document successfully created; Document successfully merged; PDF created; Emails Sent: [To: dd701091515@gmail.com]; Run via form trigger as codectechnologies0@gmail.com; Timestamp: Aug 27, 2026 10:29 AM</t>
  </si>
  <si>
    <t>Kali Asmitha</t>
  </si>
  <si>
    <t>asmitha090506@gmail.com</t>
  </si>
  <si>
    <t xml:space="preserve">Siddharth institute of engineering and technology </t>
  </si>
  <si>
    <t>10AMEsaCwQvF2hmutxVJcidBbDjCNkbYF</t>
  </si>
  <si>
    <t>https://drive.google.com/file/d/10AMEsaCwQvF2hmutxVJcidBbDjCNkbYF/view?usp=drivesdk</t>
  </si>
  <si>
    <t>Document successfully created; Document successfully merged; PDF created; !!Error Sending Emails: Service invoked too many times for one day: email.; Run via form trigger as codectechnologies0@gmail.com; Timestamp: Aug 27, 2026 10:31 AM</t>
  </si>
  <si>
    <t>Atul Ranjan</t>
  </si>
  <si>
    <t>atulranjan000026@gmail.com</t>
  </si>
  <si>
    <t>1mFs8pDJXqygovC2YgeK2Qpxqf4Q-oE0P</t>
  </si>
  <si>
    <t>https://drive.google.com/file/d/1mFs8pDJXqygovC2YgeK2Qpxqf4Q-oE0P/view?usp=drivesdk</t>
  </si>
  <si>
    <t>Document successfully created; Document successfully merged; PDF created; !!Error Sending Emails: Service invoked too many times for one day: email.; Run via form trigger as codectechnologies0@gmail.com; Timestamp: Aug 27, 2026 10:33 AM</t>
  </si>
  <si>
    <t>Nidhi Goyal</t>
  </si>
  <si>
    <t>goyalnidhi9602@gmail.com</t>
  </si>
  <si>
    <t>SGT University</t>
  </si>
  <si>
    <t>198tRFH2EIy3S1gs8vgGL6XtVyju78SrZ</t>
  </si>
  <si>
    <t>https://drive.google.com/file/d/198tRFH2EIy3S1gs8vgGL6XtVyju78SrZ/view?usp=drivesdk</t>
  </si>
  <si>
    <t>Document successfully created; Document successfully merged; PDF created; Emails Sent: [To: goyalnidhi9602@gmail.com]; Run via form trigger as codectechnologies0@gmail.com; Timestamp: Aug 27, 2026 10:37 AM</t>
  </si>
  <si>
    <t>Karthik A</t>
  </si>
  <si>
    <t>karthikkarthik35251@gmail.com</t>
  </si>
  <si>
    <t>1cUmcO6Jxmu1f6ozBIQ8hHNeqv5R9Kc1f</t>
  </si>
  <si>
    <t>https://drive.google.com/file/d/1cUmcO6Jxmu1f6ozBIQ8hHNeqv5R9Kc1f/view?usp=drivesdk</t>
  </si>
  <si>
    <t>Document successfully created; Document successfully merged; PDF created; Emails Sent: [To: karthikkarthik35251@gmail.com]; Run via form trigger as codectechnologies0@gmail.com; Timestamp: Aug 27, 2026 10:40 AM</t>
  </si>
  <si>
    <t>Sachin Bisht</t>
  </si>
  <si>
    <t>bishtsachinbisht41@gmail.com</t>
  </si>
  <si>
    <t>18wwuiX0LhEuscmCkaiIEpG1nMsgWuivY</t>
  </si>
  <si>
    <t>https://drive.google.com/file/d/18wwuiX0LhEuscmCkaiIEpG1nMsgWuivY/view?usp=drivesdk</t>
  </si>
  <si>
    <t>Document successfully created; Document successfully merged; PDF created; Emails Sent: [To: bishtsachinbisht41@gmail.com]; Run via form trigger as codectechnologies0@gmail.com; Timestamp: Aug 27, 2026 10:46 AM</t>
  </si>
  <si>
    <t>Agyadeep Jha</t>
  </si>
  <si>
    <t>agyadeep.06116412824@std.ggsipu.ac.in</t>
  </si>
  <si>
    <t xml:space="preserve">USICT, GGSIPU </t>
  </si>
  <si>
    <t>1LeJ8wdQURFkeu-RjkUm4A4ua6WyizGSO</t>
  </si>
  <si>
    <t>https://drive.google.com/file/d/1LeJ8wdQURFkeu-RjkUm4A4ua6WyizGSO/view?usp=drivesdk</t>
  </si>
  <si>
    <t>Document successfully created; Document successfully merged; PDF created; Emails Sent: [To: agyadeep.06116412824@std.ggsipu.ac.in]; Run via form trigger as codectechnologies0@gmail.com; Timestamp: Aug 27, 2026 10:56 AM</t>
  </si>
  <si>
    <t>Mohana Sundharam V</t>
  </si>
  <si>
    <t>vmohana24@jnn.edu.in</t>
  </si>
  <si>
    <t>1kt0rHuwNx8vmQ_kH7vNaj_CYqagq17PC</t>
  </si>
  <si>
    <t>https://drive.google.com/file/d/1kt0rHuwNx8vmQ_kH7vNaj_CYqagq17PC/view?usp=drivesdk</t>
  </si>
  <si>
    <t>Document successfully created; Document successfully merged; PDF created; Emails Sent: [To: vmohana24@jnn.edu.in]; Run via form trigger as codectechnologies0@gmail.com; Timestamp: Aug 27, 2026 11:03 AM</t>
  </si>
  <si>
    <t xml:space="preserve">Agyadeep Jha </t>
  </si>
  <si>
    <t xml:space="preserve">Usict, ggsipu </t>
  </si>
  <si>
    <t>1yOsA_dDTlf8oAmoc-Dq8GCZya8k-aK74</t>
  </si>
  <si>
    <t>https://drive.google.com/file/d/1yOsA_dDTlf8oAmoc-Dq8GCZya8k-aK74/view?usp=drivesdk</t>
  </si>
  <si>
    <t>Document successfully created; Document successfully merged; PDF created; Emails Sent: [To: agyadeep.06116412824@std.ggsipu.ac.in]; Run via form trigger as codectechnologies0@gmail.com; Timestamp: Aug 27, 2026 11:05 AM</t>
  </si>
  <si>
    <t>Rohit Bhalothia</t>
  </si>
  <si>
    <t>rohitbhalothia6i@gmail.com</t>
  </si>
  <si>
    <t>1jxEE1OSERbZclIH5bOcVCFD5kC4bSq0K</t>
  </si>
  <si>
    <t>https://drive.google.com/file/d/1jxEE1OSERbZclIH5bOcVCFD5kC4bSq0K/view?usp=drivesdk</t>
  </si>
  <si>
    <t>Document successfully created; Document successfully merged; PDF created; Emails Sent: [To: rohitbhalothia6i@gmail.com]; Run via form trigger as codectechnologies0@gmail.com; Timestamp: Aug 27, 2026 11:05 AM</t>
  </si>
  <si>
    <t>Shubham Pradip Waykole</t>
  </si>
  <si>
    <t>shubhamwaykole07@gmail.com</t>
  </si>
  <si>
    <t>Matoshri Institute Of Technology, Dhanore</t>
  </si>
  <si>
    <t>1vc-uCYaVtLipo1JXiy-tBccSTrNAUs53</t>
  </si>
  <si>
    <t>https://drive.google.com/file/d/1vc-uCYaVtLipo1JXiy-tBccSTrNAUs53/view?usp=drivesdk</t>
  </si>
  <si>
    <t>Document successfully created; Document successfully merged; PDF created; Emails Sent: [To: shubhamwaykole07@gmail.com]; Run via form trigger as codectechnologies0@gmail.com; Timestamp: Aug 27, 2026 11:15 AM</t>
  </si>
  <si>
    <t>Manish Kumar</t>
  </si>
  <si>
    <t>manish.25scs1003000665@iilm.edu</t>
  </si>
  <si>
    <t>1LG5OuoagT0CJTqkgqKtuFZRLQ0uHlPxi</t>
  </si>
  <si>
    <t>https://drive.google.com/file/d/1LG5OuoagT0CJTqkgqKtuFZRLQ0uHlPxi/view?usp=drivesdk</t>
  </si>
  <si>
    <t>Document successfully created; Document successfully merged; PDF created; Emails Sent: [To: manish.25scs1003000665@iilm.edu]; Run via form trigger as codectechnologies0@gmail.com; Timestamp: Aug 27, 2026 11:35 AM</t>
  </si>
  <si>
    <t>Rajveer Singh</t>
  </si>
  <si>
    <t>singh.rajveer020906@gmail.com</t>
  </si>
  <si>
    <t>1705OA3n7xM1F83V9TkDf945RYpmHAzgu</t>
  </si>
  <si>
    <t>https://drive.google.com/file/d/1705OA3n7xM1F83V9TkDf945RYpmHAzgu/view?usp=drivesdk</t>
  </si>
  <si>
    <t>Document successfully created; Document successfully merged; PDF created; Emails Sent: [To: singh.rajveer020906@gmail.com]; Run via form trigger as codectechnologies0@gmail.com; Timestamp: Aug 27, 2026 11:39 AM</t>
  </si>
  <si>
    <t xml:space="preserve">Satyam Sirohi </t>
  </si>
  <si>
    <t>mytosmallrockingtransformers01@gmail.com</t>
  </si>
  <si>
    <t xml:space="preserve">Usict , ggsipu </t>
  </si>
  <si>
    <t>176EYX9qqlsKN5EcR8BRD3AXpvNk2gczP</t>
  </si>
  <si>
    <t>https://drive.google.com/file/d/176EYX9qqlsKN5EcR8BRD3AXpvNk2gczP/view?usp=drivesdk</t>
  </si>
  <si>
    <t>Document successfully created; Document successfully merged; PDF created; Emails Sent: [To: mytosmallrockingtransformers01@gmail.com]; Run via form trigger as codectechnologies0@gmail.com; Timestamp: Aug 27, 2026 11:39 AM</t>
  </si>
  <si>
    <t>1d8LtudH6O8pVD6O1lDCZVfCESRCNEOLp</t>
  </si>
  <si>
    <t>https://drive.google.com/file/d/1d8LtudH6O8pVD6O1lDCZVfCESRCNEOLp/view?usp=drivesdk</t>
  </si>
  <si>
    <t>Document successfully created; Document successfully merged; PDF created; Emails Sent: [To: 2403031461655@paruluniversity.ac.in]; Run via form trigger as codectechnologies0@gmail.com; Timestamp: Aug 27, 2026 11:49 AM</t>
  </si>
  <si>
    <t xml:space="preserve">Adarsh Anand </t>
  </si>
  <si>
    <t>adarshanand016@gmail.com</t>
  </si>
  <si>
    <t xml:space="preserve">University School Of information and Communication technology </t>
  </si>
  <si>
    <t>1JSOjGsUqjrp21Z7ai6NZCr8WRdvbrjFy</t>
  </si>
  <si>
    <t>https://drive.google.com/file/d/1JSOjGsUqjrp21Z7ai6NZCr8WRdvbrjFy/view?usp=drivesdk</t>
  </si>
  <si>
    <t>Document successfully created; Document successfully merged; PDF created; Emails Sent: [To: adarshanand016@gmail.com]; Run via form trigger as codectechnologies0@gmail.com; Timestamp: Aug 27, 2026 11:49 AM</t>
  </si>
  <si>
    <t>Aviek partap Singh</t>
  </si>
  <si>
    <t>aviekgaur58@gmail.com</t>
  </si>
  <si>
    <t>182Klm-re_a3I8uTD45kpRHjTZOootl_v</t>
  </si>
  <si>
    <t>https://drive.google.com/file/d/182Klm-re_a3I8uTD45kpRHjTZOootl_v/view?usp=drivesdk</t>
  </si>
  <si>
    <t>Document successfully created; Document successfully merged; PDF created; Emails Sent: [To: aviekgaur58@gmail.com]; Run via form trigger as codectechnologies0@gmail.com; Timestamp: Aug 27, 2026 11:49 AM</t>
  </si>
  <si>
    <t>Tamil Selvan S</t>
  </si>
  <si>
    <t>tselvan0236@gmail.com</t>
  </si>
  <si>
    <t>12Gh_xfbugSFwN5u2G9BiC3RYBVaTuCe9</t>
  </si>
  <si>
    <t>https://drive.google.com/file/d/12Gh_xfbugSFwN5u2G9BiC3RYBVaTuCe9/view?usp=drivesdk</t>
  </si>
  <si>
    <t>Document successfully created; Document successfully merged; PDF created; Emails Sent: [To: tselvan0236@gmail.com]; Run via form trigger as codectechnologies0@gmail.com; Timestamp: Aug 27, 2026 11:49 AM</t>
  </si>
  <si>
    <t>Manikandan M</t>
  </si>
  <si>
    <t>manikandanmuthudurai07@gmail.com</t>
  </si>
  <si>
    <t>1LP_Aj97IiRLdG-mzLMs1HNmFe_-ycRPZ</t>
  </si>
  <si>
    <t>https://drive.google.com/file/d/1LP_Aj97IiRLdG-mzLMs1HNmFe_-ycRPZ/view?usp=drivesdk</t>
  </si>
  <si>
    <t>Document successfully created; Document successfully merged; PDF created; Emails Sent: [To: manikandanmuthudurai07@gmail.com]; Run via form trigger as codectechnologies0@gmail.com; Timestamp: Aug 27, 2026 11:52 AM</t>
  </si>
  <si>
    <t xml:space="preserve">Sumit Kumar </t>
  </si>
  <si>
    <t>sumitranga157@gmail.com</t>
  </si>
  <si>
    <t xml:space="preserve">USICT </t>
  </si>
  <si>
    <t>1C05S_9_CsF_6-n-GputO-1IaFJcLrrc6</t>
  </si>
  <si>
    <t>https://drive.google.com/file/d/1C05S_9_CsF_6-n-GputO-1IaFJcLrrc6/view?usp=drivesdk</t>
  </si>
  <si>
    <t>Document successfully created; Document successfully merged; PDF created; Emails Sent: [To: sumitranga157@gmail.com]; Run via form trigger as codectechnologies0@gmail.com; Timestamp: Aug 27, 2026 11:52 AM</t>
  </si>
  <si>
    <t>Vels University- Pallavaram -chennai</t>
  </si>
  <si>
    <t>1qPysJzOGmOhlvlUuCedgOfJzsH3AdNgb</t>
  </si>
  <si>
    <t>https://drive.google.com/file/d/1qPysJzOGmOhlvlUuCedgOfJzsH3AdNgb/view?usp=drivesdk</t>
  </si>
  <si>
    <t>Document successfully created; Document successfully merged; PDF created; Emails Sent: [To: giri210704@gmail.com]; Run via form trigger as codectechnologies0@gmail.com; Timestamp: Aug 27, 2026 11:58 AM</t>
  </si>
  <si>
    <t>satyam kumar</t>
  </si>
  <si>
    <t>satyamkumar21925@gmail.com</t>
  </si>
  <si>
    <t>uttaranchal institute of technology</t>
  </si>
  <si>
    <t>LinkedIn, Instagram, Google, AICTE/Indeed</t>
  </si>
  <si>
    <t>1LWjCMVInrgHSm7JjXwmlKmBPxPg3U41c</t>
  </si>
  <si>
    <t>https://drive.google.com/file/d/1LWjCMVInrgHSm7JjXwmlKmBPxPg3U41c/view?usp=drivesdk</t>
  </si>
  <si>
    <t>Document successfully created; Document successfully merged; PDF created; Emails Sent: [To: satyamkumar21925@gmail.com]; Run via form trigger as codectechnologies0@gmail.com; Timestamp: Aug 27, 2026 12:00 PM</t>
  </si>
  <si>
    <t>Pranay Priyadarshi</t>
  </si>
  <si>
    <t>pranay.25scs1003002763@iilm.edu</t>
  </si>
  <si>
    <t>1rh5SQhpkgQGmRDT-kOusPz6xnVIk8tDg</t>
  </si>
  <si>
    <t>https://drive.google.com/file/d/1rh5SQhpkgQGmRDT-kOusPz6xnVIk8tDg/view?usp=drivesdk</t>
  </si>
  <si>
    <t>Document successfully created; Document successfully merged; PDF created; Emails Sent: [To: pranay.25scs1003002763@iilm.edu]; Run via form trigger as codectechnologies0@gmail.com; Timestamp: Aug 27, 2026 12:02 PM</t>
  </si>
  <si>
    <t>Punya</t>
  </si>
  <si>
    <t>punyatrivedi1417@gmail.com</t>
  </si>
  <si>
    <t xml:space="preserve">Lovely Professional University Punjab </t>
  </si>
  <si>
    <t>1sYOZd4Ilrrjv45R0-_W57GdGjxBKM3ES</t>
  </si>
  <si>
    <t>https://drive.google.com/file/d/1sYOZd4Ilrrjv45R0-_W57GdGjxBKM3ES/view?usp=drivesdk</t>
  </si>
  <si>
    <t>Document successfully created; Document successfully merged; PDF created; Emails Sent: [To: punyatrivedi1417@gmail.com]; Run via form trigger as codectechnologies0@gmail.com; Timestamp: Aug 27, 2026 12:07 PM</t>
  </si>
  <si>
    <t>Navya Agarwal</t>
  </si>
  <si>
    <t>navyaagarwal456@gmail.com</t>
  </si>
  <si>
    <t>1lnnmzKvyF0dV9rTQjNdeBK-JF0AaF1xJ</t>
  </si>
  <si>
    <t>https://drive.google.com/file/d/1lnnmzKvyF0dV9rTQjNdeBK-JF0AaF1xJ/view?usp=drivesdk</t>
  </si>
  <si>
    <t>Document successfully created; Document successfully merged; PDF created; Emails Sent: [To: navyaagarwal456@gmail.com]; Run via form trigger as codectechnologies0@gmail.com; Timestamp: Aug 27, 2026 12:20 PM</t>
  </si>
  <si>
    <t>Ayushi</t>
  </si>
  <si>
    <t>aarzoosingh967@gmail.com</t>
  </si>
  <si>
    <t>Lovely Professional University</t>
  </si>
  <si>
    <t>1Su7VyYqtW3E07If18NzCq3FRx7GfImnE</t>
  </si>
  <si>
    <t>https://drive.google.com/file/d/1Su7VyYqtW3E07If18NzCq3FRx7GfImnE/view?usp=drivesdk</t>
  </si>
  <si>
    <t>Document successfully created; Document successfully merged; PDF created; Emails Sent: [To: aarzoosingh967@gmail.com]; Run via form trigger as codectechnologies0@gmail.com; Timestamp: Aug 27, 2026 12:21 PM</t>
  </si>
  <si>
    <t>Deepshikha Kushwaha</t>
  </si>
  <si>
    <t>deepshikhagzp5606@gmail.com</t>
  </si>
  <si>
    <t>1DlA1KiJIobe-V6ZLCn7wgo_ZqOG_bKjG</t>
  </si>
  <si>
    <t>https://drive.google.com/file/d/1DlA1KiJIobe-V6ZLCn7wgo_ZqOG_bKjG/view?usp=drivesdk</t>
  </si>
  <si>
    <t>Document successfully created; Document successfully merged; PDF created; Emails Sent: [To: deepshikhagzp5606@gmail.com]; Run via form trigger as codectechnologies0@gmail.com; Timestamp: Aug 27, 2026 12:23 PM</t>
  </si>
  <si>
    <t xml:space="preserve">Pushpendra Singh </t>
  </si>
  <si>
    <t>pushpendra.25scs1003001650@iilm.edu</t>
  </si>
  <si>
    <t>+91 8982919844</t>
  </si>
  <si>
    <t>14dpPAH4cQxO6beSM4uG4Em3VdAAAfs_U</t>
  </si>
  <si>
    <t>https://drive.google.com/file/d/14dpPAH4cQxO6beSM4uG4Em3VdAAAfs_U/view?usp=drivesdk</t>
  </si>
  <si>
    <t>Document successfully created; Document successfully merged; PDF created; Emails Sent: [To: pushpendra.25scs1003001650@iilm.edu]; Run via form trigger as codectechnologies0@gmail.com; Timestamp: Aug 27, 2026 12:36 PM</t>
  </si>
  <si>
    <t xml:space="preserve">Satya Prakash </t>
  </si>
  <si>
    <t>abhi906536@gmail.com</t>
  </si>
  <si>
    <t>11prdFtKZoe8VA1ufif3FcaVNN4tLr6rG</t>
  </si>
  <si>
    <t>https://drive.google.com/file/d/11prdFtKZoe8VA1ufif3FcaVNN4tLr6rG/view?usp=drivesdk</t>
  </si>
  <si>
    <t>Document successfully created; Document successfully merged; PDF created; Emails Sent: [To: abhi906536@gmail.com]; Run via form trigger as codectechnologies0@gmail.com; Timestamp: Aug 27, 2026 12:38 PM</t>
  </si>
  <si>
    <t>Gracie Chawla</t>
  </si>
  <si>
    <t>gracie.chawla2006@gmail.com</t>
  </si>
  <si>
    <t>1dU_KDE0xfrCh4Btvuzf_uNpKViRcwFEo</t>
  </si>
  <si>
    <t>https://drive.google.com/file/d/1dU_KDE0xfrCh4Btvuzf_uNpKViRcwFEo/view?usp=drivesdk</t>
  </si>
  <si>
    <t>Document successfully created; Document successfully merged; PDF created; Emails Sent: [To: gracie.chawla2006@gmail.com]; Run via form trigger as codectechnologies0@gmail.com; Timestamp: Aug 27, 2026 12:39 PM</t>
  </si>
  <si>
    <t>Karthikeyan Thiyagarajan</t>
  </si>
  <si>
    <t>tmdkarthikeyan@gmail.com</t>
  </si>
  <si>
    <t xml:space="preserve">Dhanalakshmi College of Engineering </t>
  </si>
  <si>
    <t>122b_IENoZE3Fv9ltHe0foIM9dVrBBuWY</t>
  </si>
  <si>
    <t>https://drive.google.com/file/d/122b_IENoZE3Fv9ltHe0foIM9dVrBBuWY/view?usp=drivesdk</t>
  </si>
  <si>
    <t>Document successfully created; Document successfully merged; PDF created; Emails Sent: [To: tmdkarthikeyan@gmail.com]; Run via form trigger as codectechnologies0@gmail.com; Timestamp: Aug 27, 2026 12:40 PM</t>
  </si>
  <si>
    <t>yes</t>
  </si>
  <si>
    <t>manisha121kohar@gmsil.com</t>
  </si>
  <si>
    <t xml:space="preserve">guru jambeshwar university </t>
  </si>
  <si>
    <t>1wCZIulf5lF-peSjPzJOg74Tfk9GiyKLo</t>
  </si>
  <si>
    <t>https://drive.google.com/file/d/1wCZIulf5lF-peSjPzJOg74Tfk9GiyKLo/view?usp=drivesdk</t>
  </si>
  <si>
    <t>Document successfully created; Document successfully merged; PDF created; Emails Sent: [To: manisha121kohar@gmsil.com]; Run via form trigger as codectechnologies0@gmail.com; Timestamp: Aug 27, 2026 12:41 PM</t>
  </si>
  <si>
    <t>noida institute of engineering and technology</t>
  </si>
  <si>
    <t>1AE17vnbd-gKWnxcxiu8LN4odRZNgoJc-</t>
  </si>
  <si>
    <t>https://drive.google.com/file/d/1AE17vnbd-gKWnxcxiu8LN4odRZNgoJc-/view?usp=drivesdk</t>
  </si>
  <si>
    <t>Document successfully created; Document successfully merged; PDF created; Emails Sent: [To: deepshikhagzp5606@gmail.com]; Run via form trigger as codectechnologies0@gmail.com; Timestamp: Aug 27, 2026 12:45 PM</t>
  </si>
  <si>
    <t>Bhargavi K</t>
  </si>
  <si>
    <t>kbhargavi11016@gmail.com</t>
  </si>
  <si>
    <t xml:space="preserve">Nandi institute of management and science </t>
  </si>
  <si>
    <t>16DcCasIO945fSzQL9ZX3w0VDJ2iIS9mG</t>
  </si>
  <si>
    <t>https://drive.google.com/file/d/16DcCasIO945fSzQL9ZX3w0VDJ2iIS9mG/view?usp=drivesdk</t>
  </si>
  <si>
    <t>Document successfully created; Document successfully merged; PDF created; Emails Sent: [To: kbhargavi11016@gmail.com]; Run via form trigger as codectechnologies0@gmail.com; Timestamp: Aug 27, 2026 12:51 PM</t>
  </si>
  <si>
    <t>Srilakshmi Thogati</t>
  </si>
  <si>
    <t>srilakshmithogati16@gmail.com</t>
  </si>
  <si>
    <t>Tirumala Engineering College,Jonnalagadda</t>
  </si>
  <si>
    <t>1a-gKvGw2HLpmiCakrnF68VJFf6qscw-t</t>
  </si>
  <si>
    <t>https://drive.google.com/file/d/1a-gKvGw2HLpmiCakrnF68VJFf6qscw-t/view?usp=drivesdk</t>
  </si>
  <si>
    <t>Document successfully created; Document successfully merged; PDF created; Emails Sent: [To: srilakshmithogati16@gmail.com]; Run via form trigger as codectechnologies0@gmail.com; Timestamp: Aug 27, 2026 1:01 PM</t>
  </si>
  <si>
    <t>Manisha kohar</t>
  </si>
  <si>
    <t>manisha121kohar@gmail.com</t>
  </si>
  <si>
    <t xml:space="preserve">Guru Jambheshwar University of science and technology Hisar </t>
  </si>
  <si>
    <t>1I7NP_yNzFhLIQ0_0PJyPsGN6Uoqt3LBz</t>
  </si>
  <si>
    <t>https://drive.google.com/file/d/1I7NP_yNzFhLIQ0_0PJyPsGN6Uoqt3LBz/view?usp=drivesdk</t>
  </si>
  <si>
    <t>Document successfully created; Document successfully merged; PDF created; Emails Sent: [To: manisha121kohar@gmail.com]; Run via form trigger as codectechnologies0@gmail.com; Timestamp: Aug 27, 2026 1:02 PM</t>
  </si>
  <si>
    <t>Gulshan Kumar Singh</t>
  </si>
  <si>
    <t>gs7631514550@gmail.com</t>
  </si>
  <si>
    <t xml:space="preserve">Netaji Subhash institute of technology Patna </t>
  </si>
  <si>
    <t>1cFaPBRXyUL-3czSO4-Kp4q95E6670b2u</t>
  </si>
  <si>
    <t>https://drive.google.com/file/d/1cFaPBRXyUL-3czSO4-Kp4q95E6670b2u/view?usp=drivesdk</t>
  </si>
  <si>
    <t>Document successfully created; Document successfully merged; PDF created; Emails Sent: [To: gs7631514550@gmail.com]; Run via form trigger as codectechnologies0@gmail.com; Timestamp: Aug 27, 2026 1:04 PM</t>
  </si>
  <si>
    <t>Anupam Kumar</t>
  </si>
  <si>
    <t>anupamak1287@gmail.com</t>
  </si>
  <si>
    <t>Mangalayatan University</t>
  </si>
  <si>
    <t>1Uv3RCJsa-O18xPUTzsSsm8v_CuR7hVU7</t>
  </si>
  <si>
    <t>https://drive.google.com/file/d/1Uv3RCJsa-O18xPUTzsSsm8v_CuR7hVU7/view?usp=drivesdk</t>
  </si>
  <si>
    <t>Document successfully created; Document successfully merged; PDF created; Emails Sent: [To: anupamak1287@gmail.com]; Run via form trigger as codectechnologies0@gmail.com; Timestamp: Aug 27, 2026 1:05 PM</t>
  </si>
  <si>
    <t>ABINAYA N</t>
  </si>
  <si>
    <t>abinagarajan29@gmail.com</t>
  </si>
  <si>
    <t xml:space="preserve">Hindusthan College of engineering </t>
  </si>
  <si>
    <t>Google, Other</t>
  </si>
  <si>
    <t>10JBwmfCCnln2Z4ClZRWwRfdjkKyFq3vZ</t>
  </si>
  <si>
    <t>https://drive.google.com/file/d/10JBwmfCCnln2Z4ClZRWwRfdjkKyFq3vZ/view?usp=drivesdk</t>
  </si>
  <si>
    <t>Document successfully created; Document successfully merged; PDF created; Emails Sent: [To: abinagarajan29@gmail.com]; Run via form trigger as codectechnologies0@gmail.com; Timestamp: Aug 27, 2026 1:07 PM</t>
  </si>
  <si>
    <t>KALLURI SAICHANDU</t>
  </si>
  <si>
    <t>saichandukalluri2@gmail.com</t>
  </si>
  <si>
    <t>Tirumala Engineering college</t>
  </si>
  <si>
    <t>LinkedIn, WhatsApp, Friend, AICTE/Indeed</t>
  </si>
  <si>
    <t>10r54ftBwxjWLDG4-2j8ib6CtNbllWmOO</t>
  </si>
  <si>
    <t>https://drive.google.com/file/d/10r54ftBwxjWLDG4-2j8ib6CtNbllWmOO/view?usp=drivesdk</t>
  </si>
  <si>
    <t>Document successfully created; Document successfully merged; PDF created; Emails Sent: [To: saichandukalluri2@gmail.com]; Run via form trigger as codectechnologies0@gmail.com; Timestamp: Aug 27, 2026 1:08 PM</t>
  </si>
  <si>
    <t>1Va-i_2-WWvw5u-9iKN2iMji8hwfeSDNX</t>
  </si>
  <si>
    <t>https://drive.google.com/file/d/1Va-i_2-WWvw5u-9iKN2iMji8hwfeSDNX/view?usp=drivesdk</t>
  </si>
  <si>
    <t>Document successfully created; Document successfully merged; PDF created; Emails Sent: [To: saichandukalluri2@gmail.com]; Run via form trigger as codectechnologies0@gmail.com; Timestamp: Aug 27, 2026 1:15 PM</t>
  </si>
  <si>
    <t>Jayasri</t>
  </si>
  <si>
    <t>srij2382@gmail.com</t>
  </si>
  <si>
    <t xml:space="preserve">Amity university haryana </t>
  </si>
  <si>
    <t>1E4b3irmpQfK95stILSTIcBucvqIztWMc</t>
  </si>
  <si>
    <t>https://drive.google.com/file/d/1E4b3irmpQfK95stILSTIcBucvqIztWMc/view?usp=drivesdk</t>
  </si>
  <si>
    <t>Document successfully created; Document successfully merged; PDF created; Emails Sent: [To: srij2382@gmail.com]; Run via form trigger as codectechnologies0@gmail.com; Timestamp: Aug 27, 2026 1:20 PM</t>
  </si>
  <si>
    <t>pranaypriyadarshi619@gmail.com</t>
  </si>
  <si>
    <t>1FXf6_9jcVD3PFLCGR4l63BPi5EW0om0G</t>
  </si>
  <si>
    <t>https://drive.google.com/file/d/1FXf6_9jcVD3PFLCGR4l63BPi5EW0om0G/view?usp=drivesdk</t>
  </si>
  <si>
    <t>Document successfully created; Document successfully merged; PDF created; Emails Sent: [To: pranaypriyadarshi619@gmail.com]; Run via form trigger as codectechnologies0@gmail.com; Timestamp: Aug 27, 2026 1:25 PM</t>
  </si>
  <si>
    <t>AMAN KUMAR RAY</t>
  </si>
  <si>
    <t>amankumarray62@gmail.com</t>
  </si>
  <si>
    <t>Vivekananda global university</t>
  </si>
  <si>
    <t>1N1PVHXEnx7onB-m5lOm2ZvG-PU3z9cp8</t>
  </si>
  <si>
    <t>https://drive.google.com/file/d/1N1PVHXEnx7onB-m5lOm2ZvG-PU3z9cp8/view?usp=drivesdk</t>
  </si>
  <si>
    <t>Document successfully created; Document successfully merged; PDF created; Emails Sent: [To: amankumarray62@gmail.com]; Run via form trigger as codectechnologies0@gmail.com; Timestamp: Aug 27, 2026 1:30 PM</t>
  </si>
  <si>
    <t xml:space="preserve">Papineni Venkata Sai Nishanth </t>
  </si>
  <si>
    <t>vsnishanthp@gmail.com</t>
  </si>
  <si>
    <t>1jphlXr3oKKZb8Nt_dJ4JAhYWcTeNPCPs</t>
  </si>
  <si>
    <t>https://drive.google.com/file/d/1jphlXr3oKKZb8Nt_dJ4JAhYWcTeNPCPs/view?usp=drivesdk</t>
  </si>
  <si>
    <t>Document successfully created; Document successfully merged; PDF created; Emails Sent: [To: vsnishanthp@gmail.com]; Run via form trigger as codectechnologies0@gmail.com; Timestamp: Aug 27, 2026 1:46 PM</t>
  </si>
  <si>
    <t>AJIT KUMAR MISHRA</t>
  </si>
  <si>
    <t>skit</t>
  </si>
  <si>
    <t>1vE3NUaa43gYWizFDoBLBRbaNF9GUGgGx</t>
  </si>
  <si>
    <t>https://drive.google.com/file/d/1vE3NUaa43gYWizFDoBLBRbaNF9GUGgGx/view?usp=drivesdk</t>
  </si>
  <si>
    <t>Document successfully created; Document successfully merged; PDF created; Emails Sent: [To: amankumarray62@gmail.com]; Run via form trigger as codectechnologies0@gmail.com; Timestamp: Aug 27, 2026 2:03 PM</t>
  </si>
  <si>
    <t>Rupeshgude</t>
  </si>
  <si>
    <t>rupeshgude2008@gmail.com</t>
  </si>
  <si>
    <t>1wlnZJeHh5ow1QIf2UkFSL16IKM-K-JCT</t>
  </si>
  <si>
    <t>https://drive.google.com/file/d/1wlnZJeHh5ow1QIf2UkFSL16IKM-K-JCT/view?usp=drivesdk</t>
  </si>
  <si>
    <t>Document successfully created; Document successfully merged; PDF created; Emails Sent: [To: rupeshgude2008@gmail.com]; Run via form trigger as codectechnologies0@gmail.com; Timestamp: Aug 27, 2026 2:29 PM</t>
  </si>
  <si>
    <t xml:space="preserve">Nawaneeth jonnada </t>
  </si>
  <si>
    <t>nawaneethjonnada@gmail.com</t>
  </si>
  <si>
    <t>1CHm29qgihwF5bist3X3g-L4N0CN4DjEN</t>
  </si>
  <si>
    <t>https://drive.google.com/file/d/1CHm29qgihwF5bist3X3g-L4N0CN4DjEN/view?usp=drivesdk</t>
  </si>
  <si>
    <t>Document successfully created; Document successfully merged; PDF created; Emails Sent: [To: nawaneethjonnada@gmail.com]; Run via form trigger as codectechnologies0@gmail.com; Timestamp: Aug 27, 2026 2:29 PM</t>
  </si>
  <si>
    <t>Kandi Kiran</t>
  </si>
  <si>
    <t>k35323808@gmail.com</t>
  </si>
  <si>
    <t xml:space="preserve">Uttaranchal university </t>
  </si>
  <si>
    <t>1LnKBrNFiK6O8Fc_J5KeJdTM3Gb1homya</t>
  </si>
  <si>
    <t>https://drive.google.com/file/d/1LnKBrNFiK6O8Fc_J5KeJdTM3Gb1homya/view?usp=drivesdk</t>
  </si>
  <si>
    <t>Document successfully created; Document successfully merged; PDF created; Emails Sent: [To: k35323808@gmail.com]; Run via form trigger as codectechnologies0@gmail.com; Timestamp: Aug 27, 2026 2:33 PM</t>
  </si>
  <si>
    <t xml:space="preserve">MVGR College of engineering </t>
  </si>
  <si>
    <t>1RveacVabv5iXSZXLLo6cBWStHYT4I5Uq</t>
  </si>
  <si>
    <t>https://drive.google.com/file/d/1RveacVabv5iXSZXLLo6cBWStHYT4I5Uq/view?usp=drivesdk</t>
  </si>
  <si>
    <t>Document successfully created; Document successfully merged; PDF created; Emails Sent: [To: reshmavangapandu1@gmail.com]; Run via form trigger as codectechnologies0@gmail.com; Timestamp: Aug 27, 2026 2:37 PM</t>
  </si>
  <si>
    <t>Akshat Anurag</t>
  </si>
  <si>
    <t>anuragakshat357@gmail.com</t>
  </si>
  <si>
    <t>1FjA9pvF5LnqlLzjaCQXf47CMFjcY0OZL</t>
  </si>
  <si>
    <t>https://drive.google.com/file/d/1FjA9pvF5LnqlLzjaCQXf47CMFjcY0OZL/view?usp=drivesdk</t>
  </si>
  <si>
    <t>Document successfully created; Document successfully merged; PDF created; Emails Sent: [To: anuragakshat357@gmail.com]; Run via form trigger as codectechnologies0@gmail.com; Timestamp: Aug 27, 2026 2:57 PM</t>
  </si>
  <si>
    <t>Mohammad Jahir</t>
  </si>
  <si>
    <t>jahirkhan4125@gmail.com</t>
  </si>
  <si>
    <t>Assam down town University</t>
  </si>
  <si>
    <t>1sJE3IxK3zdijTRdavw7gUtEn_VQrNKzd</t>
  </si>
  <si>
    <t>https://drive.google.com/file/d/1sJE3IxK3zdijTRdavw7gUtEn_VQrNKzd/view?usp=drivesdk</t>
  </si>
  <si>
    <t>Document successfully created; Document successfully merged; PDF created; Emails Sent: [To: jahirkhan4125@gmail.com]; Run via form trigger as codectechnologies0@gmail.com; Timestamp: Aug 27, 2026 3:00 PM</t>
  </si>
  <si>
    <t xml:space="preserve">Assam down town University </t>
  </si>
  <si>
    <t>Instagram, Facebook, WhatsApp, Friend</t>
  </si>
  <si>
    <t>1wmhg1nicRHoaoGnwzHFqLqX8bxvHm-Pb</t>
  </si>
  <si>
    <t>https://drive.google.com/file/d/1wmhg1nicRHoaoGnwzHFqLqX8bxvHm-Pb/view?usp=drivesdk</t>
  </si>
  <si>
    <t>Document successfully created; Document successfully merged; PDF created; Emails Sent: [To: jahirkhan4125@gmail.com]; Run via form trigger as codectechnologies0@gmail.com; Timestamp: Aug 27, 2026 3:29 PM</t>
  </si>
  <si>
    <t>Marut Mishra</t>
  </si>
  <si>
    <t>marutmishra43@gmail.com</t>
  </si>
  <si>
    <t>University Of Lucknow</t>
  </si>
  <si>
    <t>1ZgTLA8FsPzSPOn28pagQ6sZ0aADZA9y2</t>
  </si>
  <si>
    <t>https://drive.google.com/file/d/1ZgTLA8FsPzSPOn28pagQ6sZ0aADZA9y2/view?usp=drivesdk</t>
  </si>
  <si>
    <t>Document successfully created; Document successfully merged; PDF created; Emails Sent: [To: marutmishra43@gmail.com]; Run via form trigger as codectechnologies0@gmail.com; Timestamp: Aug 27, 2026 3:35 PM</t>
  </si>
  <si>
    <t>Om prakash Barmola</t>
  </si>
  <si>
    <t>barmolaomprakash1@gmail.com</t>
  </si>
  <si>
    <t>1HDjv7WVd1ZCsAjyciBZs6AXqXuiB0iWa</t>
  </si>
  <si>
    <t>https://drive.google.com/file/d/1HDjv7WVd1ZCsAjyciBZs6AXqXuiB0iWa/view?usp=drivesdk</t>
  </si>
  <si>
    <t>Document successfully created; Document successfully merged; PDF created; Emails Sent: [To: barmolaomprakash1@gmail.com]; Run via form trigger as codectechnologies0@gmail.com; Timestamp: Aug 27, 2026 7:01 PM</t>
  </si>
  <si>
    <t>Uday Karate</t>
  </si>
  <si>
    <t>udayg3787@gmail.com</t>
  </si>
  <si>
    <t xml:space="preserve">Navodaya Institute Of Technology Raichur </t>
  </si>
  <si>
    <t>13OYbT9-dlHc273JnC37qJdMLnCR7Ymlj</t>
  </si>
  <si>
    <t>https://drive.google.com/file/d/13OYbT9-dlHc273JnC37qJdMLnCR7Ymlj/view?usp=drivesdk</t>
  </si>
  <si>
    <t>Document successfully created; Document successfully merged; PDF created; Emails Sent: [To: udayg3787@gmail.com]; Run via form trigger as codectechnologies0@gmail.com; Timestamp: Aug 27, 2026 10:14 PM</t>
  </si>
  <si>
    <t xml:space="preserve">P Uday Kiran </t>
  </si>
  <si>
    <t>1dnm2hwzuTN4tFd8X-3ZjSG7QWaAy5Fzn</t>
  </si>
  <si>
    <t>https://drive.google.com/file/d/1dnm2hwzuTN4tFd8X-3ZjSG7QWaAy5Fzn/view?usp=drivesdk</t>
  </si>
  <si>
    <t>Document successfully created; Document successfully merged; PDF created; Emails Sent: [To: udayg3787@gmail.com]; Run via form trigger as codectechnologies0@gmail.com; Timestamp: Aug 27, 2026 10:20 PM</t>
  </si>
  <si>
    <t>Manasa. Pothula</t>
  </si>
  <si>
    <t>manasapothula78@gmail.com</t>
  </si>
  <si>
    <t>Aditya college of engineering and technology</t>
  </si>
  <si>
    <t>1kAII4NgHjeg9IYPTPz8Z3vCoKkTpFQ6U</t>
  </si>
  <si>
    <t>https://drive.google.com/file/d/1kAII4NgHjeg9IYPTPz8Z3vCoKkTpFQ6U/view?usp=drivesdk</t>
  </si>
  <si>
    <t>Document successfully created; Document successfully merged; PDF created; Emails Sent: [To: manasapothula78@gmail.com]; Run via form trigger as codectechnologies0@gmail.com; Timestamp: Aug 27, 2026 10:40 PM</t>
  </si>
  <si>
    <t>SHRESTA RAI S</t>
  </si>
  <si>
    <t>raisshresta@gmail.com</t>
  </si>
  <si>
    <t>KVG College of Engineering, Sullia,Mangalore, DK</t>
  </si>
  <si>
    <t>1DQ6gfwShqJTetsbvBB4AbTKllF6OLkNM</t>
  </si>
  <si>
    <t>https://drive.google.com/file/d/1DQ6gfwShqJTetsbvBB4AbTKllF6OLkNM/view?usp=drivesdk</t>
  </si>
  <si>
    <t>Document successfully created; Document successfully merged; PDF created; Emails Sent: [To: raisshresta@gmail.com]; Run via form trigger as codectechnologies0@gmail.com; Timestamp: Aug 27, 2026 11:26 PM</t>
  </si>
  <si>
    <t>Pragadeesh B</t>
  </si>
  <si>
    <t>bpragadeesh61@jnn.edu.in</t>
  </si>
  <si>
    <t>JNN Institute of engineering</t>
  </si>
  <si>
    <t>1KhW5Dgu9tjWHkXE-jOdrpg_YhOtisZoT</t>
  </si>
  <si>
    <t>https://drive.google.com/file/d/1KhW5Dgu9tjWHkXE-jOdrpg_YhOtisZoT/view?usp=drivesdk</t>
  </si>
  <si>
    <t>Document successfully created; Document successfully merged; PDF created; Emails Sent: [To: bpragadeesh61@jnn.edu.in]; Run via form trigger as codectechnologies0@gmail.com; Timestamp: Aug 27, 2026 11:32 PM</t>
  </si>
  <si>
    <t>Kavana S</t>
  </si>
  <si>
    <t>skavana783@gmail.com</t>
  </si>
  <si>
    <t xml:space="preserve">Kvg college of engineering,sullia, Mangaluru </t>
  </si>
  <si>
    <t>1N6GZ38WOoyRnvtVJm9hQBmYZ--AntH6C</t>
  </si>
  <si>
    <t>https://drive.google.com/file/d/1N6GZ38WOoyRnvtVJm9hQBmYZ--AntH6C/view?usp=drivesdk</t>
  </si>
  <si>
    <t>Document successfully created; Document successfully merged; PDF created; Emails Sent: [To: skavana783@gmail.com]; Run via form trigger as codectechnologies0@gmail.com; Timestamp: Aug 27, 2026 11:43 PM</t>
  </si>
  <si>
    <t>Shankadeep Dey</t>
  </si>
  <si>
    <t>shankadeepdey@gmail.com</t>
  </si>
  <si>
    <t xml:space="preserve">Asansol Engineering College </t>
  </si>
  <si>
    <t>1cA3LeVbEmg0fwz0HAlnDz4Zoml-7ziVW</t>
  </si>
  <si>
    <t>https://drive.google.com/file/d/1cA3LeVbEmg0fwz0HAlnDz4Zoml-7ziVW/view?usp=drivesdk</t>
  </si>
  <si>
    <t>Document successfully created; Document successfully merged; PDF created; Emails Sent: [To: shankadeepdey@gmail.com]; Run via form trigger as codectechnologies0@gmail.com; Timestamp: Aug 28, 2026 12:27 AM</t>
  </si>
  <si>
    <t xml:space="preserve">Kamisetty Anilkumar </t>
  </si>
  <si>
    <t>anilkumarkamisetty83@gmail.com</t>
  </si>
  <si>
    <t xml:space="preserve">Mahendra Engineering College </t>
  </si>
  <si>
    <t>1qqx400HbBOGPp6554NR1M4A-le9nrwdx</t>
  </si>
  <si>
    <t>https://drive.google.com/file/d/1qqx400HbBOGPp6554NR1M4A-le9nrwdx/view?usp=drivesdk</t>
  </si>
  <si>
    <t>Document successfully created; Document successfully merged; PDF created; Emails Sent: [To: anilkumarkamisetty83@gmail.com]; Run via form trigger as codectechnologies0@gmail.com; Timestamp: Aug 28, 2026 1:19 AM</t>
  </si>
  <si>
    <t>Anjali Santosh Raut</t>
  </si>
  <si>
    <t>prof ram meghe college of engg and management badnera</t>
  </si>
  <si>
    <t>1yFG-sjWbkh_6QXMIBcuZXRm_cVmFBxZO</t>
  </si>
  <si>
    <t>https://drive.google.com/file/d/1yFG-sjWbkh_6QXMIBcuZXRm_cVmFBxZO/view?usp=drivesdk</t>
  </si>
  <si>
    <t>Document successfully created; Document successfully merged; PDF created; Emails Sent: [To: anjaliraut1346@gmail.com]; Run via form trigger as codectechnologies0@gmail.com; Timestamp: Aug 28, 2026 1:25 AM</t>
  </si>
  <si>
    <t xml:space="preserve">Manuraj ratnu </t>
  </si>
  <si>
    <t>manuraj.25scs1003003590@iilm.edu</t>
  </si>
  <si>
    <t xml:space="preserve">IILM GREATER NOIDA </t>
  </si>
  <si>
    <t>1Ai9lDWEs-HR2ru59Ia4IZZHm6KoaHeqX</t>
  </si>
  <si>
    <t>https://drive.google.com/file/d/1Ai9lDWEs-HR2ru59Ia4IZZHm6KoaHeqX/view?usp=drivesdk</t>
  </si>
  <si>
    <t>Document successfully created; Document successfully merged; PDF created; Emails Sent: [To: manuraj.25scs1003003590@iilm.edu]; Run via form trigger as codectechnologies0@gmail.com; Timestamp: Aug 28, 2026 1:28 AM</t>
  </si>
  <si>
    <t>varunadthitan sv</t>
  </si>
  <si>
    <t>varunadthitan.sv.2024.csecs@rajalakshmi.edu.in</t>
  </si>
  <si>
    <t>rajalakshmi engineering college</t>
  </si>
  <si>
    <t>1kqbhbIZ5TZD5AEtiNUUEetAhkWNpkRFp</t>
  </si>
  <si>
    <t>https://drive.google.com/file/d/1kqbhbIZ5TZD5AEtiNUUEetAhkWNpkRFp/view?usp=drivesdk</t>
  </si>
  <si>
    <t>Document successfully created; Document successfully merged; PDF created; Emails Sent: [To: varunadthitan.sv.2024.csecs@rajalakshmi.edu.in]; Run via form trigger as codectechnologies0@gmail.com; Timestamp: Aug 28, 2026 1:37 AM</t>
  </si>
  <si>
    <t>varunadhitan sv</t>
  </si>
  <si>
    <t>varunadhiatn.sv.2024.csecs@rajalakshmi.edu.in</t>
  </si>
  <si>
    <t>1aKF4IV0d93Fl_7u6liFr-KcIKm2TOUqC</t>
  </si>
  <si>
    <t>https://drive.google.com/file/d/1aKF4IV0d93Fl_7u6liFr-KcIKm2TOUqC/view?usp=drivesdk</t>
  </si>
  <si>
    <t>Document successfully created; Document successfully merged; PDF created; Emails Sent: [To: varunadhiatn.sv.2024.csecs@rajalakshmi.edu.in]; Run via form trigger as codectechnologies0@gmail.com; Timestamp: Aug 28, 2026 1:42 AM</t>
  </si>
  <si>
    <t xml:space="preserve">Ayush Ranjan </t>
  </si>
  <si>
    <t>ayushranjan6469@gmail.com</t>
  </si>
  <si>
    <t>1keuMHwHI3hMogrPGN88DzNZiePKoXrNI</t>
  </si>
  <si>
    <t>https://drive.google.com/file/d/1keuMHwHI3hMogrPGN88DzNZiePKoXrNI/view?usp=drivesdk</t>
  </si>
  <si>
    <t>Document successfully created; Document successfully merged; PDF created; Emails Sent: [To: ayushranjan6469@gmail.com]; Run via form trigger as codectechnologies0@gmail.com; Timestamp: Aug 28, 2026 2:42 AM</t>
  </si>
  <si>
    <t>Ayush Bisht</t>
  </si>
  <si>
    <t>ayushbisht2400@gmail.com</t>
  </si>
  <si>
    <t>Uttaranchal Institute of Technology,Dehradun</t>
  </si>
  <si>
    <t>156E1CrkNxEAv11vOAt3S829VxyJI3Jfv</t>
  </si>
  <si>
    <t>https://drive.google.com/file/d/156E1CrkNxEAv11vOAt3S829VxyJI3Jfv/view?usp=drivesdk</t>
  </si>
  <si>
    <t>Document successfully created; Document successfully merged; PDF created; Emails Sent: [To: ayushbisht2400@gmail.com]; Run via form trigger as codectechnologies0@gmail.com; Timestamp: Aug 28, 2026 2:57 AM</t>
  </si>
  <si>
    <t>Tejas Bapurao Deshmukh</t>
  </si>
  <si>
    <t>tejasdeshmukh906@gmail.com</t>
  </si>
  <si>
    <t xml:space="preserve">School of engineering and technology </t>
  </si>
  <si>
    <t>1aNW-3lEw0_320x0vVdrOJ5vZ78KhxAjX</t>
  </si>
  <si>
    <t>https://drive.google.com/file/d/1aNW-3lEw0_320x0vVdrOJ5vZ78KhxAjX/view?usp=drivesdk</t>
  </si>
  <si>
    <t>Document successfully created; Document successfully merged; PDF created; Emails Sent: [To: tejasdeshmukh906@gmail.com]; Run via form trigger as codectechnologies0@gmail.com; Timestamp: Aug 28, 2026 3:22 AM</t>
  </si>
  <si>
    <t xml:space="preserve">Janardhan M </t>
  </si>
  <si>
    <t>jj1539746@gmail.com</t>
  </si>
  <si>
    <t>1b3UHeaC9T8FRcj-1bImLkuIoiyBPuR7S</t>
  </si>
  <si>
    <t>https://drive.google.com/file/d/1b3UHeaC9T8FRcj-1bImLkuIoiyBPuR7S/view?usp=drivesdk</t>
  </si>
  <si>
    <t>Document successfully created; Document successfully merged; PDF created; Emails Sent: [To: jj1539746@gmail.com]; Run via form trigger as codectechnologies0@gmail.com; Timestamp: Aug 28, 2026 3:26 AM</t>
  </si>
  <si>
    <t>Karthick Raja Yuvaraj</t>
  </si>
  <si>
    <t>karthickrajay2005@gmail.com</t>
  </si>
  <si>
    <t>Sri Shanmugha College of Engineering and Technlology</t>
  </si>
  <si>
    <t>1K6Zx8a7zpOBwTXsTU0YYUGcQ_IpAvV8x</t>
  </si>
  <si>
    <t>https://drive.google.com/file/d/1K6Zx8a7zpOBwTXsTU0YYUGcQ_IpAvV8x/view?usp=drivesdk</t>
  </si>
  <si>
    <t>Document successfully created; Document successfully merged; PDF created; Emails Sent: [To: karthickrajay2005@gmail.com]; Run via form trigger as codectechnologies0@gmail.com; Timestamp: Aug 28, 2026 3:38 AM</t>
  </si>
  <si>
    <t>Raghul C</t>
  </si>
  <si>
    <t>240798.cs@rmkec.ac.in</t>
  </si>
  <si>
    <t>R.M.K Engineering College</t>
  </si>
  <si>
    <t>1Hk2prQsiL2P0uNLG77YueYXy7weciRFM</t>
  </si>
  <si>
    <t>https://drive.google.com/file/d/1Hk2prQsiL2P0uNLG77YueYXy7weciRFM/view?usp=drivesdk</t>
  </si>
  <si>
    <t>Document successfully created; Document successfully merged; PDF created; Emails Sent: [To: 240798.cs@rmkec.ac.in]; Run via form trigger as codectechnologies0@gmail.com; Timestamp: Aug 28, 2026 4:17 AM</t>
  </si>
  <si>
    <t>Madhumitha M</t>
  </si>
  <si>
    <t>madhumani2710@gmail.com</t>
  </si>
  <si>
    <t>1h87_A2eGr5kMp_6kP92QKQCijN6Y15Y0</t>
  </si>
  <si>
    <t>https://drive.google.com/file/d/1h87_A2eGr5kMp_6kP92QKQCijN6Y15Y0/view?usp=drivesdk</t>
  </si>
  <si>
    <t>Document successfully created; Document successfully merged; PDF created; Emails Sent: [To: madhumani2710@gmail.com]; Run via form trigger as codectechnologies0@gmail.com; Timestamp: Aug 28, 2026 4:28 AM</t>
  </si>
  <si>
    <t>aman.25scs1003003295@iilm.edu</t>
  </si>
  <si>
    <t>1Qaah8C170S9SNpFeJt9zOIw1NuuZFlyy</t>
  </si>
  <si>
    <t>https://drive.google.com/file/d/1Qaah8C170S9SNpFeJt9zOIw1NuuZFlyy/view?usp=drivesdk</t>
  </si>
  <si>
    <t>Document successfully created; Document successfully merged; PDF created; Emails Sent: [To: aman.25scs1003003295@iilm.edu]; Run via form trigger as codectechnologies0@gmail.com; Timestamp: Aug 28, 2026 4:33 AM</t>
  </si>
  <si>
    <t>Raj Aryan Singh</t>
  </si>
  <si>
    <t>rajaryansingh50@gmail.com</t>
  </si>
  <si>
    <t xml:space="preserve">Dev Bhoomi Uttrakhand University </t>
  </si>
  <si>
    <t>1UABjywxOiWdHrg1bK7ySu41hw6RhBvuk</t>
  </si>
  <si>
    <t>https://drive.google.com/file/d/1UABjywxOiWdHrg1bK7ySu41hw6RhBvuk/view?usp=drivesdk</t>
  </si>
  <si>
    <t>Document successfully created; Document successfully merged; PDF created; Emails Sent: [To: rajaryansingh50@gmail.com]; Run via form trigger as codectechnologies0@gmail.com; Timestamp: Aug 28, 2026 4:36 AM</t>
  </si>
  <si>
    <t>Yash Mittal</t>
  </si>
  <si>
    <t>myash9840@gmail.com</t>
  </si>
  <si>
    <t>NIT Raipur</t>
  </si>
  <si>
    <t>1zmDxz_sMPhQboriWvtIKxYXxm_VgAE2g</t>
  </si>
  <si>
    <t>https://drive.google.com/file/d/1zmDxz_sMPhQboriWvtIKxYXxm_VgAE2g/view?usp=drivesdk</t>
  </si>
  <si>
    <t>Document successfully created; Document successfully merged; PDF created; Emails Sent: [To: myash9840@gmail.com]; Run via form trigger as codectechnologies0@gmail.com; Timestamp: Aug 28, 2026 4:48 AM</t>
  </si>
  <si>
    <t>Ravi Kishan</t>
  </si>
  <si>
    <t>ravikishan98390@gmail.com</t>
  </si>
  <si>
    <t>IILM UNIVERSITY , Greater Noida</t>
  </si>
  <si>
    <t>11ofGktpPnE9x6vaLGPTEh5gw3uKbR5zV</t>
  </si>
  <si>
    <t>https://drive.google.com/file/d/11ofGktpPnE9x6vaLGPTEh5gw3uKbR5zV/view?usp=drivesdk</t>
  </si>
  <si>
    <t>Document successfully created; Document successfully merged; PDF created; Emails Sent: [To: ravikishan98390@gmail.com]; Run via form trigger as codectechnologies0@gmail.com; Timestamp: Aug 28, 2026 4:50 AM</t>
  </si>
  <si>
    <t>UTKARSH MISHRA</t>
  </si>
  <si>
    <t>Utkarsh.25scs1003001643@iilm.edu</t>
  </si>
  <si>
    <t>19_QIF16jGZ9926zdddWxA_az5NQsWl3m</t>
  </si>
  <si>
    <t>https://drive.google.com/file/d/19_QIF16jGZ9926zdddWxA_az5NQsWl3m/view?usp=drivesdk</t>
  </si>
  <si>
    <t>Document successfully created; Document successfully merged; PDF created; Emails Sent: [To: Utkarsh.25scs1003001643@iilm.edu]; Run via form trigger as codectechnologies0@gmail.com; Timestamp: Aug 28, 2026 5:17 AM</t>
  </si>
  <si>
    <t>Kammili Gowthami</t>
  </si>
  <si>
    <t>1fkqKmGYQerwnxM3HW1fwri0pvCrBjIp7</t>
  </si>
  <si>
    <t>https://drive.google.com/file/d/1fkqKmGYQerwnxM3HW1fwri0pvCrBjIp7/view?usp=drivesdk</t>
  </si>
  <si>
    <t>Document successfully created; Document successfully merged; PDF created; Emails Sent: [To: akhil8309991301@gmail.com]; Run via form trigger as codectechnologies0@gmail.com; Timestamp: Aug 28, 2026 5:23 AM</t>
  </si>
  <si>
    <t>1mnptLUiXalaw9ZmxdcPmgCKbIitur-fJ</t>
  </si>
  <si>
    <t>https://drive.google.com/file/d/1mnptLUiXalaw9ZmxdcPmgCKbIitur-fJ/view?usp=drivesdk</t>
  </si>
  <si>
    <t>Document successfully created; Document successfully merged; PDF created; Emails Sent: [To: rishimbhavsar@gmail.com]; Run via form trigger as codectechnologies0@gmail.com; Timestamp: Aug 28, 2026 5:24 AM</t>
  </si>
  <si>
    <t>Tushar</t>
  </si>
  <si>
    <t>tushar010507@gmail.com</t>
  </si>
  <si>
    <t xml:space="preserve">Global Institute of Technology and Management </t>
  </si>
  <si>
    <t>16bR1kAOy1qN3VtVOyMSIAStt48U_aLvM</t>
  </si>
  <si>
    <t>https://drive.google.com/file/d/16bR1kAOy1qN3VtVOyMSIAStt48U_aLvM/view?usp=drivesdk</t>
  </si>
  <si>
    <t>Document successfully created; Document successfully merged; PDF created; Emails Sent: [To: tushar010507@gmail.com]; Run via form trigger as codectechnologies0@gmail.com; Timestamp: Aug 28, 2026 5:30 AM</t>
  </si>
  <si>
    <t xml:space="preserve">Mayuresh Bandu Kumbhar </t>
  </si>
  <si>
    <t>mayuresh120506@gmail.com</t>
  </si>
  <si>
    <t xml:space="preserve">Annasaheb dange college of engineering and technology ashta </t>
  </si>
  <si>
    <t>1R8xS5DYoBXpGXOErb95XglpjgOT3C0b8</t>
  </si>
  <si>
    <t>https://drive.google.com/file/d/1R8xS5DYoBXpGXOErb95XglpjgOT3C0b8/view?usp=drivesdk</t>
  </si>
  <si>
    <t>Document successfully created; Document successfully merged; PDF created; Emails Sent: [To: mayuresh120506@gmail.com]; Run via form trigger as codectechnologies0@gmail.com; Timestamp: Aug 28, 2026 5:34 AM</t>
  </si>
  <si>
    <t>SHIVAM SHARMA</t>
  </si>
  <si>
    <t>shivamsharma37000@gmail.com</t>
  </si>
  <si>
    <t>GRAPHIC ERA HILL UNIVERSITY DEHRADUN</t>
  </si>
  <si>
    <t>16OLc_3NSULo5v1oCLouyQpLerS5HNB7y</t>
  </si>
  <si>
    <t>https://drive.google.com/file/d/16OLc_3NSULo5v1oCLouyQpLerS5HNB7y/view?usp=drivesdk</t>
  </si>
  <si>
    <t>Document successfully created; Document successfully merged; PDF created; Emails Sent: [To: shivamsharma37000@gmail.com]; Run via form trigger as codectechnologies0@gmail.com; Timestamp: Aug 28, 2026 5:56 AM</t>
  </si>
  <si>
    <t xml:space="preserve">Konapuram Nithin sai </t>
  </si>
  <si>
    <t>nithinsaikonapuram810@gmail.com</t>
  </si>
  <si>
    <t xml:space="preserve">KALASALINGAM ACEDAMY OF RESEARCH AND EDUCATION </t>
  </si>
  <si>
    <t>1T91giX8sBNYUDTqfCjUa1dsN9f6YAvS7</t>
  </si>
  <si>
    <t>https://drive.google.com/file/d/1T91giX8sBNYUDTqfCjUa1dsN9f6YAvS7/view?usp=drivesdk</t>
  </si>
  <si>
    <t>Document successfully created; Document successfully merged; PDF created; Emails Sent: [To: nithinsaikonapuram810@gmail.com]; Run via form trigger as codectechnologies0@gmail.com; Timestamp: Aug 28, 2026 5:58 AM</t>
  </si>
  <si>
    <t>Dharmaraj Nitin Nimbalkar</t>
  </si>
  <si>
    <t>nimbalkardharmaraj33@gmail.com</t>
  </si>
  <si>
    <t>Kj collage of engineering  and management research pune</t>
  </si>
  <si>
    <t>1CHmgKmFu23bdaxsa_UDYisNTMH_1fXxl</t>
  </si>
  <si>
    <t>https://drive.google.com/file/d/1CHmgKmFu23bdaxsa_UDYisNTMH_1fXxl/view?usp=drivesdk</t>
  </si>
  <si>
    <t>Document successfully created; Document successfully merged; PDF created; Emails Sent: [To: nimbalkardharmaraj33@gmail.com]; Run via form trigger as codectechnologies0@gmail.com; Timestamp: Aug 28, 2026 6:13 AM</t>
  </si>
  <si>
    <t>Rudra Pratap Tripathi</t>
  </si>
  <si>
    <t>TRIPATHIRUDRAPRATAP0@GMAIL.COM</t>
  </si>
  <si>
    <t>1-rYEXWXymr0Ws5U0p_YtQnKahuAd1rng</t>
  </si>
  <si>
    <t>https://drive.google.com/file/d/1-rYEXWXymr0Ws5U0p_YtQnKahuAd1rng/view?usp=drivesdk</t>
  </si>
  <si>
    <t>Document successfully created; Document successfully merged; PDF created; Emails Sent: [To: TRIPATHIRUDRAPRATAP0@GMAIL.COM]; Run via form trigger as codectechnologies0@gmail.com; Timestamp: Aug 28, 2026 6:15 AM</t>
  </si>
  <si>
    <t xml:space="preserve">Radhesh Rojasara </t>
  </si>
  <si>
    <t>radheshsoni471@gmail.com</t>
  </si>
  <si>
    <t xml:space="preserve">Ajeenkya Dy Patil University </t>
  </si>
  <si>
    <t>1rnt-zTYBzdWL-KA5GMK3FMCHvnBY7Mjn</t>
  </si>
  <si>
    <t>https://drive.google.com/file/d/1rnt-zTYBzdWL-KA5GMK3FMCHvnBY7Mjn/view?usp=drivesdk</t>
  </si>
  <si>
    <t>Document successfully created; Document successfully merged; PDF created; Emails Sent: [To: radheshsoni471@gmail.com]; Run via form trigger as codectechnologies0@gmail.com; Timestamp: Aug 28, 2026 6:49 AM</t>
  </si>
  <si>
    <t>ADITYA RAJ</t>
  </si>
  <si>
    <t>adityarajdeoghar700@gmail.com</t>
  </si>
  <si>
    <t>1kVmWGdGp2xQ022UkpH0UW1DGxEVWwBkX</t>
  </si>
  <si>
    <t>https://drive.google.com/file/d/1kVmWGdGp2xQ022UkpH0UW1DGxEVWwBkX/view?usp=drivesdk</t>
  </si>
  <si>
    <t>Document successfully created; Document successfully merged; PDF created; Emails Sent: [To: adityarajdeoghar700@gmail.com]; Run via form trigger as codectechnologies0@gmail.com; Timestamp: Aug 28, 2026 7:00 AM</t>
  </si>
  <si>
    <t>Sundar Bontha</t>
  </si>
  <si>
    <t>bonthasundar9@gmail.com</t>
  </si>
  <si>
    <t>aidtya universty</t>
  </si>
  <si>
    <t>1gNKqYUmCAjxRTkfoJ5EdKKxwOGXtYYqT</t>
  </si>
  <si>
    <t>https://drive.google.com/file/d/1gNKqYUmCAjxRTkfoJ5EdKKxwOGXtYYqT/view?usp=drivesdk</t>
  </si>
  <si>
    <t>Document successfully created; Document successfully merged; PDF created; Emails Sent: [To: bonthasundar9@gmail.com]; Run via form trigger as codectechnologies0@gmail.com; Timestamp: Aug 28, 2026 7:24 AM</t>
  </si>
  <si>
    <t>Vidhya Phad</t>
  </si>
  <si>
    <t>vidhyaphad6@gmail.com</t>
  </si>
  <si>
    <t>07773964020</t>
  </si>
  <si>
    <t xml:space="preserve">Jagdamba college of engineering and technology yavtmal </t>
  </si>
  <si>
    <t>1k-E4BniDHOPgy0CK-U4mXtMHqwU83RTw</t>
  </si>
  <si>
    <t>https://drive.google.com/file/d/1k-E4BniDHOPgy0CK-U4mXtMHqwU83RTw/view?usp=drivesdk</t>
  </si>
  <si>
    <t>Document successfully created; Document successfully merged; PDF created; Emails Sent: [To: vidhyaphad6@gmail.com]; Run via form trigger as codectechnologies0@gmail.com; Timestamp: Aug 28, 2026 7:50 AM</t>
  </si>
  <si>
    <t>amar kumar</t>
  </si>
  <si>
    <t>amarjnv2119@gmail.com</t>
  </si>
  <si>
    <t>118m2-uRJRm1k54qbxNfOJBw3ZzbwoGCM</t>
  </si>
  <si>
    <t>https://drive.google.com/file/d/118m2-uRJRm1k54qbxNfOJBw3ZzbwoGCM/view?usp=drivesdk</t>
  </si>
  <si>
    <t>Document successfully created; Document successfully merged; PDF created; Emails Sent: [To: amarjnv2119@gmail.com]; Run via form trigger as codectechnologies0@gmail.com; Timestamp: Aug 28, 2026 8:03 AM</t>
  </si>
  <si>
    <t xml:space="preserve">Prasant Pradhan </t>
  </si>
  <si>
    <t>prasantpradhan0605@gmail.com</t>
  </si>
  <si>
    <t>189qHGIisq5uiVfplStY9RlgSYm6YCNyI</t>
  </si>
  <si>
    <t>https://drive.google.com/file/d/189qHGIisq5uiVfplStY9RlgSYm6YCNyI/view?usp=drivesdk</t>
  </si>
  <si>
    <t>Document successfully created; Document successfully merged; PDF created; Emails Sent: [To: prasantpradhan0605@gmail.com]; Run via form trigger as codectechnologies0@gmail.com; Timestamp: Aug 28, 2026 8:04 AM</t>
  </si>
  <si>
    <t>Ankit Rai</t>
  </si>
  <si>
    <t>ishika.ankit123@gmail.com</t>
  </si>
  <si>
    <t>1D4zg1FxwpFxfAqL9lT-LKps9q6qYpeYe</t>
  </si>
  <si>
    <t>https://drive.google.com/file/d/1D4zg1FxwpFxfAqL9lT-LKps9q6qYpeYe/view?usp=drivesdk</t>
  </si>
  <si>
    <t>Document successfully created; Document successfully merged; PDF created; Emails Sent: [To: ishika.ankit123@gmail.com]; Run via form trigger as codectechnologies0@gmail.com; Timestamp: Aug 28, 2026 8:19 AM</t>
  </si>
  <si>
    <t>Yash Tomar</t>
  </si>
  <si>
    <t>ytomar100r@gmail.com</t>
  </si>
  <si>
    <t>Guru Gobind Singh Indraprastha University</t>
  </si>
  <si>
    <t>1uUoeQlP5tX7lixhWhV6KDqaOnJI8Oxe2</t>
  </si>
  <si>
    <t>https://drive.google.com/file/d/1uUoeQlP5tX7lixhWhV6KDqaOnJI8Oxe2/view?usp=drivesdk</t>
  </si>
  <si>
    <t>Document successfully created; Document successfully merged; PDF created; Emails Sent: [To: ytomar100r@gmail.com]; Run via form trigger as codectechnologies0@gmail.com; Timestamp: Aug 28, 2026 8:40 AM</t>
  </si>
  <si>
    <t>Ashwitha Gnanasekaran</t>
  </si>
  <si>
    <t>ashwithagnanasekaran@gmail.com</t>
  </si>
  <si>
    <t>Sri Shanmugha College of Engineering and Technology</t>
  </si>
  <si>
    <t>1b7ri1OEtvoD_jqTZoM2Dmif0XwSQu4Af</t>
  </si>
  <si>
    <t>https://drive.google.com/file/d/1b7ri1OEtvoD_jqTZoM2Dmif0XwSQu4Af/view?usp=drivesdk</t>
  </si>
  <si>
    <t>Document successfully created; Document successfully merged; PDF created; Emails Sent: [To: ashwithagnanasekaran@gmail.com]; Run via form trigger as codectechnologies0@gmail.com; Timestamp: Aug 28, 2026 9:33 AM</t>
  </si>
  <si>
    <t>Shekhar Anand</t>
  </si>
  <si>
    <t>shekhar.25scs1003002760@iilm.edu</t>
  </si>
  <si>
    <t>1vOENMz6TQPONJcx6Hp-ONQIx_8TPNdwg</t>
  </si>
  <si>
    <t>https://drive.google.com/file/d/1vOENMz6TQPONJcx6Hp-ONQIx_8TPNdwg/view?usp=drivesdk</t>
  </si>
  <si>
    <t>Document successfully created; Document successfully merged; PDF created; Emails Sent: [To: shekhar.25scs1003002760@iilm.edu]; Run via form trigger as codectechnologies0@gmail.com; Timestamp: Aug 28, 2026 9:40 AM</t>
  </si>
  <si>
    <t>Dhanush J</t>
  </si>
  <si>
    <t>dhanushj705@gmail.com</t>
  </si>
  <si>
    <t>RMK Engineering College</t>
  </si>
  <si>
    <t>1nB38ZGTPbJfED4_4Tp0J14n1cdi8YfQ9</t>
  </si>
  <si>
    <t>https://drive.google.com/file/d/1nB38ZGTPbJfED4_4Tp0J14n1cdi8YfQ9/view?usp=drivesdk</t>
  </si>
  <si>
    <t>Document successfully created; Document successfully merged; PDF created; Emails Sent: [To: dhanushj705@gmail.com]; Run via form trigger as codectechnologies0@gmail.com; Timestamp: Aug 28, 2026 9:43 AM</t>
  </si>
  <si>
    <t xml:space="preserve">Lakshay Pandey </t>
  </si>
  <si>
    <t>lakshay.25scs1003000942@iilm.edu</t>
  </si>
  <si>
    <t>1xmi-viF0o4YT7ib5gTWfWvB4_qbbkJlv</t>
  </si>
  <si>
    <t>https://drive.google.com/file/d/1xmi-viF0o4YT7ib5gTWfWvB4_qbbkJlv/view?usp=drivesdk</t>
  </si>
  <si>
    <t>Document successfully created; Document successfully merged; PDF created; Emails Sent: [To: lakshay.25scs1003000942@iilm.edu]; Run via form trigger as codectechnologies0@gmail.com; Timestamp: Aug 28, 2026 10:05 AM</t>
  </si>
  <si>
    <t>AKULA GANESH</t>
  </si>
  <si>
    <t>aganeshyadhav0@gmail.com</t>
  </si>
  <si>
    <t>NEWTON'S INSTITUTE OF ENGINEERING</t>
  </si>
  <si>
    <t>142E7n7xkfk9W89EWHdaHH9eKrLTZxZhv</t>
  </si>
  <si>
    <t>https://drive.google.com/file/d/142E7n7xkfk9W89EWHdaHH9eKrLTZxZhv/view?usp=drivesdk</t>
  </si>
  <si>
    <t>Document successfully created; Document successfully merged; PDF created; Emails Sent: [To: aganeshyadhav0@gmail.com]; Run via form trigger as codectechnologies0@gmail.com; Timestamp: Aug 28, 2026 10:21 AM</t>
  </si>
  <si>
    <t>Megharaj M K</t>
  </si>
  <si>
    <t>megharajmk2004@gmail.com</t>
  </si>
  <si>
    <t>Presidency College Autonomous Bengaluru</t>
  </si>
  <si>
    <t>10W6EtvLGbrHOeq9sctBzFfLGlj71N0xE</t>
  </si>
  <si>
    <t>https://drive.google.com/file/d/10W6EtvLGbrHOeq9sctBzFfLGlj71N0xE/view?usp=drivesdk</t>
  </si>
  <si>
    <t>Document successfully created; Document successfully merged; PDF created; Emails Sent: [To: megharajmk2004@gmail.com]; Run via form trigger as codectechnologies0@gmail.com; Timestamp: Aug 28, 2026 10:25 AM</t>
  </si>
  <si>
    <t>Namala venkata manisha</t>
  </si>
  <si>
    <t>Sri Ramakrishna degree college</t>
  </si>
  <si>
    <t>1BMK_9_uEyAfZZKoyakOqlKW-v_CoP27I</t>
  </si>
  <si>
    <t>https://drive.google.com/file/d/1BMK_9_uEyAfZZKoyakOqlKW-v_CoP27I/view?usp=drivesdk</t>
  </si>
  <si>
    <t>Document successfully created; Document successfully merged; PDF created; !!Error Sending Emails: Invalid email: Yes; Run via form trigger as codectechnologies0@gmail.com; Timestamp: Aug 28, 2026 10:40 AM</t>
  </si>
  <si>
    <t>SUSENDRAN R</t>
  </si>
  <si>
    <t>susendran.1003@gmail.com</t>
  </si>
  <si>
    <t>88701 80283</t>
  </si>
  <si>
    <t>19hX2iQc5yKaZ8AxBHL82A4giCcpKF4WG</t>
  </si>
  <si>
    <t>https://drive.google.com/file/d/19hX2iQc5yKaZ8AxBHL82A4giCcpKF4WG/view?usp=drivesdk</t>
  </si>
  <si>
    <t>Document successfully created; Document successfully merged; PDF created; Emails Sent: [To: susendran.1003@gmail.com]; Run via form trigger as codectechnologies0@gmail.com; Timestamp: Aug 28, 2026 10:57 AM</t>
  </si>
  <si>
    <t>1no8l6QRcr7i35G53yrgRCwPql_Mz4jqa</t>
  </si>
  <si>
    <t>https://drive.google.com/file/d/1no8l6QRcr7i35G53yrgRCwPql_Mz4jqa/view?usp=drivesdk</t>
  </si>
  <si>
    <t>Document successfully created; Document successfully merged; PDF created; Emails Sent: [To: susendran.1003@gmail.com]; Run via form trigger as codectechnologies0@gmail.com; Timestamp: Aug 28, 2026 11:02 AM</t>
  </si>
  <si>
    <t>Rishikesh Prasad</t>
  </si>
  <si>
    <t>rishikesh.cs28@iilm.edu</t>
  </si>
  <si>
    <t>1yeBil-kiDYqruKrHMxlgRKgDY5ldrJYY</t>
  </si>
  <si>
    <t>https://drive.google.com/file/d/1yeBil-kiDYqruKrHMxlgRKgDY5ldrJYY/view?usp=drivesdk</t>
  </si>
  <si>
    <t>Document successfully created; Document successfully merged; PDF created; Emails Sent: [To: rishikesh.cs28@iilm.edu]; Run via form trigger as codectechnologies0@gmail.com; Timestamp: Aug 28, 2026 11:04 AM</t>
  </si>
  <si>
    <t xml:space="preserve">Shyam ranjan </t>
  </si>
  <si>
    <t>ashwanissm639@gmail.com</t>
  </si>
  <si>
    <t>1uOyMZoGoxZWBVSIMuacnHFgzt_RaNDvD</t>
  </si>
  <si>
    <t>https://drive.google.com/file/d/1uOyMZoGoxZWBVSIMuacnHFgzt_RaNDvD/view?usp=drivesdk</t>
  </si>
  <si>
    <t>Document successfully created; Document successfully merged; PDF created; Emails Sent: [To: ashwanissm639@gmail.com]; Run via form trigger as codectechnologies0@gmail.com; Timestamp: Aug 28, 2026 11:08 AM</t>
  </si>
  <si>
    <t>Lochan Panduranga Havalimane</t>
  </si>
  <si>
    <t>lochanhavalimane@gmail.com</t>
  </si>
  <si>
    <t>Anjuman Institute Of Technolgy And Management</t>
  </si>
  <si>
    <t>1w5xUmhMtABFv0l9n_oVqBIK2Ba7W19Zc</t>
  </si>
  <si>
    <t>https://drive.google.com/file/d/1w5xUmhMtABFv0l9n_oVqBIK2Ba7W19Zc/view?usp=drivesdk</t>
  </si>
  <si>
    <t>Document successfully created; Document successfully merged; PDF created; Emails Sent: [To: lochanhavalimane@gmail.com]; Run via form trigger as codectechnologies0@gmail.com; Timestamp: Aug 28, 2026 11:38 AM</t>
  </si>
  <si>
    <t>Aditya patel</t>
  </si>
  <si>
    <t>aditya.patel.cs28@iilm.edu</t>
  </si>
  <si>
    <t xml:space="preserve">IILM UNIVERSITY, GREATER NOIDA </t>
  </si>
  <si>
    <t>1LqiWEo5-RC99h5KbRDmmOnYtkkVerpNE</t>
  </si>
  <si>
    <t>https://drive.google.com/file/d/1LqiWEo5-RC99h5KbRDmmOnYtkkVerpNE/view?usp=drivesdk</t>
  </si>
  <si>
    <t>Document successfully created; Document successfully merged; PDF created; Emails Sent: [To: aditya.patel.cs28@iilm.edu]; Run via form trigger as codectechnologies0@gmail.com; Timestamp: Aug 28, 2026 11:48 AM</t>
  </si>
  <si>
    <t>Pavan Kummari</t>
  </si>
  <si>
    <t>pavanbalu629@gmail.com</t>
  </si>
  <si>
    <t>Karunya Institute of Technology and Sciences</t>
  </si>
  <si>
    <t>1ofPPntpFrCHWGlvswWRTiCo2u0fkJVot</t>
  </si>
  <si>
    <t>https://drive.google.com/file/d/1ofPPntpFrCHWGlvswWRTiCo2u0fkJVot/view?usp=drivesdk</t>
  </si>
  <si>
    <t>Document successfully created; Document successfully merged; PDF created; Emails Sent: [To: pavanbalu629@gmail.com]; Run via form trigger as codectechnologies0@gmail.com; Timestamp: Aug 28, 2026 11:55 AM</t>
  </si>
  <si>
    <t>Hariom Rai</t>
  </si>
  <si>
    <t>raihariom175@gmail.com</t>
  </si>
  <si>
    <t>12n4znv8mC4N_ciclm8EDDQsFjmefD0Db</t>
  </si>
  <si>
    <t>https://drive.google.com/file/d/12n4znv8mC4N_ciclm8EDDQsFjmefD0Db/view?usp=drivesdk</t>
  </si>
  <si>
    <t>Document successfully created; Document successfully merged; PDF created; Emails Sent: [To: raihariom175@gmail.com]; Run via form trigger as codectechnologies0@gmail.com; Timestamp: Aug 28, 2026 12:15 PM</t>
  </si>
  <si>
    <t xml:space="preserve">Sarvesh Pratap </t>
  </si>
  <si>
    <t>sarvesh.25scs1003004616@iilm.edu</t>
  </si>
  <si>
    <t>1gqlkMLmRj6WtBWs30l2dr88RnncSwkHD</t>
  </si>
  <si>
    <t>https://drive.google.com/file/d/1gqlkMLmRj6WtBWs30l2dr88RnncSwkHD/view?usp=drivesdk</t>
  </si>
  <si>
    <t>Document successfully created; Document successfully merged; PDF created; Emails Sent: [To: sarvesh.25scs1003004616@iilm.edu]; Run via form trigger as codectechnologies0@gmail.com; Timestamp: Aug 28, 2026 12:29 PM</t>
  </si>
  <si>
    <t>Yarragudi Harshil Sai Reddy</t>
  </si>
  <si>
    <t>samcrispus19113@</t>
  </si>
  <si>
    <t>63090 24881</t>
  </si>
  <si>
    <t>1e6YlJfr9j2PgGVlrBZ_qxthrD_3mP7CO</t>
  </si>
  <si>
    <t>https://drive.google.com/file/d/1e6YlJfr9j2PgGVlrBZ_qxthrD_3mP7CO/view?usp=drivesdk</t>
  </si>
  <si>
    <t>Document successfully created; Document successfully merged; PDF created; !!Error Sending Emails: Invalid email: samcrispus19113@; Run via form trigger as codectechnologies0@gmail.com; Timestamp: Aug 28, 2026 12:45 PM</t>
  </si>
  <si>
    <t>Daksh Singh</t>
  </si>
  <si>
    <t>mrxcross11@gmail.com</t>
  </si>
  <si>
    <t>1eHcfN-j6bYFCKk78mUI2g7lqKK03LFMU</t>
  </si>
  <si>
    <t>https://drive.google.com/file/d/1eHcfN-j6bYFCKk78mUI2g7lqKK03LFMU/view?usp=drivesdk</t>
  </si>
  <si>
    <t>Document successfully created; Document successfully merged; PDF created; Emails Sent: [To: mrxcross11@gmail.com]; Run via form trigger as codectechnologies0@gmail.com; Timestamp: Aug 28, 2026 12:46 PM</t>
  </si>
  <si>
    <t>Quazi Tauqeer</t>
  </si>
  <si>
    <t>quazitauqeer786@gmail.com</t>
  </si>
  <si>
    <t>Laxmi Narain college of technology and science</t>
  </si>
  <si>
    <t>1Jkrl5v2cxsa0CCQq_l4R8y3hNITkDOr5</t>
  </si>
  <si>
    <t>https://drive.google.com/file/d/1Jkrl5v2cxsa0CCQq_l4R8y3hNITkDOr5/view?usp=drivesdk</t>
  </si>
  <si>
    <t>Document successfully created; Document successfully merged; PDF created; Emails Sent: [To: quazitauqeer786@gmail.com]; Run via form trigger as codectechnologies0@gmail.com; Timestamp: Aug 28, 2026 12:54 PM</t>
  </si>
  <si>
    <t>Mohammed  Mubasheer A</t>
  </si>
  <si>
    <t>mubasheer2007@gmail.com</t>
  </si>
  <si>
    <t>1bG-8El8vb7D-VPW82rb6aw6_1rI256u5</t>
  </si>
  <si>
    <t>https://drive.google.com/file/d/1bG-8El8vb7D-VPW82rb6aw6_1rI256u5/view?usp=drivesdk</t>
  </si>
  <si>
    <t>Document successfully created; Document successfully merged; PDF created; Emails Sent: [To: mubasheer2007@gmail.com]; Run via form trigger as codectechnologies0@gmail.com; Timestamp: Aug 28, 2026 12:58 PM</t>
  </si>
  <si>
    <t>Praison J</t>
  </si>
  <si>
    <t>praison47745@gmail.com</t>
  </si>
  <si>
    <t>+91 77087 48737</t>
  </si>
  <si>
    <t>1uq5EzuLjQjEzQtZcKymLrshF15ROBK4S</t>
  </si>
  <si>
    <t>https://drive.google.com/file/d/1uq5EzuLjQjEzQtZcKymLrshF15ROBK4S/view?usp=drivesdk</t>
  </si>
  <si>
    <t>Document successfully created; Document successfully merged; PDF created; Emails Sent: [To: praison47745@gmail.com]; Run via form trigger as codectechnologies0@gmail.com; Timestamp: Aug 28, 2026 1:04 PM</t>
  </si>
  <si>
    <t xml:space="preserve">Apratim Rana </t>
  </si>
  <si>
    <t>apratimrana234@gmail.com</t>
  </si>
  <si>
    <t>1k6huG0mqDwugeTqZCRizUVzGZz__3Jyg</t>
  </si>
  <si>
    <t>https://drive.google.com/file/d/1k6huG0mqDwugeTqZCRizUVzGZz__3Jyg/view?usp=drivesdk</t>
  </si>
  <si>
    <t>Document successfully created; Document successfully merged; PDF created; Emails Sent: [To: apratimrana234@gmail.com]; Run via form trigger as codectechnologies0@gmail.com; Timestamp: Aug 28, 2026 1:16 PM</t>
  </si>
  <si>
    <t>Pranshu Kaushik</t>
  </si>
  <si>
    <t>pranshukaushik22@gmail.com</t>
  </si>
  <si>
    <t>12BnpgYf-cKiKy7R_n8ta5McgYRQGL669</t>
  </si>
  <si>
    <t>https://drive.google.com/file/d/12BnpgYf-cKiKy7R_n8ta5McgYRQGL669/view?usp=drivesdk</t>
  </si>
  <si>
    <t>Document successfully created; Document successfully merged; PDF created; Emails Sent: [To: pranshukaushik22@gmail.com]; Run via form trigger as codectechnologies0@gmail.com; Timestamp: Aug 28, 2026 1:18 PM</t>
  </si>
  <si>
    <t xml:space="preserve">Mohammad Mastan Anzar Ali </t>
  </si>
  <si>
    <t>mdanzar21096@gmail.com</t>
  </si>
  <si>
    <t xml:space="preserve">Uttranchal University </t>
  </si>
  <si>
    <t>1A5fzFWCRVAU4qNJQnKh_7z6PYyUAoYt_</t>
  </si>
  <si>
    <t>https://drive.google.com/file/d/1A5fzFWCRVAU4qNJQnKh_7z6PYyUAoYt_/view?usp=drivesdk</t>
  </si>
  <si>
    <t>Document successfully created; Document successfully merged; PDF created; Emails Sent: [To: mdanzar21096@gmail.com]; Run via form trigger as codectechnologies0@gmail.com; Timestamp: Aug 28, 2026 1:18 PM</t>
  </si>
  <si>
    <t>Nanduri Veda Charan</t>
  </si>
  <si>
    <t>vedacharan12345@gmail.com</t>
  </si>
  <si>
    <t>Uttaranchal university</t>
  </si>
  <si>
    <t>1wTWw_gquqJ0Sfv73S4QMtYCEL9mfxtBo</t>
  </si>
  <si>
    <t>https://drive.google.com/file/d/1wTWw_gquqJ0Sfv73S4QMtYCEL9mfxtBo/view?usp=drivesdk</t>
  </si>
  <si>
    <t>Document successfully created; Document successfully merged; PDF created; Emails Sent: [To: vedacharan12345@gmail.com]; Run via form trigger as codectechnologies0@gmail.com; Timestamp: Aug 28, 2026 1:19 PM</t>
  </si>
  <si>
    <t>Kothapally Charles Ujwal Kumar</t>
  </si>
  <si>
    <t>kothapallycharles@karunya.edu.in</t>
  </si>
  <si>
    <t>1tt1XYQJTpYf1C356wqkzayRm4XnDYCR5</t>
  </si>
  <si>
    <t>https://drive.google.com/file/d/1tt1XYQJTpYf1C356wqkzayRm4XnDYCR5/view?usp=drivesdk</t>
  </si>
  <si>
    <t>Document successfully created; Document successfully merged; PDF created; Emails Sent: [To: kothapallycharles@karunya.edu.in]; Run via form trigger as codectechnologies0@gmail.com; Timestamp: Aug 28, 2026 1:19 PM</t>
  </si>
  <si>
    <t xml:space="preserve">Haldia Institute Of Technology </t>
  </si>
  <si>
    <t>1yhKYsNWeEFjivHZ3qM3IuB9sqr2Oi_-v</t>
  </si>
  <si>
    <t>https://drive.google.com/file/d/1yhKYsNWeEFjivHZ3qM3IuB9sqr2Oi_-v/view?usp=drivesdk</t>
  </si>
  <si>
    <t>Document successfully created; Document successfully merged; PDF created; Emails Sent: [To: pranshukaushik22@gmail.com]; Run via form trigger as codectechnologies0@gmail.com; Timestamp: Aug 28, 2026 1:24 PM</t>
  </si>
  <si>
    <t>U THANUSHREE</t>
  </si>
  <si>
    <t>uthanushree2006@gmail.com</t>
  </si>
  <si>
    <t>Sahyadri College of Engineering and Management</t>
  </si>
  <si>
    <t>11s0fRotahQSRXxjB9Zs_nE39bGQTBGQt</t>
  </si>
  <si>
    <t>https://drive.google.com/file/d/11s0fRotahQSRXxjB9Zs_nE39bGQTBGQt/view?usp=drivesdk</t>
  </si>
  <si>
    <t>Document successfully created; Document successfully merged; PDF created; Emails Sent: [To: uthanushree2006@gmail.com]; Run via form trigger as codectechnologies0@gmail.com; Timestamp: Aug 28, 2026 1:26 PM</t>
  </si>
  <si>
    <t>Shubham Raj</t>
  </si>
  <si>
    <t>shubhamraj191206@gmail.com</t>
  </si>
  <si>
    <t>1iVMw5ZmIzaA-uxs7oiT8buIV4JTCT0-G</t>
  </si>
  <si>
    <t>https://drive.google.com/file/d/1iVMw5ZmIzaA-uxs7oiT8buIV4JTCT0-G/view?usp=drivesdk</t>
  </si>
  <si>
    <t>Document successfully created; Document successfully merged; PDF created; Emails Sent: [To: shubhamraj191206@gmail.com]; Run via form trigger as codectechnologies0@gmail.com; Timestamp: Aug 28, 2026 1:29 PM</t>
  </si>
  <si>
    <t>Hari Kota</t>
  </si>
  <si>
    <t>harikota333@gmail.com</t>
  </si>
  <si>
    <t>parul university</t>
  </si>
  <si>
    <t>1ZvuysyQiNYMSqJRiH8QsTotWbPLvn5Ku</t>
  </si>
  <si>
    <t>https://drive.google.com/file/d/1ZvuysyQiNYMSqJRiH8QsTotWbPLvn5Ku/view?usp=drivesdk</t>
  </si>
  <si>
    <t>Document successfully created; Document successfully merged; PDF created; Emails Sent: [To: harikota333@gmail.com]; Run via form trigger as codectechnologies0@gmail.com; Timestamp: Aug 28, 2026 1:29 PM</t>
  </si>
  <si>
    <t>shyam ranjan</t>
  </si>
  <si>
    <t>swami vivekanand subharti university meerut</t>
  </si>
  <si>
    <t>1m2wQJ3B6B6UYTjTEAhAilHcCMxswPsKe</t>
  </si>
  <si>
    <t>https://drive.google.com/file/d/1m2wQJ3B6B6UYTjTEAhAilHcCMxswPsKe/view?usp=drivesdk</t>
  </si>
  <si>
    <t>Document successfully created; Document successfully merged; PDF created; Emails Sent: [To: ashwanissm639@gmail.com]; Run via form trigger as codectechnologies0@gmail.com; Timestamp: Aug 28, 2026 1:44 PM</t>
  </si>
  <si>
    <t>Ketan Saini</t>
  </si>
  <si>
    <t>8/21/0026</t>
  </si>
  <si>
    <t>sainiketan413@gmail.com</t>
  </si>
  <si>
    <t xml:space="preserve">UIET Kurukshetra </t>
  </si>
  <si>
    <t>18ZZscKZBQorFy8UvOhuLefp1ySCZJN1B</t>
  </si>
  <si>
    <t>https://drive.google.com/file/d/18ZZscKZBQorFy8UvOhuLefp1ySCZJN1B/view?usp=drivesdk</t>
  </si>
  <si>
    <t>Document successfully created; Document successfully merged; PDF created; Emails Sent: [To: sainiketan413@gmail.com]; Run via form trigger as codectechnologies0@gmail.com; Timestamp: Aug 28, 2026 1:49 PM</t>
  </si>
  <si>
    <t>Pratyaksh Bhardwaj</t>
  </si>
  <si>
    <t>techcswork0101@gmail.com</t>
  </si>
  <si>
    <t>1E4mvdGjR__Q7NJUGIAaezHPG2OiTHxMp</t>
  </si>
  <si>
    <t>https://drive.google.com/file/d/1E4mvdGjR__Q7NJUGIAaezHPG2OiTHxMp/view?usp=drivesdk</t>
  </si>
  <si>
    <t>Document successfully created; Document successfully merged; PDF created; Emails Sent: [To: techcswork0101@gmail.com]; Run via form trigger as codectechnologies0@gmail.com; Timestamp: Aug 28, 2026 1:56 PM</t>
  </si>
  <si>
    <t>Ayush Jaiswal</t>
  </si>
  <si>
    <t>ayush.25scs1003002410@iilm.edu</t>
  </si>
  <si>
    <t>LinkedIn, Email, Google, AICTE/Indeed</t>
  </si>
  <si>
    <t>1g_LGxIDVVkY6chj-h2ydadLPe2v2idF1</t>
  </si>
  <si>
    <t>https://drive.google.com/file/d/1g_LGxIDVVkY6chj-h2ydadLPe2v2idF1/view?usp=drivesdk</t>
  </si>
  <si>
    <t>Document successfully created; Document successfully merged; PDF created; Emails Sent: [To: ayush.25scs1003002410@iilm.edu]; Run via form trigger as codectechnologies0@gmail.com; Timestamp: Aug 28, 2026 2:17 PM</t>
  </si>
  <si>
    <t>Shiva Patel</t>
  </si>
  <si>
    <t>patelshiva804453@gmail.com</t>
  </si>
  <si>
    <t>1zl8jNwP9gqp7c1NzdvfRHGtKGIs4ANnf</t>
  </si>
  <si>
    <t>https://drive.google.com/file/d/1zl8jNwP9gqp7c1NzdvfRHGtKGIs4ANnf/view?usp=drivesdk</t>
  </si>
  <si>
    <t>Document successfully created; Document successfully merged; PDF created; Emails Sent: [To: patelshiva804453@gmail.com]; Run via form trigger as codectechnologies0@gmail.com; Timestamp: Aug 28, 2026 2:18 PM</t>
  </si>
  <si>
    <t xml:space="preserve">Surya Pratap Singh </t>
  </si>
  <si>
    <t>imailsuryapratap@gmail.com</t>
  </si>
  <si>
    <t xml:space="preserve">Usict </t>
  </si>
  <si>
    <t>1Zm_HrBP5DfohctNkLujpxQtDJfu-R9Mx</t>
  </si>
  <si>
    <t>https://drive.google.com/file/d/1Zm_HrBP5DfohctNkLujpxQtDJfu-R9Mx/view?usp=drivesdk</t>
  </si>
  <si>
    <t>Document successfully created; Document successfully merged; PDF created; Emails Sent: [To: imailsuryapratap@gmail.com]; Run via form trigger as codectechnologies0@gmail.com; Timestamp: Aug 28, 2026 2:24 PM</t>
  </si>
  <si>
    <t>Aditya Raj</t>
  </si>
  <si>
    <t>adityarajmas2020@gmail.com</t>
  </si>
  <si>
    <t>1q4ZcXxBD_Hqpeu0wdJ06e-bqqF21t0hg</t>
  </si>
  <si>
    <t>https://drive.google.com/file/d/1q4ZcXxBD_Hqpeu0wdJ06e-bqqF21t0hg/view?usp=drivesdk</t>
  </si>
  <si>
    <t>Document successfully created; Document successfully merged; PDF created; Emails Sent: [To: adityarajmas2020@gmail.com]; Run via form trigger as codectechnologies0@gmail.com; Timestamp: Aug 28, 2026 2:28 PM</t>
  </si>
  <si>
    <t>KOTHAPALLI SPOODY REX</t>
  </si>
  <si>
    <t>spoody.rex@gmail.com</t>
  </si>
  <si>
    <t>1MY3eZuTl9G5ygtsJzTwtxPpsIYWm_9Zv</t>
  </si>
  <si>
    <t>https://drive.google.com/file/d/1MY3eZuTl9G5ygtsJzTwtxPpsIYWm_9Zv/view?usp=drivesdk</t>
  </si>
  <si>
    <t>Document successfully created; Document successfully merged; PDF created; Emails Sent: [To: spoody.rex@gmail.com]; Run via form trigger as codectechnologies0@gmail.com; Timestamp: Aug 28, 2026 2:38 PM</t>
  </si>
  <si>
    <t>JATIN KUMAR</t>
  </si>
  <si>
    <t>jatinbsr001@gmail.com</t>
  </si>
  <si>
    <t>Usict</t>
  </si>
  <si>
    <t>1-SNGnBQ7obGvEICKxpo5NjZ9FJrmX9F7</t>
  </si>
  <si>
    <t>https://drive.google.com/file/d/1-SNGnBQ7obGvEICKxpo5NjZ9FJrmX9F7/view?usp=drivesdk</t>
  </si>
  <si>
    <t>Document successfully created; Document successfully merged; PDF created; Emails Sent: [To: jatinbsr001@gmail.com]; Run via form trigger as codectechnologies0@gmail.com; Timestamp: Aug 28, 2026 2:42 PM</t>
  </si>
  <si>
    <t>Aseem Pandey</t>
  </si>
  <si>
    <t>pandeyaseem2323@gmail.com</t>
  </si>
  <si>
    <t>1IEgmizpSCt-6gW-fb7xRm3_hcQgBQYh3</t>
  </si>
  <si>
    <t>https://drive.google.com/file/d/1IEgmizpSCt-6gW-fb7xRm3_hcQgBQYh3/view?usp=drivesdk</t>
  </si>
  <si>
    <t>Document successfully created; Document successfully merged; PDF created; Emails Sent: [To: pandeyaseem2323@gmail.com]; Run via form trigger as codectechnologies0@gmail.com; Timestamp: Aug 28, 2026 2:42 PM</t>
  </si>
  <si>
    <t>1mwlmERx-X7Kma26FjLBp_4XyaqoYSOjL</t>
  </si>
  <si>
    <t>https://drive.google.com/file/d/1mwlmERx-X7Kma26FjLBp_4XyaqoYSOjL/view?usp=drivesdk</t>
  </si>
  <si>
    <t>Document successfully created; Document successfully merged; PDF created; Emails Sent: [To: pandeyaseem2323@gmail.com]; Run via form trigger as codectechnologies0@gmail.com; Timestamp: Aug 28, 2026 2:45 PM</t>
  </si>
  <si>
    <t>1tjYmZEKmjVQhuwiRlQKQONvfTe2PV1vl</t>
  </si>
  <si>
    <t>https://drive.google.com/file/d/1tjYmZEKmjVQhuwiRlQKQONvfTe2PV1vl/view?usp=drivesdk</t>
  </si>
  <si>
    <t>Document successfully created; Document successfully merged; PDF created; Emails Sent: [To: pranshukaushik22@gmail.com]; Run via form trigger as codectechnologies0@gmail.com; Timestamp: Aug 28, 2026 3:15 PM</t>
  </si>
  <si>
    <t>A KHALEED KHAN</t>
  </si>
  <si>
    <t>khaleedkhan2004@gmaol.com</t>
  </si>
  <si>
    <t>Nawab shaa Alam khan Engineering of technology</t>
  </si>
  <si>
    <t>LinkedIn, Internshala, Other</t>
  </si>
  <si>
    <t>1RB5XcVGL9Bx6IhOYc122c-tUX61OIWHO</t>
  </si>
  <si>
    <t>https://drive.google.com/file/d/1RB5XcVGL9Bx6IhOYc122c-tUX61OIWHO/view?usp=drivesdk</t>
  </si>
  <si>
    <t>Document successfully created; Document successfully merged; PDF created; Emails Sent: [To: khaleedkhan2004@gmaol.com]; Run via form trigger as codectechnologies0@gmail.com; Timestamp: Aug 28, 2026 3:25 PM</t>
  </si>
  <si>
    <t>1EiidTR0Sin-3ohXzbIaN9yL2R-zgGVFM</t>
  </si>
  <si>
    <t>https://drive.google.com/file/d/1EiidTR0Sin-3ohXzbIaN9yL2R-zgGVFM/view?usp=drivesdk</t>
  </si>
  <si>
    <t>Document successfully created; Document successfully merged; PDF created; Emails Sent: [To: pranshukaushik22@gmail.com]; Run via form trigger as codectechnologies0@gmail.com; Timestamp: Aug 28, 2026 3:40 PM</t>
  </si>
  <si>
    <t>Mohd Sameer</t>
  </si>
  <si>
    <t>sameerms342@gmail.com</t>
  </si>
  <si>
    <t>Teerthankar Mahaveer University</t>
  </si>
  <si>
    <t>1ddyTnRaRpJkYlCxojUqXWez-HQyrgB9P</t>
  </si>
  <si>
    <t>https://drive.google.com/file/d/1ddyTnRaRpJkYlCxojUqXWez-HQyrgB9P/view?usp=drivesdk</t>
  </si>
  <si>
    <t>Document successfully created; Document successfully merged; PDF created; Emails Sent: [To: sameerms342@gmail.com]; Run via form trigger as codectechnologies0@gmail.com; Timestamp: Aug 28, 2026 5:13 PM</t>
  </si>
  <si>
    <t>Ekansh Singh</t>
  </si>
  <si>
    <t>vandanasingh2446@gmail.com</t>
  </si>
  <si>
    <t>191wg7leVvTp6oS4dFhSIf6Ude11qHSm8</t>
  </si>
  <si>
    <t>https://drive.google.com/file/d/191wg7leVvTp6oS4dFhSIf6Ude11qHSm8/view?usp=drivesdk</t>
  </si>
  <si>
    <t>Document successfully created; Document successfully merged; PDF created; Emails Sent: [To: vandanasingh2446@gmail.com]; Run via form trigger as codectechnologies0@gmail.com; Timestamp: Aug 28, 2026 6:35 PM</t>
  </si>
  <si>
    <t>Ayushman Bhardwaj</t>
  </si>
  <si>
    <t>ayushmanbhardwaj123789@gmail.com</t>
  </si>
  <si>
    <t>1VM-hxrjjs1ms_WD2wqqR3RCdis_KfqXy</t>
  </si>
  <si>
    <t>https://drive.google.com/file/d/1VM-hxrjjs1ms_WD2wqqR3RCdis_KfqXy/view?usp=drivesdk</t>
  </si>
  <si>
    <t>Document successfully created; Document successfully merged; PDF created; Emails Sent: [To: ayushmanbhardwaj123789@gmail.com]; Run via form trigger as codectechnologies0@gmail.com; Timestamp: Aug 28, 2026 10:52 PM</t>
  </si>
  <si>
    <t xml:space="preserve">Suryabhan Gupta </t>
  </si>
  <si>
    <t>suryabhangupta133@gmail.com</t>
  </si>
  <si>
    <t>1v1S_3-3ZIGLSM6tWsZ1WOTGF0rTuX-_x</t>
  </si>
  <si>
    <t>https://drive.google.com/file/d/1v1S_3-3ZIGLSM6tWsZ1WOTGF0rTuX-_x/view?usp=drivesdk</t>
  </si>
  <si>
    <t>Document successfully created; Document successfully merged; PDF created; Emails Sent: [To: suryabhangupta133@gmail.com]; Run via form trigger as codectechnologies0@gmail.com; Timestamp: Aug 28, 2026 11:44 PM</t>
  </si>
  <si>
    <t>Anand Mohan Jha</t>
  </si>
  <si>
    <t>anand.25scs1003004538@iilm.edu</t>
  </si>
  <si>
    <t>+91 91623 86350</t>
  </si>
  <si>
    <t>1E8n7_qgAmqpVVmNQALjT_YJ6UyfjnE41</t>
  </si>
  <si>
    <t>https://drive.google.com/file/d/1E8n7_qgAmqpVVmNQALjT_YJ6UyfjnE41/view?usp=drivesdk</t>
  </si>
  <si>
    <t>Document successfully created; Document successfully merged; PDF created; Emails Sent: [To: anand.25scs1003004538@iilm.edu]; Run via form trigger as codectechnologies0@gmail.com; Timestamp: Aug 29, 2026 12:11 AM</t>
  </si>
  <si>
    <t>addurmr13@gmail.com</t>
  </si>
  <si>
    <t>Ram Krishna College Madhubani</t>
  </si>
  <si>
    <t>1Z1yeanm9m_XlG-bXcP_pRUR8pBkF_6de</t>
  </si>
  <si>
    <t>https://drive.google.com/file/d/1Z1yeanm9m_XlG-bXcP_pRUR8pBkF_6de/view?usp=drivesdk</t>
  </si>
  <si>
    <t>Document successfully created; Document successfully merged; PDF created; Emails Sent: [To: addurmr13@gmail.com]; Run via form trigger as codectechnologies0@gmail.com; Timestamp: Aug 29, 2026 12:14 AM</t>
  </si>
  <si>
    <t>subitha B</t>
  </si>
  <si>
    <t>ssubi7551@gmail.com</t>
  </si>
  <si>
    <t>Arunachala College Of Engineering For Women</t>
  </si>
  <si>
    <t>19-NkuHWY_ZPiW3njBjRK1L12ioGWp-wm</t>
  </si>
  <si>
    <t>https://drive.google.com/file/d/19-NkuHWY_ZPiW3njBjRK1L12ioGWp-wm/view?usp=drivesdk</t>
  </si>
  <si>
    <t>Document successfully created; Document successfully merged; PDF created; Emails Sent: [To: ssubi7551@gmail.com]; Run via form trigger as codectechnologies0@gmail.com; Timestamp: Aug 29, 2026 12:24 AM</t>
  </si>
  <si>
    <t>ANILREDDY KANUBUDDI</t>
  </si>
  <si>
    <t>anilreddykanubuddiofficial@gmail.com</t>
  </si>
  <si>
    <t xml:space="preserve">VINAYAKA MISSIONS KIRUPANANDA VARIYAR ENGINEERING COLLEGE </t>
  </si>
  <si>
    <t>1Z8W5__S3pzvbTqKOON6tioye2QAbmK1M</t>
  </si>
  <si>
    <t>https://drive.google.com/file/d/1Z8W5__S3pzvbTqKOON6tioye2QAbmK1M/view?usp=drivesdk</t>
  </si>
  <si>
    <t>Document successfully created; Document successfully merged; PDF created; Emails Sent: [To: anilreddykanubuddiofficial@gmail.com]; Run via form trigger as codectechnologies0@gmail.com; Timestamp: Aug 29, 2026 12:26 AM</t>
  </si>
  <si>
    <t>Vivek Sai Gowtham Chandana</t>
  </si>
  <si>
    <t>saigowthamchandana@gmail.com</t>
  </si>
  <si>
    <t>Raghu Engineering College</t>
  </si>
  <si>
    <t>1ozoG0jMTt9cX32IJWZcVcrxf4LvEoQAJ</t>
  </si>
  <si>
    <t>https://drive.google.com/file/d/1ozoG0jMTt9cX32IJWZcVcrxf4LvEoQAJ/view?usp=drivesdk</t>
  </si>
  <si>
    <t>Document successfully created; Document successfully merged; PDF created; Emails Sent: [To: saigowthamchandana@gmail.com]; Run via form trigger as codectechnologies0@gmail.com; Timestamp: Aug 29, 2026 12:40 AM</t>
  </si>
  <si>
    <t>Kamalesh P</t>
  </si>
  <si>
    <t>kamaleshp.004@gmail.com</t>
  </si>
  <si>
    <t>1fu-p5N9e6VLVfD-Ug0P2gsmP7vXtEvBX</t>
  </si>
  <si>
    <t>https://drive.google.com/file/d/1fu-p5N9e6VLVfD-Ug0P2gsmP7vXtEvBX/view?usp=drivesdk</t>
  </si>
  <si>
    <t>Document successfully created; Document successfully merged; PDF created; Emails Sent: [To: kamaleshp.004@gmail.com]; Run via form trigger as codectechnologies0@gmail.com; Timestamp: Aug 29, 2026 12:53 AM</t>
  </si>
  <si>
    <t xml:space="preserve">Aman Singh Rawat </t>
  </si>
  <si>
    <t>amanrawatpc2005@gmail.com</t>
  </si>
  <si>
    <t>1IXkmFsbVZPY809tbQqeuTq-BLCSFp52u</t>
  </si>
  <si>
    <t>https://drive.google.com/file/d/1IXkmFsbVZPY809tbQqeuTq-BLCSFp52u/view?usp=drivesdk</t>
  </si>
  <si>
    <t>Document successfully created; Document successfully merged; PDF created; Emails Sent: [To: amanrawatpc2005@gmail.com]; Run via form trigger as codectechnologies0@gmail.com; Timestamp: Aug 29, 2026 1:03 AM</t>
  </si>
  <si>
    <t>Shakti Bhushan Raunak</t>
  </si>
  <si>
    <t>raunak4937@gmail.com</t>
  </si>
  <si>
    <t>09508606647</t>
  </si>
  <si>
    <t>Amity University</t>
  </si>
  <si>
    <t>1GzgM2WTNhCQXJDJjcoAVmUB7X4uLCGlF</t>
  </si>
  <si>
    <t>https://drive.google.com/file/d/1GzgM2WTNhCQXJDJjcoAVmUB7X4uLCGlF/view?usp=drivesdk</t>
  </si>
  <si>
    <t>Document successfully created; Document successfully merged; PDF created; Emails Sent: [To: raunak4937@gmail.com]; Run via form trigger as codectechnologies0@gmail.com; Timestamp: Aug 29, 2026 1:10 AM</t>
  </si>
  <si>
    <t>Rahul Singh Negi</t>
  </si>
  <si>
    <t>02rahulnegi27@gmail.com</t>
  </si>
  <si>
    <t>LinkedIn, Internshala</t>
  </si>
  <si>
    <t>16ruggvtjl9x7_efoPdvlWkatVlqF4mz9</t>
  </si>
  <si>
    <t>https://drive.google.com/file/d/16ruggvtjl9x7_efoPdvlWkatVlqF4mz9/view?usp=drivesdk</t>
  </si>
  <si>
    <t>Document successfully created; Document successfully merged; PDF created; Emails Sent: [To: 02rahulnegi27@gmail.com]; Run via form trigger as codectechnologies0@gmail.com; Timestamp: Aug 29, 2026 1:11 AM</t>
  </si>
  <si>
    <t>Mariakamilus A</t>
  </si>
  <si>
    <t>marikamilus79@gmail.com</t>
  </si>
  <si>
    <t>Panimalar Engnieering College</t>
  </si>
  <si>
    <t>WhatsApp, Friend, AICTE/Indeed</t>
  </si>
  <si>
    <t>1bKSlPv1lC_PZ3XChuWpZUEts_r-08NbK</t>
  </si>
  <si>
    <t>https://drive.google.com/file/d/1bKSlPv1lC_PZ3XChuWpZUEts_r-08NbK/view?usp=drivesdk</t>
  </si>
  <si>
    <t>Document successfully created; Document successfully merged; PDF created; Emails Sent: [To: marikamilus79@gmail.com]; Run via form trigger as codectechnologies0@gmail.com; Timestamp: Aug 29, 2026 1:29 AM</t>
  </si>
  <si>
    <t>kumarayush9512@gmail.com</t>
  </si>
  <si>
    <t>1EmzO4ho-ImpTZGV1MRO94nSKYiXmSReK</t>
  </si>
  <si>
    <t>https://drive.google.com/file/d/1EmzO4ho-ImpTZGV1MRO94nSKYiXmSReK/view?usp=drivesdk</t>
  </si>
  <si>
    <t>Document successfully created; Document successfully merged; PDF created; Emails Sent: [To: kumarayush9512@gmail.com]; Run via form trigger as codectechnologies0@gmail.com; Timestamp: Aug 29, 2026 1:34 AM</t>
  </si>
  <si>
    <t>gaurav12345bisht@gmail.com</t>
  </si>
  <si>
    <t>GRAPHIC ERA HILL UNIVERSITY , DEHRADUN</t>
  </si>
  <si>
    <t>1Mith_KScxIyAyUPlb-llQTBaKxZIJaPc</t>
  </si>
  <si>
    <t>https://drive.google.com/file/d/1Mith_KScxIyAyUPlb-llQTBaKxZIJaPc/view?usp=drivesdk</t>
  </si>
  <si>
    <t>Document successfully created; Document successfully merged; PDF created; Emails Sent: [To: gaurav12345bisht@gmail.com]; Run via form trigger as codectechnologies0@gmail.com; Timestamp: Aug 29, 2026 1:35 AM</t>
  </si>
  <si>
    <t>PRATHVISH K NAIK</t>
  </si>
  <si>
    <t>prathvish.naik26@gmail.com</t>
  </si>
  <si>
    <t>Anjuman institute of technology and management</t>
  </si>
  <si>
    <t>1jG8w8yOBolNTGycQHiIr8k1-Vrb9sm7e</t>
  </si>
  <si>
    <t>https://drive.google.com/file/d/1jG8w8yOBolNTGycQHiIr8k1-Vrb9sm7e/view?usp=drivesdk</t>
  </si>
  <si>
    <t>Document successfully created; Document successfully merged; PDF created; Emails Sent: [To: prathvish.naik26@gmail.com]; Run via form trigger as codectechnologies0@gmail.com; Timestamp: Aug 29, 2026 1:59 AM</t>
  </si>
  <si>
    <t>Aman kumar yadav</t>
  </si>
  <si>
    <t>aman.25scs1003002606@iilm.edu</t>
  </si>
  <si>
    <t>Friend, AICTE/Indeed, Other</t>
  </si>
  <si>
    <t>1md_L5BGLH_-RC3AbZs0Bec_LoqV4Iu7V</t>
  </si>
  <si>
    <t>https://drive.google.com/file/d/1md_L5BGLH_-RC3AbZs0Bec_LoqV4Iu7V/view?usp=drivesdk</t>
  </si>
  <si>
    <t>Document successfully created; Document successfully merged; PDF created; Emails Sent: [To: aman.25scs1003002606@iilm.edu]; Run via form trigger as codectechnologies0@gmail.com; Timestamp: Aug 29, 2026 2:04 AM</t>
  </si>
  <si>
    <t>Gautam Chand</t>
  </si>
  <si>
    <t>chandgautam64@gmail.com</t>
  </si>
  <si>
    <t>18fm-9dSbbKW7IzjptEzPsoZdyQ61pLrb</t>
  </si>
  <si>
    <t>https://drive.google.com/file/d/18fm-9dSbbKW7IzjptEzPsoZdyQ61pLrb/view?usp=drivesdk</t>
  </si>
  <si>
    <t>Document successfully created; Document successfully merged; PDF created; Emails Sent: [To: chandgautam64@gmail.com]; Run via form trigger as codectechnologies0@gmail.com; Timestamp: Aug 29, 2026 2:04 AM</t>
  </si>
  <si>
    <t>Ritesh Devshali</t>
  </si>
  <si>
    <t>devshaliritesh27@gmail.com</t>
  </si>
  <si>
    <t>1zHkCgPCNnHA9Ok2Odl3AvjRW-1jW3GOU</t>
  </si>
  <si>
    <t>https://drive.google.com/file/d/1zHkCgPCNnHA9Ok2Odl3AvjRW-1jW3GOU/view?usp=drivesdk</t>
  </si>
  <si>
    <t>Document successfully created; Document successfully merged; PDF created; Emails Sent: [To: devshaliritesh27@gmail.com]; Run via form trigger as codectechnologies0@gmail.com; Timestamp: Aug 29, 2026 2:16 AM</t>
  </si>
  <si>
    <t xml:space="preserve">Ayush Semwal </t>
  </si>
  <si>
    <t>semwalayush43@gmail.com</t>
  </si>
  <si>
    <t>1b8QUfcPpcBvGCj8T3JU2OxL7FaTUz2DF</t>
  </si>
  <si>
    <t>https://drive.google.com/file/d/1b8QUfcPpcBvGCj8T3JU2OxL7FaTUz2DF/view?usp=drivesdk</t>
  </si>
  <si>
    <t>Document successfully created; Document successfully merged; PDF created; Emails Sent: [To: semwalayush43@gmail.com]; Run via form trigger as codectechnologies0@gmail.com; Timestamp: Aug 29, 2026 2:26 AM</t>
  </si>
  <si>
    <t>Rudra Singh Rawal</t>
  </si>
  <si>
    <t>rudra.25scs1003002443@iilm.edu</t>
  </si>
  <si>
    <t>1OuoqYaienfP2EH_AipfHMmuJa_4z-ZWf</t>
  </si>
  <si>
    <t>https://drive.google.com/file/d/1OuoqYaienfP2EH_AipfHMmuJa_4z-ZWf/view?usp=drivesdk</t>
  </si>
  <si>
    <t>Document successfully created; Document successfully merged; PDF created; Emails Sent: [To: rudra.25scs1003002443@iilm.edu]; Run via form trigger as codectechnologies0@gmail.com; Timestamp: Aug 29, 2026 2:26 AM</t>
  </si>
  <si>
    <t>Syed Arsalaan Ahmed</t>
  </si>
  <si>
    <t>arsalaanahmed76@gmail.com</t>
  </si>
  <si>
    <t xml:space="preserve">Methodist College of Engineering and Technology </t>
  </si>
  <si>
    <t>1P8_jXO_Vc1s4wwd2Xk-4Cl00-DDHfM1c</t>
  </si>
  <si>
    <t>https://drive.google.com/file/d/1P8_jXO_Vc1s4wwd2Xk-4Cl00-DDHfM1c/view?usp=drivesdk</t>
  </si>
  <si>
    <t>Document successfully created; Document successfully merged; PDF created; Emails Sent: [To: arsalaanahmed76@gmail.com]; Run via form trigger as codectechnologies0@gmail.com; Timestamp: Aug 29, 2026 2:32 AM</t>
  </si>
  <si>
    <t>harsh.25scs1003002320@iilm.edu</t>
  </si>
  <si>
    <t>1CfUq2_V-LrLw4XzkjpC4x9CvMwTeGt3k</t>
  </si>
  <si>
    <t>https://drive.google.com/file/d/1CfUq2_V-LrLw4XzkjpC4x9CvMwTeGt3k/view?usp=drivesdk</t>
  </si>
  <si>
    <t>Document successfully created; Document successfully merged; PDF created; Emails Sent: [To: harsh.25scs1003002320@iilm.edu]; Run via form trigger as codectechnologies0@gmail.com; Timestamp: Aug 29, 2026 2:46 AM</t>
  </si>
  <si>
    <t>Nitish Dhamu</t>
  </si>
  <si>
    <t>thenitishdhamu@gmail.com</t>
  </si>
  <si>
    <t>Amity University Haryana</t>
  </si>
  <si>
    <t>1IfCeJR2KY3Ht5ioe49KMIQdxFg-xRcUY</t>
  </si>
  <si>
    <t>https://drive.google.com/file/d/1IfCeJR2KY3Ht5ioe49KMIQdxFg-xRcUY/view?usp=drivesdk</t>
  </si>
  <si>
    <t>Document successfully created; Document successfully merged; PDF created; Emails Sent: [To: thenitishdhamu@gmail.com]; Run via form trigger as codectechnologies0@gmail.com; Timestamp: Aug 29, 2026 2:48 AM</t>
  </si>
  <si>
    <t>Anusha Hegde</t>
  </si>
  <si>
    <t>anushahegde021@gmail.com</t>
  </si>
  <si>
    <t>SRM Institute of Science and Technology</t>
  </si>
  <si>
    <t>1qRcCqW1JdxoGwYw-NeJQLI4r__pp7C9K</t>
  </si>
  <si>
    <t>https://drive.google.com/file/d/1qRcCqW1JdxoGwYw-NeJQLI4r__pp7C9K/view?usp=drivesdk</t>
  </si>
  <si>
    <t>Document successfully created; Document successfully merged; PDF created; Emails Sent: [To: anushahegde021@gmail.com]; Run via form trigger as codectechnologies0@gmail.com; Timestamp: Aug 29, 2026 2:57 AM</t>
  </si>
  <si>
    <t>Prayag Nagaraj Shetty</t>
  </si>
  <si>
    <t>prayagshetty077@gmail.com</t>
  </si>
  <si>
    <t>Anjuman institute of technology and management,bhatkal</t>
  </si>
  <si>
    <t>1O__QZDg40BKc7yZ5jCi63HuPmbB9RiM4</t>
  </si>
  <si>
    <t>https://drive.google.com/file/d/1O__QZDg40BKc7yZ5jCi63HuPmbB9RiM4/view?usp=drivesdk</t>
  </si>
  <si>
    <t>Document successfully created; Document successfully merged; PDF created; Emails Sent: [To: prayagshetty077@gmail.com]; Run via form trigger as codectechnologies0@gmail.com; Timestamp: Aug 29, 2026 2:59 AM</t>
  </si>
  <si>
    <t>Vishnu Shankar Pandey</t>
  </si>
  <si>
    <t>vishnu.25scs1003003673@iilm,edu</t>
  </si>
  <si>
    <t>IILM university, Greater Noida</t>
  </si>
  <si>
    <t>1GcoqBy1BfouI50ubt09tMPHy3RIjv5Ld</t>
  </si>
  <si>
    <t>https://drive.google.com/file/d/1GcoqBy1BfouI50ubt09tMPHy3RIjv5Ld/view?usp=drivesdk</t>
  </si>
  <si>
    <t>Document successfully created; Document successfully merged; PDF created; !!Error Sending Emails: Invalid email: edu; Run via form trigger as codectechnologies0@gmail.com; Timestamp: Aug 29, 2026 3:11 AM</t>
  </si>
  <si>
    <t>Shiv Sunder</t>
  </si>
  <si>
    <t>shibhunegi46@gmail.com</t>
  </si>
  <si>
    <t>Graphic era hill university</t>
  </si>
  <si>
    <t>1V93h4BUwgjXAT9pIZcVMcBFVV9SubGCC</t>
  </si>
  <si>
    <t>https://drive.google.com/file/d/1V93h4BUwgjXAT9pIZcVMcBFVV9SubGCC/view?usp=drivesdk</t>
  </si>
  <si>
    <t>Document successfully created; Document successfully merged; PDF created; Emails Sent: [To: shibhunegi46@gmail.com]; Run via form trigger as codectechnologies0@gmail.com; Timestamp: Aug 29, 2026 3:14 AM</t>
  </si>
  <si>
    <t xml:space="preserve">Shivam pandit </t>
  </si>
  <si>
    <t>Shivam.25scs1003003529@iilm.edu</t>
  </si>
  <si>
    <t>1u8BgpFyVZiyDnu8MA4oyCHVbZxEpyuOt</t>
  </si>
  <si>
    <t>https://drive.google.com/file/d/1u8BgpFyVZiyDnu8MA4oyCHVbZxEpyuOt/view?usp=drivesdk</t>
  </si>
  <si>
    <t>Document successfully created; Document successfully merged; PDF created; Emails Sent: [To: Shivam.25scs1003003529@iilm.edu]; Run via form trigger as codectechnologies0@gmail.com; Timestamp: Aug 29, 2026 3:20 AM</t>
  </si>
  <si>
    <t>daksh.25scs1003001072@iilm.edu</t>
  </si>
  <si>
    <t>1TFVHa0PzB4tEbbXQvD9susY3PSTHO4Ge</t>
  </si>
  <si>
    <t>https://drive.google.com/file/d/1TFVHa0PzB4tEbbXQvD9susY3PSTHO4Ge/view?usp=drivesdk</t>
  </si>
  <si>
    <t>Document successfully created; Document successfully merged; PDF created; Emails Sent: [To: daksh.25scs1003001072@iilm.edu]; Run via form trigger as codectechnologies0@gmail.com; Timestamp: Aug 29, 2026 3:22 AM</t>
  </si>
  <si>
    <t>Dilshan kumar</t>
  </si>
  <si>
    <t>rautdilshankr@gmail.com</t>
  </si>
  <si>
    <t xml:space="preserve">Central university of jammu </t>
  </si>
  <si>
    <t>1Wn7yOuvFzuFSLabIu5M5ngfpsQDw9EHd</t>
  </si>
  <si>
    <t>https://drive.google.com/file/d/1Wn7yOuvFzuFSLabIu5M5ngfpsQDw9EHd/view?usp=drivesdk</t>
  </si>
  <si>
    <t>Document successfully created; Document successfully merged; PDF created; Emails Sent: [To: rautdilshankr@gmail.com]; Run via form trigger as codectechnologies0@gmail.com; Timestamp: Aug 29, 2026 3:24 AM</t>
  </si>
  <si>
    <t>1K6N38DYXYUkbTnoBKSZo1R8YA0emkbiu</t>
  </si>
  <si>
    <t>https://drive.google.com/file/d/1K6N38DYXYUkbTnoBKSZo1R8YA0emkbiu/view?usp=drivesdk</t>
  </si>
  <si>
    <t>Document successfully created; Document successfully merged; PDF created; Emails Sent: [To: Shivam.25scs1003003529@iilm.edu]; Run via form trigger as codectechnologies0@gmail.com; Timestamp: Aug 29, 2026 3:26 AM</t>
  </si>
  <si>
    <t>Rudra</t>
  </si>
  <si>
    <t>rudraofficial8958@gmail.com</t>
  </si>
  <si>
    <t xml:space="preserve">Iilm university greater Noida </t>
  </si>
  <si>
    <t>1d462aEk8fY9tRiXpj1lRAx4AQZrfDld7</t>
  </si>
  <si>
    <t>https://drive.google.com/file/d/1d462aEk8fY9tRiXpj1lRAx4AQZrfDld7/view?usp=drivesdk</t>
  </si>
  <si>
    <t>Document successfully created; Document successfully merged; PDF created; Emails Sent: [To: rudraofficial8958@gmail.com]; Run via form trigger as codectechnologies0@gmail.com; Timestamp: Aug 29, 2026 3:32 AM</t>
  </si>
  <si>
    <t>1fIn73ifAEAQc7BxVlXn9cgzVrUpN1q2o</t>
  </si>
  <si>
    <t>https://drive.google.com/file/d/1fIn73ifAEAQc7BxVlXn9cgzVrUpN1q2o/view?usp=drivesdk</t>
  </si>
  <si>
    <t>Document successfully created; Document successfully merged; PDF created; Emails Sent: [To: Shivam.25scs1003003529@iilm.edu]; Run via form trigger as codectechnologies0@gmail.com; Timestamp: Aug 29, 2026 3:36 AM</t>
  </si>
  <si>
    <t>Rudra Narayan Mishra</t>
  </si>
  <si>
    <t>rurdra.25scs1003002365@iilm.edu</t>
  </si>
  <si>
    <t>1qAYIEXMObMfMomN5JdcCg8RfwFkSnBbp</t>
  </si>
  <si>
    <t>https://drive.google.com/file/d/1qAYIEXMObMfMomN5JdcCg8RfwFkSnBbp/view?usp=drivesdk</t>
  </si>
  <si>
    <t>Document successfully created; Document successfully merged; PDF created; Emails Sent: [To: rurdra.25scs1003002365@iilm.edu]; Run via form trigger as codectechnologies0@gmail.com; Timestamp: Aug 29, 2026 3:48 AM</t>
  </si>
  <si>
    <t>Srajana</t>
  </si>
  <si>
    <t>srajanadevadiga55@gmail.com</t>
  </si>
  <si>
    <t>SJBIT</t>
  </si>
  <si>
    <t>1VqKAYv6mdqAXSMMWTkrPLqeGADgf-lfu</t>
  </si>
  <si>
    <t>https://drive.google.com/file/d/1VqKAYv6mdqAXSMMWTkrPLqeGADgf-lfu/view?usp=drivesdk</t>
  </si>
  <si>
    <t>Document successfully created; Document successfully merged; PDF created; Emails Sent: [To: srajanadevadiga55@gmail.com]; Run via form trigger as codectechnologies0@gmail.com; Timestamp: Aug 29, 2026 3:54 AM</t>
  </si>
  <si>
    <t xml:space="preserve">Battula Bharadwaj Rahul </t>
  </si>
  <si>
    <t>bharadwajrhl@gmail.com</t>
  </si>
  <si>
    <t>KLEF</t>
  </si>
  <si>
    <t>1_8vZFL2C3RukQSqUhUrdjmGddVZhbsAf</t>
  </si>
  <si>
    <t>https://drive.google.com/file/d/1_8vZFL2C3RukQSqUhUrdjmGddVZhbsAf/view?usp=drivesdk</t>
  </si>
  <si>
    <t>Document successfully created; Document successfully merged; PDF created; Emails Sent: [To: bharadwajrhl@gmail.com]; Run via form trigger as codectechnologies0@gmail.com; Timestamp: Aug 29, 2026 3:56 AM</t>
  </si>
  <si>
    <t>MALI SAIKIRAN</t>
  </si>
  <si>
    <t>malisaikiran911@gmail.com</t>
  </si>
  <si>
    <t>sri indu college of engineering and technology</t>
  </si>
  <si>
    <t>1z8DHg-NDzP2dRNa_wRDcZK7MPok5OYnv</t>
  </si>
  <si>
    <t>https://drive.google.com/file/d/1z8DHg-NDzP2dRNa_wRDcZK7MPok5OYnv/view?usp=drivesdk</t>
  </si>
  <si>
    <t>Document successfully created; Document successfully merged; PDF created; Emails Sent: [To: malisaikiran911@gmail.com]; Run via form trigger as codectechnologies0@gmail.com; Timestamp: Aug 29, 2026 4:01 AM</t>
  </si>
  <si>
    <t>Sathvika P</t>
  </si>
  <si>
    <t>sathvikapentyala2007@gmail.com</t>
  </si>
  <si>
    <t>1L_0_YXmcyKwA326r_yFcyABbA1pDzTiM</t>
  </si>
  <si>
    <t>https://drive.google.com/file/d/1L_0_YXmcyKwA326r_yFcyABbA1pDzTiM/view?usp=drivesdk</t>
  </si>
  <si>
    <t>Document successfully created; Document successfully merged; PDF created; Emails Sent: [To: sathvikapentyala2007@gmail.com]; Run via form trigger as codectechnologies0@gmail.com; Timestamp: Aug 29, 2026 4:03 AM</t>
  </si>
  <si>
    <t xml:space="preserve">Dhanashri Ramchandra Subhedar </t>
  </si>
  <si>
    <t>dhanashri.subhedar.work@gmail.com</t>
  </si>
  <si>
    <t xml:space="preserve">Yashwantrao Bhonsale Institute of Technology ,Sawantwadi </t>
  </si>
  <si>
    <t>1kqt_NcLRsZmxA51EL-3eY-um0YwUgk2s</t>
  </si>
  <si>
    <t>https://drive.google.com/file/d/1kqt_NcLRsZmxA51EL-3eY-um0YwUgk2s/view?usp=drivesdk</t>
  </si>
  <si>
    <t>Document successfully created; Document successfully merged; PDF created; Emails Sent: [To: dhanashri.subhedar.work@gmail.com]; Run via form trigger as codectechnologies0@gmail.com; Timestamp: Aug 29, 2026 4:04 AM</t>
  </si>
  <si>
    <t>MUSA ASMI</t>
  </si>
  <si>
    <t>musaasmi@gmail.com</t>
  </si>
  <si>
    <t xml:space="preserve">SSM College of Engineering &amp; Technology </t>
  </si>
  <si>
    <t>1psDl5c8VwTS3y4A4A_MoSYaXn0aCKnS6</t>
  </si>
  <si>
    <t>https://drive.google.com/file/d/1psDl5c8VwTS3y4A4A_MoSYaXn0aCKnS6/view?usp=drivesdk</t>
  </si>
  <si>
    <t>Document successfully created; Document successfully merged; PDF created; Emails Sent: [To: musaasmi@gmail.com]; Run via form trigger as codectechnologies0@gmail.com; Timestamp: Aug 29, 2026 4:04 AM</t>
  </si>
  <si>
    <t>Naitik Singh</t>
  </si>
  <si>
    <t>naitik.25scs1003001154@iilm.edu</t>
  </si>
  <si>
    <t>1ZKO7lC6hMwK0a28y-BGCGjS0RzONoFTK</t>
  </si>
  <si>
    <t>https://drive.google.com/file/d/1ZKO7lC6hMwK0a28y-BGCGjS0RzONoFTK/view?usp=drivesdk</t>
  </si>
  <si>
    <t>Document successfully created; Document successfully merged; PDF created; Emails Sent: [To: naitik.25scs1003001154@iilm.edu]; Run via form trigger as codectechnologies0@gmail.com; Timestamp: Aug 29, 2026 4:05 AM</t>
  </si>
  <si>
    <t xml:space="preserve">DHEERAJ JOSHI </t>
  </si>
  <si>
    <t>dheerujoshi09@gmail.com</t>
  </si>
  <si>
    <t xml:space="preserve">Dev bhoomi uttarakhand university dehradun </t>
  </si>
  <si>
    <t>1OhMtHyc3C7vEkmW9KLpTbGAtD5nkNtzh</t>
  </si>
  <si>
    <t>https://drive.google.com/file/d/1OhMtHyc3C7vEkmW9KLpTbGAtD5nkNtzh/view?usp=drivesdk</t>
  </si>
  <si>
    <t>Document successfully created; Document successfully merged; PDF created; Emails Sent: [To: dheerujoshi09@gmail.com]; Run via form trigger as codectechnologies0@gmail.com; Timestamp: Aug 29, 2026 4:06 AM</t>
  </si>
  <si>
    <t xml:space="preserve">Kamasani Vishnuvardhan Reddy </t>
  </si>
  <si>
    <t>kamasanivishnuvardhanreddy@gmail.com</t>
  </si>
  <si>
    <t xml:space="preserve">Annamacharya institute of technology and sciences tirupati </t>
  </si>
  <si>
    <t>1MPeSZUTd19GBCWUzSV3AsMSqNWmpTvbr</t>
  </si>
  <si>
    <t>https://drive.google.com/file/d/1MPeSZUTd19GBCWUzSV3AsMSqNWmpTvbr/view?usp=drivesdk</t>
  </si>
  <si>
    <t>Document successfully created; Document successfully merged; PDF created; Emails Sent: [To: kamasanivishnuvardhanreddy@gmail.com]; Run via form trigger as codectechnologies0@gmail.com; Timestamp: Aug 29, 2026 4:06 AM</t>
  </si>
  <si>
    <t xml:space="preserve">Rishav Anand </t>
  </si>
  <si>
    <t>rishavanandbajaj2005@gmail.com</t>
  </si>
  <si>
    <t xml:space="preserve">IILM university greater Noida </t>
  </si>
  <si>
    <t>1LDgrauPHCxjsJptBKL59ygdqmm-FzoFu</t>
  </si>
  <si>
    <t>https://drive.google.com/file/d/1LDgrauPHCxjsJptBKL59ygdqmm-FzoFu/view?usp=drivesdk</t>
  </si>
  <si>
    <t>Document successfully created; Document successfully merged; PDF created; Emails Sent: [To: rishavanandbajaj2005@gmail.com]; Run via form trigger as codectechnologies0@gmail.com; Timestamp: Aug 29, 2026 4:06 AM</t>
  </si>
  <si>
    <t xml:space="preserve">SAMEER KUMAR </t>
  </si>
  <si>
    <t>sameerkumaryadav65@gmail.com</t>
  </si>
  <si>
    <t xml:space="preserve">Netaji Subhash institute of technology </t>
  </si>
  <si>
    <t>1GUpaxCUwD0kYMe1d7GhyZsbNtutoKCcY</t>
  </si>
  <si>
    <t>https://drive.google.com/file/d/1GUpaxCUwD0kYMe1d7GhyZsbNtutoKCcY/view?usp=drivesdk</t>
  </si>
  <si>
    <t>Document successfully created; Document successfully merged; PDF created; Emails Sent: [To: sameerkumaryadav65@gmail.com]; Run via form trigger as codectechnologies0@gmail.com; Timestamp: Aug 29, 2026 4:06 AM</t>
  </si>
  <si>
    <t>Vageesh Bhat</t>
  </si>
  <si>
    <t>vageesh.bhat26@gmail.com</t>
  </si>
  <si>
    <t xml:space="preserve">Sahyadri College of Engineering and Management </t>
  </si>
  <si>
    <t>1eOn2mMVs9JM1JULpxDTK8VAOieyyx_UX</t>
  </si>
  <si>
    <t>https://drive.google.com/file/d/1eOn2mMVs9JM1JULpxDTK8VAOieyyx_UX/view?usp=drivesdk</t>
  </si>
  <si>
    <t>Document successfully created; Document successfully merged; PDF created; Emails Sent: [To: vageesh.bhat26@gmail.com]; Run via form trigger as codectechnologies0@gmail.com; Timestamp: Aug 29, 2026 4:06 AM</t>
  </si>
  <si>
    <t xml:space="preserve">Payal mishra </t>
  </si>
  <si>
    <t>payalmishra2506@gmail.com</t>
  </si>
  <si>
    <t xml:space="preserve">Cgc university </t>
  </si>
  <si>
    <t>1I7RPVhFT8zNA_lAp2OfxEckyto8rDJvF</t>
  </si>
  <si>
    <t>https://drive.google.com/file/d/1I7RPVhFT8zNA_lAp2OfxEckyto8rDJvF/view?usp=drivesdk</t>
  </si>
  <si>
    <t>Document successfully created; Document successfully merged; PDF created; Emails Sent: [To: payalmishra2506@gmail.com]; Run via form trigger as codectechnologies0@gmail.com; Timestamp: Aug 29, 2026 4:07 AM</t>
  </si>
  <si>
    <t>Vansh Pratap Chauhan</t>
  </si>
  <si>
    <t>bhavyachauhan0002@gmail.com</t>
  </si>
  <si>
    <t>raj kumar goel institute of technology</t>
  </si>
  <si>
    <t>1oKteycg-QCVFTVe57NglR1oZgTroTOPV</t>
  </si>
  <si>
    <t>https://drive.google.com/file/d/1oKteycg-QCVFTVe57NglR1oZgTroTOPV/view?usp=drivesdk</t>
  </si>
  <si>
    <t>Document successfully created; Document successfully merged; PDF created; Emails Sent: [To: bhavyachauhan0002@gmail.com]; Run via form trigger as codectechnologies0@gmail.com; Timestamp: Aug 29, 2026 4:12 AM</t>
  </si>
  <si>
    <t xml:space="preserve">Yashwantrao Bhonsale Institute of Technology, Sawantwadi </t>
  </si>
  <si>
    <t>16Ye-H7mj7NWW0J9xv9aoJ17uX314R3WK</t>
  </si>
  <si>
    <t>https://drive.google.com/file/d/16Ye-H7mj7NWW0J9xv9aoJ17uX314R3WK/view?usp=drivesdk</t>
  </si>
  <si>
    <t>Document successfully created; Document successfully merged; PDF created; Emails Sent: [To: dhanashri.subhedar.work@gmail.com]; Run via form trigger as codectechnologies0@gmail.com; Timestamp: Aug 29, 2026 4:13 AM</t>
  </si>
  <si>
    <t>Deepak Pudari</t>
  </si>
  <si>
    <t>dpudhari26@gmail.com</t>
  </si>
  <si>
    <t>Gurunanak Institutions</t>
  </si>
  <si>
    <t>1A2BlYtDLbq9XtORZEOzPUP7n4mdeXASI</t>
  </si>
  <si>
    <t>https://drive.google.com/file/d/1A2BlYtDLbq9XtORZEOzPUP7n4mdeXASI/view?usp=drivesdk</t>
  </si>
  <si>
    <t>Document successfully created; Document successfully merged; PDF created; Emails Sent: [To: dpudhari26@gmail.com]; Run via form trigger as codectechnologies0@gmail.com; Timestamp: Aug 29, 2026 4:18 AM</t>
  </si>
  <si>
    <t xml:space="preserve">ARCHIT SRIVASTAVA </t>
  </si>
  <si>
    <t>architsri1296@gmail.com</t>
  </si>
  <si>
    <t>14OmoJkSjiS5pA5hVKjncjFQocS-9dmDh</t>
  </si>
  <si>
    <t>https://drive.google.com/file/d/14OmoJkSjiS5pA5hVKjncjFQocS-9dmDh/view?usp=drivesdk</t>
  </si>
  <si>
    <t>Document successfully created; Document successfully merged; PDF created; Emails Sent: [To: architsri1296@gmail.com]; Run via form trigger as codectechnologies0@gmail.com; Timestamp: Aug 29, 2026 4:20 AM</t>
  </si>
  <si>
    <t>Harsh Kumar</t>
  </si>
  <si>
    <t>harshkumar56839@gmail.com</t>
  </si>
  <si>
    <t xml:space="preserve">University institute of engineering and technology, kurukshetra university, kurukshetra </t>
  </si>
  <si>
    <t>Friend, Email</t>
  </si>
  <si>
    <t>1cYawb8UKN0Cs9YByWNjsFvAs4xqwP11s</t>
  </si>
  <si>
    <t>https://drive.google.com/file/d/1cYawb8UKN0Cs9YByWNjsFvAs4xqwP11s/view?usp=drivesdk</t>
  </si>
  <si>
    <t>Document successfully created; Document successfully merged; PDF created; !!Error Sending Emails: Service invoked too many times for one day: email.; Run via form trigger as codectechnologies0@gmail.com; Timestamp: Aug 29, 2026 4:21 AM</t>
  </si>
  <si>
    <t>Bhavyachauhan0002@gmail.com</t>
  </si>
  <si>
    <t>Raj Kumar Goel Institute Of Technology</t>
  </si>
  <si>
    <t>1sKGzh3KAQsDakJ45Qe7iS39wYx7zTunw</t>
  </si>
  <si>
    <t>https://drive.google.com/file/d/1sKGzh3KAQsDakJ45Qe7iS39wYx7zTunw/view?usp=drivesdk</t>
  </si>
  <si>
    <t xml:space="preserve">Chaitanya Dadhe </t>
  </si>
  <si>
    <t>chaitanyadadhe15@gmail.com</t>
  </si>
  <si>
    <t xml:space="preserve">SB Jain Institute of Technology Management and Research </t>
  </si>
  <si>
    <t>1Gdnro21XOxq6sAvLqfr4hmcSV2zVHsde</t>
  </si>
  <si>
    <t>https://drive.google.com/file/d/1Gdnro21XOxq6sAvLqfr4hmcSV2zVHsde/view?usp=drivesdk</t>
  </si>
  <si>
    <t>Document successfully created; Document successfully merged; PDF created; Emails Sent: [To: chaitanyadadhe15@gmail.com]; Run via form trigger as codectechnologies0@gmail.com; Timestamp: Aug 29, 2026 4:22 AM</t>
  </si>
  <si>
    <t>Rathod Ravi</t>
  </si>
  <si>
    <t>rathodravi5598@gmail.com</t>
  </si>
  <si>
    <t xml:space="preserve">Geetanjali Group of Collges </t>
  </si>
  <si>
    <t>1sHDOX7wU30bDKfMaHKRiuHUuFqdr56z8</t>
  </si>
  <si>
    <t>https://drive.google.com/file/d/1sHDOX7wU30bDKfMaHKRiuHUuFqdr56z8/view?usp=drivesdk</t>
  </si>
  <si>
    <t>Document successfully created; Document successfully merged; PDF created; Emails Sent: [To: rathodravi5598@gmail.com]; Run via form trigger as codectechnologies0@gmail.com; Timestamp: Aug 29, 2026 4:27 AM</t>
  </si>
  <si>
    <t>Nithish.S</t>
  </si>
  <si>
    <t>nithishsaravanan2006@gmail.com</t>
  </si>
  <si>
    <t>T.J.S.Engineering College</t>
  </si>
  <si>
    <t>1tsHZBxhXYR36E8iKiR6RwKbP89v8r9yy</t>
  </si>
  <si>
    <t>https://drive.google.com/file/d/1tsHZBxhXYR36E8iKiR6RwKbP89v8r9yy/view?usp=drivesdk</t>
  </si>
  <si>
    <t>Document successfully created; Document successfully merged; PDF created; Emails Sent: [To: nithishsaravanan2006@gmail.com]; Run via form trigger as codectechnologies0@gmail.com; Timestamp: Aug 29, 2026 4:29 AM</t>
  </si>
  <si>
    <t xml:space="preserve">Anandi S Band </t>
  </si>
  <si>
    <t>bandanandi81@gmail.com</t>
  </si>
  <si>
    <t xml:space="preserve">Hvpm college of engineering and technology </t>
  </si>
  <si>
    <t>1e-lP8fEJEUVL8mAwU-2VCD-r03bYTBxI</t>
  </si>
  <si>
    <t>https://drive.google.com/file/d/1e-lP8fEJEUVL8mAwU-2VCD-r03bYTBxI/view?usp=drivesdk</t>
  </si>
  <si>
    <t>Document successfully created; Document successfully merged; PDF created; Emails Sent: [To: bandanandi81@gmail.com]; Run via form trigger as codectechnologies0@gmail.com; Timestamp: Aug 29, 2026 4:31 AM</t>
  </si>
  <si>
    <t>14Ha85TAZxF1vhn9JyGHqcD3cAq_lLbyr</t>
  </si>
  <si>
    <t>https://drive.google.com/file/d/14Ha85TAZxF1vhn9JyGHqcD3cAq_lLbyr/view?usp=drivesdk</t>
  </si>
  <si>
    <t>Document successfully created; Document successfully merged; PDF created; Emails Sent: [To: rathodravi5598@gmail.com]; Run via form trigger as codectechnologies0@gmail.com; Timestamp: Aug 29, 2026 4:31 AM</t>
  </si>
  <si>
    <t>Shrushti Paygan</t>
  </si>
  <si>
    <t>shrushtipaygan@gmail.com</t>
  </si>
  <si>
    <t xml:space="preserve">Prof Ram meghe institute of technology and research Amravati </t>
  </si>
  <si>
    <t>1VknlDhZHTlmmb7LCSkcyZWIYJ82AXWoD</t>
  </si>
  <si>
    <t>https://drive.google.com/file/d/1VknlDhZHTlmmb7LCSkcyZWIYJ82AXWoD/view?usp=drivesdk</t>
  </si>
  <si>
    <t>Document successfully created; Document successfully merged; PDF created; Emails Sent: [To: shrushtipaygan@gmail.com]; Run via form trigger as codectechnologies0@gmail.com; Timestamp: Aug 29, 2026 4:35 AM</t>
  </si>
  <si>
    <t xml:space="preserve">Prof ram meghe institute of technology and research Amravati </t>
  </si>
  <si>
    <t>1QR2fvNRao1TeeqPu28W4n1o2-tOE2Ukb</t>
  </si>
  <si>
    <t>https://drive.google.com/file/d/1QR2fvNRao1TeeqPu28W4n1o2-tOE2Ukb/view?usp=drivesdk</t>
  </si>
  <si>
    <t>Document successfully created; Document successfully merged; PDF created; Emails Sent: [To: shrushtipaygan@gmail.com]; Run via form trigger as codectechnologies0@gmail.com; Timestamp: Aug 29, 2026 4:48 AM</t>
  </si>
  <si>
    <t xml:space="preserve">Tanvi Varshney </t>
  </si>
  <si>
    <t>tanvi.25scs1003004972@iilm.edu</t>
  </si>
  <si>
    <t>1FGwWclbHADCJVt2NMqhpFb8tSYqVsLBv</t>
  </si>
  <si>
    <t>https://drive.google.com/file/d/1FGwWclbHADCJVt2NMqhpFb8tSYqVsLBv/view?usp=drivesdk</t>
  </si>
  <si>
    <t>Document successfully created; Document successfully merged; PDF created; Emails Sent: [To: tanvi.25scs1003004972@iilm.edu]; Run via form trigger as codectechnologies0@gmail.com; Timestamp: Aug 29, 2026 4:49 AM</t>
  </si>
  <si>
    <t>Ishika agarwal</t>
  </si>
  <si>
    <t>ishikaagarwal644@gmail.com</t>
  </si>
  <si>
    <t>LinkedIn, Email, AICTE/Indeed</t>
  </si>
  <si>
    <t>1pwzoSTdLoTcWvU_0-PPV6NzPe966dr3m</t>
  </si>
  <si>
    <t>https://drive.google.com/file/d/1pwzoSTdLoTcWvU_0-PPV6NzPe966dr3m/view?usp=drivesdk</t>
  </si>
  <si>
    <t>Document successfully created; Document successfully merged; PDF created; Emails Sent: [To: ishikaagarwal644@gmail.com]; Run via form trigger as codectechnologies0@gmail.com; Timestamp: Aug 29, 2026 4:52 AM</t>
  </si>
  <si>
    <t xml:space="preserve">GOURAVAM PUNEETH GOUD </t>
  </si>
  <si>
    <t>puneethgoud733@gmail.com</t>
  </si>
  <si>
    <t>Instagram, Google, AICTE/Indeed</t>
  </si>
  <si>
    <t>1ku4auBeMK2Pjx6BC9E_us8BHfUBYYUNc</t>
  </si>
  <si>
    <t>https://drive.google.com/file/d/1ku4auBeMK2Pjx6BC9E_us8BHfUBYYUNc/view?usp=drivesdk</t>
  </si>
  <si>
    <t>Document successfully created; Document successfully merged; PDF created; Emails Sent: [To: puneethgoud733@gmail.com]; Run via form trigger as codectechnologies0@gmail.com; Timestamp: Aug 29, 2026 4:53 AM</t>
  </si>
  <si>
    <t>Janvi Saini</t>
  </si>
  <si>
    <t>janvisaini0777@gmail.com</t>
  </si>
  <si>
    <t>1QsLb8iMIMdyFdQQfazn5wlGFaOjSAuVH</t>
  </si>
  <si>
    <t>https://drive.google.com/file/d/1QsLb8iMIMdyFdQQfazn5wlGFaOjSAuVH/view?usp=drivesdk</t>
  </si>
  <si>
    <t>Document successfully created; Document successfully merged; PDF created; Emails Sent: [To: janvisaini0777@gmail.com]; Run via form trigger as codectechnologies0@gmail.com; Timestamp: Aug 29, 2026 5:14 AM</t>
  </si>
  <si>
    <t>Rohit Bhandari</t>
  </si>
  <si>
    <t>rohitbh4030h@gmail.com</t>
  </si>
  <si>
    <t xml:space="preserve">uttranchal university </t>
  </si>
  <si>
    <t>Friend, Google, Other</t>
  </si>
  <si>
    <t>1DjUIb5dGG62XIkUQRW2GAXdn1n_MDiWN</t>
  </si>
  <si>
    <t>https://drive.google.com/file/d/1DjUIb5dGG62XIkUQRW2GAXdn1n_MDiWN/view?usp=drivesdk</t>
  </si>
  <si>
    <t>Document successfully created; Document successfully merged; PDF created; Emails Sent: [To: rohitbh4030h@gmail.com]; Run via form trigger as codectechnologies0@gmail.com; Timestamp: Aug 29, 2026 5:17 AM</t>
  </si>
  <si>
    <t>Rohan Kumar Yadav</t>
  </si>
  <si>
    <t>rohany7255@gmail.com</t>
  </si>
  <si>
    <t xml:space="preserve">Shivalik College of Engineering, Dehradun </t>
  </si>
  <si>
    <t>1-h1zKjsBlrjlX5a1x-xNGmQWu5btTP31</t>
  </si>
  <si>
    <t>https://drive.google.com/file/d/1-h1zKjsBlrjlX5a1x-xNGmQWu5btTP31/view?usp=drivesdk</t>
  </si>
  <si>
    <t>Document successfully created; Document successfully merged; PDF created; Emails Sent: [To: rohany7255@gmail.com]; Run via form trigger as codectechnologies0@gmail.com; Timestamp: Aug 29, 2026 5:17 AM</t>
  </si>
  <si>
    <t>Anmol Sandhu</t>
  </si>
  <si>
    <t>anmol.25scs1003001514@iilm.edu</t>
  </si>
  <si>
    <t>1WG7j3SkRPk67ceieEKoOhLkQCHDt6EMc</t>
  </si>
  <si>
    <t>https://drive.google.com/file/d/1WG7j3SkRPk67ceieEKoOhLkQCHDt6EMc/view?usp=drivesdk</t>
  </si>
  <si>
    <t>Document successfully created; Document successfully merged; PDF created; Emails Sent: [To: anmol.25scs1003001514@iilm.edu]; Run via form trigger as codectechnologies0@gmail.com; Timestamp: Aug 29, 2026 5:19 AM</t>
  </si>
  <si>
    <t>SACHIN KUMAR</t>
  </si>
  <si>
    <t>ankitchikey@gmail.com</t>
  </si>
  <si>
    <t>12Df7pDL_Ykdg3BfnmJSOfL-wH7udd643</t>
  </si>
  <si>
    <t>https://drive.google.com/file/d/12Df7pDL_Ykdg3BfnmJSOfL-wH7udd643/view?usp=drivesdk</t>
  </si>
  <si>
    <t>Document successfully created; Document successfully merged; PDF created; Emails Sent: [To: ankitchikey@gmail.com]; Run via form trigger as codectechnologies0@gmail.com; Timestamp: Aug 29, 2026 5:21 AM</t>
  </si>
  <si>
    <t>BHAVARAJU D S R PHANI SRI VISWAS</t>
  </si>
  <si>
    <t>viswasbhavaraju@gmail.com</t>
  </si>
  <si>
    <t>1bOLlHrLmgFWFUuIVRMl3x8B_KuxIBKXW</t>
  </si>
  <si>
    <t>https://drive.google.com/file/d/1bOLlHrLmgFWFUuIVRMl3x8B_KuxIBKXW/view?usp=drivesdk</t>
  </si>
  <si>
    <t>Document successfully created; Document successfully merged; PDF created; Emails Sent: [To: viswasbhavaraju@gmail.com]; Run via form trigger as codectechnologies0@gmail.com; Timestamp: Aug 29, 2026 5:33 AM</t>
  </si>
  <si>
    <t>ayushjai618@gmail.com</t>
  </si>
  <si>
    <t>1rYl3UDqyYH52SNtDLf1qFn4RoA2jgx8S</t>
  </si>
  <si>
    <t>https://drive.google.com/file/d/1rYl3UDqyYH52SNtDLf1qFn4RoA2jgx8S/view?usp=drivesdk</t>
  </si>
  <si>
    <t>Document successfully created; Document successfully merged; PDF created; Emails Sent: [To: ayushjai618@gmail.com]; Run via form trigger as codectechnologies0@gmail.com; Timestamp: Aug 29, 2026 5:42 AM</t>
  </si>
  <si>
    <t>Pavitra Dutt</t>
  </si>
  <si>
    <t>pavitradutt777@gmail.com</t>
  </si>
  <si>
    <t>KIET GROUP OF INSTITUTIONS</t>
  </si>
  <si>
    <t>15Kqon3mRQAq2_iEPQm5-BYEPTJPDmpjX</t>
  </si>
  <si>
    <t>https://drive.google.com/file/d/15Kqon3mRQAq2_iEPQm5-BYEPTJPDmpjX/view?usp=drivesdk</t>
  </si>
  <si>
    <t>Document successfully created; Document successfully merged; PDF created; Emails Sent: [To: pavitradutt777@gmail.com]; Run via form trigger as codectechnologies0@gmail.com; Timestamp: Aug 29, 2026 5:43 AM</t>
  </si>
  <si>
    <t>1YJj75ev6MB2cgM46zAy0KLkJqatGmYVX</t>
  </si>
  <si>
    <t>https://drive.google.com/file/d/1YJj75ev6MB2cgM46zAy0KLkJqatGmYVX/view?usp=drivesdk</t>
  </si>
  <si>
    <t>Document successfully created; Document successfully merged; PDF created; !!Error Sending Emails: Service invoked too many times for one day: email.; Run via form trigger as codectechnologies0@gmail.com; Timestamp: Aug 29, 2026 5:43 AM</t>
  </si>
  <si>
    <t>Sneha Maurya</t>
  </si>
  <si>
    <t>8172snehamaurya@gmail.com</t>
  </si>
  <si>
    <t xml:space="preserve">Bansal Institute of Engineering and Technology </t>
  </si>
  <si>
    <t>1qVtOyoGVHbQ6HMwVrTVYVFE5QqyeXME0</t>
  </si>
  <si>
    <t>https://drive.google.com/file/d/1qVtOyoGVHbQ6HMwVrTVYVFE5QqyeXME0/view?usp=drivesdk</t>
  </si>
  <si>
    <t>Document successfully created; Document successfully merged; PDF created; Emails Sent: [To: 8172snehamaurya@gmail.com]; Run via form trigger as codectechnologies0@gmail.com; Timestamp: Aug 29, 2026 5:44 AM</t>
  </si>
  <si>
    <t>Arpita Sharma</t>
  </si>
  <si>
    <t>as109644089@gmail.com</t>
  </si>
  <si>
    <t xml:space="preserve">SRIMT </t>
  </si>
  <si>
    <t>1Xt3GKLrAxd2uy1GYzq5m7aHVSbnCUkjU</t>
  </si>
  <si>
    <t>https://drive.google.com/file/d/1Xt3GKLrAxd2uy1GYzq5m7aHVSbnCUkjU/view?usp=drivesdk</t>
  </si>
  <si>
    <t>Document successfully created; Document successfully merged; PDF created; Emails Sent: [To: as109644089@gmail.com]; Run via form trigger as codectechnologies0@gmail.com; Timestamp: Aug 29, 2026 5:52 AM</t>
  </si>
  <si>
    <t>Makarab Hussain Shah</t>
  </si>
  <si>
    <t>sayedmakarabhussainshah@gmail.com</t>
  </si>
  <si>
    <t xml:space="preserve">Nielit aizawl Mizoram </t>
  </si>
  <si>
    <t>1vx_gTHAYU6F1xy_co21XjsFQJ6Ua7Szk</t>
  </si>
  <si>
    <t>https://drive.google.com/file/d/1vx_gTHAYU6F1xy_co21XjsFQJ6Ua7Szk/view?usp=drivesdk</t>
  </si>
  <si>
    <t>Document successfully created; Document successfully merged; PDF created; !!Error Sending Emails: Service invoked too many times for one day: email.; Run via form trigger as codectechnologies0@gmail.com; Timestamp: Aug 29, 2026 5:54 AM</t>
  </si>
  <si>
    <t>Korra Sarala</t>
  </si>
  <si>
    <t>korrasarala14@gmail.com</t>
  </si>
  <si>
    <t>Indian Institute of Technology</t>
  </si>
  <si>
    <t>1T1Ilc9ZtRn3XLPdb7cG6nqVcxdSqCazh</t>
  </si>
  <si>
    <t>https://drive.google.com/file/d/1T1Ilc9ZtRn3XLPdb7cG6nqVcxdSqCazh/view?usp=drivesdk</t>
  </si>
  <si>
    <t>Document successfully created; Document successfully merged; PDF created; !!Error Sending Emails: Service invoked too many times for one day: email.; Run via form trigger as codectechnologies0@gmail.com; Timestamp: Aug 29, 2026 6:02 AM</t>
  </si>
  <si>
    <t xml:space="preserve">Omji Singh </t>
  </si>
  <si>
    <t>omjisingh055@gmail.com</t>
  </si>
  <si>
    <t>1qnEJtzq3QtBAuiFXv_AnNq1WkZMsyc6r</t>
  </si>
  <si>
    <t>https://drive.google.com/file/d/1qnEJtzq3QtBAuiFXv_AnNq1WkZMsyc6r/view?usp=drivesdk</t>
  </si>
  <si>
    <t>Document successfully created; Document successfully merged; PDF created; !!Error Sending Emails: Service invoked too many times for one day: email.; Run via form trigger as codectechnologies0@gmail.com; Timestamp: Aug 29, 2026 6:13 AM</t>
  </si>
  <si>
    <t>Sanjeev Raj S</t>
  </si>
  <si>
    <t>cholankingsrm@gmail.com</t>
  </si>
  <si>
    <t xml:space="preserve">Sona College of Technology </t>
  </si>
  <si>
    <t>1-F2YjoMcsA3zjIniaN6xHAjZ8kBCGBZC</t>
  </si>
  <si>
    <t>https://drive.google.com/file/d/1-F2YjoMcsA3zjIniaN6xHAjZ8kBCGBZC/view?usp=drivesdk</t>
  </si>
  <si>
    <t>Document successfully created; Document successfully merged; PDF created; !!Error Sending Emails: Service invoked too many times for one day: email.; Run via form trigger as codectechnologies0@gmail.com; Timestamp: Aug 29, 2026 6:20 AM</t>
  </si>
  <si>
    <t>Samia Khan</t>
  </si>
  <si>
    <t>samiakhan523012@gmail.com</t>
  </si>
  <si>
    <t>06232569477</t>
  </si>
  <si>
    <t xml:space="preserve">Shri vaishnav vidhyapeeth vishwavidyalaya </t>
  </si>
  <si>
    <t>12HM4zSw4grzO7SDJR7s-cA5rrjYQC2yw</t>
  </si>
  <si>
    <t>https://drive.google.com/file/d/12HM4zSw4grzO7SDJR7s-cA5rrjYQC2yw/view?usp=drivesdk</t>
  </si>
  <si>
    <t xml:space="preserve">Sahil Sable </t>
  </si>
  <si>
    <t>sahildada2007@gmail.com</t>
  </si>
  <si>
    <t xml:space="preserve">Trinity Academy of Engineering </t>
  </si>
  <si>
    <t>1frdOXHYybNDTvpkazm79Wq13e5oyr4q-</t>
  </si>
  <si>
    <t>https://drive.google.com/file/d/1frdOXHYybNDTvpkazm79Wq13e5oyr4q-/view?usp=drivesdk</t>
  </si>
  <si>
    <t>Document successfully created; Document successfully merged; PDF created; Emails Sent: [To: sahildada2007@gmail.com]; Run via form trigger as codectechnologies0@gmail.com; Timestamp: Aug 29, 2026 6:22 AM</t>
  </si>
  <si>
    <t>Meher Prateek</t>
  </si>
  <si>
    <t>meher.25scs1003002642@iilm.edu</t>
  </si>
  <si>
    <t>18t4uDtDPd24FLi7wJ8PvGDDBHt5v6esS</t>
  </si>
  <si>
    <t>https://drive.google.com/file/d/18t4uDtDPd24FLi7wJ8PvGDDBHt5v6esS/view?usp=drivesdk</t>
  </si>
  <si>
    <t>Document successfully created; Document successfully merged; PDF created; Emails Sent: [To: meher.25scs1003002642@iilm.edu]; Run via form trigger as codectechnologies0@gmail.com; Timestamp: Aug 29, 2026 6:26 AM</t>
  </si>
  <si>
    <t>ASHISH VERMA</t>
  </si>
  <si>
    <t>av5551404@gmail.com</t>
  </si>
  <si>
    <t>NIELIT aizwal</t>
  </si>
  <si>
    <t>1i5BycrLwULGzyAM3JMzQwJAwtcK1yUlg</t>
  </si>
  <si>
    <t>https://drive.google.com/file/d/1i5BycrLwULGzyAM3JMzQwJAwtcK1yUlg/view?usp=drivesdk</t>
  </si>
  <si>
    <t>Document successfully created; Document successfully merged; PDF created; Emails Sent: [To: av5551404@gmail.com]; Run via form trigger as codectechnologies0@gmail.com; Timestamp: Aug 29, 2026 6:42 AM</t>
  </si>
  <si>
    <t>Aditya Narayan Nirmal</t>
  </si>
  <si>
    <t>adityanarayan1116@gmail.com</t>
  </si>
  <si>
    <t>1LOdJmmmLHW18LhzxtF74Mj4HMPiroR42</t>
  </si>
  <si>
    <t>https://drive.google.com/file/d/1LOdJmmmLHW18LhzxtF74Mj4HMPiroR42/view?usp=drivesdk</t>
  </si>
  <si>
    <t>Document successfully created; Document successfully merged; PDF created; !!Error Sending Emails: Service invoked too many times for one day: email.; Run via form trigger as codectechnologies0@gmail.com; Timestamp: Aug 29, 2026 6:48 AM</t>
  </si>
  <si>
    <t xml:space="preserve">Adithyan M J </t>
  </si>
  <si>
    <t>Adithyanmj@2006</t>
  </si>
  <si>
    <t xml:space="preserve">Shree devi institute of technology </t>
  </si>
  <si>
    <t>Instagram, WhatsApp</t>
  </si>
  <si>
    <t>1ch3gg2JrxVV7iIUReZwmT_rAKoITpjDB</t>
  </si>
  <si>
    <t>https://drive.google.com/file/d/1ch3gg2JrxVV7iIUReZwmT_rAKoITpjDB/view?usp=drivesdk</t>
  </si>
  <si>
    <t>Document successfully created; Document successfully merged; PDF created; !!Error Sending Emails: Service invoked too many times for one day: email.; Run via form trigger as codectechnologies0@gmail.com; Timestamp: Aug 29, 2026 6:55 AM</t>
  </si>
  <si>
    <t>Aditya kandwal</t>
  </si>
  <si>
    <t>s2014kandwal@gmail.com</t>
  </si>
  <si>
    <t>1fSjhPvH-Fh0EavtQjBX_WN4uk6mt-qL1</t>
  </si>
  <si>
    <t>https://drive.google.com/file/d/1fSjhPvH-Fh0EavtQjBX_WN4uk6mt-qL1/view?usp=drivesdk</t>
  </si>
  <si>
    <t>Document successfully created; Document successfully merged; PDF created; !!Error Sending Emails: Service invoked too many times for one day: email.; Run via form trigger as codectechnologies0@gmail.com; Timestamp: Aug 29, 2026 7:35 AM</t>
  </si>
  <si>
    <t xml:space="preserve">Ayush Kumar Dwivedy </t>
  </si>
  <si>
    <t>ayush9153k@gmail.com</t>
  </si>
  <si>
    <t>1ZtQSMn57wWCVSTAjg7E_vAvFaNT314OL</t>
  </si>
  <si>
    <t>https://drive.google.com/file/d/1ZtQSMn57wWCVSTAjg7E_vAvFaNT314OL/view?usp=drivesdk</t>
  </si>
  <si>
    <t>Document successfully created; Document successfully merged; PDF created; !!Error Sending Emails: Service invoked too many times for one day: email.; Run via form trigger as codectechnologies0@gmail.com; Timestamp: Aug 29, 2026 7:41 AM</t>
  </si>
  <si>
    <t>Gaurav Saini</t>
  </si>
  <si>
    <t>gs7645500@gmail.com</t>
  </si>
  <si>
    <t>Shri Ram Group of Colleges Muzaffarnagar</t>
  </si>
  <si>
    <t>1SPubCe_tEdqejTtSq6KPfWwYbdu2JD69</t>
  </si>
  <si>
    <t>https://drive.google.com/file/d/1SPubCe_tEdqejTtSq6KPfWwYbdu2JD69/view?usp=drivesdk</t>
  </si>
  <si>
    <t>Document successfully created; Document successfully merged; PDF created; Emails Sent: [To: gs7645500@gmail.com]; Run via form trigger as codectechnologies0@gmail.com; Timestamp: Aug 29, 2026 7:50 AM</t>
  </si>
  <si>
    <t>iilm</t>
  </si>
  <si>
    <t>1x7ZFPaNMPldFc7BcGzK5rLAdUYoxQzOl</t>
  </si>
  <si>
    <t>https://drive.google.com/file/d/1x7ZFPaNMPldFc7BcGzK5rLAdUYoxQzOl/view?usp=drivesdk</t>
  </si>
  <si>
    <t>Document successfully created; Document successfully merged; PDF created; Emails Sent: [To: meher.25scs1003002642@iilm.edu]; Run via form trigger as codectechnologies0@gmail.com; Timestamp: Aug 29, 2026 7:58 AM</t>
  </si>
  <si>
    <t>Prakhar Sharma</t>
  </si>
  <si>
    <t>prakharnando14@gmail.com</t>
  </si>
  <si>
    <t xml:space="preserve">Amity University Madhya Pradesh </t>
  </si>
  <si>
    <t>1wb0NZOfvKltXxFA087wDj_y6kLEH7xXL</t>
  </si>
  <si>
    <t>https://drive.google.com/file/d/1wb0NZOfvKltXxFA087wDj_y6kLEH7xXL/view?usp=drivesdk</t>
  </si>
  <si>
    <t>Document successfully created; Document successfully merged; PDF created; !!Error Sending Emails: Service invoked too many times for one day: email.; Run via form trigger as codectechnologies0@gmail.com; Timestamp: Aug 29, 2026 8:04 AM</t>
  </si>
  <si>
    <t xml:space="preserve">Neha Vashishtha </t>
  </si>
  <si>
    <t>rahulsh549@gmail.com</t>
  </si>
  <si>
    <t xml:space="preserve">Mkm group of college of management and IT </t>
  </si>
  <si>
    <t>13Ws8DwvVl06RgvbE9SE4knRcO1U1Cctg</t>
  </si>
  <si>
    <t>https://drive.google.com/file/d/13Ws8DwvVl06RgvbE9SE4knRcO1U1Cctg/view?usp=drivesdk</t>
  </si>
  <si>
    <t>Document successfully created; Document successfully merged; PDF created; Emails Sent: [To: rahulsh549@gmail.com]; Run via form trigger as codectechnologies0@gmail.com; Timestamp: Aug 29, 2026 8:06 AM</t>
  </si>
  <si>
    <t xml:space="preserve">Symbiosis Institute of Technology ,Pune </t>
  </si>
  <si>
    <t>1zeCwgiyJz_J1udRXbdjD8VdrPOg3Ntq6</t>
  </si>
  <si>
    <t>https://drive.google.com/file/d/1zeCwgiyJz_J1udRXbdjD8VdrPOg3Ntq6/view?usp=drivesdk</t>
  </si>
  <si>
    <t>Document successfully created; Document successfully merged; PDF created; !!Error Sending Emails: Service invoked too many times for one day: email.; Run via form trigger as codectechnologies0@gmail.com; Timestamp: Aug 29, 2026 8:12 AM</t>
  </si>
  <si>
    <t xml:space="preserve">NADA ASAD KHAN </t>
  </si>
  <si>
    <t>khannada2020@gmail.com</t>
  </si>
  <si>
    <t xml:space="preserve">iilm university greater noida </t>
  </si>
  <si>
    <t>1OAcaHjw0nDTX7IXdUyS-220XENwY6JCH</t>
  </si>
  <si>
    <t>https://drive.google.com/file/d/1OAcaHjw0nDTX7IXdUyS-220XENwY6JCH/view?usp=drivesdk</t>
  </si>
  <si>
    <t>Document successfully created; Document successfully merged; PDF created; !!Error Sending Emails: Service invoked too many times for one day: email.; Run via form trigger as codectechnologies0@gmail.com; Timestamp: Aug 29, 2026 8:25 AM</t>
  </si>
  <si>
    <t>1bLK-UhEQfaFSHuPqH6NnaxtISOxALkVi</t>
  </si>
  <si>
    <t>https://drive.google.com/file/d/1bLK-UhEQfaFSHuPqH6NnaxtISOxALkVi/view?usp=drivesdk</t>
  </si>
  <si>
    <t>Document successfully created; Document successfully merged; PDF created; !!Error Sending Emails: Service invoked too many times for one day: email.; Run via form trigger as codectechnologies0@gmail.com; Timestamp: Aug 29, 2026 8:28 AM</t>
  </si>
  <si>
    <t>Krishn SONI</t>
  </si>
  <si>
    <t>ks2642233@gmail.com</t>
  </si>
  <si>
    <t xml:space="preserve">Sage university bhopal </t>
  </si>
  <si>
    <t>1KzIkZJyp9S13s0CDMmo2wzP0TQMNlr8p</t>
  </si>
  <si>
    <t>https://drive.google.com/file/d/1KzIkZJyp9S13s0CDMmo2wzP0TQMNlr8p/view?usp=drivesdk</t>
  </si>
  <si>
    <t>Document successfully created; Document successfully merged; PDF created; Emails Sent: [To: ks2642233@gmail.com]; Run via form trigger as codectechnologies0@gmail.com; Timestamp: Aug 29, 2026 9:02 AM</t>
  </si>
  <si>
    <t xml:space="preserve">Vaishnavi Ram Shinde </t>
  </si>
  <si>
    <t>vaishnavishinde0199@gmail.com</t>
  </si>
  <si>
    <t xml:space="preserve">Shri Chhatrapati Shivaji Maharaj College of Engineering </t>
  </si>
  <si>
    <t>1lNKvfk_2kue8Aj2f5y32xIN6eebOYEx9</t>
  </si>
  <si>
    <t>https://drive.google.com/file/d/1lNKvfk_2kue8Aj2f5y32xIN6eebOYEx9/view?usp=drivesdk</t>
  </si>
  <si>
    <t>Document successfully created; Document successfully merged; PDF created; !!Error Sending Emails: Service invoked too many times for one day: email.; Run via form trigger as codectechnologies0@gmail.com; Timestamp: Aug 29, 2026 9:04 AM</t>
  </si>
  <si>
    <t>Aman verma</t>
  </si>
  <si>
    <t>amanverma73920@gmail.com</t>
  </si>
  <si>
    <t>IILM UNIVERSITY GR. NOIDA</t>
  </si>
  <si>
    <t>1mffgwzX51GDUgY-YIDNpq2Q_JKZesXQZ</t>
  </si>
  <si>
    <t>https://drive.google.com/file/d/1mffgwzX51GDUgY-YIDNpq2Q_JKZesXQZ/view?usp=drivesdk</t>
  </si>
  <si>
    <t>Document successfully created; Document successfully merged; PDF created; Emails Sent: [To: amanverma73920@gmail.com]; Run via form trigger as codectechnologies0@gmail.com; Timestamp: Aug 29, 2026 9:09 AM</t>
  </si>
  <si>
    <t>SHIVANK MITTAL</t>
  </si>
  <si>
    <t>shivankmittal6397@gmail.com</t>
  </si>
  <si>
    <t>11Hmvli9KQR3_vg6ibPohMjO2zGfnfh34</t>
  </si>
  <si>
    <t>https://drive.google.com/file/d/11Hmvli9KQR3_vg6ibPohMjO2zGfnfh34/view?usp=drivesdk</t>
  </si>
  <si>
    <t>Document successfully created; Document successfully merged; PDF created; Emails Sent: [To: shivankmittal6397@gmail.com]; Run via form trigger as codectechnologies0@gmail.com; Timestamp: Aug 29, 2026 9:10 AM</t>
  </si>
  <si>
    <t xml:space="preserve">PEDDURI SRUJAN KUMAR </t>
  </si>
  <si>
    <t>srujanpedduri81@gmail.com</t>
  </si>
  <si>
    <t xml:space="preserve">Sandip university </t>
  </si>
  <si>
    <t>1hYSvQmAliHp_ICQTKsNmPeQJAqUYFjBL</t>
  </si>
  <si>
    <t>https://drive.google.com/file/d/1hYSvQmAliHp_ICQTKsNmPeQJAqUYFjBL/view?usp=drivesdk</t>
  </si>
  <si>
    <t>Document successfully created; Document successfully merged; PDF created; !!Error Sending Emails: Service invoked too many times for one day: email.; Run via form trigger as codectechnologies0@gmail.com; Timestamp: Aug 29, 2026 9:16 AM</t>
  </si>
  <si>
    <t>1d7gK873syallYgKndCEJc5OwbR9FNPBj</t>
  </si>
  <si>
    <t>https://drive.google.com/file/d/1d7gK873syallYgKndCEJc5OwbR9FNPBj/view?usp=drivesdk</t>
  </si>
  <si>
    <t>Document successfully created; Document successfully merged; PDF created; !!Error Sending Emails: Service invoked too many times for one day: email.; Run via form trigger as codectechnologies0@gmail.com; Timestamp: Aug 29, 2026 9:19 AM</t>
  </si>
  <si>
    <t>Anu Mithra M</t>
  </si>
  <si>
    <t>anuanumithra709@gmail.com</t>
  </si>
  <si>
    <t>63698 20502</t>
  </si>
  <si>
    <t>1-e0JjdOJL770i0LUsNVaF_npLbORV2x0</t>
  </si>
  <si>
    <t>https://drive.google.com/file/d/1-e0JjdOJL770i0LUsNVaF_npLbORV2x0/view?usp=drivesdk</t>
  </si>
  <si>
    <t>Document successfully created; Document successfully merged; PDF created; !!Error Sending Emails: Service invoked too many times for one day: email.; Run via form trigger as codectechnologies0@gmail.com; Timestamp: Aug 29, 2026 9:29 AM</t>
  </si>
  <si>
    <t xml:space="preserve">Dipanwita Jana </t>
  </si>
  <si>
    <t>dipanwitajana2003@gmail.com</t>
  </si>
  <si>
    <t>Dr. Sudhir Chandra Sur Institute of Technology &amp; Sports Complex</t>
  </si>
  <si>
    <t>14pg0eu80oQDdna5tsI4mlki8XMO5jpcm</t>
  </si>
  <si>
    <t>https://drive.google.com/file/d/14pg0eu80oQDdna5tsI4mlki8XMO5jpcm/view?usp=drivesdk</t>
  </si>
  <si>
    <t>Document successfully created; Document successfully merged; PDF created; !!Error Sending Emails: Service invoked too many times for one day: email.; Run via form trigger as codectechnologies0@gmail.com; Timestamp: Aug 29, 2026 9:33 AM</t>
  </si>
  <si>
    <t>Nitin Raj</t>
  </si>
  <si>
    <t>itsnitinraj019@gmail.com</t>
  </si>
  <si>
    <t>1GvRASb2_KPeaDgHvuuixwxi1w1-95IbP</t>
  </si>
  <si>
    <t>https://drive.google.com/file/d/1GvRASb2_KPeaDgHvuuixwxi1w1-95IbP/view?usp=drivesdk</t>
  </si>
  <si>
    <t>Document successfully created; Document successfully merged; PDF created; Emails Sent: [To: itsnitinraj019@gmail.com]; Run via form trigger as codectechnologies0@gmail.com; Timestamp: Aug 29, 2026 9:35 AM</t>
  </si>
  <si>
    <t>Ayush Dixit</t>
  </si>
  <si>
    <t>ayushdixit00147@gmail.com</t>
  </si>
  <si>
    <t>1i74a1ptWzmYjvRtl-51iWfNviNwnrxQb</t>
  </si>
  <si>
    <t>https://drive.google.com/file/d/1i74a1ptWzmYjvRtl-51iWfNviNwnrxQb/view?usp=drivesdk</t>
  </si>
  <si>
    <t>Document successfully created; Document successfully merged; PDF created; !!Error Sending Emails: Service invoked too many times for one day: email.; Run via form trigger as codectechnologies0@gmail.com; Timestamp: Aug 29, 2026 9:39 AM</t>
  </si>
  <si>
    <t>ARNAV RAJ PANDEY</t>
  </si>
  <si>
    <t>arnav.25scs1003002322@iilm.edu</t>
  </si>
  <si>
    <t>iilm university,greater noida</t>
  </si>
  <si>
    <t>10dnUbiWcbEPQlJzFl7V-gxViqm9zzO_7</t>
  </si>
  <si>
    <t>https://drive.google.com/file/d/10dnUbiWcbEPQlJzFl7V-gxViqm9zzO_7/view?usp=drivesdk</t>
  </si>
  <si>
    <t>Document successfully created; Document successfully merged; PDF created; !!Error Sending Emails: Service invoked too many times for one day: email.; Run via form trigger as codectechnologies0@gmail.com; Timestamp: Aug 29, 2026 9:46 AM</t>
  </si>
  <si>
    <t>Michael Solomon</t>
  </si>
  <si>
    <t>urfavmikeyx@gmail.com</t>
  </si>
  <si>
    <t xml:space="preserve">SRMIST </t>
  </si>
  <si>
    <t>14diwCwU4YREC-EnNK2cBOSt-4GjTONbV</t>
  </si>
  <si>
    <t>https://drive.google.com/file/d/14diwCwU4YREC-EnNK2cBOSt-4GjTONbV/view?usp=drivesdk</t>
  </si>
  <si>
    <t>Document successfully created; Document successfully merged; PDF created; !!Error Sending Emails: Service invoked too many times for one day: email.; Run via form trigger as codectechnologies0@gmail.com; Timestamp: Aug 29, 2026 9:50 AM</t>
  </si>
  <si>
    <t>Gagan</t>
  </si>
  <si>
    <t>gagan96061@gmail.com</t>
  </si>
  <si>
    <t xml:space="preserve">A.J Institute of Engineering and Technology </t>
  </si>
  <si>
    <t>1hojN07629Q4pa9zyqCVOsNQwZfvuEyLY</t>
  </si>
  <si>
    <t>https://drive.google.com/file/d/1hojN07629Q4pa9zyqCVOsNQwZfvuEyLY/view?usp=drivesdk</t>
  </si>
  <si>
    <t>Document successfully created; Document successfully merged; PDF created; !!Error Sending Emails: Service invoked too many times for one day: email.; Run via form trigger as codectechnologies0@gmail.com; Timestamp: Aug 29, 2026 9:54 AM</t>
  </si>
  <si>
    <t xml:space="preserve">Ankit Nautiyal </t>
  </si>
  <si>
    <t>nautiyalankit363@gmail.com</t>
  </si>
  <si>
    <t>1dNVVEC-6hZxe2Ou8ywl5G4yPEOVWuDOx</t>
  </si>
  <si>
    <t>https://drive.google.com/file/d/1dNVVEC-6hZxe2Ou8ywl5G4yPEOVWuDOx/view?usp=drivesdk</t>
  </si>
  <si>
    <t>Document successfully created; Document successfully merged; PDF created; !!Error Sending Emails: Service invoked too many times for one day: email.; Run via form trigger as codectechnologies0@gmail.com; Timestamp: Aug 29, 2026 9:56 AM</t>
  </si>
  <si>
    <t>Shivam Nauni</t>
  </si>
  <si>
    <t>shivamnauni2628@gmail.com</t>
  </si>
  <si>
    <t>1h6IohC4r0hOh60tnU5XxNhXkfIhSICqt</t>
  </si>
  <si>
    <t>https://drive.google.com/file/d/1h6IohC4r0hOh60tnU5XxNhXkfIhSICqt/view?usp=drivesdk</t>
  </si>
  <si>
    <t>Document successfully created; Document successfully merged; PDF created; !!Error Sending Emails: Service invoked too many times for one day: email.; Run via form trigger as codectechnologies0@gmail.com; Timestamp: Aug 29, 2026 10:00 AM</t>
  </si>
  <si>
    <t>Yasaswini Komaravolu</t>
  </si>
  <si>
    <t>yasaswinikomaravolu050507@gmail.com</t>
  </si>
  <si>
    <t xml:space="preserve">Nri Institute Of Technology </t>
  </si>
  <si>
    <t>1Vmxt9rjR8kdieezs6B5YSV6VGcnBobIi</t>
  </si>
  <si>
    <t>https://drive.google.com/file/d/1Vmxt9rjR8kdieezs6B5YSV6VGcnBobIi/view?usp=drivesdk</t>
  </si>
  <si>
    <t>Document successfully created; Document successfully merged; PDF created; !!Error Sending Emails: Service invoked too many times for one day: email.; Run via form trigger as codectechnologies0@gmail.com; Timestamp: Aug 29, 2026 10:08 AM</t>
  </si>
  <si>
    <t xml:space="preserve">SHAIK TOUFEEQ </t>
  </si>
  <si>
    <t>shaiktoufeeq387@gmail.com</t>
  </si>
  <si>
    <t xml:space="preserve">Paladugu Parvathi devi </t>
  </si>
  <si>
    <t>1qj4fi55tash4ExeNJA8wigbPQ74s6FcJ</t>
  </si>
  <si>
    <t>https://drive.google.com/file/d/1qj4fi55tash4ExeNJA8wigbPQ74s6FcJ/view?usp=drivesdk</t>
  </si>
  <si>
    <t>Document successfully created; Document successfully merged; PDF created; !!Error Sending Emails: Service invoked too many times for one day: email.; Run via form trigger as codectechnologies0@gmail.com; Timestamp: Aug 29, 2026 10:10 AM</t>
  </si>
  <si>
    <t>A P Ruchitha</t>
  </si>
  <si>
    <t>ruchithareddy433@gmail.com</t>
  </si>
  <si>
    <t>1i6EGbUuopfZXMNiYOCgDDOkl2uCPuDCe</t>
  </si>
  <si>
    <t>https://drive.google.com/file/d/1i6EGbUuopfZXMNiYOCgDDOkl2uCPuDCe/view?usp=drivesdk</t>
  </si>
  <si>
    <t>Document successfully created; Document successfully merged; PDF created; !!Error Sending Emails: Service invoked too many times for one day: email.; Run via form trigger as codectechnologies0@gmail.com; Timestamp: Aug 29, 2026 10:12 AM</t>
  </si>
  <si>
    <t>Akash Chaudhary</t>
  </si>
  <si>
    <t>imakashchaudhary18@gmail.com</t>
  </si>
  <si>
    <t>Graphic Era Hill University Dehradun</t>
  </si>
  <si>
    <t>1x7Xufn1w_hgKbI1VJxjh4ZoDUPR5v5JQ</t>
  </si>
  <si>
    <t>https://drive.google.com/file/d/1x7Xufn1w_hgKbI1VJxjh4ZoDUPR5v5JQ/view?usp=drivesdk</t>
  </si>
  <si>
    <t>Document successfully created; Document successfully merged; PDF created; !!Error Sending Emails: Service invoked too many times for one day: email.; Run via form trigger as codectechnologies0@gmail.com; Timestamp: Aug 29, 2026 10:13 AM</t>
  </si>
  <si>
    <t>Rahul tiwari</t>
  </si>
  <si>
    <t>rahultiwaritr18@gmail.com</t>
  </si>
  <si>
    <t>graphic era hill university</t>
  </si>
  <si>
    <t>1a2YshiLl3lMrguzxWvYXiyok7ZF1O1Cq</t>
  </si>
  <si>
    <t>https://drive.google.com/file/d/1a2YshiLl3lMrguzxWvYXiyok7ZF1O1Cq/view?usp=drivesdk</t>
  </si>
  <si>
    <t>Document successfully created; Document successfully merged; PDF created; !!Error Sending Emails: Service invoked too many times for one day: email.; Run via form trigger as codectechnologies0@gmail.com; Timestamp: Aug 29, 2026 10:15 AM</t>
  </si>
  <si>
    <t>Yashaswi T Salian</t>
  </si>
  <si>
    <t>yashaswitsalian@gmail.com</t>
  </si>
  <si>
    <t>Canara Engineering College</t>
  </si>
  <si>
    <t>1jAepuB6YKqXxiZawKEPZQSYY6ab6md7e</t>
  </si>
  <si>
    <t>https://drive.google.com/file/d/1jAepuB6YKqXxiZawKEPZQSYY6ab6md7e/view?usp=drivesdk</t>
  </si>
  <si>
    <t>Document successfully created; Document successfully merged; PDF created; !!Error Sending Emails: Service invoked too many times for one day: email.; Run via form trigger as codectechnologies0@gmail.com; Timestamp: Aug 29, 2026 10:24 AM</t>
  </si>
  <si>
    <t>deangdhan20@gmail.com</t>
  </si>
  <si>
    <t>1bRHNKg0sBkVpwCHxF45KX8z5DuuVrQb2</t>
  </si>
  <si>
    <t>https://drive.google.com/file/d/1bRHNKg0sBkVpwCHxF45KX8z5DuuVrQb2/view?usp=drivesdk</t>
  </si>
  <si>
    <t>Document successfully created; Document successfully merged; PDF created; !!Error Sending Emails: Service invoked too many times for one day: email.; Run via form trigger as codectechnologies0@gmail.com; Timestamp: Aug 29, 2026 10:25 AM</t>
  </si>
  <si>
    <t>Rehan Iqbal Shaikh</t>
  </si>
  <si>
    <t>rs9212370@gmail.com</t>
  </si>
  <si>
    <t xml:space="preserve">balasaheb desai college patan </t>
  </si>
  <si>
    <t>1anq9cKHvCV1nC1LV8-CnZ7Df9gh3z-qN</t>
  </si>
  <si>
    <t>https://drive.google.com/file/d/1anq9cKHvCV1nC1LV8-CnZ7Df9gh3z-qN/view?usp=drivesdk</t>
  </si>
  <si>
    <t>Document successfully created; Document successfully merged; PDF created; !!Error Sending Emails: Service invoked too many times for one day: email.; Run via form trigger as codectechnologies0@gmail.com; Timestamp: Aug 29, 2026 10:26 AM</t>
  </si>
  <si>
    <t>Shashank Bisht</t>
  </si>
  <si>
    <t>shashankbisht135@gmail.com</t>
  </si>
  <si>
    <t>1b0N1_ZuCfnh3HDBgpRaOSt42-BTRcti5</t>
  </si>
  <si>
    <t>https://drive.google.com/file/d/1b0N1_ZuCfnh3HDBgpRaOSt42-BTRcti5/view?usp=drivesdk</t>
  </si>
  <si>
    <t>Document successfully created; Document successfully merged; PDF created; !!Error Sending Emails: Service invoked too many times for one day: email.; Run via form trigger as codectechnologies0@gmail.com; Timestamp: Aug 29, 2026 10:29 AM</t>
  </si>
  <si>
    <t>Akshat Srivastava</t>
  </si>
  <si>
    <t>crazyakki2468@gmail.com</t>
  </si>
  <si>
    <t>09695582006</t>
  </si>
  <si>
    <t>1zuhYbqUb3TIVm6eJfrO99oIVOAaO-QKO</t>
  </si>
  <si>
    <t>https://drive.google.com/file/d/1zuhYbqUb3TIVm6eJfrO99oIVOAaO-QKO/view?usp=drivesdk</t>
  </si>
  <si>
    <t>Document successfully created; Document successfully merged; PDF created; !!Error Sending Emails: Service invoked too many times for one day: email.; Run via form trigger as codectechnologies0@gmail.com; Timestamp: Aug 29, 2026 10:31 AM</t>
  </si>
  <si>
    <t>1yildTrEOmrULZm5sfbgu-VAHGz4N-kS_</t>
  </si>
  <si>
    <t>https://drive.google.com/file/d/1yildTrEOmrULZm5sfbgu-VAHGz4N-kS_/view?usp=drivesdk</t>
  </si>
  <si>
    <t>Document successfully created; Document successfully merged; PDF created; !!Error Sending Emails: Service invoked too many times for one day: email.; Run via form trigger as codectechnologies0@gmail.com; Timestamp: Aug 29, 2026 10:33 AM</t>
  </si>
  <si>
    <t>1qtz70liA6Pmcm5a2-KLTyS2rkUXDIa66</t>
  </si>
  <si>
    <t>https://drive.google.com/file/d/1qtz70liA6Pmcm5a2-KLTyS2rkUXDIa66/view?usp=drivesdk</t>
  </si>
  <si>
    <t>Document successfully created; Document successfully merged; PDF created; !!Error Sending Emails: Service invoked too many times for one day: email.; Run via form trigger as codectechnologies0@gmail.com; Timestamp: Aug 29, 2026 10:35 AM</t>
  </si>
  <si>
    <t xml:space="preserve">Riya </t>
  </si>
  <si>
    <t>mehrariya575@gmail.com</t>
  </si>
  <si>
    <t>1cuBzu1IoFPQ8mZk5Vy0hu9DeAGiIXcmS</t>
  </si>
  <si>
    <t>https://drive.google.com/file/d/1cuBzu1IoFPQ8mZk5Vy0hu9DeAGiIXcmS/view?usp=drivesdk</t>
  </si>
  <si>
    <t>Document successfully created; Document successfully merged; PDF created; Emails Sent: [To: mehrariya575@gmail.com]; Run via form trigger as codectechnologies0@gmail.com; Timestamp: Aug 29, 2026 10:44 AM</t>
  </si>
  <si>
    <t>1gdJhwkyeezj8RhJeM6LyWP9LZ9EKCzKh</t>
  </si>
  <si>
    <t>https://drive.google.com/file/d/1gdJhwkyeezj8RhJeM6LyWP9LZ9EKCzKh/view?usp=drivesdk</t>
  </si>
  <si>
    <t>Document successfully created; Document successfully merged; PDF created; Emails Sent: [To: rahultiwaritr18@gmail.com]; Run via form trigger as codectechnologies0@gmail.com; Timestamp: Aug 29, 2026 10:45 AM</t>
  </si>
  <si>
    <t>1dr55ybA67K5eG4bK2rmJH9tCsc7FTCD7</t>
  </si>
  <si>
    <t>https://drive.google.com/file/d/1dr55ybA67K5eG4bK2rmJH9tCsc7FTCD7/view?usp=drivesdk</t>
  </si>
  <si>
    <t>Document successfully created; Document successfully merged; PDF created; Emails Sent: [To: kamasanivishnuvardhanreddy@gmail.com]; Run via form trigger as codectechnologies0@gmail.com; Timestamp: Aug 29, 2026 10:49 AM</t>
  </si>
  <si>
    <t xml:space="preserve">Pooja Jogdand </t>
  </si>
  <si>
    <t>poojajogdand1811@gmail.com</t>
  </si>
  <si>
    <t xml:space="preserve">New arts commerce and science college shevgaon </t>
  </si>
  <si>
    <t>1pyuAuAXmTNDPLwEv-Fgs5HHl_n0ZFxOu</t>
  </si>
  <si>
    <t>https://drive.google.com/file/d/1pyuAuAXmTNDPLwEv-Fgs5HHl_n0ZFxOu/view?usp=drivesdk</t>
  </si>
  <si>
    <t>Document successfully created; Document successfully merged; PDF created; Emails Sent: [To: poojajogdand1811@gmail.com]; Run via form trigger as codectechnologies0@gmail.com; Timestamp: Aug 29, 2026 10:54 AM</t>
  </si>
  <si>
    <t xml:space="preserve">Devender </t>
  </si>
  <si>
    <t>yadavdev9602@gmail.com</t>
  </si>
  <si>
    <t xml:space="preserve">Dpg degree collage </t>
  </si>
  <si>
    <t>11MYRO4gVsZqoY6kaS01U_DyrSvUyzUGg</t>
  </si>
  <si>
    <t>https://drive.google.com/file/d/11MYRO4gVsZqoY6kaS01U_DyrSvUyzUGg/view?usp=drivesdk</t>
  </si>
  <si>
    <t>Document successfully created; Document successfully merged; PDF created; Emails Sent: [To: yadavdev9602@gmail.com]; Run via form trigger as codectechnologies0@gmail.com; Timestamp: Aug 29, 2026 10:55 AM</t>
  </si>
  <si>
    <t>Aryan Kataria</t>
  </si>
  <si>
    <t>aryankataria374@gmail.com</t>
  </si>
  <si>
    <t xml:space="preserve">Om sterling global University </t>
  </si>
  <si>
    <t>1-4U92B45RTzQBK4x-W5ZtEGNlpNkaICN</t>
  </si>
  <si>
    <t>https://drive.google.com/file/d/1-4U92B45RTzQBK4x-W5ZtEGNlpNkaICN/view?usp=drivesdk</t>
  </si>
  <si>
    <t>Document successfully created; Document successfully merged; PDF created; Emails Sent: [To: aryankataria374@gmail.com]; Run via form trigger as codectechnologies0@gmail.com; Timestamp: Aug 29, 2026 10:56 AM</t>
  </si>
  <si>
    <t>Thadakapally saiaravind</t>
  </si>
  <si>
    <t>saiaravindthadakapally@gmail.com</t>
  </si>
  <si>
    <t xml:space="preserve">Global institute of engineering and technology </t>
  </si>
  <si>
    <t>1aQIWa_iElI31Pgeu_1BZ9T1SYah7tql_</t>
  </si>
  <si>
    <t>https://drive.google.com/file/d/1aQIWa_iElI31Pgeu_1BZ9T1SYah7tql_/view?usp=drivesdk</t>
  </si>
  <si>
    <t>Document successfully created; Document successfully merged; PDF created; Emails Sent: [To: saiaravindthadakapally@gmail.com]; Run via form trigger as codectechnologies0@gmail.com; Timestamp: Aug 29, 2026 10:58 AM</t>
  </si>
  <si>
    <t xml:space="preserve"> Sahil Bharamana Patil</t>
  </si>
  <si>
    <t>sahilpatil708398@gmail.com</t>
  </si>
  <si>
    <t xml:space="preserve"> D Y Patil School Of Engineering and Management kolhapur</t>
  </si>
  <si>
    <t>1oFC7FU3dGOB561Qq8i9P6JfyTRH7tWLZ</t>
  </si>
  <si>
    <t>https://drive.google.com/file/d/1oFC7FU3dGOB561Qq8i9P6JfyTRH7tWLZ/view?usp=drivesdk</t>
  </si>
  <si>
    <t>Document successfully created; Document successfully merged; PDF created; Emails Sent: [To: sahilpatil708398@gmail.com]; Run via form trigger as codectechnologies0@gmail.com; Timestamp: Aug 29, 2026 10:59 AM</t>
  </si>
  <si>
    <t xml:space="preserve">Bharat institute of engineering and technology </t>
  </si>
  <si>
    <t>19DHPcar1zdIXf2VqK6FSCtzW80bMIZ2h</t>
  </si>
  <si>
    <t>https://drive.google.com/file/d/19DHPcar1zdIXf2VqK6FSCtzW80bMIZ2h/view?usp=drivesdk</t>
  </si>
  <si>
    <t>Document successfully created; Document successfully merged; PDF created; Emails Sent: [To: mereddysaivarshini@gmail.com]; Run via form trigger as codectechnologies0@gmail.com; Timestamp: Aug 29, 2026 10:59 AM</t>
  </si>
  <si>
    <t>1awv3ZJTRlhS4-mvr-EmnxgfrmSNE34Pe</t>
  </si>
  <si>
    <t>https://drive.google.com/file/d/1awv3ZJTRlhS4-mvr-EmnxgfrmSNE34Pe/view?usp=drivesdk</t>
  </si>
  <si>
    <t>Document successfully created; Document successfully merged; PDF created; Emails Sent: [To: aryankataria374@gmail.com]; Run via form trigger as codectechnologies0@gmail.com; Timestamp: Aug 29, 2026 11:01 AM</t>
  </si>
  <si>
    <t>yogan P</t>
  </si>
  <si>
    <t>yoganp2007@gmail.com</t>
  </si>
  <si>
    <t>J.N.N INSTITUTE OF ENGINEERING</t>
  </si>
  <si>
    <t>14L0-TCpxRtFPG77DRym1oqh8PgHzr1cG</t>
  </si>
  <si>
    <t>https://drive.google.com/file/d/14L0-TCpxRtFPG77DRym1oqh8PgHzr1cG/view?usp=drivesdk</t>
  </si>
  <si>
    <t>Document successfully created; Document successfully merged; PDF created; Emails Sent: [To: yoganp2007@gmail.com]; Run via form trigger as codectechnologies0@gmail.com; Timestamp: Aug 29, 2026 11:02 AM</t>
  </si>
  <si>
    <t>MOHAMMED ABDUL RAHMAN</t>
  </si>
  <si>
    <t xml:space="preserve"> mohammed2020rahman@gmail.com </t>
  </si>
  <si>
    <t>nawab shah alam khan college of engineering and technology</t>
  </si>
  <si>
    <t>1B1eBvSUlaw5SVpV906FsgCF0QAlib6D1</t>
  </si>
  <si>
    <t>https://drive.google.com/file/d/1B1eBvSUlaw5SVpV906FsgCF0QAlib6D1/view?usp=drivesdk</t>
  </si>
  <si>
    <t>Document successfully created; Document successfully merged; PDF created; Emails Sent: [To: mohammed2020rahman@gmail.com]; Run via form trigger as codectechnologies0@gmail.com; Timestamp: Aug 29, 2026 11:02 AM</t>
  </si>
  <si>
    <t>Anshita Chaudhary</t>
  </si>
  <si>
    <t>anshitachaudhary296@gmail.com</t>
  </si>
  <si>
    <t xml:space="preserve">Dr. Shakuntala Misra National Rehabilitation University Lucknow Uttar Pradesh </t>
  </si>
  <si>
    <t>1QqVf8SgGJp7pQVCcSau2gMv8ucM1b-rF</t>
  </si>
  <si>
    <t>https://drive.google.com/file/d/1QqVf8SgGJp7pQVCcSau2gMv8ucM1b-rF/view?usp=drivesdk</t>
  </si>
  <si>
    <t>Document successfully created; Document successfully merged; PDF created; Emails Sent: [To: anshitachaudhary296@gmail.com]; Run via form trigger as codectechnologies0@gmail.com; Timestamp: Aug 29, 2026 11:03 AM</t>
  </si>
  <si>
    <t>ONTEDDU SUDHAKAR REDDY</t>
  </si>
  <si>
    <t>Sudhakar1558796@gmail.com</t>
  </si>
  <si>
    <t>Sri Mittapalli College Of Engineering</t>
  </si>
  <si>
    <t>1Ybp2aQQ2L8rEXFWw5X_rAy4uWbtWDX6n</t>
  </si>
  <si>
    <t>https://drive.google.com/file/d/1Ybp2aQQ2L8rEXFWw5X_rAy4uWbtWDX6n/view?usp=drivesdk</t>
  </si>
  <si>
    <t>Document successfully created; Document successfully merged; PDF created; Emails Sent: [To: Sudhakar1558796@gmail.com]; Run via form trigger as codectechnologies0@gmail.com; Timestamp: Aug 29, 2026 11:04 AM</t>
  </si>
  <si>
    <t xml:space="preserve">Rajnish Kumar </t>
  </si>
  <si>
    <t>rajnishroyofficial@gmail.com</t>
  </si>
  <si>
    <t xml:space="preserve">JIS College Of Engineering </t>
  </si>
  <si>
    <t>1BIIFNUQc1v6F1SQAdszvoSvVQyO7ffNT</t>
  </si>
  <si>
    <t>https://drive.google.com/file/d/1BIIFNUQc1v6F1SQAdszvoSvVQyO7ffNT/view?usp=drivesdk</t>
  </si>
  <si>
    <t>Document successfully created; Document successfully merged; PDF created; Emails Sent: [To: rajnishroyofficial@gmail.com]; Run via form trigger as codectechnologies0@gmail.com; Timestamp: Aug 29, 2026 11:05 AM</t>
  </si>
  <si>
    <t>Atharwa patel</t>
  </si>
  <si>
    <t>atharwa.patel.cs28@iilm.edu</t>
  </si>
  <si>
    <t>1NzX3rddkUv8FShdrf9gwi_TtmV4GKaAT</t>
  </si>
  <si>
    <t>https://drive.google.com/file/d/1NzX3rddkUv8FShdrf9gwi_TtmV4GKaAT/view?usp=drivesdk</t>
  </si>
  <si>
    <t>Document successfully created; Document successfully merged; PDF created; Emails Sent: [To: atharwa.patel.cs28@iilm.edu]; Run via form trigger as codectechnologies0@gmail.com; Timestamp: Aug 29, 2026 11:06 AM</t>
  </si>
  <si>
    <t>goluroy620@gmail.com</t>
  </si>
  <si>
    <t xml:space="preserve">Dr. CV Raman University,Vaishali,Bihar </t>
  </si>
  <si>
    <t>LinkedIn, WhatsApp, Other</t>
  </si>
  <si>
    <t>1gALEQfJz6xn-hXieuGLc3xeJmTKsqRJ8</t>
  </si>
  <si>
    <t>https://drive.google.com/file/d/1gALEQfJz6xn-hXieuGLc3xeJmTKsqRJ8/view?usp=drivesdk</t>
  </si>
  <si>
    <t>Document successfully created; Document successfully merged; PDF created; Emails Sent: [To: goluroy620@gmail.com]; Run via form trigger as codectechnologies0@gmail.com; Timestamp: Aug 29, 2026 11:07 AM</t>
  </si>
  <si>
    <t>SAWAN KUMAR GUPTA</t>
  </si>
  <si>
    <t>sawanra786@gmail.com</t>
  </si>
  <si>
    <t>roorkee institute of technology</t>
  </si>
  <si>
    <t>1N-vIBElusorVne8MkQ7jxH0O5IdNrAgu</t>
  </si>
  <si>
    <t>https://drive.google.com/file/d/1N-vIBElusorVne8MkQ7jxH0O5IdNrAgu/view?usp=drivesdk</t>
  </si>
  <si>
    <t>Document successfully created; Document successfully merged; PDF created; Emails Sent: [To: sawanra786@gmail.com]; Run via form trigger as codectechnologies0@gmail.com; Timestamp: Aug 29, 2026 11:07 AM</t>
  </si>
  <si>
    <t>Prasanth D</t>
  </si>
  <si>
    <t>Prasanth7430@gmail.com</t>
  </si>
  <si>
    <t xml:space="preserve">Rajiv gandhi college of engineering technology,kirumampakkam,Puducherry </t>
  </si>
  <si>
    <t>1U8f_rzAjT2jAM1Ec6E8Aag-5icjr-Nxs</t>
  </si>
  <si>
    <t>https://drive.google.com/file/d/1U8f_rzAjT2jAM1Ec6E8Aag-5icjr-Nxs/view?usp=drivesdk</t>
  </si>
  <si>
    <t>Document successfully created; Document successfully merged; PDF created; Emails Sent: [To: Prasanth7430@gmail.com]; Run via form trigger as codectechnologies0@gmail.com; Timestamp: Aug 29, 2026 11:09 AM</t>
  </si>
  <si>
    <t>M .Sohana Sree Vaishnavi</t>
  </si>
  <si>
    <t>sohanasree@gmail.com</t>
  </si>
  <si>
    <t>G Pullaiah College of Engineering and Technology</t>
  </si>
  <si>
    <t>1dd6x0g3FURGINo8IE1qbtE4fT5pOvy5j</t>
  </si>
  <si>
    <t>https://drive.google.com/file/d/1dd6x0g3FURGINo8IE1qbtE4fT5pOvy5j/view?usp=drivesdk</t>
  </si>
  <si>
    <t>Document successfully created; Document successfully merged; PDF created; Emails Sent: [To: sohanasree@gmail.com]; Run via form trigger as codectechnologies0@gmail.com; Timestamp: Aug 29, 2026 11:15 AM</t>
  </si>
  <si>
    <t>A M Shabarikarthika</t>
  </si>
  <si>
    <t>m.shabarikarthika@gmail.com</t>
  </si>
  <si>
    <t>Bishop Heber College</t>
  </si>
  <si>
    <t>1HiafGUW9q3E4CJDpb6GOPu61enIYT2BD</t>
  </si>
  <si>
    <t>https://drive.google.com/file/d/1HiafGUW9q3E4CJDpb6GOPu61enIYT2BD/view?usp=drivesdk</t>
  </si>
  <si>
    <t>Document successfully created; Document successfully merged; PDF created; Emails Sent: [To: m.shabarikarthika@gmail.com]; Run via form trigger as codectechnologies0@gmail.com; Timestamp: Aug 29, 2026 11:17 AM</t>
  </si>
  <si>
    <t xml:space="preserve">GATTIM VEERA VENKATA RAMANA CHARAN </t>
  </si>
  <si>
    <t>charangattim999@gmail.com</t>
  </si>
  <si>
    <t>1yH9Z2c1E2o42nULkoiJWhtAyMjE5dCjw</t>
  </si>
  <si>
    <t>https://drive.google.com/file/d/1yH9Z2c1E2o42nULkoiJWhtAyMjE5dCjw/view?usp=drivesdk</t>
  </si>
  <si>
    <t>Document successfully created; Document successfully merged; PDF created; Emails Sent: [To: charangattim999@gmail.com]; Run via form trigger as codectechnologies0@gmail.com; Timestamp: Aug 29, 2026 11:22 AM</t>
  </si>
  <si>
    <t>M. Sohana Sree Vaishnavi</t>
  </si>
  <si>
    <t>1jg8NLKHIxCh-3g6KrrZVjs7zvcnAYT9F</t>
  </si>
  <si>
    <t>https://drive.google.com/file/d/1jg8NLKHIxCh-3g6KrrZVjs7zvcnAYT9F/view?usp=drivesdk</t>
  </si>
  <si>
    <t>Document successfully created; Document successfully merged; PDF created; Emails Sent: [To: sohanasree@gmail.com]; Run via form trigger as codectechnologies0@gmail.com; Timestamp: Aug 29, 2026 11:22 AM</t>
  </si>
  <si>
    <t xml:space="preserve">Kaleeswar P </t>
  </si>
  <si>
    <t>kaleeswarp79@gmail.com</t>
  </si>
  <si>
    <t xml:space="preserve">M.A.M College of Engineering and Technology </t>
  </si>
  <si>
    <t>1gGUKr7EuPQtUKoyBYsbpxAvwpGT3I0CK</t>
  </si>
  <si>
    <t>https://drive.google.com/file/d/1gGUKr7EuPQtUKoyBYsbpxAvwpGT3I0CK/view?usp=drivesdk</t>
  </si>
  <si>
    <t>Document successfully created; Document successfully merged; PDF created; Emails Sent: [To: kaleeswarp79@gmail.com]; Run via form trigger as codectechnologies0@gmail.com; Timestamp: Aug 29, 2026 11:25 AM</t>
  </si>
  <si>
    <t>Sachin Badoni</t>
  </si>
  <si>
    <t>hpng.00015@gmail.com</t>
  </si>
  <si>
    <t>college of technology</t>
  </si>
  <si>
    <t>1buBSNzVMgLpIQoZwmqjssRL7O-vU77Fx</t>
  </si>
  <si>
    <t>https://drive.google.com/file/d/1buBSNzVMgLpIQoZwmqjssRL7O-vU77Fx/view?usp=drivesdk</t>
  </si>
  <si>
    <t>Document successfully created; Document successfully merged; PDF created; Emails Sent: [To: hpng.00015@gmail.com]; Run via form trigger as codectechnologies0@gmail.com; Timestamp: Aug 29, 2026 11:26 AM</t>
  </si>
  <si>
    <t>Sarthak Kumar Singh</t>
  </si>
  <si>
    <t>sarthak.25scs1003004387@iilm.edu</t>
  </si>
  <si>
    <t>1xWEJ96JxKjtvqbTHwRXhPGHye3fAsEbg</t>
  </si>
  <si>
    <t>https://drive.google.com/file/d/1xWEJ96JxKjtvqbTHwRXhPGHye3fAsEbg/view?usp=drivesdk</t>
  </si>
  <si>
    <t>Document successfully created; Document successfully merged; PDF created; Emails Sent: [To: sarthak.25scs1003004387@iilm.edu]; Run via form trigger as codectechnologies0@gmail.com; Timestamp: Aug 29, 2026 11:27 AM</t>
  </si>
  <si>
    <t>AVIRAL TRIPATHI</t>
  </si>
  <si>
    <t>aviral.25scs1003004212@iilm.edu</t>
  </si>
  <si>
    <t>IILM UNIVERSITY ,GREATER NOIDA</t>
  </si>
  <si>
    <t>1df9dcXS6GrAEsieUx0ASSuX8u4SrKjQ9</t>
  </si>
  <si>
    <t>https://drive.google.com/file/d/1df9dcXS6GrAEsieUx0ASSuX8u4SrKjQ9/view?usp=drivesdk</t>
  </si>
  <si>
    <t>Document successfully created; Document successfully merged; PDF created; Emails Sent: [To: aviral.25scs1003004212@iilm.edu]; Run via form trigger as codectechnologies0@gmail.com; Timestamp: Aug 29, 2026 11:29 AM</t>
  </si>
  <si>
    <t xml:space="preserve">Talari Vyshnavi </t>
  </si>
  <si>
    <t>vyshnavitalari28@gmail.com</t>
  </si>
  <si>
    <t xml:space="preserve">Ashoka Womens Engineering College </t>
  </si>
  <si>
    <t>1ktggMjni0Vdlh3G2LWnKhNOh8wwFAZEg</t>
  </si>
  <si>
    <t>https://drive.google.com/file/d/1ktggMjni0Vdlh3G2LWnKhNOh8wwFAZEg/view?usp=drivesdk</t>
  </si>
  <si>
    <t>Document successfully created; Document successfully merged; PDF created; Emails Sent: [To: vyshnavitalari28@gmail.com]; Run via form trigger as codectechnologies0@gmail.com; Timestamp: Aug 29, 2026 11:34 AM</t>
  </si>
  <si>
    <t>1qLeM2H-5Y3YBO-JFpZf0plmgFGuU0oRV</t>
  </si>
  <si>
    <t>https://drive.google.com/file/d/1qLeM2H-5Y3YBO-JFpZf0plmgFGuU0oRV/view?usp=drivesdk</t>
  </si>
  <si>
    <t>Document successfully created; Document successfully merged; PDF created; Emails Sent: [To: kaleeswarp79@gmail.com]; Run via form trigger as codectechnologies0@gmail.com; Timestamp: Aug 29, 2026 11:35 AM</t>
  </si>
  <si>
    <t>Mohul Sarkar</t>
  </si>
  <si>
    <t>mohulkumar67@gmail.com</t>
  </si>
  <si>
    <t>Adamas University</t>
  </si>
  <si>
    <t>1R-UOF_YGjTu1PlH5yFyPzEnmc9x0WQNx</t>
  </si>
  <si>
    <t>https://drive.google.com/file/d/1R-UOF_YGjTu1PlH5yFyPzEnmc9x0WQNx/view?usp=drivesdk</t>
  </si>
  <si>
    <t>Document successfully created; Document successfully merged; PDF created; Emails Sent: [To: mohulkumar67@gmail.com]; Run via form trigger as codectechnologies0@gmail.com; Timestamp: Aug 29, 2026 11:35 AM</t>
  </si>
  <si>
    <t>Barkavi A</t>
  </si>
  <si>
    <t>brkavi2006@gmail.com</t>
  </si>
  <si>
    <t xml:space="preserve">Rajiv Gandhi College Of Engineering And Technology </t>
  </si>
  <si>
    <t>1KeySoy9ZDzRhMmgjcO31bKT5OnioQy6-</t>
  </si>
  <si>
    <t>https://drive.google.com/file/d/1KeySoy9ZDzRhMmgjcO31bKT5OnioQy6-/view?usp=drivesdk</t>
  </si>
  <si>
    <t>Document successfully created; Document successfully merged; PDF created; Emails Sent: [To: brkavi2006@gmail.com]; Run via form trigger as codectechnologies0@gmail.com; Timestamp: Aug 29, 2026 11:38 AM</t>
  </si>
  <si>
    <t>Akanksha Manoj Likhar</t>
  </si>
  <si>
    <t>likharakanksha09@gmail.com</t>
  </si>
  <si>
    <t>+918208381255</t>
  </si>
  <si>
    <t xml:space="preserve">Prof Ram meghe institute of technology and research Badnera Amravati </t>
  </si>
  <si>
    <t>1hbQkWNh4cwrItt8BVysSLiTlJi5t7j7z</t>
  </si>
  <si>
    <t>https://drive.google.com/file/d/1hbQkWNh4cwrItt8BVysSLiTlJi5t7j7z/view?usp=drivesdk</t>
  </si>
  <si>
    <t>Document successfully created; Document successfully merged; PDF created; Emails Sent: [To: likharakanksha09@gmail.com]; Run via form trigger as codectechnologies0@gmail.com; Timestamp: Aug 29, 2026 11:42 AM</t>
  </si>
  <si>
    <t>1NrnfNhid6Fz9b_NK0-xUw97aNNyIxr4i</t>
  </si>
  <si>
    <t>https://drive.google.com/file/d/1NrnfNhid6Fz9b_NK0-xUw97aNNyIxr4i/view?usp=drivesdk</t>
  </si>
  <si>
    <t>Document successfully created; Document successfully merged; PDF created; Emails Sent: [To: likharakanksha09@gmail.com]; Run via form trigger as codectechnologies0@gmail.com; Timestamp: Aug 29, 2026 11:47 AM</t>
  </si>
  <si>
    <t xml:space="preserve">Aryan singh </t>
  </si>
  <si>
    <t>singharyan21446@gmail.com</t>
  </si>
  <si>
    <t xml:space="preserve">Iilm university Greater Noida </t>
  </si>
  <si>
    <t>154Wg7Xb4BddhO9QnNGemRP0EgFGmgdGv</t>
  </si>
  <si>
    <t>https://drive.google.com/file/d/154Wg7Xb4BddhO9QnNGemRP0EgFGmgdGv/view?usp=drivesdk</t>
  </si>
  <si>
    <t>Document successfully created; Document successfully merged; PDF created; Emails Sent: [To: singharyan21446@gmail.com]; Run via form trigger as codectechnologies0@gmail.com; Timestamp: Aug 29, 2026 11:55 AM</t>
  </si>
  <si>
    <t>Keerthana K</t>
  </si>
  <si>
    <t>keerthanakkeeru14@gmail.com</t>
  </si>
  <si>
    <t xml:space="preserve">Vidyavardhaka college of engineering </t>
  </si>
  <si>
    <t>1NP2KTk3Cp5hkrgSZpBZti6eQj6eOQw7i</t>
  </si>
  <si>
    <t>https://drive.google.com/file/d/1NP2KTk3Cp5hkrgSZpBZti6eQj6eOQw7i/view?usp=drivesdk</t>
  </si>
  <si>
    <t>Document successfully created; Document successfully merged; PDF created; Emails Sent: [To: keerthanakkeeru14@gmail.com]; Run via form trigger as codectechnologies0@gmail.com; Timestamp: Aug 29, 2026 11:56 AM</t>
  </si>
  <si>
    <t xml:space="preserve">MD NASIRUL HOQUE </t>
  </si>
  <si>
    <t>nasirulhoque06@gmail.com</t>
  </si>
  <si>
    <t xml:space="preserve">BRAINWARE UNIVERSITY </t>
  </si>
  <si>
    <t>1fKlR_OaMCdaEoncpk0qUz7PBBaK6UL48</t>
  </si>
  <si>
    <t>https://drive.google.com/file/d/1fKlR_OaMCdaEoncpk0qUz7PBBaK6UL48/view?usp=drivesdk</t>
  </si>
  <si>
    <t>Document successfully created; Document successfully merged; PDF created; Emails Sent: [To: nasirulhoque06@gmail.com]; Run via form trigger as codectechnologies0@gmail.com; Timestamp: Aug 29, 2026 11:56 AM</t>
  </si>
  <si>
    <t>Shagun Rajvaidya</t>
  </si>
  <si>
    <t>shagunrajvaidya@gmail.com</t>
  </si>
  <si>
    <t xml:space="preserve">IPS Academy Indore </t>
  </si>
  <si>
    <t>1ek8fhgPzYtRhznH3lSsS99vWKDNQwuJE</t>
  </si>
  <si>
    <t>https://drive.google.com/file/d/1ek8fhgPzYtRhznH3lSsS99vWKDNQwuJE/view?usp=drivesdk</t>
  </si>
  <si>
    <t>Document successfully created; Document successfully merged; PDF created; Emails Sent: [To: shagunrajvaidya@gmail.com]; Run via form trigger as codectechnologies0@gmail.com; Timestamp: Aug 29, 2026 12:07 PM</t>
  </si>
  <si>
    <t>Kanimozhi Ramasamy</t>
  </si>
  <si>
    <t>kanimozhiramasamy94@gmail.com</t>
  </si>
  <si>
    <t>07871245791</t>
  </si>
  <si>
    <t xml:space="preserve">Jai Shri Ram Engineering College Tirupur </t>
  </si>
  <si>
    <t>1zGLUTGQvUvGlOtNaa0WC9_q4JXAi9o4i</t>
  </si>
  <si>
    <t>https://drive.google.com/file/d/1zGLUTGQvUvGlOtNaa0WC9_q4JXAi9o4i/view?usp=drivesdk</t>
  </si>
  <si>
    <t>Document successfully created; Document successfully merged; PDF created; Emails Sent: [To: kanimozhiramasamy94@gmail.com]; Run via form trigger as codectechnologies0@gmail.com; Timestamp: Aug 29, 2026 12:13 PM</t>
  </si>
  <si>
    <t>17mdCL5IU9BewB5lHxLkj6sy38WIva9kI</t>
  </si>
  <si>
    <t>https://drive.google.com/file/d/17mdCL5IU9BewB5lHxLkj6sy38WIva9kI/view?usp=drivesdk</t>
  </si>
  <si>
    <t>Document successfully created; Document successfully merged; PDF created; Emails Sent: [To: kanimozhiramasamy94@gmail.com]; Run via form trigger as codectechnologies0@gmail.com; Timestamp: Aug 29, 2026 12:16 PM</t>
  </si>
  <si>
    <t>Arya Vinayak Shinde</t>
  </si>
  <si>
    <t>aryashinde1073@gmail.com</t>
  </si>
  <si>
    <t xml:space="preserve">Mahavir Polytechnic </t>
  </si>
  <si>
    <t>1PzcTVgCAQCkyxUsvc2W-Hob0qkheTQ6r</t>
  </si>
  <si>
    <t>https://drive.google.com/file/d/1PzcTVgCAQCkyxUsvc2W-Hob0qkheTQ6r/view?usp=drivesdk</t>
  </si>
  <si>
    <t>Document successfully created; Document successfully merged; PDF created; Emails Sent: [To: aryashinde1073@gmail.com]; Run via form trigger as codectechnologies0@gmail.com; Timestamp: Aug 29, 2026 12:17 PM</t>
  </si>
  <si>
    <t xml:space="preserve">Varshini Malatesh Kulkarni </t>
  </si>
  <si>
    <t>varshini21mk@gmail.com</t>
  </si>
  <si>
    <t xml:space="preserve">Canara Engineering College </t>
  </si>
  <si>
    <t>1kjiCe91Vdx2cDcmjGLMuSziKfUQ2uwzc</t>
  </si>
  <si>
    <t>https://drive.google.com/file/d/1kjiCe91Vdx2cDcmjGLMuSziKfUQ2uwzc/view?usp=drivesdk</t>
  </si>
  <si>
    <t>Document successfully created; Document successfully merged; PDF created; Emails Sent: [To: varshini21mk@gmail.com]; Run via form trigger as codectechnologies0@gmail.com; Timestamp: Aug 29, 2026 12:21 PM</t>
  </si>
  <si>
    <t>Bhanu Pratap</t>
  </si>
  <si>
    <t>bhanu.25scs1003005054@iilm.edu</t>
  </si>
  <si>
    <t>IILM UNVERSITY</t>
  </si>
  <si>
    <t>15QMa5ErKsDG4osKvu2P0sNJ3zgW2SWyQ</t>
  </si>
  <si>
    <t>https://drive.google.com/file/d/15QMa5ErKsDG4osKvu2P0sNJ3zgW2SWyQ/view?usp=drivesdk</t>
  </si>
  <si>
    <t>Document successfully created; Document successfully merged; PDF created; Emails Sent: [To: bhanu.25scs1003005054@iilm.edu]; Run via form trigger as codectechnologies0@gmail.com; Timestamp: Aug 29, 2026 12:28 PM</t>
  </si>
  <si>
    <t>aryan.25scs1003003493@iilm.edu</t>
  </si>
  <si>
    <t>Iilm University</t>
  </si>
  <si>
    <t>1WrLPUbv9uhqKJNEIZWSy7_QzBwib4Li-</t>
  </si>
  <si>
    <t>https://drive.google.com/file/d/1WrLPUbv9uhqKJNEIZWSy7_QzBwib4Li-/view?usp=drivesdk</t>
  </si>
  <si>
    <t>Document successfully created; Document successfully merged; PDF created; Emails Sent: [To: aryan.25scs1003003493@iilm.edu]; Run via form trigger as codectechnologies0@gmail.com; Timestamp: Aug 29, 2026 12:30 PM</t>
  </si>
  <si>
    <t>Yogitha N S</t>
  </si>
  <si>
    <t>yogithans41@gmail.com</t>
  </si>
  <si>
    <t xml:space="preserve">Bahubali college of engineering </t>
  </si>
  <si>
    <t>1BAZKmni30NR3-KXeGt2PYApGmN4QS2NU</t>
  </si>
  <si>
    <t>https://drive.google.com/file/d/1BAZKmni30NR3-KXeGt2PYApGmN4QS2NU/view?usp=drivesdk</t>
  </si>
  <si>
    <t>Document successfully created; Document successfully merged; PDF created; Emails Sent: [To: yogithans41@gmail.com]; Run via form trigger as codectechnologies0@gmail.com; Timestamp: Aug 29, 2026 12:33 PM</t>
  </si>
  <si>
    <t>Akash Bisht</t>
  </si>
  <si>
    <t>akash.bisht220805@gmail.com</t>
  </si>
  <si>
    <t>1Ac8ykBULK0PAelchfUFyRQJgvQyPBmWt</t>
  </si>
  <si>
    <t>https://drive.google.com/file/d/1Ac8ykBULK0PAelchfUFyRQJgvQyPBmWt/view?usp=drivesdk</t>
  </si>
  <si>
    <t>Document successfully created; Document successfully merged; PDF created; Emails Sent: [To: akash.bisht220805@gmail.com]; Run via form trigger as codectechnologies0@gmail.com; Timestamp: Aug 29, 2026 12:35 PM</t>
  </si>
  <si>
    <t>ARYAN RAJ</t>
  </si>
  <si>
    <t>1gTp1x6ZoNko-z88lk-7pkTYklU7GDvr3</t>
  </si>
  <si>
    <t>https://drive.google.com/file/d/1gTp1x6ZoNko-z88lk-7pkTYklU7GDvr3/view?usp=drivesdk</t>
  </si>
  <si>
    <t>Document successfully created; Document successfully merged; PDF created; Emails Sent: [To: aryan.25scs1003003493@iilm.edu]; Run via form trigger as codectechnologies0@gmail.com; Timestamp: Aug 29, 2026 12:36 PM</t>
  </si>
  <si>
    <t>Rahul Raj</t>
  </si>
  <si>
    <t>rm2778643@gmail.com</t>
  </si>
  <si>
    <t xml:space="preserve">G.j college </t>
  </si>
  <si>
    <t>1vyryM2SRuON1mUddNWsTjZD77ZprYkj8</t>
  </si>
  <si>
    <t>https://drive.google.com/file/d/1vyryM2SRuON1mUddNWsTjZD77ZprYkj8/view?usp=drivesdk</t>
  </si>
  <si>
    <t>Document successfully created; Document successfully merged; PDF created; Emails Sent: [To: rm2778643@gmail.com]; Run via form trigger as codectechnologies0@gmail.com; Timestamp: Aug 29, 2026 12:42 PM</t>
  </si>
  <si>
    <t xml:space="preserve">G j college </t>
  </si>
  <si>
    <t>1fD9PXSS56fhHbTvvc4KfqprBSS6UmFje</t>
  </si>
  <si>
    <t>https://drive.google.com/file/d/1fD9PXSS56fhHbTvvc4KfqprBSS6UmFje/view?usp=drivesdk</t>
  </si>
  <si>
    <t>Document successfully created; Document successfully merged; PDF created; Emails Sent: [To: rm2778643@gmail.com]; Run via form trigger as codectechnologies0@gmail.com; Timestamp: Aug 29, 2026 12:45 PM</t>
  </si>
  <si>
    <t>Atharv Mangesh Ghodake</t>
  </si>
  <si>
    <t>atharvghodake248@gmail.com</t>
  </si>
  <si>
    <t xml:space="preserve">Vishwakarma Institute of technology pune </t>
  </si>
  <si>
    <t>1mB_8s8e-VBLDT5n3deoMI2DJDPuAYSM6</t>
  </si>
  <si>
    <t>https://drive.google.com/file/d/1mB_8s8e-VBLDT5n3deoMI2DJDPuAYSM6/view?usp=drivesdk</t>
  </si>
  <si>
    <t>Document successfully created; Document successfully merged; PDF created; Emails Sent: [To: atharvghodake248@gmail.com]; Run via form trigger as codectechnologies0@gmail.com; Timestamp: Aug 29, 2026 12:47 PM</t>
  </si>
  <si>
    <t>Sumit Raj</t>
  </si>
  <si>
    <t>rajsumi1708@gmail.com</t>
  </si>
  <si>
    <t>1acwoaPk4S8TTuZpsNrQGKhgbOoer54cE</t>
  </si>
  <si>
    <t>https://drive.google.com/file/d/1acwoaPk4S8TTuZpsNrQGKhgbOoer54cE/view?usp=drivesdk</t>
  </si>
  <si>
    <t>Document successfully created; Document successfully merged; PDF created; Emails Sent: [To: rajsumi1708@gmail.com]; Run via form trigger as codectechnologies0@gmail.com; Timestamp: Aug 29, 2026 12:48 PM</t>
  </si>
  <si>
    <t>Inam Ul Haq Baba</t>
  </si>
  <si>
    <t>peerzadainamwork@gmail.com</t>
  </si>
  <si>
    <t>University of Kashmir</t>
  </si>
  <si>
    <t>1DJPKVFL8OS61VPAufYIlhtGUrnWnoUiu</t>
  </si>
  <si>
    <t>https://drive.google.com/file/d/1DJPKVFL8OS61VPAufYIlhtGUrnWnoUiu/view?usp=drivesdk</t>
  </si>
  <si>
    <t>Document successfully created; Document successfully merged; PDF created; Emails Sent: [To: peerzadainamwork@gmail.com]; Run via form trigger as codectechnologies0@gmail.com; Timestamp: Aug 29, 2026 12:48 PM</t>
  </si>
  <si>
    <t>Kaushtuk pratap Singh</t>
  </si>
  <si>
    <t>kaushtukprataps@gmail.com</t>
  </si>
  <si>
    <t>15tVdFqq5b7hVP0_B9Ls9inh6ZPV5Ce5p</t>
  </si>
  <si>
    <t>https://drive.google.com/file/d/15tVdFqq5b7hVP0_B9Ls9inh6ZPV5Ce5p/view?usp=drivesdk</t>
  </si>
  <si>
    <t>Document successfully created; Document successfully merged; PDF created; Emails Sent: [To: kaushtukprataps@gmail.com]; Run via form trigger as codectechnologies0@gmail.com; Timestamp: Aug 29, 2026 12:49 PM</t>
  </si>
  <si>
    <t>Keshav Gupta</t>
  </si>
  <si>
    <t>keshavg.5002@gmail.com</t>
  </si>
  <si>
    <t>1jEfOJK6koSUvBSR58ParrOz4rG6MNjKn</t>
  </si>
  <si>
    <t>https://drive.google.com/file/d/1jEfOJK6koSUvBSR58ParrOz4rG6MNjKn/view?usp=drivesdk</t>
  </si>
  <si>
    <t>Document successfully created; Document successfully merged; PDF created; Emails Sent: [To: keshavg.5002@gmail.com]; Run via form trigger as codectechnologies0@gmail.com; Timestamp: Aug 29, 2026 12:55 PM</t>
  </si>
  <si>
    <t>S. Yaminisree</t>
  </si>
  <si>
    <t>yminioreo@gmail.com</t>
  </si>
  <si>
    <t>Institute of Engineering and Technology, Dr. Harisingh Gour Central University, Sagar (Madhya Pradesh).</t>
  </si>
  <si>
    <t>12yeSghqpQWZfVUNRBv2xzxRqMnv-3ZX6</t>
  </si>
  <si>
    <t>https://drive.google.com/file/d/12yeSghqpQWZfVUNRBv2xzxRqMnv-3ZX6/view?usp=drivesdk</t>
  </si>
  <si>
    <t>Document successfully created; Document successfully merged; PDF created; Emails Sent: [To: yminioreo@gmail.com]; Run via form trigger as codectechnologies0@gmail.com; Timestamp: Aug 29, 2026 12:56 PM</t>
  </si>
  <si>
    <t>Lakshmi N M</t>
  </si>
  <si>
    <t>luckynms710@gmail.com</t>
  </si>
  <si>
    <t xml:space="preserve">Adhichunchanagiri institute of technology, chikkamagaluru </t>
  </si>
  <si>
    <t>1Kasca5Z04-S3-VazAQXMphF0WdjAn-01</t>
  </si>
  <si>
    <t>https://drive.google.com/file/d/1Kasca5Z04-S3-VazAQXMphF0WdjAn-01/view?usp=drivesdk</t>
  </si>
  <si>
    <t>Document successfully created; Document successfully merged; PDF created; Emails Sent: [To: luckynms710@gmail.com]; Run via form trigger as codectechnologies0@gmail.com; Timestamp: Aug 29, 2026 12:59 PM</t>
  </si>
  <si>
    <t>Dr. Harisingh Gour Vishwavidyalaya</t>
  </si>
  <si>
    <t>1XRzcAbrkx11VihVipMqbopSLqXqmI2qp</t>
  </si>
  <si>
    <t>https://drive.google.com/file/d/1XRzcAbrkx11VihVipMqbopSLqXqmI2qp/view?usp=drivesdk</t>
  </si>
  <si>
    <t>Document successfully created; Document successfully merged; PDF created; Emails Sent: [To: yminioreo@gmail.com]; Run via form trigger as codectechnologies0@gmail.com; Timestamp: Aug 29, 2026 1:02 PM</t>
  </si>
  <si>
    <t>1tut3sc_QkQQfGH9LzVMCzafgLp2k50EI</t>
  </si>
  <si>
    <t>https://drive.google.com/file/d/1tut3sc_QkQQfGH9LzVMCzafgLp2k50EI/view?usp=drivesdk</t>
  </si>
  <si>
    <t>Document successfully created; Document successfully merged; PDF created; Emails Sent: [To: yminioreo@gmail.com]; Run via form trigger as codectechnologies0@gmail.com; Timestamp: Aug 29, 2026 1:03 PM</t>
  </si>
  <si>
    <t xml:space="preserve">Mithra.k </t>
  </si>
  <si>
    <t>mithrak182007@gmail.com</t>
  </si>
  <si>
    <t>09952556237</t>
  </si>
  <si>
    <t xml:space="preserve">Dhanalakshmi College Of Engineering </t>
  </si>
  <si>
    <t>1HhuJmp3qiWXWhXsiIW_eE_4FVfZ41Dhl</t>
  </si>
  <si>
    <t>https://drive.google.com/file/d/1HhuJmp3qiWXWhXsiIW_eE_4FVfZ41Dhl/view?usp=drivesdk</t>
  </si>
  <si>
    <t>Document successfully created; Document successfully merged; PDF created; Emails Sent: [To: mithrak182007@gmail.com]; Run via form trigger as codectechnologies0@gmail.com; Timestamp: Aug 29, 2026 1:13 PM</t>
  </si>
  <si>
    <t>Hemraj Singh</t>
  </si>
  <si>
    <t>hemraj.25scs1003004384@iilm.edu</t>
  </si>
  <si>
    <t>1WfXAFkaJYt9qY_UiCl36gsqdIMTnAOij</t>
  </si>
  <si>
    <t>https://drive.google.com/file/d/1WfXAFkaJYt9qY_UiCl36gsqdIMTnAOij/view?usp=drivesdk</t>
  </si>
  <si>
    <t>Document successfully created; Document successfully merged; PDF created; Emails Sent: [To: hemraj.25scs1003004384@iilm.edu]; Run via form trigger as codectechnologies0@gmail.com; Timestamp: Aug 29, 2026 1:18 PM</t>
  </si>
  <si>
    <t>Sangam Tiwarti</t>
  </si>
  <si>
    <t>sangamtiwari8750@gmail.com</t>
  </si>
  <si>
    <t>13AYj23H5tcDjf1kRjJ2-9DIk0tkMG5YA</t>
  </si>
  <si>
    <t>https://drive.google.com/file/d/13AYj23H5tcDjf1kRjJ2-9DIk0tkMG5YA/view?usp=drivesdk</t>
  </si>
  <si>
    <t>Document successfully created; Document successfully merged; PDF created; Emails Sent: [To: sangamtiwari8750@gmail.com]; Run via form trigger as codectechnologies0@gmail.com; Timestamp: Aug 29, 2026 1:23 PM</t>
  </si>
  <si>
    <t>Salim Rashid</t>
  </si>
  <si>
    <t>salim.lone444@gmail.com</t>
  </si>
  <si>
    <t xml:space="preserve">North Campus, University of Kashmir </t>
  </si>
  <si>
    <t>1aR5e2GsWYk-wnTnFUIrBMkkQzbWjZTE5</t>
  </si>
  <si>
    <t>https://drive.google.com/file/d/1aR5e2GsWYk-wnTnFUIrBMkkQzbWjZTE5/view?usp=drivesdk</t>
  </si>
  <si>
    <t>Document successfully created; Document successfully merged; PDF created; Emails Sent: [To: salim.lone444@gmail.com]; Run via form trigger as codectechnologies0@gmail.com; Timestamp: Aug 29, 2026 1:24 PM</t>
  </si>
  <si>
    <t>Rashi Gajbhiye</t>
  </si>
  <si>
    <t>rashishashikantgajbhiye2005@gmail.com</t>
  </si>
  <si>
    <t>Yeshwantrao chavan college of engineering</t>
  </si>
  <si>
    <t>1BHmPw6mjGvgcpO-3RBDI4vGsEpppr302</t>
  </si>
  <si>
    <t>https://drive.google.com/file/d/1BHmPw6mjGvgcpO-3RBDI4vGsEpppr302/view?usp=drivesdk</t>
  </si>
  <si>
    <t>Document successfully created; Document successfully merged; PDF created; Emails Sent: [To: rashishashikantgajbhiye2005@gmail.com]; Run via form trigger as codectechnologies0@gmail.com; Timestamp: Aug 29, 2026 1:29 PM</t>
  </si>
  <si>
    <t>Shlok Jha</t>
  </si>
  <si>
    <t>jhashlok19@gmail.com</t>
  </si>
  <si>
    <t>Iilm university</t>
  </si>
  <si>
    <t>1xLEyzY3V-JpqKLupm2AQnL_eQqhiAZUc</t>
  </si>
  <si>
    <t>https://drive.google.com/file/d/1xLEyzY3V-JpqKLupm2AQnL_eQqhiAZUc/view?usp=drivesdk</t>
  </si>
  <si>
    <t>Document successfully created; Document successfully merged; PDF created; Emails Sent: [To: jhashlok19@gmail.com]; Run via form trigger as codectechnologies0@gmail.com; Timestamp: Aug 29, 2026 1:31 PM</t>
  </si>
  <si>
    <t>Nagavelli Sai teja</t>
  </si>
  <si>
    <t>mail2saitejanagavelli75@gmail.com</t>
  </si>
  <si>
    <t>Kommuri Pratap Reddy Institute of technology</t>
  </si>
  <si>
    <t>1q-wtjnbBBlGSEJrGKOwxGhAXGrl3vp8J</t>
  </si>
  <si>
    <t>https://drive.google.com/file/d/1q-wtjnbBBlGSEJrGKOwxGhAXGrl3vp8J/view?usp=drivesdk</t>
  </si>
  <si>
    <t>Document successfully created; Document successfully merged; PDF created; Emails Sent: [To: mail2saitejanagavelli75@gmail.com]; Run via form trigger as codectechnologies0@gmail.com; Timestamp: Aug 29, 2026 1:31 PM</t>
  </si>
  <si>
    <t xml:space="preserve">N Keerthana </t>
  </si>
  <si>
    <t>nagalarapukeerthana@gmail.com</t>
  </si>
  <si>
    <t xml:space="preserve">Gouthami Institute of technology and Management for Women </t>
  </si>
  <si>
    <t>1iGv1A9-ntgkv6JYKSsUjzOq_aI_iXGus</t>
  </si>
  <si>
    <t>https://drive.google.com/file/d/1iGv1A9-ntgkv6JYKSsUjzOq_aI_iXGus/view?usp=drivesdk</t>
  </si>
  <si>
    <t>Document successfully created; Document successfully merged; PDF created; Emails Sent: [To: nagalarapukeerthana@gmail.com]; Run via form trigger as codectechnologies0@gmail.com; Timestamp: Aug 29, 2026 1:35 PM</t>
  </si>
  <si>
    <t>1mXYYBF8ErpYRJY4zgtuEkMF3vvbV6Lwv</t>
  </si>
  <si>
    <t>https://drive.google.com/file/d/1mXYYBF8ErpYRJY4zgtuEkMF3vvbV6Lwv/view?usp=drivesdk</t>
  </si>
  <si>
    <t>Document successfully created; Document successfully merged; PDF created; Emails Sent: [To: shivamnauni2628@gmail.com]; Run via form trigger as codectechnologies0@gmail.com; Timestamp: Aug 29, 2026 1:38 PM</t>
  </si>
  <si>
    <t>Gourav Awasthi</t>
  </si>
  <si>
    <t>Gourav.Awasthi.irm25@gmail.com@gmail.com</t>
  </si>
  <si>
    <t xml:space="preserve">Faculty of management studies Institute of Rural Management </t>
  </si>
  <si>
    <t>1LbDEeFnmZA8I4t_7YBiNIbHJR7GKi7j8</t>
  </si>
  <si>
    <t>https://drive.google.com/file/d/1LbDEeFnmZA8I4t_7YBiNIbHJR7GKi7j8/view?usp=drivesdk</t>
  </si>
  <si>
    <t>Document successfully created; Document successfully merged; PDF created; !!Error Sending Emails: Invalid email: Gourav.Awasthi.irm25@gmail.com@gmail.com; Run via form trigger as codectechnologies0@gmail.com; Timestamp: Aug 29, 2026 1:49 PM</t>
  </si>
  <si>
    <t>Kushagra Gupta</t>
  </si>
  <si>
    <t>monetizeme777@gmail.com</t>
  </si>
  <si>
    <t>1WG91BCVw7tMeMDlf0-fjFFLVJMDJLZ2I</t>
  </si>
  <si>
    <t>https://drive.google.com/file/d/1WG91BCVw7tMeMDlf0-fjFFLVJMDJLZ2I/view?usp=drivesdk</t>
  </si>
  <si>
    <t>Document successfully created; Document successfully merged; PDF created; Emails Sent: [To: monetizeme777@gmail.com]; Run via form trigger as codectechnologies0@gmail.com; Timestamp: Aug 29, 2026 1:53 PM</t>
  </si>
  <si>
    <t>Devender</t>
  </si>
  <si>
    <t>1BmEm74QDR3_QZkLbzQtFipGN-6fEi0GF</t>
  </si>
  <si>
    <t>https://drive.google.com/file/d/1BmEm74QDR3_QZkLbzQtFipGN-6fEi0GF/view?usp=drivesdk</t>
  </si>
  <si>
    <t>Document successfully created; Document successfully merged; PDF created; Emails Sent: [To: yadavdev9602@gmail.com]; Run via form trigger as codectechnologies0@gmail.com; Timestamp: Aug 29, 2026 1:54 PM</t>
  </si>
  <si>
    <t>Rohith Kevin Nemala</t>
  </si>
  <si>
    <t>rohithkevin006@gmail.com</t>
  </si>
  <si>
    <t>117a0uRTWURv4ul3WQp7WUMjweNDwCuaB</t>
  </si>
  <si>
    <t>https://drive.google.com/file/d/117a0uRTWURv4ul3WQp7WUMjweNDwCuaB/view?usp=drivesdk</t>
  </si>
  <si>
    <t>Document successfully created; Document successfully merged; PDF created; Emails Sent: [To: rohithkevin006@gmail.com]; Run via form trigger as codectechnologies0@gmail.com; Timestamp: Aug 29, 2026 1:54 PM</t>
  </si>
  <si>
    <t>abhay shukla</t>
  </si>
  <si>
    <t>abhayshukla5472@gmail.com</t>
  </si>
  <si>
    <t>iilm university, greater noida</t>
  </si>
  <si>
    <t>11H2ZBypcxd0nawE3aaTT9BXvIh0gPcEz</t>
  </si>
  <si>
    <t>https://drive.google.com/file/d/11H2ZBypcxd0nawE3aaTT9BXvIh0gPcEz/view?usp=drivesdk</t>
  </si>
  <si>
    <t>Document successfully created; Document successfully merged; PDF created; Emails Sent: [To: abhayshukla5472@gmail.com]; Run via form trigger as codectechnologies0@gmail.com; Timestamp: Aug 29, 2026 1:55 PM</t>
  </si>
  <si>
    <t>Kundeti Vidya</t>
  </si>
  <si>
    <t>vidyakundeti12@gmail.com</t>
  </si>
  <si>
    <t>Vishnu Womens University</t>
  </si>
  <si>
    <t>1G7SPF4avGxdGWrZj4lVrTI6SfZrvmEMN</t>
  </si>
  <si>
    <t>https://drive.google.com/file/d/1G7SPF4avGxdGWrZj4lVrTI6SfZrvmEMN/view?usp=drivesdk</t>
  </si>
  <si>
    <t>Document successfully created; Document successfully merged; PDF created; Emails Sent: [To: vidyakundeti12@gmail.com]; Run via form trigger as codectechnologies0@gmail.com; Timestamp: Aug 29, 2026 1:56 PM</t>
  </si>
  <si>
    <t>Md Kamran Rais</t>
  </si>
  <si>
    <t>kamranrais84@gmail.com</t>
  </si>
  <si>
    <t>1G0XLbjKTNbKGEnzyCkeK1wBmEJZahsD5</t>
  </si>
  <si>
    <t>https://drive.google.com/file/d/1G0XLbjKTNbKGEnzyCkeK1wBmEJZahsD5/view?usp=drivesdk</t>
  </si>
  <si>
    <t>Document successfully created; Document successfully merged; PDF created; Emails Sent: [To: kamranrais84@gmail.com]; Run via form trigger as codectechnologies0@gmail.com; Timestamp: Aug 29, 2026 2:02 PM</t>
  </si>
  <si>
    <t>Kashish Kumar</t>
  </si>
  <si>
    <t>kashish.25scs1003001019@iilm.edu</t>
  </si>
  <si>
    <t>1q4jsu3FlEJfcoNJUIobJauGofg4MNwRy</t>
  </si>
  <si>
    <t>https://drive.google.com/file/d/1q4jsu3FlEJfcoNJUIobJauGofg4MNwRy/view?usp=drivesdk</t>
  </si>
  <si>
    <t>Document successfully created; Document successfully merged; PDF created; Emails Sent: [To: kashish.25scs1003001019@iilm.edu]; Run via form trigger as codectechnologies0@gmail.com; Timestamp: Aug 29, 2026 2:08 PM</t>
  </si>
  <si>
    <t>Abhishek Sharma</t>
  </si>
  <si>
    <t>abhisheksharma4193693@gmail.com</t>
  </si>
  <si>
    <t>1qCu6V5eUjw26d0jwJbt_a3hgR-n4YtMj</t>
  </si>
  <si>
    <t>https://drive.google.com/file/d/1qCu6V5eUjw26d0jwJbt_a3hgR-n4YtMj/view?usp=drivesdk</t>
  </si>
  <si>
    <t>Document successfully created; Document successfully merged; PDF created; Emails Sent: [To: abhisheksharma4193693@gmail.com]; Run via form trigger as codectechnologies0@gmail.com; Timestamp: Aug 29, 2026 2:13 PM</t>
  </si>
  <si>
    <t>Abhijit Kumar Mandal</t>
  </si>
  <si>
    <t>abhijit.25scs1003003593@iilm.edu</t>
  </si>
  <si>
    <t>1CbarSd2lhGjE4N2UnpZrNHoR8rn88utr</t>
  </si>
  <si>
    <t>https://drive.google.com/file/d/1CbarSd2lhGjE4N2UnpZrNHoR8rn88utr/view?usp=drivesdk</t>
  </si>
  <si>
    <t>Document successfully created; Document successfully merged; PDF created; Emails Sent: [To: abhijit.25scs1003003593@iilm.edu]; Run via form trigger as codectechnologies0@gmail.com; Timestamp: Aug 29, 2026 2:22 PM</t>
  </si>
  <si>
    <t xml:space="preserve">Akanksha Mhase </t>
  </si>
  <si>
    <t>akankshamhase15@gmail.com</t>
  </si>
  <si>
    <t xml:space="preserve">K.K. Wagh College of Engineering </t>
  </si>
  <si>
    <t>1WdFO2l8-ZR_cJvKzQJ-wHy-Bccqu192w</t>
  </si>
  <si>
    <t>https://drive.google.com/file/d/1WdFO2l8-ZR_cJvKzQJ-wHy-Bccqu192w/view?usp=drivesdk</t>
  </si>
  <si>
    <t>Document successfully created; Document successfully merged; PDF created; Emails Sent: [To: akankshamhase15@gmail.com]; Run via form trigger as codectechnologies0@gmail.com; Timestamp: Aug 29, 2026 2:25 PM</t>
  </si>
  <si>
    <t>Krishna Srivastava</t>
  </si>
  <si>
    <t>krishnasrivastava856@gmail.com</t>
  </si>
  <si>
    <t>Instagram, WhatsApp, Friend</t>
  </si>
  <si>
    <t>1GPRJvsZUpYMNZvsgk2WvklONvrL_sJuG</t>
  </si>
  <si>
    <t>https://drive.google.com/file/d/1GPRJvsZUpYMNZvsgk2WvklONvrL_sJuG/view?usp=drivesdk</t>
  </si>
  <si>
    <t>Document successfully created; Document successfully merged; PDF created; Emails Sent: [To: krishnasrivastava856@gmail.com]; Run via form trigger as codectechnologies0@gmail.com; Timestamp: Aug 29, 2026 2:41 PM</t>
  </si>
  <si>
    <t>Amrendra Yadav</t>
  </si>
  <si>
    <t>amrendra3721@gmail.com</t>
  </si>
  <si>
    <t>1xvs1SdHBOAQEn75CK4SrEZv0bIMLUg5h</t>
  </si>
  <si>
    <t>https://drive.google.com/file/d/1xvs1SdHBOAQEn75CK4SrEZv0bIMLUg5h/view?usp=drivesdk</t>
  </si>
  <si>
    <t>Document successfully created; Document successfully merged; PDF created; Emails Sent: [To: amrendra3721@gmail.com]; Run via form trigger as codectechnologies0@gmail.com; Timestamp: Aug 29, 2026 2:45 PM</t>
  </si>
  <si>
    <t>VETRI KATHIR .B</t>
  </si>
  <si>
    <t>vetrikathirza220il@gmail.com</t>
  </si>
  <si>
    <t>1YOeljPSuO7d_ETnfK2qFPTwEzHEDLsuM</t>
  </si>
  <si>
    <t>https://drive.google.com/file/d/1YOeljPSuO7d_ETnfK2qFPTwEzHEDLsuM/view?usp=drivesdk</t>
  </si>
  <si>
    <t>Document successfully created; Document successfully merged; PDF created; Emails Sent: [To: vetrikathirza220il@gmail.com]; Run via form trigger as codectechnologies0@gmail.com; Timestamp: Aug 29, 2026 2:59 PM</t>
  </si>
  <si>
    <t>Anshuman Dhami</t>
  </si>
  <si>
    <t>dhamianshu5@gmail.com</t>
  </si>
  <si>
    <t>1q9fJL_nhe-wO6OQQLTrDOVCdtG5zUsmD</t>
  </si>
  <si>
    <t>https://drive.google.com/file/d/1q9fJL_nhe-wO6OQQLTrDOVCdtG5zUsmD/view?usp=drivesdk</t>
  </si>
  <si>
    <t>Document successfully created; Document successfully merged; PDF created; Emails Sent: [To: dhamianshu5@gmail.com]; Run via form trigger as codectechnologies0@gmail.com; Timestamp: Aug 29, 2026 3:03 PM</t>
  </si>
  <si>
    <t>Kaustubh Badola</t>
  </si>
  <si>
    <t>kaustubhb38@gmail.com</t>
  </si>
  <si>
    <t xml:space="preserve">Graphic era hill university </t>
  </si>
  <si>
    <t>1TYdrYEfubvTxGRkFFg-Ab_YhRItcqBdn</t>
  </si>
  <si>
    <t>https://drive.google.com/file/d/1TYdrYEfubvTxGRkFFg-Ab_YhRItcqBdn/view?usp=drivesdk</t>
  </si>
  <si>
    <t>Document successfully created; Document successfully merged; PDF created; Emails Sent: [To: kaustubhb38@gmail.com]; Run via form trigger as codectechnologies0@gmail.com; Timestamp: Aug 29, 2026 3:08 PM</t>
  </si>
  <si>
    <t>Krishna Anand Kadam</t>
  </si>
  <si>
    <t>10/28/0266</t>
  </si>
  <si>
    <t xml:space="preserve">krishnakadam285@gmail.com </t>
  </si>
  <si>
    <t>pvgcoe nashik</t>
  </si>
  <si>
    <t>17cjx429HBArXDmlaM9OHZvVckrY79r21</t>
  </si>
  <si>
    <t>https://drive.google.com/file/d/17cjx429HBArXDmlaM9OHZvVckrY79r21/view?usp=drivesdk</t>
  </si>
  <si>
    <t>Document successfully created; Document successfully merged; PDF created; Emails Sent: [To: krishnakadam285@gmail.com]; Run via form trigger as codectechnologies0@gmail.com; Timestamp: Aug 29, 2026 3:20 PM</t>
  </si>
  <si>
    <t>Anushka Sinha</t>
  </si>
  <si>
    <t>anushka25sinha@gmail.com</t>
  </si>
  <si>
    <t>1jm601profNktuJqY07kmCMEIwa-PReAn</t>
  </si>
  <si>
    <t>https://drive.google.com/file/d/1jm601profNktuJqY07kmCMEIwa-PReAn/view?usp=drivesdk</t>
  </si>
  <si>
    <t>Document successfully created; Document successfully merged; PDF created; Emails Sent: [To: anushka25sinha@gmail.com]; Run via form trigger as codectechnologies0@gmail.com; Timestamp: Aug 29, 2026 3:23 PM</t>
  </si>
  <si>
    <t xml:space="preserve">Murari Kumar Pandey </t>
  </si>
  <si>
    <t>pandeymurari571@gmail.com</t>
  </si>
  <si>
    <t xml:space="preserve">Jagannath University jaipur </t>
  </si>
  <si>
    <t>124R7ceD46FBEoPxSmYH2KCJRu1GfHkL3</t>
  </si>
  <si>
    <t>https://drive.google.com/file/d/124R7ceD46FBEoPxSmYH2KCJRu1GfHkL3/view?usp=drivesdk</t>
  </si>
  <si>
    <t>Document successfully created; Document successfully merged; PDF created; Emails Sent: [To: pandeymurari571@gmail.com]; Run via form trigger as codectechnologies0@gmail.com; Timestamp: Aug 29, 2026 3:33 PM</t>
  </si>
  <si>
    <t>vanshika agrawal</t>
  </si>
  <si>
    <t>vanshikaagrawl@gmail.com</t>
  </si>
  <si>
    <t>1BW_KkowQrSXqqhUEUmrp8Nig6vn3uq_A</t>
  </si>
  <si>
    <t>https://drive.google.com/file/d/1BW_KkowQrSXqqhUEUmrp8Nig6vn3uq_A/view?usp=drivesdk</t>
  </si>
  <si>
    <t>Document successfully created; Document successfully merged; PDF created; Emails Sent: [To: vanshikaagrawl@gmail.com]; Run via form trigger as codectechnologies0@gmail.com; Timestamp: Aug 29, 2026 3:43 PM</t>
  </si>
  <si>
    <t>Vanshika Pal</t>
  </si>
  <si>
    <t>vanshika.25scs2040003225@iilm.edu</t>
  </si>
  <si>
    <t>1gmQbFiZ6fZtQDWz7CBHthR_BaHvge5WY</t>
  </si>
  <si>
    <t>https://drive.google.com/file/d/1gmQbFiZ6fZtQDWz7CBHthR_BaHvge5WY/view?usp=drivesdk</t>
  </si>
  <si>
    <t>Document successfully created; Document successfully merged; PDF created; Emails Sent: [To: vanshika.25scs2040003225@iilm.edu]; Run via form trigger as codectechnologies0@gmail.com; Timestamp: Aug 29, 2026 3:54 PM</t>
  </si>
  <si>
    <t>pandeymurari768@gmail.com</t>
  </si>
  <si>
    <t>1YFShZ5dPd-89PWliHCwL93V_yznbXaSq</t>
  </si>
  <si>
    <t>https://drive.google.com/file/d/1YFShZ5dPd-89PWliHCwL93V_yznbXaSq/view?usp=drivesdk</t>
  </si>
  <si>
    <t>Document successfully created; Document successfully merged; PDF created; Emails Sent: [To: pandeymurari768@gmail.com]; Run via form trigger as codectechnologies0@gmail.com; Timestamp: Aug 29, 2026 4:11 PM</t>
  </si>
  <si>
    <t>Paridhi Tulsyan</t>
  </si>
  <si>
    <t>paridhitulsyan2007@gmail.com</t>
  </si>
  <si>
    <t>1CRHVxx0ZrmrfZcDZhyfdffbNuIsKnkiJ</t>
  </si>
  <si>
    <t>https://drive.google.com/file/d/1CRHVxx0ZrmrfZcDZhyfdffbNuIsKnkiJ/view?usp=drivesdk</t>
  </si>
  <si>
    <t>Document successfully created; Document successfully merged; PDF created; Emails Sent: [To: paridhitulsyan2007@gmail.com]; Run via form trigger as codectechnologies0@gmail.com; Timestamp: Aug 29, 2026 4:26 PM</t>
  </si>
  <si>
    <t xml:space="preserve">Sanjana kumari </t>
  </si>
  <si>
    <t>anil8595r9599@gmail.com</t>
  </si>
  <si>
    <t xml:space="preserve">ITM college of management GIDA gorakhpur </t>
  </si>
  <si>
    <t>1n1GmU2qQpHyYLHGhqvc1QC1RxTfCrT_b</t>
  </si>
  <si>
    <t>https://drive.google.com/file/d/1n1GmU2qQpHyYLHGhqvc1QC1RxTfCrT_b/view?usp=drivesdk</t>
  </si>
  <si>
    <t>Document successfully created; Document successfully merged; PDF created; Emails Sent: [To: anil8595r9599@gmail.com]; Run via form trigger as codectechnologies0@gmail.com; Timestamp: Aug 29, 2026 4:35 PM</t>
  </si>
  <si>
    <t xml:space="preserve">Abhinav Agnihotri </t>
  </si>
  <si>
    <t>abhinav.25scs1003001690@iilm.edu</t>
  </si>
  <si>
    <t>IILM university GN</t>
  </si>
  <si>
    <t>1kwc7_8lHHjBIYrQv-xKiz-WuH1cFDnPX</t>
  </si>
  <si>
    <t>https://drive.google.com/file/d/1kwc7_8lHHjBIYrQv-xKiz-WuH1cFDnPX/view?usp=drivesdk</t>
  </si>
  <si>
    <t>Document successfully created; Document successfully merged; PDF created; Emails Sent: [To: abhinav.25scs1003001690@iilm.edu]; Run via form trigger as codectechnologies0@gmail.com; Timestamp: Aug 29, 2026 4:48 PM</t>
  </si>
  <si>
    <t>Vaibhav Bhandari</t>
  </si>
  <si>
    <t>igursdaddy@gmail,com</t>
  </si>
  <si>
    <t>1L5WxsnJegczJSwswHK4mw-VivNUMKxay</t>
  </si>
  <si>
    <t>https://drive.google.com/file/d/1L5WxsnJegczJSwswHK4mw-VivNUMKxay/view?usp=drivesdk</t>
  </si>
  <si>
    <t>Document successfully created; Document successfully merged; PDF created; !!Error Sending Emails: Invalid email: com; Run via form trigger as codectechnologies0@gmail.com; Timestamp: Aug 29, 2026 6:07 PM</t>
  </si>
  <si>
    <t>Vaishnavi Prasad</t>
  </si>
  <si>
    <t>prasadvaish32@gmail.com</t>
  </si>
  <si>
    <t>IILM University , Greater Noida</t>
  </si>
  <si>
    <t>1nbkwBC2Yfji8L2vObJraf-yQ4D_kd7FU</t>
  </si>
  <si>
    <t>https://drive.google.com/file/d/1nbkwBC2Yfji8L2vObJraf-yQ4D_kd7FU/view?usp=drivesdk</t>
  </si>
  <si>
    <t>Document successfully created; Document successfully merged; PDF created; Emails Sent: [To: prasadvaish32@gmail.com]; Run via form trigger as codectechnologies0@gmail.com; Timestamp: Aug 29, 2026 8:09 PM</t>
  </si>
  <si>
    <t>1daHf70ldTmdlnyOoi1NlEIstZmkq2ELb</t>
  </si>
  <si>
    <t>https://drive.google.com/file/d/1daHf70ldTmdlnyOoi1NlEIstZmkq2ELb/view?usp=drivesdk</t>
  </si>
  <si>
    <t>Document successfully created; Document successfully merged; PDF created; Emails Sent: [To: likharakanksha09@gmail.com]; Run via form trigger as codectechnologies0@gmail.com; Timestamp: Aug 29, 2026 9:52 PM</t>
  </si>
  <si>
    <t>SATHYA SRI M</t>
  </si>
  <si>
    <t>sathyamathavan07@gmail.com</t>
  </si>
  <si>
    <t>MIET Engineering College</t>
  </si>
  <si>
    <t>1EgL7RRqxxhPKKAycPDL8FYLFFh2a8VaY</t>
  </si>
  <si>
    <t>https://drive.google.com/file/d/1EgL7RRqxxhPKKAycPDL8FYLFFh2a8VaY/view?usp=drivesdk</t>
  </si>
  <si>
    <t>Document successfully created; Document successfully merged; PDF created; Emails Sent: [To: sathyamathavan07@gmail.com]; Run via form trigger as codectechnologies0@gmail.com; Timestamp: Aug 29, 2026 11:17 PM</t>
  </si>
  <si>
    <t xml:space="preserve">Rajan Kumar </t>
  </si>
  <si>
    <t>rajanprajapati2320@gmail.com</t>
  </si>
  <si>
    <t xml:space="preserve">Jagannath University, Jaipur </t>
  </si>
  <si>
    <t>1q5VVduy8ndv5R74rpMYO8y8I_UFj2hep</t>
  </si>
  <si>
    <t>https://drive.google.com/file/d/1q5VVduy8ndv5R74rpMYO8y8I_UFj2hep/view?usp=drivesdk</t>
  </si>
  <si>
    <t>Document successfully created; Document successfully merged; PDF created; Emails Sent: [To: rajanprajapati2320@gmail.com]; Run via form trigger as codectechnologies0@gmail.com; Timestamp: Aug 29, 2026 11:31 PM</t>
  </si>
  <si>
    <t>Gowtham C</t>
  </si>
  <si>
    <t>gowtham20070712@gmail.com</t>
  </si>
  <si>
    <t>1FDXXNorhQkCpF7CrZgH0mJD7l0GNfJmx</t>
  </si>
  <si>
    <t>https://drive.google.com/file/d/1FDXXNorhQkCpF7CrZgH0mJD7l0GNfJmx/view?usp=drivesdk</t>
  </si>
  <si>
    <t>Document successfully created; Document successfully merged; PDF created; Emails Sent: [To: gowtham20070712@gmail.com]; Run via form trigger as codectechnologies0@gmail.com; Timestamp: Aug 29, 2026 11:55 PM</t>
  </si>
  <si>
    <t>Ganta Meena</t>
  </si>
  <si>
    <t>meenanaidus2005@gmail.com</t>
  </si>
  <si>
    <t xml:space="preserve">SRK Institute of technology </t>
  </si>
  <si>
    <t>14u7TRJqaf-eZjulEybgjaVsDlNviEsJ-</t>
  </si>
  <si>
    <t>https://drive.google.com/file/d/14u7TRJqaf-eZjulEybgjaVsDlNviEsJ-/view?usp=drivesdk</t>
  </si>
  <si>
    <t>Document successfully created; Document successfully merged; PDF created; Emails Sent: [To: meenanaidus2005@gmail.com]; Run via form trigger as codectechnologies0@gmail.com; Timestamp: Aug 30, 2026 12:08 AM</t>
  </si>
  <si>
    <t xml:space="preserve">Aryan Singh </t>
  </si>
  <si>
    <t>aryansingh841441@gmail.com</t>
  </si>
  <si>
    <t>1U6aWXSh0O6EUoDTZ9NCzDZGUXaYhOxVE</t>
  </si>
  <si>
    <t>https://drive.google.com/file/d/1U6aWXSh0O6EUoDTZ9NCzDZGUXaYhOxVE/view?usp=drivesdk</t>
  </si>
  <si>
    <t>Document successfully created; Document successfully merged; PDF created; Emails Sent: [To: aryansingh841441@gmail.com]; Run via form trigger as codectechnologies0@gmail.com; Timestamp: Aug 30, 2026 12:28 AM</t>
  </si>
  <si>
    <t xml:space="preserve">Aashish Kumar </t>
  </si>
  <si>
    <t>aashishkumar9155627956@gmail.com</t>
  </si>
  <si>
    <t>1NTFBHhi1tyWsNOQqA2iLkPxTxxs-kG0a</t>
  </si>
  <si>
    <t>https://drive.google.com/file/d/1NTFBHhi1tyWsNOQqA2iLkPxTxxs-kG0a/view?usp=drivesdk</t>
  </si>
  <si>
    <t>Document successfully created; Document successfully merged; PDF created; Emails Sent: [To: aashishkumar9155627956@gmail.com]; Run via form trigger as codectechnologies0@gmail.com; Timestamp: Aug 30, 2026 12:51 AM</t>
  </si>
  <si>
    <t>Sahil Raj Singh</t>
  </si>
  <si>
    <t>sahilkashyap00004@gmail.com</t>
  </si>
  <si>
    <t xml:space="preserve">Amity university </t>
  </si>
  <si>
    <t>184r1Vb0H_lbuoshFg011CKBCebZXYVdT</t>
  </si>
  <si>
    <t>https://drive.google.com/file/d/184r1Vb0H_lbuoshFg011CKBCebZXYVdT/view?usp=drivesdk</t>
  </si>
  <si>
    <t>Document successfully created; Document successfully merged; PDF created; Emails Sent: [To: sahilkashyap00004@gmail.com]; Run via form trigger as codectechnologies0@gmail.com; Timestamp: Aug 30, 2026 12:56 AM</t>
  </si>
  <si>
    <t>shivamnauni@gmail.com</t>
  </si>
  <si>
    <t>1J5l6zeLqhWlbfUc_WyrNgRUsDJKtNObK</t>
  </si>
  <si>
    <t>https://drive.google.com/file/d/1J5l6zeLqhWlbfUc_WyrNgRUsDJKtNObK/view?usp=drivesdk</t>
  </si>
  <si>
    <t>Document successfully created; Document successfully merged; PDF created; Emails Sent: [To: shivamnauni@gmail.com]; Run via form trigger as codectechnologies0@gmail.com; Timestamp: Aug 30, 2026 1:04 AM</t>
  </si>
  <si>
    <t>Snehal Santosh Ware</t>
  </si>
  <si>
    <t>snehalware09@gmail.com</t>
  </si>
  <si>
    <t xml:space="preserve">Keystone school of Engineering </t>
  </si>
  <si>
    <t>1NpiXWrvyivHWJ9rY_Qk9GByqVGhxiHWr</t>
  </si>
  <si>
    <t>https://drive.google.com/file/d/1NpiXWrvyivHWJ9rY_Qk9GByqVGhxiHWr/view?usp=drivesdk</t>
  </si>
  <si>
    <t>Document successfully created; Document successfully merged; PDF created; Emails Sent: [To: snehalware09@gmail.com]; Run via form trigger as codectechnologies0@gmail.com; Timestamp: Aug 30, 2026 1:13 AM</t>
  </si>
  <si>
    <t xml:space="preserve">Snehal Santosh Ware </t>
  </si>
  <si>
    <t xml:space="preserve">Keystone School of Engineering </t>
  </si>
  <si>
    <t>1qdNdvv2GRTXrv63s34pqz8HBqjemvphg</t>
  </si>
  <si>
    <t>https://drive.google.com/file/d/1qdNdvv2GRTXrv63s34pqz8HBqjemvphg/view?usp=drivesdk</t>
  </si>
  <si>
    <t>Document successfully created; Document successfully merged; PDF created; Emails Sent: [To: snehalware09@gmail.com]; Run via form trigger as codectechnologies0@gmail.com; Timestamp: Aug 30, 2026 1:37 AM</t>
  </si>
  <si>
    <t>Varsha Havanur</t>
  </si>
  <si>
    <t>varshahavanur9@gmail.com</t>
  </si>
  <si>
    <t xml:space="preserve">SDM  COLLEGE OF ENGINEERING AND TECHNOLOGY </t>
  </si>
  <si>
    <t>1ML4qUjkSBJhycl9emjLzXPLx-z0qbjZu</t>
  </si>
  <si>
    <t>https://drive.google.com/file/d/1ML4qUjkSBJhycl9emjLzXPLx-z0qbjZu/view?usp=drivesdk</t>
  </si>
  <si>
    <t>Document successfully created; Document successfully merged; PDF created; Emails Sent: [To: varshahavanur9@gmail.com]; Run via form trigger as codectechnologies0@gmail.com; Timestamp: Aug 30, 2026 1:52 AM</t>
  </si>
  <si>
    <t xml:space="preserve">SDM College Of Engineering And Technology </t>
  </si>
  <si>
    <t>1w9EX4pvfKJiz9_c-icmLpZZ1GMAwctSK</t>
  </si>
  <si>
    <t>https://drive.google.com/file/d/1w9EX4pvfKJiz9_c-icmLpZZ1GMAwctSK/view?usp=drivesdk</t>
  </si>
  <si>
    <t>Document successfully created; Document successfully merged; PDF created; Emails Sent: [To: varshahavanur9@gmail.com]; Run via form trigger as codectechnologies0@gmail.com; Timestamp: Aug 30, 2026 2:01 AM</t>
  </si>
  <si>
    <t xml:space="preserve">ROHIT KUMAR </t>
  </si>
  <si>
    <t>kr.rohit284@gmail.com</t>
  </si>
  <si>
    <t>1vSsS0XqF-1CeXpohI7jOrHfVHZ4lBvl3</t>
  </si>
  <si>
    <t>https://drive.google.com/file/d/1vSsS0XqF-1CeXpohI7jOrHfVHZ4lBvl3/view?usp=drivesdk</t>
  </si>
  <si>
    <t>Document successfully created; Document successfully merged; PDF created; Emails Sent: [To: kr.rohit284@gmail.com]; Run via form trigger as codectechnologies0@gmail.com; Timestamp: Aug 30, 2026 2:34 AM</t>
  </si>
  <si>
    <t>Rohit Singh</t>
  </si>
  <si>
    <t>rohitsingh45672@gmail.com</t>
  </si>
  <si>
    <t>1n6GMzj_yw5Q9oH0rf68xLfhRZg8s2lHh</t>
  </si>
  <si>
    <t>https://drive.google.com/file/d/1n6GMzj_yw5Q9oH0rf68xLfhRZg8s2lHh/view?usp=drivesdk</t>
  </si>
  <si>
    <t>Document successfully created; Document successfully merged; PDF created; Emails Sent: [To: rohitsingh45672@gmail.com]; Run via form trigger as codectechnologies0@gmail.com; Timestamp: Aug 30, 2026 2:37 AM</t>
  </si>
  <si>
    <t>Jatin Gupta</t>
  </si>
  <si>
    <t>jatin.gupta.cs28@iilm.edu</t>
  </si>
  <si>
    <t>1dR-gxPS0UJ-r3PNI2zHIq-gkIQ_YhAKA</t>
  </si>
  <si>
    <t>https://drive.google.com/file/d/1dR-gxPS0UJ-r3PNI2zHIq-gkIQ_YhAKA/view?usp=drivesdk</t>
  </si>
  <si>
    <t>Document successfully created; Document successfully merged; PDF created; Emails Sent: [To: jatin.gupta.cs28@iilm.edu]; Run via form trigger as codectechnologies0@gmail.com; Timestamp: Aug 30, 2026 2:45 AM</t>
  </si>
  <si>
    <t>Aryan Chauhan</t>
  </si>
  <si>
    <t>aryanchauhan3081@gmail.com</t>
  </si>
  <si>
    <t>1zeyjQS8WW3ISF7HRnB393PKWxaXRNQHl</t>
  </si>
  <si>
    <t>https://drive.google.com/file/d/1zeyjQS8WW3ISF7HRnB393PKWxaXRNQHl/view?usp=drivesdk</t>
  </si>
  <si>
    <t>Document successfully created; Document successfully merged; PDF created; Emails Sent: [To: aryanchauhan3081@gmail.com]; Run via form trigger as codectechnologies0@gmail.com; Timestamp: Aug 30, 2026 2:53 AM</t>
  </si>
  <si>
    <t>Prabhpreet Kaur</t>
  </si>
  <si>
    <t>prabhpreetk2003@gmail.com</t>
  </si>
  <si>
    <t>Lyallpur Khalsa College for Women</t>
  </si>
  <si>
    <t>18BmJHZoC7AmN7fERfxFhEpYHEXNiGJfV</t>
  </si>
  <si>
    <t>https://drive.google.com/file/d/18BmJHZoC7AmN7fERfxFhEpYHEXNiGJfV/view?usp=drivesdk</t>
  </si>
  <si>
    <t>Document successfully created; Document successfully merged; PDF created; !!Error Sending Emails: Service invoked too many times for one day: email.; Run via form trigger as codectechnologies0@gmail.com; Timestamp: Aug 30, 2026 3:00 AM</t>
  </si>
  <si>
    <t>1_ppClgV9rM65dTNnRNhsApqgWYHAHRbD</t>
  </si>
  <si>
    <t>https://drive.google.com/file/d/1_ppClgV9rM65dTNnRNhsApqgWYHAHRbD/view?usp=drivesdk</t>
  </si>
  <si>
    <t>Document successfully created; Document successfully merged; PDF created; Emails Sent: [To: neharanimaccha@gmail.com]; Run via form trigger as codectechnologies0@gmail.com; Timestamp: Aug 30, 2026 3:03 AM</t>
  </si>
  <si>
    <t>Ekta Das</t>
  </si>
  <si>
    <t>ekta150305@gmail.com</t>
  </si>
  <si>
    <t>echelon institute of technology</t>
  </si>
  <si>
    <t>1dwAg4Gs2RpLbze73ZCpzeluWD8MuP2fx</t>
  </si>
  <si>
    <t>https://drive.google.com/file/d/1dwAg4Gs2RpLbze73ZCpzeluWD8MuP2fx/view?usp=drivesdk</t>
  </si>
  <si>
    <t>Document successfully created; Document successfully merged; PDF created; !!Error Sending Emails: Service invoked too many times for one day: email.; Run via form trigger as codectechnologies0@gmail.com; Timestamp: Aug 30, 2026 3:05 AM</t>
  </si>
  <si>
    <t>Adarsh kumar</t>
  </si>
  <si>
    <t>adarshkumar447844@gmail.com</t>
  </si>
  <si>
    <t>1qmLNiIhefLmIHH6K6lNNtcMB7ZStrmiH</t>
  </si>
  <si>
    <t>https://drive.google.com/file/d/1qmLNiIhefLmIHH6K6lNNtcMB7ZStrmiH/view?usp=drivesdk</t>
  </si>
  <si>
    <t>Document successfully created; Document successfully merged; PDF created; Emails Sent: [To: adarshkumar447844@gmail.com]; Run via form trigger as codectechnologies0@gmail.com; Timestamp: Aug 30, 2026 3:22 AM</t>
  </si>
  <si>
    <t>Sneha Thakur</t>
  </si>
  <si>
    <t>thakursneha2204@gmail.com</t>
  </si>
  <si>
    <t>1oGia4SH8n-azDzY2e92eWzBcBNUGwnLP</t>
  </si>
  <si>
    <t>https://drive.google.com/file/d/1oGia4SH8n-azDzY2e92eWzBcBNUGwnLP/view?usp=drivesdk</t>
  </si>
  <si>
    <t>Document successfully created; Document successfully merged; PDF created; Emails Sent: [To: thakursneha2204@gmail.com]; Run via form trigger as codectechnologies0@gmail.com; Timestamp: Aug 30, 2026 3:25 AM</t>
  </si>
  <si>
    <t>Nandani Juyal</t>
  </si>
  <si>
    <t>nandanijuyal99999@gmail.com</t>
  </si>
  <si>
    <t>09389939825</t>
  </si>
  <si>
    <t>1IbYrXt9GDcX6bNRDw8APfdW19UTXm3PZ</t>
  </si>
  <si>
    <t>https://drive.google.com/file/d/1IbYrXt9GDcX6bNRDw8APfdW19UTXm3PZ/view?usp=drivesdk</t>
  </si>
  <si>
    <t>Document successfully created; Document successfully merged; PDF created; Emails Sent: [To: nandanijuyal99999@gmail.com]; Run via form trigger as codectechnologies0@gmail.com; Timestamp: Aug 30, 2026 3:26 AM</t>
  </si>
  <si>
    <t>Devarasetty Harish</t>
  </si>
  <si>
    <t>devarasettyharish8@gmail.com</t>
  </si>
  <si>
    <t>Cbit</t>
  </si>
  <si>
    <t>1rhu3OFO81lo9zkrkAMtMxkgLgnroSf_V</t>
  </si>
  <si>
    <t>https://drive.google.com/file/d/1rhu3OFO81lo9zkrkAMtMxkgLgnroSf_V/view?usp=drivesdk</t>
  </si>
  <si>
    <t>Document successfully created; Document successfully merged; PDF created; !!Error Sending Emails: Service invoked too many times for one day: email.; Run via form trigger as codectechnologies0@gmail.com; Timestamp: Aug 30, 2026 3:27 AM</t>
  </si>
  <si>
    <t>1ahicaH3tCVv5BthJVw4NQGrq9dYIf9q1</t>
  </si>
  <si>
    <t>https://drive.google.com/file/d/1ahicaH3tCVv5BthJVw4NQGrq9dYIf9q1/view?usp=drivesdk</t>
  </si>
  <si>
    <t>Document successfully created; Document successfully merged; PDF created; !!Error Sending Emails: Service invoked too many times for one day: email.; Run via form trigger as codectechnologies0@gmail.com; Timestamp: Aug 30, 2026 3:30 AM</t>
  </si>
  <si>
    <t>rajankumar90609234@gmail.com</t>
  </si>
  <si>
    <t>1GVXGGbdX5H_XafsE_vUIuK9Ayd-UeHtH</t>
  </si>
  <si>
    <t>https://drive.google.com/file/d/1GVXGGbdX5H_XafsE_vUIuK9Ayd-UeHtH/view?usp=drivesdk</t>
  </si>
  <si>
    <t>Document successfully created; Document successfully merged; PDF created; !!Error Sending Emails: Service invoked too many times for one day: email.; Run via form trigger as codectechnologies0@gmail.com; Timestamp: Aug 30, 2026 3:33 AM</t>
  </si>
  <si>
    <t>Yashvardhan Singh Parihar</t>
  </si>
  <si>
    <t>yashvardhan.25scs1003004993@iilm.edu</t>
  </si>
  <si>
    <t>1YOFekZtne7KnE4Yjm_Z573HPvQ6OzWjj</t>
  </si>
  <si>
    <t>https://drive.google.com/file/d/1YOFekZtne7KnE4Yjm_Z573HPvQ6OzWjj/view?usp=drivesdk</t>
  </si>
  <si>
    <t>Document successfully created; Document successfully merged; PDF created; !!Error Sending Emails: Service invoked too many times for one day: email.; Run via form trigger as codectechnologies0@gmail.com; Timestamp: Aug 30, 2026 3:36 AM</t>
  </si>
  <si>
    <t>1tTAp1gHmdad8RnLSUsOsxGvhS_ehd9P3</t>
  </si>
  <si>
    <t>https://drive.google.com/file/d/1tTAp1gHmdad8RnLSUsOsxGvhS_ehd9P3/view?usp=drivesdk</t>
  </si>
  <si>
    <t>Document successfully created; Document successfully merged; PDF created; !!Error Sending Emails: Service invoked too many times for one day: email.; Run via form trigger as codectechnologies0@gmail.com; Timestamp: Aug 30, 2026 3:38 AM</t>
  </si>
  <si>
    <t>Jatin Tripathi</t>
  </si>
  <si>
    <t>jatintripathi212@gmail.com</t>
  </si>
  <si>
    <t>LinkedIn, Friend, Email, Google, Internshala, Other</t>
  </si>
  <si>
    <t>1tsD590R8DqDOKIMQUEXS8BnP32xyu-ZI</t>
  </si>
  <si>
    <t>https://drive.google.com/file/d/1tsD590R8DqDOKIMQUEXS8BnP32xyu-ZI/view?usp=drivesdk</t>
  </si>
  <si>
    <t>Document successfully created; Document successfully merged; PDF created; !!Error Sending Emails: Service invoked too many times for one day: email.; Run via form trigger as codectechnologies0@gmail.com; Timestamp: Aug 30, 2026 3:44 AM</t>
  </si>
  <si>
    <t>Monika Saxena</t>
  </si>
  <si>
    <t>enmonikasaxena@gmail.com</t>
  </si>
  <si>
    <t xml:space="preserve">Vishveshwarya groups of institutions </t>
  </si>
  <si>
    <t>1maAulx4rPnKG8GhMnBtCmYQd2PS5BmsW</t>
  </si>
  <si>
    <t>https://drive.google.com/file/d/1maAulx4rPnKG8GhMnBtCmYQd2PS5BmsW/view?usp=drivesdk</t>
  </si>
  <si>
    <t>Document successfully created; Document successfully merged; PDF created; !!Error Sending Emails: Service invoked too many times for one day: email.; Run via form trigger as codectechnologies0@gmail.com; Timestamp: Aug 30, 2026 3:47 AM</t>
  </si>
  <si>
    <t>Utkarsh Rai</t>
  </si>
  <si>
    <t>Utkarshrai.ukr123@gmail.com</t>
  </si>
  <si>
    <t>14MGiqQ0Z6Xw1I6thDQJPl-aUD-565cox</t>
  </si>
  <si>
    <t>https://drive.google.com/file/d/14MGiqQ0Z6Xw1I6thDQJPl-aUD-565cox/view?usp=drivesdk</t>
  </si>
  <si>
    <t>Document successfully created; Document successfully merged; PDF created; Emails Sent: [To: Utkarshrai.ukr123@gmail.com]; Run via form trigger as codectechnologies0@gmail.com; Timestamp: Aug 30, 2026 3:50 AM</t>
  </si>
  <si>
    <t>Kolli karthik</t>
  </si>
  <si>
    <t>karthik9832k153@gmail.com</t>
  </si>
  <si>
    <t xml:space="preserve">gayatri vidya parishad college for degree and pg courses autonomous </t>
  </si>
  <si>
    <t>1NULnOf7VxECW76X31AF7sD95bEELcWyx</t>
  </si>
  <si>
    <t>https://drive.google.com/file/d/1NULnOf7VxECW76X31AF7sD95bEELcWyx/view?usp=drivesdk</t>
  </si>
  <si>
    <t>Document successfully created; Document successfully merged; PDF created; !!Error Sending Emails: Service invoked too many times for one day: email.; Run via form trigger as codectechnologies0@gmail.com; Timestamp: Aug 30, 2026 3:51 AM</t>
  </si>
  <si>
    <t>Pranav Sarvade</t>
  </si>
  <si>
    <t>pranavsarvade08@gmail.com</t>
  </si>
  <si>
    <t xml:space="preserve">Rajarambapu institute of technology and polytechnic </t>
  </si>
  <si>
    <t>1urFTmRPKXTIASc4VjGLUAI-87lSyTnY3</t>
  </si>
  <si>
    <t>https://drive.google.com/file/d/1urFTmRPKXTIASc4VjGLUAI-87lSyTnY3/view?usp=drivesdk</t>
  </si>
  <si>
    <t>Document successfully created; Document successfully merged; PDF created; !!Error Sending Emails: Service invoked too many times for one day: email.; Run via form trigger as codectechnologies0@gmail.com; Timestamp: Aug 30, 2026 3:54 AM</t>
  </si>
  <si>
    <t>1Ah46lAL12qc-6kmKkamSYpp39xQxz4Ak</t>
  </si>
  <si>
    <t>https://drive.google.com/file/d/1Ah46lAL12qc-6kmKkamSYpp39xQxz4Ak/view?usp=drivesdk</t>
  </si>
  <si>
    <t>Document successfully created; Document successfully merged; PDF created; Emails Sent: [To: ayushmishra3yq@gmail.com]; Run via form trigger as codectechnologies0@gmail.com; Timestamp: Aug 30, 2026 3:54 AM</t>
  </si>
  <si>
    <t xml:space="preserve">Deepak Rajesh </t>
  </si>
  <si>
    <t>deepakrajesh20071@gmail.com</t>
  </si>
  <si>
    <t>Mar Augusthinose Collage Ramapuram</t>
  </si>
  <si>
    <t>1CHmXScVNCrjIW6O1d98tzdVjMnvJEUDG</t>
  </si>
  <si>
    <t>https://drive.google.com/file/d/1CHmXScVNCrjIW6O1d98tzdVjMnvJEUDG/view?usp=drivesdk</t>
  </si>
  <si>
    <t>Document successfully created; Document successfully merged; PDF created; Emails Sent: [To: deepakrajesh20071@gmail.com]; Run via form trigger as codectechnologies0@gmail.com; Timestamp: Aug 30, 2026 3:54 AM</t>
  </si>
  <si>
    <t>Aashish Mathur</t>
  </si>
  <si>
    <t>aashishmathur2003@gmail.com</t>
  </si>
  <si>
    <t xml:space="preserve">Galgotios University </t>
  </si>
  <si>
    <t>18jgsAME0wImroaeQy2yEl-EFS1OKpcsv</t>
  </si>
  <si>
    <t>https://drive.google.com/file/d/18jgsAME0wImroaeQy2yEl-EFS1OKpcsv/view?usp=drivesdk</t>
  </si>
  <si>
    <t>Document successfully created; Document successfully merged; PDF created; !!Error Sending Emails: Service invoked too many times for one day: email.; Run via form trigger as codectechnologies0@gmail.com; Timestamp: Aug 30, 2026 3:55 AM</t>
  </si>
  <si>
    <t>1gPfYf-WQHbPr0Ct0g5knwe0hHgUP7Eg_</t>
  </si>
  <si>
    <t>https://drive.google.com/file/d/1gPfYf-WQHbPr0Ct0g5knwe0hHgUP7Eg_/view?usp=drivesdk</t>
  </si>
  <si>
    <t>Document successfully created; Document successfully merged; PDF created; !!Error Sending Emails: Service invoked too many times for one day: email.; Run via form trigger as codectechnologies0@gmail.com; Timestamp: Aug 30, 2026 3:56 AM</t>
  </si>
  <si>
    <t xml:space="preserve">Nikky kumari </t>
  </si>
  <si>
    <t>nikkisona2006@gmail.com</t>
  </si>
  <si>
    <t>1VvG5NUvsdPGsSwpeQ88PlA6kQox6LSTl</t>
  </si>
  <si>
    <t>https://drive.google.com/file/d/1VvG5NUvsdPGsSwpeQ88PlA6kQox6LSTl/view?usp=drivesdk</t>
  </si>
  <si>
    <t>Document successfully created; Document successfully merged; PDF created; !!Error Sending Emails: Service invoked too many times for one day: email.; Run via form trigger as codectechnologies0@gmail.com; Timestamp: Aug 30, 2026 3:58 AM</t>
  </si>
  <si>
    <t>Darshan Mathapati</t>
  </si>
  <si>
    <t>mathapatiappayya88@gmail.com</t>
  </si>
  <si>
    <t xml:space="preserve">East Point College of Engineering and Technology </t>
  </si>
  <si>
    <t>1h6crcQCoamKbACcCGRSeCnSmJwX5OB3S</t>
  </si>
  <si>
    <t>https://drive.google.com/file/d/1h6crcQCoamKbACcCGRSeCnSmJwX5OB3S/view?usp=drivesdk</t>
  </si>
  <si>
    <t>Document successfully created; Document successfully merged; PDF created; !!Error Sending Emails: Service invoked too many times for one day: email.; Run via form trigger as codectechnologies0@gmail.com; Timestamp: Aug 30, 2026 3:59 AM</t>
  </si>
  <si>
    <t>Mandeep Singh</t>
  </si>
  <si>
    <t>Singhm79523@gmail.com</t>
  </si>
  <si>
    <t>LinkedIn, Friend, Email, AICTE/Indeed</t>
  </si>
  <si>
    <t>1mHfYWNjg29mL2OnVu0_HIQ9ZCg3B6K3O</t>
  </si>
  <si>
    <t>https://drive.google.com/file/d/1mHfYWNjg29mL2OnVu0_HIQ9ZCg3B6K3O/view?usp=drivesdk</t>
  </si>
  <si>
    <t>Document successfully created; Document successfully merged; PDF created; Emails Sent: [To: Singhm79523@gmail.com]; Run via form trigger as codectechnologies0@gmail.com; Timestamp: Aug 30, 2026 3:59 AM</t>
  </si>
  <si>
    <t>i.am.akfather@gmail.com</t>
  </si>
  <si>
    <t>1Co3h_tKpwjwilo7nR8kYS-wEqqk2V79N</t>
  </si>
  <si>
    <t>https://drive.google.com/file/d/1Co3h_tKpwjwilo7nR8kYS-wEqqk2V79N/view?usp=drivesdk</t>
  </si>
  <si>
    <t>Document successfully created; Document successfully merged; PDF created; !!Error Sending Emails: Service invoked too many times for one day: email.; Run via form trigger as codectechnologies0@gmail.com; Timestamp: Aug 30, 2026 4:00 AM</t>
  </si>
  <si>
    <t>ANUGRAH AWASTHI</t>
  </si>
  <si>
    <t>awasthi.anugrah.1234@gmail.com</t>
  </si>
  <si>
    <t xml:space="preserve">Sage University </t>
  </si>
  <si>
    <t>1FW6pP_MdYtyzlZWRR-_WI5Ga2ULFhpBi</t>
  </si>
  <si>
    <t>https://drive.google.com/file/d/1FW6pP_MdYtyzlZWRR-_WI5Ga2ULFhpBi/view?usp=drivesdk</t>
  </si>
  <si>
    <t xml:space="preserve">Bittu Singh </t>
  </si>
  <si>
    <t>bittusingh3131629@gmail.com</t>
  </si>
  <si>
    <t xml:space="preserve">Itm gida </t>
  </si>
  <si>
    <t>1UBDWZNCaUAdUTTGhtxtpewN6tfGBAfhy</t>
  </si>
  <si>
    <t>https://drive.google.com/file/d/1UBDWZNCaUAdUTTGhtxtpewN6tfGBAfhy/view?usp=drivesdk</t>
  </si>
  <si>
    <t>Document successfully created; Document successfully merged; PDF created; !!Error Sending Emails: Service invoked too many times for one day: email.; Run via form trigger as codectechnologies0@gmail.com; Timestamp: Aug 30, 2026 4:01 AM</t>
  </si>
  <si>
    <t>1AAk2obQykpDc2eEKsFQ3o8k0sjaonMT1</t>
  </si>
  <si>
    <t>https://drive.google.com/file/d/1AAk2obQykpDc2eEKsFQ3o8k0sjaonMT1/view?usp=drivesdk</t>
  </si>
  <si>
    <t>Document successfully created; Document successfully merged; PDF created; !!Error Sending Emails: Service invoked too many times for one day: email.; Run via form trigger as codectechnologies0@gmail.com; Timestamp: Aug 30, 2026 4:02 AM</t>
  </si>
  <si>
    <t>Abhinav Rajkumar Gona</t>
  </si>
  <si>
    <t>abhinavkumar043546</t>
  </si>
  <si>
    <t>80749 68509</t>
  </si>
  <si>
    <t>1sQ5qPnUYWoZei_YYz8bD4eO0hnBH6yRO</t>
  </si>
  <si>
    <t>https://drive.google.com/file/d/1sQ5qPnUYWoZei_YYz8bD4eO0hnBH6yRO/view?usp=drivesdk</t>
  </si>
  <si>
    <t>Document successfully created; Document successfully merged; PDF created; !!Error Sending Emails: Invalid email: abhinavkumar043546; Run via form trigger as codectechnologies0@gmail.com; Timestamp: Aug 30, 2026 4:06 AM</t>
  </si>
  <si>
    <t>Shradha Shrivastav</t>
  </si>
  <si>
    <t>shradhasrivastava90@gmail.com</t>
  </si>
  <si>
    <t>1yYAWB4Z4mDzDvw_nysPE3yU-7a8nwlFH</t>
  </si>
  <si>
    <t>https://drive.google.com/file/d/1yYAWB4Z4mDzDvw_nysPE3yU-7a8nwlFH/view?usp=drivesdk</t>
  </si>
  <si>
    <t>Document successfully created; Document successfully merged; PDF created; !!Error Sending Emails: Service invoked too many times for one day: email.; Run via form trigger as codectechnologies0@gmail.com; Timestamp: Aug 30, 2026 4:07 AM</t>
  </si>
  <si>
    <t>1drWA0wCNHfYv_SMjmCQVwSh2MjnJP2LA</t>
  </si>
  <si>
    <t>https://drive.google.com/file/d/1drWA0wCNHfYv_SMjmCQVwSh2MjnJP2LA/view?usp=drivesdk</t>
  </si>
  <si>
    <t>Document successfully created; Document successfully merged; PDF created; !!Error Sending Emails: Service invoked too many times for one day: email.; Run via form trigger as codectechnologies0@gmail.com; Timestamp: Aug 30, 2026 4:08 AM</t>
  </si>
  <si>
    <t>Shravani Ganesh Shewale</t>
  </si>
  <si>
    <t>shravanishewale60@gmail.com</t>
  </si>
  <si>
    <t xml:space="preserve">Keystone school of engineering pune </t>
  </si>
  <si>
    <t>18ii8EUvIZdGIcYQ6E60LUECPv2euDjuT</t>
  </si>
  <si>
    <t>https://drive.google.com/file/d/18ii8EUvIZdGIcYQ6E60LUECPv2euDjuT/view?usp=drivesdk</t>
  </si>
  <si>
    <t>Document successfully created; Document successfully merged; PDF created; Emails Sent: [To: shravanishewale60@gmail.com]; Run via form trigger as codectechnologies0@gmail.com; Timestamp: Aug 30, 2026 4:11 AM</t>
  </si>
  <si>
    <t>Swati Kumari</t>
  </si>
  <si>
    <t>swatikumari15120@gmail.com</t>
  </si>
  <si>
    <t>1ALZPEHkQoc8-rIxiGCPdxsakODtec03P</t>
  </si>
  <si>
    <t>https://drive.google.com/file/d/1ALZPEHkQoc8-rIxiGCPdxsakODtec03P/view?usp=drivesdk</t>
  </si>
  <si>
    <t>Document successfully created; Document successfully merged; PDF created; Emails Sent: [To: swatikumari15120@gmail.com]; Run via form trigger as codectechnologies0@gmail.com; Timestamp: Aug 30, 2026 4:13 AM</t>
  </si>
  <si>
    <t>Kushal Singh</t>
  </si>
  <si>
    <t>Kushal.25SCS1003002801@iilm.edu</t>
  </si>
  <si>
    <t>1UzKeJycYCdbcSyA_XBlJPbuJQBw_H13e</t>
  </si>
  <si>
    <t>https://drive.google.com/file/d/1UzKeJycYCdbcSyA_XBlJPbuJQBw_H13e/view?usp=drivesdk</t>
  </si>
  <si>
    <t>Document successfully created; Document successfully merged; PDF created; !!Error Sending Emails: Service invoked too many times for one day: email.; Run via form trigger as codectechnologies0@gmail.com; Timestamp: Aug 30, 2026 4:13 AM</t>
  </si>
  <si>
    <t>10Qq64fsCuPuS8tTAW8l7kAICeP4uG9nl</t>
  </si>
  <si>
    <t>https://drive.google.com/file/d/10Qq64fsCuPuS8tTAW8l7kAICeP4uG9nl/view?usp=drivesdk</t>
  </si>
  <si>
    <t>Document successfully created; Document successfully merged; PDF created; !!Error Sending Emails: Service invoked too many times for one day: email.; Run via form trigger as codectechnologies0@gmail.com; Timestamp: Aug 30, 2026 4:14 AM</t>
  </si>
  <si>
    <t>Nitin narayan singh</t>
  </si>
  <si>
    <t>nitin.25scs1003001651@iilm.edu</t>
  </si>
  <si>
    <t>1eeXJZeGY6U17I5tPbPaqnifoqCZflojE</t>
  </si>
  <si>
    <t>https://drive.google.com/file/d/1eeXJZeGY6U17I5tPbPaqnifoqCZflojE/view?usp=drivesdk</t>
  </si>
  <si>
    <t xml:space="preserve">Pelluri venkata saimohith </t>
  </si>
  <si>
    <t>pellurisaimohith200@gmail.com</t>
  </si>
  <si>
    <t>1bDpQkZG3qiA4SVdx6gdc2UCAv0F5Bsn_</t>
  </si>
  <si>
    <t>https://drive.google.com/file/d/1bDpQkZG3qiA4SVdx6gdc2UCAv0F5Bsn_/view?usp=drivesdk</t>
  </si>
  <si>
    <t>Document successfully created; Document successfully merged; PDF created; !!Error Sending Emails: Service invoked too many times for one day: email.; Run via form trigger as codectechnologies0@gmail.com; Timestamp: Aug 30, 2026 4:15 AM</t>
  </si>
  <si>
    <t>SOURABH THAPA</t>
  </si>
  <si>
    <t>sourabhth139@gmail.com</t>
  </si>
  <si>
    <t>07300734945</t>
  </si>
  <si>
    <t xml:space="preserve">GRAPHIC ERA HILL UNIVERSITY </t>
  </si>
  <si>
    <t>1OBa1ctZostVu9lGCfpvMsjdIFgo0wQrC</t>
  </si>
  <si>
    <t>https://drive.google.com/file/d/1OBa1ctZostVu9lGCfpvMsjdIFgo0wQrC/view?usp=drivesdk</t>
  </si>
  <si>
    <t>Vaibhav jaiswal</t>
  </si>
  <si>
    <t>jasswaljaiswal@gmail.com</t>
  </si>
  <si>
    <t>1Wf7I4bkh0lZy0WgJ0r4En3j2xuFFHZbB</t>
  </si>
  <si>
    <t>https://drive.google.com/file/d/1Wf7I4bkh0lZy0WgJ0r4En3j2xuFFHZbB/view?usp=drivesdk</t>
  </si>
  <si>
    <t>Document successfully created; Document successfully merged; PDF created; !!Error Sending Emails: Service invoked too many times for one day: email.; Run via form trigger as codectechnologies0@gmail.com; Timestamp: Aug 30, 2026 4:17 AM</t>
  </si>
  <si>
    <t>Nagesh Balachandra S</t>
  </si>
  <si>
    <t>nageshshanbhag2004@gmail.com</t>
  </si>
  <si>
    <t>A J Institute of Engineering and Technology</t>
  </si>
  <si>
    <t>1kLEe12os5LXsGugNWDYAgGBEV0UEA103</t>
  </si>
  <si>
    <t>https://drive.google.com/file/d/1kLEe12os5LXsGugNWDYAgGBEV0UEA103/view?usp=drivesdk</t>
  </si>
  <si>
    <t>Document successfully created; Document successfully merged; PDF created; !!Error Sending Emails: Service invoked too many times for one day: email.; Run via form trigger as codectechnologies0@gmail.com; Timestamp: Aug 30, 2026 4:20 AM</t>
  </si>
  <si>
    <t>1RCpSlyH8p9aYYmgDN7HyRYM7BZmK0IEu</t>
  </si>
  <si>
    <t>https://drive.google.com/file/d/1RCpSlyH8p9aYYmgDN7HyRYM7BZmK0IEu/view?usp=drivesdk</t>
  </si>
  <si>
    <t>Document successfully created; Document successfully merged; PDF created; !!Error Sending Emails: Service invoked too many times for one day: email.; Run via form trigger as codectechnologies0@gmail.com; Timestamp: Aug 30, 2026 4:21 AM</t>
  </si>
  <si>
    <t>A.SRI HARSHA</t>
  </si>
  <si>
    <t>rahiharsha3131@gmail.com</t>
  </si>
  <si>
    <t>GURU NANAK INSTITITIONS TECHNICAL CAMPUS</t>
  </si>
  <si>
    <t>17g7W7Qv-bycmgcpqaaQKoVqbql5PJ4Q-</t>
  </si>
  <si>
    <t>https://drive.google.com/file/d/17g7W7Qv-bycmgcpqaaQKoVqbql5PJ4Q-/view?usp=drivesdk</t>
  </si>
  <si>
    <t>ROUSHAN KANTSINGH</t>
  </si>
  <si>
    <t>roushankantsingh@gmail.com</t>
  </si>
  <si>
    <t>IILM UNIVERSITY , GREATER NOIDA</t>
  </si>
  <si>
    <t>1xYSm0lYJ4sbGfYzRZjC8_Xz9h5NHtw1n</t>
  </si>
  <si>
    <t>https://drive.google.com/file/d/1xYSm0lYJ4sbGfYzRZjC8_Xz9h5NHtw1n/view?usp=drivesdk</t>
  </si>
  <si>
    <t>Document successfully created; Document successfully merged; PDF created; !!Error Sending Emails: Service invoked too many times for one day: email.; Run via form trigger as codectechnologies0@gmail.com; Timestamp: Aug 30, 2026 4:22 AM</t>
  </si>
  <si>
    <t xml:space="preserve">HIMANSU RAJ </t>
  </si>
  <si>
    <t>himanshuraj111222@gmail.com</t>
  </si>
  <si>
    <t>1duNhblmW8Stp2UgUPikWR4Rs7Y2oSbKQ</t>
  </si>
  <si>
    <t>https://drive.google.com/file/d/1duNhblmW8Stp2UgUPikWR4Rs7Y2oSbKQ/view?usp=drivesdk</t>
  </si>
  <si>
    <t>Mayank Verma</t>
  </si>
  <si>
    <t>mayankvrm006@gmail.com</t>
  </si>
  <si>
    <t>1PUGqJdUkl4BikCj8FxpP5kfDBLSHzk3Y</t>
  </si>
  <si>
    <t>https://drive.google.com/file/d/1PUGqJdUkl4BikCj8FxpP5kfDBLSHzk3Y/view?usp=drivesdk</t>
  </si>
  <si>
    <t>Document successfully created; Document successfully merged; PDF created; Emails Sent: [To: mayankvrm006@gmail.com]; Run via form trigger as codectechnologies0@gmail.com; Timestamp: Aug 30, 2026 4:22 AM</t>
  </si>
  <si>
    <t>ARYAN KUMAR TIWARY</t>
  </si>
  <si>
    <t>alphaaryan101@gmail.com</t>
  </si>
  <si>
    <t>1HkuX3aJPtPcseszEM-ib1vGQpKHy1h8s</t>
  </si>
  <si>
    <t>https://drive.google.com/file/d/1HkuX3aJPtPcseszEM-ib1vGQpKHy1h8s/view?usp=drivesdk</t>
  </si>
  <si>
    <t>Document successfully created; Document successfully merged; PDF created; !!Error Sending Emails: Service invoked too many times for one day: email.; Run via form trigger as codectechnologies0@gmail.com; Timestamp: Aug 30, 2026 4:24 AM</t>
  </si>
  <si>
    <t>Sneha</t>
  </si>
  <si>
    <t>45 Days</t>
  </si>
  <si>
    <t>snehabajaj2580@gmail.com</t>
  </si>
  <si>
    <t xml:space="preserve">Hindu college, Amritsar </t>
  </si>
  <si>
    <t>1kxFqBesPeasQVDTFc6XuCrqpwK4mum-L</t>
  </si>
  <si>
    <t>https://drive.google.com/file/d/1kxFqBesPeasQVDTFc6XuCrqpwK4mum-L/view?usp=drivesdk</t>
  </si>
  <si>
    <t>Document successfully created; Document successfully merged; PDF created; Emails Sent: [To: snehabajaj2580@gmail.com]; Run via form trigger as codectechnologies0@gmail.com; Timestamp: Aug 30, 2026 4:28 AM</t>
  </si>
  <si>
    <t>K Koushik Reddy</t>
  </si>
  <si>
    <t>kowshikreddy@karunya.edu.in</t>
  </si>
  <si>
    <t>93982 19763</t>
  </si>
  <si>
    <t xml:space="preserve">Karunya Institute of Technology and Sciences </t>
  </si>
  <si>
    <t>1jMFDZpTnDq8DvZaWwu0AAuSwqWmkhMhZ</t>
  </si>
  <si>
    <t>https://drive.google.com/file/d/1jMFDZpTnDq8DvZaWwu0AAuSwqWmkhMhZ/view?usp=drivesdk</t>
  </si>
  <si>
    <t>Document successfully created; Document successfully merged; PDF created; !!Error Sending Emails: Service invoked too many times for one day: email.; Run via form trigger as codectechnologies0@gmail.com; Timestamp: Aug 30, 2026 4:30 AM</t>
  </si>
  <si>
    <t>Ganesh</t>
  </si>
  <si>
    <t>ganeshmadevu07@gmail.com</t>
  </si>
  <si>
    <t>1eXO5S9Y0hx6DpRKAdLPgebBfEmS0NDGP</t>
  </si>
  <si>
    <t>https://drive.google.com/file/d/1eXO5S9Y0hx6DpRKAdLPgebBfEmS0NDGP/view?usp=drivesdk</t>
  </si>
  <si>
    <t>Document successfully created; Document successfully merged; PDF created; !!Error Sending Emails: Service invoked too many times for one day: email.; Run via form trigger as codectechnologies0@gmail.com; Timestamp: Aug 30, 2026 4:34 AM</t>
  </si>
  <si>
    <t>Mansi</t>
  </si>
  <si>
    <t>mansikhanduri1311@gmail.com</t>
  </si>
  <si>
    <t>1eVkVHp_EKEDWeUnwLDvl2ARjId9w8Jec</t>
  </si>
  <si>
    <t>https://drive.google.com/file/d/1eVkVHp_EKEDWeUnwLDvl2ARjId9w8Jec/view?usp=drivesdk</t>
  </si>
  <si>
    <t>Document successfully created; Document successfully merged; PDF created; !!Error Sending Emails: Service invoked too many times for one day: email.; Run via form trigger as codectechnologies0@gmail.com; Timestamp: Aug 30, 2026 4:36 AM</t>
  </si>
  <si>
    <t>Sarika Kumari</t>
  </si>
  <si>
    <t>sarikamallik309@gmail.com</t>
  </si>
  <si>
    <t>1rV2ht3qdLNZSq-cZd96bUopfc7RntiSH</t>
  </si>
  <si>
    <t>https://drive.google.com/file/d/1rV2ht3qdLNZSq-cZd96bUopfc7RntiSH/view?usp=drivesdk</t>
  </si>
  <si>
    <t>Document successfully created; Document successfully merged; PDF created; !!Error Sending Emails: Service invoked too many times for one day: email.; Run via form trigger as codectechnologies0@gmail.com; Timestamp: Aug 30, 2026 4:37 AM</t>
  </si>
  <si>
    <t>Nitish kumar</t>
  </si>
  <si>
    <t>thakurnitish2025@gmail.com</t>
  </si>
  <si>
    <t xml:space="preserve">Bhai Jaita Subharti Engineering College </t>
  </si>
  <si>
    <t>1Wb755KgRL2Jb6TTXJtBVzGbfYBTrZR8_</t>
  </si>
  <si>
    <t>https://drive.google.com/file/d/1Wb755KgRL2Jb6TTXJtBVzGbfYBTrZR8_/view?usp=drivesdk</t>
  </si>
  <si>
    <t>Document successfully created; Document successfully merged; PDF created; Emails Sent: [To: thakurnitish2025@gmail.com]; Run via form trigger as codectechnologies0@gmail.com; Timestamp: Aug 30, 2026 4:41 AM</t>
  </si>
  <si>
    <t>Aman Raj</t>
  </si>
  <si>
    <t>amanraj17804@gmail.com</t>
  </si>
  <si>
    <t>LinkedIn, Friend, AICTE/Indeed, Internshala</t>
  </si>
  <si>
    <t>1-Iu7PEZenYviJxk39LGFr4tJ0styZMbN</t>
  </si>
  <si>
    <t>https://drive.google.com/file/d/1-Iu7PEZenYviJxk39LGFr4tJ0styZMbN/view?usp=drivesdk</t>
  </si>
  <si>
    <t>Document successfully created; Document successfully merged; PDF created; !!Error Sending Emails: Service invoked too many times for one day: email.; Run via form trigger as codectechnologies0@gmail.com; Timestamp: Aug 30, 2026 4:46 AM</t>
  </si>
  <si>
    <t xml:space="preserve">RAKSHITHA </t>
  </si>
  <si>
    <t>rakshitharishu494@gmail.com</t>
  </si>
  <si>
    <t xml:space="preserve">Sri Matta degree college </t>
  </si>
  <si>
    <t>1B4vLuYLDehea4EvdX3awZ4KzzeNiTyvm</t>
  </si>
  <si>
    <t>https://drive.google.com/file/d/1B4vLuYLDehea4EvdX3awZ4KzzeNiTyvm/view?usp=drivesdk</t>
  </si>
  <si>
    <t>Document successfully created; Document successfully merged; PDF created; !!Error Sending Emails: Service invoked too many times for one day: email.; Run via form trigger as codectechnologies0@gmail.com; Timestamp: Aug 30, 2026 4:47 AM</t>
  </si>
  <si>
    <t>1ZnYYgoIpJmcOf7h20Ml31akTVHG6_SDw</t>
  </si>
  <si>
    <t>https://drive.google.com/file/d/1ZnYYgoIpJmcOf7h20Ml31akTVHG6_SDw/view?usp=drivesdk</t>
  </si>
  <si>
    <t>Document successfully created; Document successfully merged; PDF created; Emails Sent: [To: amanraj17804@gmail.com]; Run via form trigger as codectechnologies0@gmail.com; Timestamp: Aug 30, 2026 4:52 AM</t>
  </si>
  <si>
    <t>Instagram, Facebook, WhatsApp, Friend, Email</t>
  </si>
  <si>
    <t>19DFf742uh7uKMo9iWWeR1PVYhzRclORd</t>
  </si>
  <si>
    <t>https://drive.google.com/file/d/19DFf742uh7uKMo9iWWeR1PVYhzRclORd/view?usp=drivesdk</t>
  </si>
  <si>
    <t>Document successfully created; Document successfully merged; PDF created; !!Error Sending Emails: Service invoked too many times for one day: email.; Run via form trigger as codectechnologies0@gmail.com; Timestamp: Aug 30, 2026 4:56 AM</t>
  </si>
  <si>
    <t>Palak Laxmi</t>
  </si>
  <si>
    <t>choubeypalak79@gmail.com</t>
  </si>
  <si>
    <t>1zz12_Qf7m8OPUKgTXvZewGFAQDXJ51LG</t>
  </si>
  <si>
    <t>https://drive.google.com/file/d/1zz12_Qf7m8OPUKgTXvZewGFAQDXJ51LG/view?usp=drivesdk</t>
  </si>
  <si>
    <t>Avani Chauhan</t>
  </si>
  <si>
    <t>avaniechauhan@gmail.com</t>
  </si>
  <si>
    <t>14G6TUOGhzaPPlRH-ST7U9rUWKaanMAzY</t>
  </si>
  <si>
    <t>https://drive.google.com/file/d/14G6TUOGhzaPPlRH-ST7U9rUWKaanMAzY/view?usp=drivesdk</t>
  </si>
  <si>
    <t>Document successfully created; Document successfully merged; PDF created; !!Error Sending Emails: Service invoked too many times for one day: email.; Run via form trigger as codectechnologies0@gmail.com; Timestamp: Aug 30, 2026 4:57 AM</t>
  </si>
  <si>
    <t>Md Areeb Ali</t>
  </si>
  <si>
    <t>alimdareeb146@gmail.com</t>
  </si>
  <si>
    <t>1COGtUPhX657jgwmUDxkRSpsg0JDYFjZ5</t>
  </si>
  <si>
    <t>https://drive.google.com/file/d/1COGtUPhX657jgwmUDxkRSpsg0JDYFjZ5/view?usp=drivesdk</t>
  </si>
  <si>
    <t xml:space="preserve">Amal Vishnu G </t>
  </si>
  <si>
    <t xml:space="preserve">amalvishnu21702@gmail.com </t>
  </si>
  <si>
    <t xml:space="preserve">Suguna College of Engineering </t>
  </si>
  <si>
    <t>14FHWOaD88_kxalFNy2btx2ulvBRanlaE</t>
  </si>
  <si>
    <t>https://drive.google.com/file/d/14FHWOaD88_kxalFNy2btx2ulvBRanlaE/view?usp=drivesdk</t>
  </si>
  <si>
    <t>Document successfully created; Document successfully merged; PDF created; !!Error Sending Emails: Service invoked too many times for one day: email.; Run via form trigger as codectechnologies0@gmail.com; Timestamp: Aug 30, 2026 5:12 AM</t>
  </si>
  <si>
    <t>Aditya Bhosle</t>
  </si>
  <si>
    <t>adibhosle8432@gmail.com</t>
  </si>
  <si>
    <t xml:space="preserve">Shri Shivaji College, Parbhani </t>
  </si>
  <si>
    <t>16Ilgt8l7cSbLWH8AiBrV1kq0V5VwEOOU</t>
  </si>
  <si>
    <t>https://drive.google.com/file/d/16Ilgt8l7cSbLWH8AiBrV1kq0V5VwEOOU/view?usp=drivesdk</t>
  </si>
  <si>
    <t>Document successfully created; Document successfully merged; PDF created; !!Error Sending Emails: Service invoked too many times for one day: email.; Run via form trigger as codectechnologies0@gmail.com; Timestamp: Aug 30, 2026 5:19 AM</t>
  </si>
  <si>
    <t>Aaditya kadam</t>
  </si>
  <si>
    <t>aadityakadam432@gmail.com</t>
  </si>
  <si>
    <t>Svvv</t>
  </si>
  <si>
    <t>1hDVMg1mL2pTfCkWhMjFolaLXWBR8YbNI</t>
  </si>
  <si>
    <t>https://drive.google.com/file/d/1hDVMg1mL2pTfCkWhMjFolaLXWBR8YbNI/view?usp=drivesdk</t>
  </si>
  <si>
    <t>Document successfully created; Document successfully merged; PDF created; !!Error Sending Emails: Service invoked too many times for one day: email.; Run via form trigger as codectechnologies0@gmail.com; Timestamp: Aug 30, 2026 5:29 AM</t>
  </si>
  <si>
    <t xml:space="preserve">Madevu Ganesh </t>
  </si>
  <si>
    <t>16HSb5VPPih6ME1NhwcRNsOJMFpQ8-4Wy</t>
  </si>
  <si>
    <t>https://drive.google.com/file/d/16HSb5VPPih6ME1NhwcRNsOJMFpQ8-4Wy/view?usp=drivesdk</t>
  </si>
  <si>
    <t>ATUL KUMAR</t>
  </si>
  <si>
    <t>atulkumar8a49@gmail.com</t>
  </si>
  <si>
    <t>IILM UNIVERSITY,GREATER NOIDA</t>
  </si>
  <si>
    <t>13_pSyky2rHWeR1_pEltadcMz_1gFtnsT</t>
  </si>
  <si>
    <t>https://drive.google.com/file/d/13_pSyky2rHWeR1_pEltadcMz_1gFtnsT/view?usp=drivesdk</t>
  </si>
  <si>
    <t>Document successfully created; Document successfully merged; PDF created; !!Error Sending Emails: Service invoked too many times for one day: email.; Run via form trigger as codectechnologies0@gmail.com; Timestamp: Aug 30, 2026 5:34 AM</t>
  </si>
  <si>
    <t>MANAS BARMAN</t>
  </si>
  <si>
    <t>manashbarman283@gmail.com</t>
  </si>
  <si>
    <t>IILM UNIVERSITY, GREATER NOIDA</t>
  </si>
  <si>
    <t>1JJOY0iGPG3iXdBjGHty6sqHJ7B9ZpE0v</t>
  </si>
  <si>
    <t>https://drive.google.com/file/d/1JJOY0iGPG3iXdBjGHty6sqHJ7B9ZpE0v/view?usp=drivesdk</t>
  </si>
  <si>
    <t>1poRXXy_ZDhNH9X0SkERiQ3iL2hBTFQjT</t>
  </si>
  <si>
    <t>https://drive.google.com/file/d/1poRXXy_ZDhNH9X0SkERiQ3iL2hBTFQjT/view?usp=drivesdk</t>
  </si>
  <si>
    <t>Document successfully created; Document successfully merged; PDF created; !!Error Sending Emails: Service invoked too many times for one day: email.; Run via form trigger as codectechnologies0@gmail.com; Timestamp: Aug 30, 2026 5:37 AM</t>
  </si>
  <si>
    <t>Deepthi Sindhu Gantla</t>
  </si>
  <si>
    <t>gdeepthisindhu@gmail.com</t>
  </si>
  <si>
    <t>Aditya Degree and PG College For Women, Rajahmundry</t>
  </si>
  <si>
    <t>1ThYzmAB0NaKgcNYVmNuXANlyO_89Iauv</t>
  </si>
  <si>
    <t>https://drive.google.com/file/d/1ThYzmAB0NaKgcNYVmNuXANlyO_89Iauv/view?usp=drivesdk</t>
  </si>
  <si>
    <t>Document successfully created; Document successfully merged; PDF created; !!Error Sending Emails: Service invoked too many times for one day: email.; Run via form trigger as codectechnologies0@gmail.com; Timestamp: Aug 30, 2026 5:39 AM</t>
  </si>
  <si>
    <t>Annapurna M Surapura Matha</t>
  </si>
  <si>
    <t>annapurnasm06@gmail.com</t>
  </si>
  <si>
    <t>Dr Ambedkar Institute Of Technology</t>
  </si>
  <si>
    <t>10aAlvHG-OnYV-K8VH676GvHuV6IjV8_b</t>
  </si>
  <si>
    <t>https://drive.google.com/file/d/10aAlvHG-OnYV-K8VH676GvHuV6IjV8_b/view?usp=drivesdk</t>
  </si>
  <si>
    <t>Document successfully created; Document successfully merged; PDF created; !!Error Sending Emails: Service invoked too many times for one day: email.; Run via form trigger as codectechnologies0@gmail.com; Timestamp: Aug 30, 2026 5:42 AM</t>
  </si>
  <si>
    <t>Sravanthi Mummidivarapu</t>
  </si>
  <si>
    <t>mummidivarapusravanthi19@gmail.com</t>
  </si>
  <si>
    <t>1sfUwSO5UH_AwH676VvcIXv0XTG0xAx2H</t>
  </si>
  <si>
    <t>https://drive.google.com/file/d/1sfUwSO5UH_AwH676VvcIXv0XTG0xAx2H/view?usp=drivesdk</t>
  </si>
  <si>
    <t>Document successfully created; Document successfully merged; PDF created; !!Error Sending Emails: Service invoked too many times for one day: email.; Run via form trigger as codectechnologies0@gmail.com; Timestamp: Aug 30, 2026 5:43 AM</t>
  </si>
  <si>
    <t>Ravi Rathod</t>
  </si>
  <si>
    <t>Geetanjali Group of Collges</t>
  </si>
  <si>
    <t>1RpwZIUMNZxtpLQc2XvIJ1IcGzLGadeJh</t>
  </si>
  <si>
    <t>https://drive.google.com/file/d/1RpwZIUMNZxtpLQc2XvIJ1IcGzLGadeJh/view?usp=drivesdk</t>
  </si>
  <si>
    <t>Document successfully created; Document successfully merged; PDF created; !!Error Sending Emails: Service invoked too many times for one day: email.; Run via form trigger as codectechnologies0@gmail.com; Timestamp: Aug 30, 2026 5:47 AM</t>
  </si>
  <si>
    <t>1S_Qrd97TcqbgKAlFOl5fxnFa4TD0gZN_</t>
  </si>
  <si>
    <t>https://drive.google.com/file/d/1S_Qrd97TcqbgKAlFOl5fxnFa4TD0gZN_/view?usp=drivesdk</t>
  </si>
  <si>
    <t>Document successfully created; Document successfully merged; PDF created; !!Error Sending Emails: Service invoked too many times for one day: email.; Run via form trigger as codectechnologies0@gmail.com; Timestamp: Aug 30, 2026 5:49 AM</t>
  </si>
  <si>
    <t xml:space="preserve">Debabrata Pramanik </t>
  </si>
  <si>
    <t>debabratapramanik.sabuj@gmail.com</t>
  </si>
  <si>
    <t xml:space="preserve">Swami Vivekananda University </t>
  </si>
  <si>
    <t>1LYT51ee_cDSpasjxRNiKC8DJqxqhHbQJ</t>
  </si>
  <si>
    <t>https://drive.google.com/file/d/1LYT51ee_cDSpasjxRNiKC8DJqxqhHbQJ/view?usp=drivesdk</t>
  </si>
  <si>
    <t>Document successfully created; Document successfully merged; PDF created; !!Error Sending Emails: Service invoked too many times for one day: email.; Run via form trigger as codectechnologies0@gmail.com; Timestamp: Aug 30, 2026 5:52 AM</t>
  </si>
  <si>
    <t>KAKKAD NEEV PRAGNESHBHAI</t>
  </si>
  <si>
    <t>neevkakkad913@gmail.com</t>
  </si>
  <si>
    <t xml:space="preserve">Shree R.P.Bhalodia College </t>
  </si>
  <si>
    <t>1ymUe9B3xd0DZKdfGahxpVk1aamyjy2Su</t>
  </si>
  <si>
    <t>https://drive.google.com/file/d/1ymUe9B3xd0DZKdfGahxpVk1aamyjy2Su/view?usp=drivesdk</t>
  </si>
  <si>
    <t>Document successfully created; Document successfully merged; PDF created; !!Error Sending Emails: Service invoked too many times for one day: email.; Run via form trigger as codectechnologies0@gmail.com; Timestamp: Aug 30, 2026 5:53 AM</t>
  </si>
  <si>
    <t>Bhavani M</t>
  </si>
  <si>
    <t>bhavani.manchirajula.2007@gmail.com</t>
  </si>
  <si>
    <t xml:space="preserve">Ellenki college of engineering and technology </t>
  </si>
  <si>
    <t>1NmdLQwKG-fyuorivhbSPBZVHDYiwpyiM</t>
  </si>
  <si>
    <t>https://drive.google.com/file/d/1NmdLQwKG-fyuorivhbSPBZVHDYiwpyiM/view?usp=drivesdk</t>
  </si>
  <si>
    <t>Document successfully created; Document successfully merged; PDF created; !!Error Sending Emails: Service invoked too many times for one day: email.; Run via form trigger as codectechnologies0@gmail.com; Timestamp: Aug 30, 2026 5:56 AM</t>
  </si>
  <si>
    <t>1pOXeKWgg7oEYCaRaZXjP9WRfVjOfZPki</t>
  </si>
  <si>
    <t>https://drive.google.com/file/d/1pOXeKWgg7oEYCaRaZXjP9WRfVjOfZPki/view?usp=drivesdk</t>
  </si>
  <si>
    <t>Document successfully created; Document successfully merged; PDF created; !!Error Sending Emails: Service invoked too many times for one day: email.; Run via form trigger as codectechnologies0@gmail.com; Timestamp: Aug 30, 2026 5:57 AM</t>
  </si>
  <si>
    <t>Janhvi gupta</t>
  </si>
  <si>
    <t>Janhvi.25scs1003003600@iilm.edu</t>
  </si>
  <si>
    <t>1yuPfWxmvkYwq6vrU7TefTqCDjD77eF8c</t>
  </si>
  <si>
    <t>https://drive.google.com/file/d/1yuPfWxmvkYwq6vrU7TefTqCDjD77eF8c/view?usp=drivesdk</t>
  </si>
  <si>
    <t>Document successfully created; Document successfully merged; PDF created; !!Error Sending Emails: Service invoked too many times for one day: email.; Run via form trigger as codectechnologies0@gmail.com; Timestamp: Aug 30, 2026 5:58 AM</t>
  </si>
  <si>
    <t>Jayashree Rajganesh</t>
  </si>
  <si>
    <t>jayashreer2119@gmail.com</t>
  </si>
  <si>
    <t>LinkedIn, WhatsApp, Internshala</t>
  </si>
  <si>
    <t>1qw4sDU8B6ng4MK0F1NiMZA6rb54KhayH</t>
  </si>
  <si>
    <t>https://drive.google.com/file/d/1qw4sDU8B6ng4MK0F1NiMZA6rb54KhayH/view?usp=drivesdk</t>
  </si>
  <si>
    <t>Document successfully created; Document successfully merged; PDF created; !!Error Sending Emails: Service invoked too many times for one day: email.; Run via form trigger as codectechnologies0@gmail.com; Timestamp: Aug 30, 2026 6:04 AM</t>
  </si>
  <si>
    <t>Nishu</t>
  </si>
  <si>
    <t>nishuchechigurjar@gmail.com</t>
  </si>
  <si>
    <t xml:space="preserve">Maharaja Agresen institute of technology </t>
  </si>
  <si>
    <t>1mno3ZKvkJ2BJTCSinkYnC4et9-L8fqqi</t>
  </si>
  <si>
    <t>https://drive.google.com/file/d/1mno3ZKvkJ2BJTCSinkYnC4et9-L8fqqi/view?usp=drivesdk</t>
  </si>
  <si>
    <t>Document successfully created; Document successfully merged; PDF created; !!Error Sending Emails: Service invoked too many times for one day: email.; Run via form trigger as codectechnologies0@gmail.com; Timestamp: Aug 30, 2026 6:05 AM</t>
  </si>
  <si>
    <t>Echelon institute of technology</t>
  </si>
  <si>
    <t>1pOS-uC1XMIouBUIkQYy5ovaGYcy3QNhM</t>
  </si>
  <si>
    <t>https://drive.google.com/file/d/1pOS-uC1XMIouBUIkQYy5ovaGYcy3QNhM/view?usp=drivesdk</t>
  </si>
  <si>
    <t>Document successfully created; Document successfully merged; PDF created; !!Error Sending Emails: Service invoked too many times for one day: email.; Run via form trigger as codectechnologies0@gmail.com; Timestamp: Aug 30, 2026 6:07 AM</t>
  </si>
  <si>
    <t xml:space="preserve">Akshay Pathak </t>
  </si>
  <si>
    <t>ap689156@gmail.com</t>
  </si>
  <si>
    <t xml:space="preserve">Gnit </t>
  </si>
  <si>
    <t>1ScJwiqCNO7DF_7QwTCTi9Q3fcZ9TfwrS</t>
  </si>
  <si>
    <t>https://drive.google.com/file/d/1ScJwiqCNO7DF_7QwTCTi9Q3fcZ9TfwrS/view?usp=drivesdk</t>
  </si>
  <si>
    <t>Document successfully created; Document successfully merged; PDF created; !!Error Sending Emails: Service invoked too many times for one day: email.; Run via form trigger as codectechnologies0@gmail.com; Timestamp: Aug 30, 2026 6:11 AM</t>
  </si>
  <si>
    <t>1BeDySlbt7PY82We64KlUQCXvvbAgpvYI</t>
  </si>
  <si>
    <t>https://drive.google.com/file/d/1BeDySlbt7PY82We64KlUQCXvvbAgpvYI/view?usp=drivesdk</t>
  </si>
  <si>
    <t>Document successfully created; Document successfully merged; PDF created; !!Error Sending Emails: Service invoked too many times for one day: email.; Run via form trigger as codectechnologies0@gmail.com; Timestamp: Aug 30, 2026 6:15 AM</t>
  </si>
  <si>
    <t>1wrWd5v8-YiNd4NSsSfbTg0tvlMfeYWNy</t>
  </si>
  <si>
    <t>https://drive.google.com/file/d/1wrWd5v8-YiNd4NSsSfbTg0tvlMfeYWNy/view?usp=drivesdk</t>
  </si>
  <si>
    <t>Document successfully created; Document successfully merged; PDF created; !!Error Sending Emails: Service invoked too many times for one day: email.; Run via form trigger as codectechnologies0@gmail.com; Timestamp: Aug 30, 2026 6:18 AM</t>
  </si>
  <si>
    <t>HIMANSU RAJ</t>
  </si>
  <si>
    <t>himansuraj7488@gmail.com</t>
  </si>
  <si>
    <t>1ybcF-HVAa4TulWcsPgz2pyTN_zHjHOxt</t>
  </si>
  <si>
    <t>https://drive.google.com/file/d/1ybcF-HVAa4TulWcsPgz2pyTN_zHjHOxt/view?usp=drivesdk</t>
  </si>
  <si>
    <t>Document successfully created; Document successfully merged; PDF created; !!Error Sending Emails: Service invoked too many times for one day: email.; Run via form trigger as codectechnologies0@gmail.com; Timestamp: Aug 30, 2026 6:21 AM</t>
  </si>
  <si>
    <t>Anushka Bhardwaj</t>
  </si>
  <si>
    <t>banushka315@gmail.com</t>
  </si>
  <si>
    <t xml:space="preserve">ARKA JAIN UNIVERSITY </t>
  </si>
  <si>
    <t>1_7uDzfEXOeQ4GJ5yhwZHlhZ9511n0wh8</t>
  </si>
  <si>
    <t>https://drive.google.com/file/d/1_7uDzfEXOeQ4GJ5yhwZHlhZ9511n0wh8/view?usp=drivesdk</t>
  </si>
  <si>
    <t>Document successfully created; Document successfully merged; PDF created; !!Error Sending Emails: Service invoked too many times for one day: email.; Run via form trigger as codectechnologies0@gmail.com; Timestamp: Aug 30, 2026 6:31 AM</t>
  </si>
  <si>
    <t>Garvit Matta</t>
  </si>
  <si>
    <t>garvitmatta@gmail.com</t>
  </si>
  <si>
    <t xml:space="preserve">Satyug Darshan institute of engineering and technology </t>
  </si>
  <si>
    <t>1S3c327IEcIihtxt3gv10yCCeZqSK8lIF</t>
  </si>
  <si>
    <t>https://drive.google.com/file/d/1S3c327IEcIihtxt3gv10yCCeZqSK8lIF/view?usp=drivesdk</t>
  </si>
  <si>
    <t>Document successfully created; Document successfully merged; PDF created; !!Error Sending Emails: Service invoked too many times for one day: email.; Run via form trigger as codectechnologies0@gmail.com; Timestamp: Aug 30, 2026 6:39 AM</t>
  </si>
  <si>
    <t>Saurav Singh</t>
  </si>
  <si>
    <t>saurav.25scs1003000688@iilm.edu</t>
  </si>
  <si>
    <t>1h3-6IjyQYmMH9ysTi0bYXdnDGTpNkgIs</t>
  </si>
  <si>
    <t>https://drive.google.com/file/d/1h3-6IjyQYmMH9ysTi0bYXdnDGTpNkgIs/view?usp=drivesdk</t>
  </si>
  <si>
    <t>Document successfully created; Document successfully merged; PDF created; !!Error Sending Emails: Service invoked too many times for one day: email.; Run via form trigger as codectechnologies0@gmail.com; Timestamp: Aug 30, 2026 6:41 AM</t>
  </si>
  <si>
    <t>Siddhika Kandwal</t>
  </si>
  <si>
    <t>siddhikakandwal@gmail.com</t>
  </si>
  <si>
    <t>1X4fLSHZ2ASv251boq4Agf0QZNb_XYyH8</t>
  </si>
  <si>
    <t>https://drive.google.com/file/d/1X4fLSHZ2ASv251boq4Agf0QZNb_XYyH8/view?usp=drivesdk</t>
  </si>
  <si>
    <t>Document successfully created; Document successfully merged; PDF created; !!Error Sending Emails: Service invoked too many times for one day: email.; Run via form trigger as codectechnologies0@gmail.com; Timestamp: Aug 30, 2026 6:43 AM</t>
  </si>
  <si>
    <t>Sandipan Das</t>
  </si>
  <si>
    <t>sndpn.1312@gmail.com</t>
  </si>
  <si>
    <t xml:space="preserve">Royal Global University </t>
  </si>
  <si>
    <t>1cfLVrrZkjsSHZ4lWEYv8DlJNqa8X2qFc</t>
  </si>
  <si>
    <t>https://drive.google.com/file/d/1cfLVrrZkjsSHZ4lWEYv8DlJNqa8X2qFc/view?usp=drivesdk</t>
  </si>
  <si>
    <t>Document successfully created; Document successfully merged; PDF created; !!Error Sending Emails: Service invoked too many times for one day: email.; Run via form trigger as codectechnologies0@gmail.com; Timestamp: Aug 30, 2026 6:45 AM</t>
  </si>
  <si>
    <t xml:space="preserve">Srushti Talekari </t>
  </si>
  <si>
    <t>srushtitalekari01@gmail.com</t>
  </si>
  <si>
    <t>10jDzNkaQo7l1TGaTpYePi5iPBKu2RXJC</t>
  </si>
  <si>
    <t>https://drive.google.com/file/d/10jDzNkaQo7l1TGaTpYePi5iPBKu2RXJC/view?usp=drivesdk</t>
  </si>
  <si>
    <t>Document successfully created; Document successfully merged; PDF created; !!Error Sending Emails: Service invoked too many times for one day: email.; Run via form trigger as codectechnologies0@gmail.com; Timestamp: Aug 30, 2026 6:47 AM</t>
  </si>
  <si>
    <t>1auRdXOpKkhZaxc_w-Hyq4lCypgJLjboh</t>
  </si>
  <si>
    <t>https://drive.google.com/file/d/1auRdXOpKkhZaxc_w-Hyq4lCypgJLjboh/view?usp=drivesdk</t>
  </si>
  <si>
    <t>Document successfully created; Document successfully merged; PDF created; !!Error Sending Emails: Service invoked too many times for one day: email.; Run via form trigger as codectechnologies0@gmail.com; Timestamp: Aug 30, 2026 6:50 AM</t>
  </si>
  <si>
    <t xml:space="preserve">Anjali kumari </t>
  </si>
  <si>
    <t>anjali.25scs1003001667@iilm.edu8</t>
  </si>
  <si>
    <t>Google, Internshala</t>
  </si>
  <si>
    <t>1MGvzMZzbThsP5LuRKrTDWBewAOKgeeDm</t>
  </si>
  <si>
    <t>https://drive.google.com/file/d/1MGvzMZzbThsP5LuRKrTDWBewAOKgeeDm/view?usp=drivesdk</t>
  </si>
  <si>
    <t>Document successfully created; Document successfully merged; PDF created; !!Error Sending Emails: Service invoked too many times for one day: email.; Run via form trigger as codectechnologies0@gmail.com; Timestamp: Aug 30, 2026 6:52 AM</t>
  </si>
  <si>
    <t>Mukul Chauhan</t>
  </si>
  <si>
    <t>chauhanmukul915@gmail.com</t>
  </si>
  <si>
    <t xml:space="preserve">Galgotias university </t>
  </si>
  <si>
    <t>1zEih8JP0p6frSuCiK9glFPnSw_tCyUiR</t>
  </si>
  <si>
    <t>https://drive.google.com/file/d/1zEih8JP0p6frSuCiK9glFPnSw_tCyUiR/view?usp=drivesdk</t>
  </si>
  <si>
    <t>Document successfully created; Document successfully merged; PDF created; !!Error Sending Emails: Service invoked too many times for one day: email.; Run via form trigger as codectechnologies0@gmail.com; Timestamp: Aug 30, 2026 6:58 AM</t>
  </si>
  <si>
    <t>Shraddha Verma</t>
  </si>
  <si>
    <t>vshraddha505@gmail.com</t>
  </si>
  <si>
    <t>1skrHBY_gUzPY48K8u6uXsUeQ5pGdfgLU</t>
  </si>
  <si>
    <t>https://drive.google.com/file/d/1skrHBY_gUzPY48K8u6uXsUeQ5pGdfgLU/view?usp=drivesdk</t>
  </si>
  <si>
    <t>Document successfully created; Document successfully merged; PDF created; !!Error Sending Emails: Service invoked too many times for one day: email.; Run via form trigger as codectechnologies0@gmail.com; Timestamp: Aug 30, 2026 7:01 AM</t>
  </si>
  <si>
    <t>Abhishek Dwivedi</t>
  </si>
  <si>
    <t>abhishekyt808@gmail.com</t>
  </si>
  <si>
    <t>1C7QoAluhE8rg6o7fwQJBZBz_ojhZ0tQB</t>
  </si>
  <si>
    <t>https://drive.google.com/file/d/1C7QoAluhE8rg6o7fwQJBZBz_ojhZ0tQB/view?usp=drivesdk</t>
  </si>
  <si>
    <t>Document successfully created; Document successfully merged; PDF created; !!Error Sending Emails: Service invoked too many times for one day: email.; Run via form trigger as codectechnologies0@gmail.com; Timestamp: Aug 30, 2026 7:05 AM</t>
  </si>
  <si>
    <t>Aryan Singh</t>
  </si>
  <si>
    <t>aryantjgx@gmail.com</t>
  </si>
  <si>
    <t>IILM University Greator Noida</t>
  </si>
  <si>
    <t>LinkedIn, AICTE/Indeed, Internshala</t>
  </si>
  <si>
    <t>1Y9DsySH62jmxJt81bX-bq13M9TowTJV-</t>
  </si>
  <si>
    <t>https://drive.google.com/file/d/1Y9DsySH62jmxJt81bX-bq13M9TowTJV-/view?usp=drivesdk</t>
  </si>
  <si>
    <t>Document successfully created; Document successfully merged; PDF created; !!Error Sending Emails: Service invoked too many times for one day: email.; Run via form trigger as codectechnologies0@gmail.com; Timestamp: Aug 30, 2026 7:12 AM</t>
  </si>
  <si>
    <t>Yogesh Kushwaha</t>
  </si>
  <si>
    <t>yogeshkushwaha873@gmail.com</t>
  </si>
  <si>
    <t>1wawMxhSGy52pXknbWBkzSQxIAkSQqI_x</t>
  </si>
  <si>
    <t>https://drive.google.com/file/d/1wawMxhSGy52pXknbWBkzSQxIAkSQqI_x/view?usp=drivesdk</t>
  </si>
  <si>
    <t>Document successfully created; Document successfully merged; PDF created; !!Error Sending Emails: Service invoked too many times for one day: email.; Run via form trigger as codectechnologies0@gmail.com; Timestamp: Aug 30, 2026 7:23 AM</t>
  </si>
  <si>
    <t>Guruprasad Mastappa</t>
  </si>
  <si>
    <t>guru60539@gmail.com</t>
  </si>
  <si>
    <t>anjuman institute of technology and management</t>
  </si>
  <si>
    <t>1XdwNI4uPJrv5eQuSmgrpBAI57ry59Jrd</t>
  </si>
  <si>
    <t>https://drive.google.com/file/d/1XdwNI4uPJrv5eQuSmgrpBAI57ry59Jrd/view?usp=drivesdk</t>
  </si>
  <si>
    <t>Document successfully created; Document successfully merged; PDF created; !!Error Sending Emails: Service invoked too many times for one day: email.; Run via form trigger as codectechnologies0@gmail.com; Timestamp: Aug 30, 2026 7:33 AM</t>
  </si>
  <si>
    <t xml:space="preserve">Sudarshan S Sarwad </t>
  </si>
  <si>
    <t>sarwadsudarshan68@gmail.com</t>
  </si>
  <si>
    <t xml:space="preserve">BLDEA VIJAYAPURA </t>
  </si>
  <si>
    <t>1A9t0hRq4suoFThQ99Bj_DQMIOIvTgoSz</t>
  </si>
  <si>
    <t>https://drive.google.com/file/d/1A9t0hRq4suoFThQ99Bj_DQMIOIvTgoSz/view?usp=drivesdk</t>
  </si>
  <si>
    <t>Document successfully created; Document successfully merged; PDF created; !!Error Sending Emails: Service invoked too many times for one day: email.; Run via form trigger as codectechnologies0@gmail.com; Timestamp: Aug 30, 2026 7:39 AM</t>
  </si>
  <si>
    <t>Ram Sharma</t>
  </si>
  <si>
    <t>ramsharma21144@gmail.com</t>
  </si>
  <si>
    <t>Methodist College of Engineering and Technology</t>
  </si>
  <si>
    <t>12LBCjBkEVDeis-z6KKsE1fjdh2fincYH</t>
  </si>
  <si>
    <t>https://drive.google.com/file/d/12LBCjBkEVDeis-z6KKsE1fjdh2fincYH/view?usp=drivesdk</t>
  </si>
  <si>
    <t>Document successfully created; Document successfully merged; PDF created; !!Error Sending Emails: Service invoked too many times for one day: email.; Run via form trigger as codectechnologies0@gmail.com; Timestamp: Aug 30, 2026 7:41 AM</t>
  </si>
  <si>
    <t>Adarsh Yadav</t>
  </si>
  <si>
    <t>adarshyadav12451245@gmail.com</t>
  </si>
  <si>
    <t>1qERCjfpTfu0GOOC0A9spiUKKrYZQgbOu</t>
  </si>
  <si>
    <t>https://drive.google.com/file/d/1qERCjfpTfu0GOOC0A9spiUKKrYZQgbOu/view?usp=drivesdk</t>
  </si>
  <si>
    <t>Document successfully created; Document successfully merged; PDF created; !!Error Sending Emails: Service invoked too many times for one day: email.; Run via form trigger as codectechnologies0@gmail.com; Timestamp: Aug 30, 2026 7:47 AM</t>
  </si>
  <si>
    <t>Kota SIDDHARDA</t>
  </si>
  <si>
    <t>siddhu5045c@gmail.com</t>
  </si>
  <si>
    <t>1JKdP6niQwP-K91HCIjB2CKtjHs4iQWXX</t>
  </si>
  <si>
    <t>https://drive.google.com/file/d/1JKdP6niQwP-K91HCIjB2CKtjHs4iQWXX/view?usp=drivesdk</t>
  </si>
  <si>
    <t xml:space="preserve">Shaurya Shekhar </t>
  </si>
  <si>
    <t>shaurya.shekhar.cs28@iilm.edu</t>
  </si>
  <si>
    <t>99316 84385</t>
  </si>
  <si>
    <t>LinkedIn, Instagram, AICTE/Indeed</t>
  </si>
  <si>
    <t>1aDWZcZe9xD3efckbbInGGR8f2na6haW9</t>
  </si>
  <si>
    <t>https://drive.google.com/file/d/1aDWZcZe9xD3efckbbInGGR8f2na6haW9/view?usp=drivesdk</t>
  </si>
  <si>
    <t>Document successfully created; Document successfully merged; PDF created; !!Error Sending Emails: Service invoked too many times for one day: email.; Run via form trigger as codectechnologies0@gmail.com; Timestamp: Aug 30, 2026 7:54 AM</t>
  </si>
  <si>
    <t>Sushanth Reddy P V</t>
  </si>
  <si>
    <t>pusapatisushanth@gmail.com</t>
  </si>
  <si>
    <t>1i16sLO8yooCBZBiDmy9uHWvd_5Q9HPcq</t>
  </si>
  <si>
    <t>https://drive.google.com/file/d/1i16sLO8yooCBZBiDmy9uHWvd_5Q9HPcq/view?usp=drivesdk</t>
  </si>
  <si>
    <t>Document successfully created; Document successfully merged; PDF created; !!Error Sending Emails: Service invoked too many times for one day: email.; Run via form trigger as codectechnologies0@gmail.com; Timestamp: Aug 30, 2026 8:00 AM</t>
  </si>
  <si>
    <t>Abhi Sidhu</t>
  </si>
  <si>
    <t>abhisidhuiaf2802@gmail.com</t>
  </si>
  <si>
    <t xml:space="preserve">IILM UNIVERSITY Greater Noida </t>
  </si>
  <si>
    <t>1b02sS9FWt4__ixDrYyymKdytEqzrtSuJ</t>
  </si>
  <si>
    <t>https://drive.google.com/file/d/1b02sS9FWt4__ixDrYyymKdytEqzrtSuJ/view?usp=drivesdk</t>
  </si>
  <si>
    <t>Document successfully created; Document successfully merged; PDF created; !!Error Sending Emails: Service invoked too many times for one day: email.; Run via form trigger as codectechnologies0@gmail.com; Timestamp: Aug 30, 2026 8:01 AM</t>
  </si>
  <si>
    <t>Lakshay Kumar Saurout</t>
  </si>
  <si>
    <t>lakshaysaurout07@gmail.com</t>
  </si>
  <si>
    <t>1k0udUt2kLSTypfqHZpxDNdDE1hOEPAXN</t>
  </si>
  <si>
    <t>https://drive.google.com/file/d/1k0udUt2kLSTypfqHZpxDNdDE1hOEPAXN/view?usp=drivesdk</t>
  </si>
  <si>
    <t>Document successfully created; Document successfully merged; PDF created; !!Error Sending Emails: Service invoked too many times for one day: email.; Run via form trigger as codectechnologies0@gmail.com; Timestamp: Aug 30, 2026 8:07 AM</t>
  </si>
  <si>
    <t xml:space="preserve">KOTA SIDDHARDA </t>
  </si>
  <si>
    <t>16jjPVKQBHrosAMSLoe25FCS3C4eIG1-B</t>
  </si>
  <si>
    <t>https://drive.google.com/file/d/16jjPVKQBHrosAMSLoe25FCS3C4eIG1-B/view?usp=drivesdk</t>
  </si>
  <si>
    <t>Document successfully created; Document successfully merged; PDF created; !!Error Sending Emails: Service invoked too many times for one day: email.; Run via form trigger as codectechnologies0@gmail.com; Timestamp: Aug 30, 2026 8:11 AM</t>
  </si>
  <si>
    <t>1aIemE-Iy_PDSQ0KZZp67-365czSAA7Hw</t>
  </si>
  <si>
    <t>https://drive.google.com/file/d/1aIemE-Iy_PDSQ0KZZp67-365czSAA7Hw/view?usp=drivesdk</t>
  </si>
  <si>
    <t>Document successfully created; Document successfully merged; PDF created; !!Error Sending Emails: Service invoked too many times for one day: email.; Run via form trigger as codectechnologies0@gmail.com; Timestamp: Aug 30, 2026 8:13 AM</t>
  </si>
  <si>
    <t xml:space="preserve">Doddi Bhavani </t>
  </si>
  <si>
    <t>bhavanidoddi89@gmail.com</t>
  </si>
  <si>
    <t xml:space="preserve">Gokaraju lailavathi engineering college </t>
  </si>
  <si>
    <t>1t7rgO0Rgy_ifkElqW5MYT0qOyml5XJgk</t>
  </si>
  <si>
    <t>https://drive.google.com/file/d/1t7rgO0Rgy_ifkElqW5MYT0qOyml5XJgk/view?usp=drivesdk</t>
  </si>
  <si>
    <t>Document successfully created; Document successfully merged; PDF created; !!Error Sending Emails: Service invoked too many times for one day: email.; Run via form trigger as codectechnologies0@gmail.com; Timestamp: Aug 30, 2026 8:14 AM</t>
  </si>
  <si>
    <t>Krutin Bhat</t>
  </si>
  <si>
    <t>krutinbhat2006@gmail.com</t>
  </si>
  <si>
    <t xml:space="preserve">Global Academy Of Technology </t>
  </si>
  <si>
    <t>1tyD9-DAuyNDGYAtcBdOW81395uLcNZ39</t>
  </si>
  <si>
    <t>https://drive.google.com/file/d/1tyD9-DAuyNDGYAtcBdOW81395uLcNZ39/view?usp=drivesdk</t>
  </si>
  <si>
    <t>Document successfully created; Document successfully merged; PDF created; !!Error Sending Emails: Service invoked too many times for one day: email.; Run via form trigger as codectechnologies0@gmail.com; Timestamp: Aug 30, 2026 8:18 AM</t>
  </si>
  <si>
    <t>Karthik Gadyal</t>
  </si>
  <si>
    <t>cheekusg21@gmail.com</t>
  </si>
  <si>
    <t>BLDEA's V P Dr PG Halakatti College of Engineering &amp; Technology</t>
  </si>
  <si>
    <t>10-FuneipRp7nPiSCtuSkSboDNqgX2QNC</t>
  </si>
  <si>
    <t>https://drive.google.com/file/d/10-FuneipRp7nPiSCtuSkSboDNqgX2QNC/view?usp=drivesdk</t>
  </si>
  <si>
    <t>Document successfully created; Document successfully merged; PDF created; !!Error Sending Emails: Service invoked too many times for one day: email.; Run via form trigger as codectechnologies0@gmail.com; Timestamp: Aug 30, 2026 8:19 AM</t>
  </si>
  <si>
    <t>Sudarshan S Sarwad</t>
  </si>
  <si>
    <t>BLDEA VIJAYAPUR</t>
  </si>
  <si>
    <t>1iPIZS45ItFLt1tZ0yxsYljjHhm9OEGgh</t>
  </si>
  <si>
    <t>https://drive.google.com/file/d/1iPIZS45ItFLt1tZ0yxsYljjHhm9OEGgh/view?usp=drivesdk</t>
  </si>
  <si>
    <t>Document successfully created; Document successfully merged; PDF created; !!Error Sending Emails: Service invoked too many times for one day: email.; Run via form trigger as codectechnologies0@gmail.com; Timestamp: Aug 30, 2026 8:20 AM</t>
  </si>
  <si>
    <t>Lakshya Saxena</t>
  </si>
  <si>
    <t>lakshyasaxena29@gmail.com</t>
  </si>
  <si>
    <t>Iilm univarsity gr noida</t>
  </si>
  <si>
    <t>1W9F8puTm5Oy-j5ZR2RdpzIhSnmlnZFOD</t>
  </si>
  <si>
    <t>https://drive.google.com/file/d/1W9F8puTm5Oy-j5ZR2RdpzIhSnmlnZFOD/view?usp=drivesdk</t>
  </si>
  <si>
    <t>Document successfully created; Document successfully merged; PDF created; !!Error Sending Emails: Service invoked too many times for one day: email.; Run via form trigger as codectechnologies0@gmail.com; Timestamp: Aug 30, 2026 8:31 AM</t>
  </si>
  <si>
    <t>Rishu Raj</t>
  </si>
  <si>
    <t>rishuu.x19@gmail.com</t>
  </si>
  <si>
    <t>1e-HLGwnIgW1JbTTIwNr8GZef14xZ64nR</t>
  </si>
  <si>
    <t>https://drive.google.com/file/d/1e-HLGwnIgW1JbTTIwNr8GZef14xZ64nR/view?usp=drivesdk</t>
  </si>
  <si>
    <t>Document successfully created; Document successfully merged; PDF created; !!Error Sending Emails: Service invoked too many times for one day: email.; Run via form trigger as codectechnologies0@gmail.com; Timestamp: Aug 30, 2026 8:35 AM</t>
  </si>
  <si>
    <t>Swetha AS</t>
  </si>
  <si>
    <t>swelap2806@gmail.com</t>
  </si>
  <si>
    <t>St. Joseph's College of Engineering</t>
  </si>
  <si>
    <t>1VuiQlHvDKI7Y7PU6sepA0e3Xq4NKxZgO</t>
  </si>
  <si>
    <t>https://drive.google.com/file/d/1VuiQlHvDKI7Y7PU6sepA0e3Xq4NKxZgO/view?usp=drivesdk</t>
  </si>
  <si>
    <t>Document successfully created; Document successfully merged; PDF created; !!Error Sending Emails: Service invoked too many times for one day: email.; Run via form trigger as codectechnologies0@gmail.com; Timestamp: Aug 30, 2026 8:43 AM</t>
  </si>
  <si>
    <t>vaishnavi karbhari shelar</t>
  </si>
  <si>
    <t>vaishnavishelar77@gmail.com</t>
  </si>
  <si>
    <t>MET bhujabal knowledge city</t>
  </si>
  <si>
    <t>LinkedIn, Facebook</t>
  </si>
  <si>
    <t>1zT18WspZEwJ51RD1SKMNZtbUmP5k3Zpx</t>
  </si>
  <si>
    <t>https://drive.google.com/file/d/1zT18WspZEwJ51RD1SKMNZtbUmP5k3Zpx/view?usp=drivesdk</t>
  </si>
  <si>
    <t>Document successfully created; Document successfully merged; PDF created; !!Error Sending Emails: Service invoked too many times for one day: email.; Run via form trigger as codectechnologies0@gmail.com; Timestamp: Aug 30, 2026 8:54 AM</t>
  </si>
  <si>
    <t>Goarav Mittal</t>
  </si>
  <si>
    <t>goarav.25scs1003001369@iilm.edu</t>
  </si>
  <si>
    <t>1tyC9xtfxPX09-QpwLXV64o0nqyqf6lTt</t>
  </si>
  <si>
    <t>https://drive.google.com/file/d/1tyC9xtfxPX09-QpwLXV64o0nqyqf6lTt/view?usp=drivesdk</t>
  </si>
  <si>
    <t xml:space="preserve">Sakshi Nandkumar Lagad </t>
  </si>
  <si>
    <t>sakshilagad75@gmail.com</t>
  </si>
  <si>
    <t>1vPbAdIN39ER9B3dBeqPz4qyKORPjkLg-</t>
  </si>
  <si>
    <t>https://drive.google.com/file/d/1vPbAdIN39ER9B3dBeqPz4qyKORPjkLg-/view?usp=drivesdk</t>
  </si>
  <si>
    <t>Document successfully created; Document successfully merged; PDF created; !!Error Sending Emails: Service invoked too many times for one day: email.; Run via form trigger as codectechnologies0@gmail.com; Timestamp: Aug 30, 2026 9:03 AM</t>
  </si>
  <si>
    <t>Amandeep Kumar</t>
  </si>
  <si>
    <t>amandeep.25scs1003003025@iilm.edu</t>
  </si>
  <si>
    <t>125imsTSvMvwO_QuKRaFEbfcgYM6nfmRj</t>
  </si>
  <si>
    <t>https://drive.google.com/file/d/125imsTSvMvwO_QuKRaFEbfcgYM6nfmRj/view?usp=drivesdk</t>
  </si>
  <si>
    <t>Document successfully created; Document successfully merged; PDF created; !!Error Sending Emails: Service invoked too many times for one day: email.; Run via form trigger as codectechnologies0@gmail.com; Timestamp: Aug 30, 2026 9:06 AM</t>
  </si>
  <si>
    <t>AAYUSHI</t>
  </si>
  <si>
    <t>yushi6061@gmail.com</t>
  </si>
  <si>
    <t>1yLPbR12CwoO8-wKndsUWEgHOaT2nOtWX</t>
  </si>
  <si>
    <t>https://drive.google.com/file/d/1yLPbR12CwoO8-wKndsUWEgHOaT2nOtWX/view?usp=drivesdk</t>
  </si>
  <si>
    <t>Document successfully created; Document successfully merged; PDF created; !!Error Sending Emails: Service invoked too many times for one day: email.; Run via form trigger as codectechnologies0@gmail.com; Timestamp: Aug 30, 2026 9:24 AM</t>
  </si>
  <si>
    <t>Pranav S Shinde</t>
  </si>
  <si>
    <t>aquanoxking@gmail.com</t>
  </si>
  <si>
    <t>Snajeevan Group of institution,panhala</t>
  </si>
  <si>
    <t>1MWOmtwES1Zk-Q4MUSTJbxSlGVJeugqyn</t>
  </si>
  <si>
    <t>https://drive.google.com/file/d/1MWOmtwES1Zk-Q4MUSTJbxSlGVJeugqyn/view?usp=drivesdk</t>
  </si>
  <si>
    <t>Document successfully created; Document successfully merged; PDF created; !!Error Sending Emails: Service invoked too many times for one day: email.; Run via form trigger as codectechnologies0@gmail.com; Timestamp: Aug 30, 2026 9:28 AM</t>
  </si>
  <si>
    <t xml:space="preserve">Arpit Gupta </t>
  </si>
  <si>
    <t>arpit.25scs1003002726@iilm.edu</t>
  </si>
  <si>
    <t>1yRo5i_TqKNXUnkaS7Qt8b50IpuPYz7QK</t>
  </si>
  <si>
    <t>https://drive.google.com/file/d/1yRo5i_TqKNXUnkaS7Qt8b50IpuPYz7QK/view?usp=drivesdk</t>
  </si>
  <si>
    <t>Document successfully created; Document successfully merged; PDF created; !!Error Sending Emails: Service invoked too many times for one day: email.; Run via form trigger as codectechnologies0@gmail.com; Timestamp: Aug 30, 2026 9:36 AM</t>
  </si>
  <si>
    <t>Vipul Chauhan</t>
  </si>
  <si>
    <t>7/20/0026</t>
  </si>
  <si>
    <t>vipul.chauhan.cs28@iilm.edu</t>
  </si>
  <si>
    <t xml:space="preserve">IILM UNIVERSITY  , GREATER NOIDA </t>
  </si>
  <si>
    <t>1bgzZ46SMv4GPWfbSaj9nU_7RebDH1KuR</t>
  </si>
  <si>
    <t>https://drive.google.com/file/d/1bgzZ46SMv4GPWfbSaj9nU_7RebDH1KuR/view?usp=drivesdk</t>
  </si>
  <si>
    <t>KRISHNA VIJAY</t>
  </si>
  <si>
    <t>1Iq92qEptQdB3-ERJuwxL5ylTRmbpIQIm</t>
  </si>
  <si>
    <t>https://drive.google.com/file/d/1Iq92qEptQdB3-ERJuwxL5ylTRmbpIQIm/view?usp=drivesdk</t>
  </si>
  <si>
    <t>Document successfully created; Document successfully merged; PDF created; !!Error Sending Emails: Service invoked too many times for one day: email.; Run via form trigger as codectechnologies0@gmail.com; Timestamp: Aug 30, 2026 9:45 AM</t>
  </si>
  <si>
    <t>Aman kumar</t>
  </si>
  <si>
    <t>amankumar6422811@gmail.com</t>
  </si>
  <si>
    <t>12ZkVLeWDp3wRTnuwf1K8SDr5uzkR1JPl</t>
  </si>
  <si>
    <t>https://drive.google.com/file/d/12ZkVLeWDp3wRTnuwf1K8SDr5uzkR1JPl/view?usp=drivesdk</t>
  </si>
  <si>
    <t xml:space="preserve">Ramjee Kumar </t>
  </si>
  <si>
    <t>Ram.jee.cs28@iilm.edu</t>
  </si>
  <si>
    <t>6287 535 979</t>
  </si>
  <si>
    <t>1bKaxOhZr6ZjuhZAIh4pVfHVbUFq2YZV6</t>
  </si>
  <si>
    <t>https://drive.google.com/file/d/1bKaxOhZr6ZjuhZAIh4pVfHVbUFq2YZV6/view?usp=drivesdk</t>
  </si>
  <si>
    <t>Document successfully created; Document successfully merged; PDF created; !!Error Sending Emails: Service invoked too many times for one day: email.; Run via form trigger as codectechnologies0@gmail.com; Timestamp: Aug 30, 2026 9:49 AM</t>
  </si>
  <si>
    <t>1s3rr9e030L69aVON-ZsYOllG5L3gn9FR</t>
  </si>
  <si>
    <t>https://drive.google.com/file/d/1s3rr9e030L69aVON-ZsYOllG5L3gn9FR/view?usp=drivesdk</t>
  </si>
  <si>
    <t>Document successfully created; Document successfully merged; PDF created; !!Error Sending Emails: Service invoked too many times for one day: email.; Run via form trigger as codectechnologies0@gmail.com; Timestamp: Aug 30, 2026 9:58 AM</t>
  </si>
  <si>
    <t>13k4tgYn5Y3ZiSgtRULC1AqSHu7HA93co</t>
  </si>
  <si>
    <t>https://drive.google.com/file/d/13k4tgYn5Y3ZiSgtRULC1AqSHu7HA93co/view?usp=drivesdk</t>
  </si>
  <si>
    <t xml:space="preserve">aanya sinha </t>
  </si>
  <si>
    <t>sinhaanya01@gmail.com</t>
  </si>
  <si>
    <t>Email, Google</t>
  </si>
  <si>
    <t>16tNV62YcN0zebjGgq1FsTBiJGBL9GdQW</t>
  </si>
  <si>
    <t>https://drive.google.com/file/d/16tNV62YcN0zebjGgq1FsTBiJGBL9GdQW/view?usp=drivesdk</t>
  </si>
  <si>
    <t>Document successfully created; Document successfully merged; PDF created; Emails Sent: [To: sinhaanya01@gmail.com]; Run via form trigger as codectechnologies0@gmail.com; Timestamp: Aug 30, 2026 9:58 AM</t>
  </si>
  <si>
    <t>Anish Shrivastava</t>
  </si>
  <si>
    <t>shrivastava.anish16@gmail.com</t>
  </si>
  <si>
    <t>1yV0EA1ZYWTbCDnbGGnWIXhxqOGqCHvSH</t>
  </si>
  <si>
    <t>https://drive.google.com/file/d/1yV0EA1ZYWTbCDnbGGnWIXhxqOGqCHvSH/view?usp=drivesdk</t>
  </si>
  <si>
    <t>Document successfully created; Document successfully merged; PDF created; !!Error Sending Emails: Service invoked too many times for one day: email.; Run via form trigger as codectechnologies0@gmail.com; Timestamp: Aug 30, 2026 10:00 AM</t>
  </si>
  <si>
    <t>1FP9Uc4f_WR9Yf_kXrP6bRbKekZi9l6CG</t>
  </si>
  <si>
    <t>https://drive.google.com/file/d/1FP9Uc4f_WR9Yf_kXrP6bRbKekZi9l6CG/view?usp=drivesdk</t>
  </si>
  <si>
    <t>Document successfully created; Document successfully merged; PDF created; !!Error Sending Emails: Service invoked too many times for one day: email.; Run via form trigger as codectechnologies0@gmail.com; Timestamp: Aug 30, 2026 10:02 AM</t>
  </si>
  <si>
    <t xml:space="preserve">MD ARIF HUSSAIN </t>
  </si>
  <si>
    <t>mrhussainarif546@gmail.com</t>
  </si>
  <si>
    <t>1qU9_tEeXTyRnaegrxn80MljQ2jGlIbCS</t>
  </si>
  <si>
    <t>https://drive.google.com/file/d/1qU9_tEeXTyRnaegrxn80MljQ2jGlIbCS/view?usp=drivesdk</t>
  </si>
  <si>
    <t>Document successfully created; Document successfully merged; PDF created; !!Error Sending Emails: Service invoked too many times for one day: email.; Run via form trigger as codectechnologies0@gmail.com; Timestamp: Aug 30, 2026 10:08 AM</t>
  </si>
  <si>
    <t>Guruprasad Mastappa Naik</t>
  </si>
  <si>
    <t>1M60WDAyNhVZmSo5pXHQwSaNdrKmbf7Ob</t>
  </si>
  <si>
    <t>https://drive.google.com/file/d/1M60WDAyNhVZmSo5pXHQwSaNdrKmbf7Ob/view?usp=drivesdk</t>
  </si>
  <si>
    <t>Document successfully created; Document successfully merged; PDF created; !!Error Sending Emails: Service invoked too many times for one day: email.; Run via form trigger as codectechnologies0@gmail.com; Timestamp: Aug 30, 2026 10:11 AM</t>
  </si>
  <si>
    <t>Rurdrsha Mishra</t>
  </si>
  <si>
    <t>rudraksha.25scs1003004149@iilm.edu</t>
  </si>
  <si>
    <t>11XNKNXwLCQ4b3HBFhJioP-eoXfX4T8TF</t>
  </si>
  <si>
    <t>https://drive.google.com/file/d/11XNKNXwLCQ4b3HBFhJioP-eoXfX4T8TF/view?usp=drivesdk</t>
  </si>
  <si>
    <t>Document successfully created; Document successfully merged; PDF created; !!Error Sending Emails: Service invoked too many times for one day: email.; Run via form trigger as codectechnologies0@gmail.com; Timestamp: Aug 30, 2026 10:19 AM</t>
  </si>
  <si>
    <t>Sandhya.S</t>
  </si>
  <si>
    <t>sandhyasubramani28@gmail.com</t>
  </si>
  <si>
    <t xml:space="preserve">Vels University </t>
  </si>
  <si>
    <t>1jaAzfPRNjWv42WnVAWisNosrOufz9J_e</t>
  </si>
  <si>
    <t>https://drive.google.com/file/d/1jaAzfPRNjWv42WnVAWisNosrOufz9J_e/view?usp=drivesdk</t>
  </si>
  <si>
    <t>Document successfully created; Document successfully merged; PDF created; !!Error Sending Emails: Service invoked too many times for one day: email.; Run via form trigger as codectechnologies0@gmail.com; Timestamp: Aug 30, 2026 10:21 AM</t>
  </si>
  <si>
    <t xml:space="preserve">Himanshu Singh </t>
  </si>
  <si>
    <t>8/1/0026</t>
  </si>
  <si>
    <t>himanshuu0304@gmail.com</t>
  </si>
  <si>
    <t xml:space="preserve">IILM University , Greater Noida </t>
  </si>
  <si>
    <t>1xoHZY5fz3RtbbtavDZhupXo09d7hdOAS</t>
  </si>
  <si>
    <t>https://drive.google.com/file/d/1xoHZY5fz3RtbbtavDZhupXo09d7hdOAS/view?usp=drivesdk</t>
  </si>
  <si>
    <t>Document successfully created; Document successfully merged; PDF created; !!Error Sending Emails: Service invoked too many times for one day: email.; Run via form trigger as codectechnologies0@gmail.com; Timestamp: Aug 30, 2026 10:23 AM</t>
  </si>
  <si>
    <t xml:space="preserve">Saket Kumar </t>
  </si>
  <si>
    <t>saket.25scs1003003496@iilm.edu</t>
  </si>
  <si>
    <t>96936 46085</t>
  </si>
  <si>
    <t>1y6Sm8tTkO-aKWiAYKDyBpl8cg5Vy3Wvr</t>
  </si>
  <si>
    <t>https://drive.google.com/file/d/1y6Sm8tTkO-aKWiAYKDyBpl8cg5Vy3Wvr/view?usp=drivesdk</t>
  </si>
  <si>
    <t>Document successfully created; Document successfully merged; PDF created; !!Error Sending Emails: Service invoked too many times for one day: email.; Run via form trigger as codectechnologies0@gmail.com; Timestamp: Aug 30, 2026 10:29 AM</t>
  </si>
  <si>
    <t>SHEKHAR PARKASH</t>
  </si>
  <si>
    <t>jiishekhar5@gmail.com</t>
  </si>
  <si>
    <t>GP MADHEPURA</t>
  </si>
  <si>
    <t>1zrBCh0nv_QTFi8URite5_RIKuVP5XACK</t>
  </si>
  <si>
    <t>https://drive.google.com/file/d/1zrBCh0nv_QTFi8URite5_RIKuVP5XACK/view?usp=drivesdk</t>
  </si>
  <si>
    <t>Document successfully created; Document successfully merged; PDF created; !!Error Sending Emails: Service invoked too many times for one day: email.; Run via form trigger as codectechnologies0@gmail.com; Timestamp: Aug 30, 2026 10:30 AM</t>
  </si>
  <si>
    <t>sk1996558@gmail.com</t>
  </si>
  <si>
    <t>1HuOufeJXhkc6LRPk4qIOwD3g39_rNkIq</t>
  </si>
  <si>
    <t>https://drive.google.com/file/d/1HuOufeJXhkc6LRPk4qIOwD3g39_rNkIq/view?usp=drivesdk</t>
  </si>
  <si>
    <t>Document successfully created; Document successfully merged; PDF created; !!Error Sending Emails: Service invoked too many times for one day: email.; Run via form trigger as codectechnologies0@gmail.com; Timestamp: Aug 30, 2026 10:31 AM</t>
  </si>
  <si>
    <t>SHIVA KUMAR</t>
  </si>
  <si>
    <t>shiva0987k@gmail.com</t>
  </si>
  <si>
    <t>METHODIST COLLEGE OF ENGINEERING AND TECHONOLOGY</t>
  </si>
  <si>
    <t>1GAnK9-b2WLGeFOEF9PQUBfqwuGdwImzl</t>
  </si>
  <si>
    <t>https://drive.google.com/file/d/1GAnK9-b2WLGeFOEF9PQUBfqwuGdwImzl/view?usp=drivesdk</t>
  </si>
  <si>
    <t>aryancanary05@gmail.com</t>
  </si>
  <si>
    <t>Instagram, Friend, Google</t>
  </si>
  <si>
    <t>1r4HUGrX2pyO9c1W1oLK8QgCqYrOv_2ku</t>
  </si>
  <si>
    <t>https://drive.google.com/file/d/1r4HUGrX2pyO9c1W1oLK8QgCqYrOv_2ku/view?usp=drivesdk</t>
  </si>
  <si>
    <t>Document successfully created; Document successfully merged; PDF created; !!Error Sending Emails: Service invoked too many times for one day: email.; Run via form trigger as codectechnologies0@gmail.com; Timestamp: Aug 30, 2026 10:32 AM</t>
  </si>
  <si>
    <t xml:space="preserve">DHIRAJ DHANANJAY KHARKE </t>
  </si>
  <si>
    <t>dhirajkharke@gmail.com</t>
  </si>
  <si>
    <t xml:space="preserve">Shree Tulja Bhavani College of Engineering Tuljapur </t>
  </si>
  <si>
    <t>1frNYM09kXLEY7h2T6_sQEQhHxfQhi2DI</t>
  </si>
  <si>
    <t>https://drive.google.com/file/d/1frNYM09kXLEY7h2T6_sQEQhHxfQhi2DI/view?usp=drivesdk</t>
  </si>
  <si>
    <t>Document successfully created; Document successfully merged; PDF created; !!Error Sending Emails: Service invoked too many times for one day: email.; Run via form trigger as codectechnologies0@gmail.com; Timestamp: Aug 30, 2026 10:36 AM</t>
  </si>
  <si>
    <t>Sankalp Pandey</t>
  </si>
  <si>
    <t>sankalppandey2020@gmail.com</t>
  </si>
  <si>
    <t>1b5xVg91Efhan_p5Rq_dPZ4G-5CrojG8k</t>
  </si>
  <si>
    <t>https://drive.google.com/file/d/1b5xVg91Efhan_p5Rq_dPZ4G-5CrojG8k/view?usp=drivesdk</t>
  </si>
  <si>
    <t>Document successfully created; Document successfully merged; PDF created; Emails Sent: [To: sankalppandey2020@gmail.com]; Run via form trigger as codectechnologies0@gmail.com; Timestamp: Aug 30, 2026 10:39 AM</t>
  </si>
  <si>
    <t>1GwLPGiXo4EoCuqzKxd75X5--9EVJ8SH5</t>
  </si>
  <si>
    <t>https://drive.google.com/file/d/1GwLPGiXo4EoCuqzKxd75X5--9EVJ8SH5/view?usp=drivesdk</t>
  </si>
  <si>
    <t>Document successfully created; Document successfully merged; PDF created; Emails Sent: [To: jiishekhar5@gmail.com]; Run via form trigger as codectechnologies0@gmail.com; Timestamp: Aug 30, 2026 10:41 AM</t>
  </si>
  <si>
    <t>1uLMpa4tV8miO8jmVAevCgXSoJ5zwBbUX</t>
  </si>
  <si>
    <t>https://drive.google.com/file/d/1uLMpa4tV8miO8jmVAevCgXSoJ5zwBbUX/view?usp=drivesdk</t>
  </si>
  <si>
    <t>Document successfully created; Document successfully merged; PDF created; Emails Sent: [To: aryancanary05@gmail.com]; Run via form trigger as codectechnologies0@gmail.com; Timestamp: Aug 30, 2026 10:42 AM</t>
  </si>
  <si>
    <t>Gautam Kaswan</t>
  </si>
  <si>
    <t>gautamkaswan007@gmail.com</t>
  </si>
  <si>
    <t>Engineering College Bikaner</t>
  </si>
  <si>
    <t>1TS9Ss3hK1Qd8VRH7Uxz6EouRsHHWX57K</t>
  </si>
  <si>
    <t>https://drive.google.com/file/d/1TS9Ss3hK1Qd8VRH7Uxz6EouRsHHWX57K/view?usp=drivesdk</t>
  </si>
  <si>
    <t>Document successfully created; Document successfully merged; PDF created; Emails Sent: [To: gautamkaswan007@gmail.com]; Run via form trigger as codectechnologies0@gmail.com; Timestamp: Aug 30, 2026 10:47 AM</t>
  </si>
  <si>
    <t xml:space="preserve">Gaurav kumar </t>
  </si>
  <si>
    <t>gauravkumarbiraji@gmail.com</t>
  </si>
  <si>
    <t xml:space="preserve">Gautam Buddha university </t>
  </si>
  <si>
    <t>1KsWmZIJQYdyqqC_cuYbUkXd83s0Vg5rY</t>
  </si>
  <si>
    <t>https://drive.google.com/file/d/1KsWmZIJQYdyqqC_cuYbUkXd83s0Vg5rY/view?usp=drivesdk</t>
  </si>
  <si>
    <t>Document successfully created; Document successfully merged; PDF created; Emails Sent: [To: gauravkumarbiraji@gmail.com]; Run via form trigger as codectechnologies0@gmail.com; Timestamp: Aug 30, 2026 10:48 AM</t>
  </si>
  <si>
    <t>Reman Mahanta</t>
  </si>
  <si>
    <t>81789 79951</t>
  </si>
  <si>
    <t>1UXi4P---s7y5RbJKO1TeXXj3V4D165E0</t>
  </si>
  <si>
    <t>https://drive.google.com/file/d/1UXi4P---s7y5RbJKO1TeXXj3V4D165E0/view?usp=drivesdk</t>
  </si>
  <si>
    <t>Document successfully created; Document successfully merged; PDF created; Emails Sent: [To: pratik.25scs1003003592@iilm.edu]; Run via form trigger as codectechnologies0@gmail.com; Timestamp: Aug 30, 2026 10:49 AM</t>
  </si>
  <si>
    <t>ASWIN MUTHUKKUMAR</t>
  </si>
  <si>
    <t>aswinm077@gmail.com</t>
  </si>
  <si>
    <t>RAJALAKSHMI ENGINEERING COLLEGE</t>
  </si>
  <si>
    <t>10f0dOgrond1cIMvYZqdMe8vWKnFpYJ9B</t>
  </si>
  <si>
    <t>https://drive.google.com/file/d/10f0dOgrond1cIMvYZqdMe8vWKnFpYJ9B/view?usp=drivesdk</t>
  </si>
  <si>
    <t>Document successfully created; Document successfully merged; PDF created; Emails Sent: [To: aswinm077@gmail.com]; Run via form trigger as codectechnologies0@gmail.com; Timestamp: Aug 30, 2026 10:58 AM</t>
  </si>
  <si>
    <t xml:space="preserve">Itm </t>
  </si>
  <si>
    <t>1mNuX3AwAWvBy2y4Ao49iiK2jh2nMaz8I</t>
  </si>
  <si>
    <t>https://drive.google.com/file/d/1mNuX3AwAWvBy2y4Ao49iiK2jh2nMaz8I/view?usp=drivesdk</t>
  </si>
  <si>
    <t>Document successfully created; Document successfully merged; PDF created; Emails Sent: [To: bittusingh3131629@gmail.com]; Run via form trigger as codectechnologies0@gmail.com; Timestamp: Aug 30, 2026 11:03 AM</t>
  </si>
  <si>
    <t>Prerana Sanjay Patil</t>
  </si>
  <si>
    <t>prerana865@gmail.com</t>
  </si>
  <si>
    <t>G H Raisoni college of Engineering &amp; Management Jalgaon</t>
  </si>
  <si>
    <t>1MTAEntPzw9Wp9qVVjH86kvOBDLvHnrYr</t>
  </si>
  <si>
    <t>https://drive.google.com/file/d/1MTAEntPzw9Wp9qVVjH86kvOBDLvHnrYr/view?usp=drivesdk</t>
  </si>
  <si>
    <t>Document successfully created; Document successfully merged; PDF created; Emails Sent: [To: prerana865@gmail.com]; Run via form trigger as codectechnologies0@gmail.com; Timestamp: Aug 30, 2026 11:09 AM</t>
  </si>
  <si>
    <t>Vyshnavi Murakonda</t>
  </si>
  <si>
    <t>vyshnavimurakonda8@gmail.com</t>
  </si>
  <si>
    <t xml:space="preserve">Vignan's lara institute of technology and science </t>
  </si>
  <si>
    <t>18XEUBv22FkpLeXUiIlKOgGo9jZDOgPSG</t>
  </si>
  <si>
    <t>https://drive.google.com/file/d/18XEUBv22FkpLeXUiIlKOgGo9jZDOgPSG/view?usp=drivesdk</t>
  </si>
  <si>
    <t>Document successfully created; Document successfully merged; PDF created; Emails Sent: [To: vyshnavimurakonda8@gmail.com]; Run via form trigger as codectechnologies0@gmail.com; Timestamp: Aug 30, 2026 11:17 AM</t>
  </si>
  <si>
    <t xml:space="preserve">Vikash singh </t>
  </si>
  <si>
    <t>Vikash.25SCS1003003977@iilm.edu</t>
  </si>
  <si>
    <t>1Pjz7IlDTW17tdsZ7jaZgvEK9pcr5EQie</t>
  </si>
  <si>
    <t>https://drive.google.com/file/d/1Pjz7IlDTW17tdsZ7jaZgvEK9pcr5EQie/view?usp=drivesdk</t>
  </si>
  <si>
    <t>Document successfully created; Document successfully merged; PDF created; Emails Sent: [To: Vikash.25SCS1003003977@iilm.edu]; Run via form trigger as codectechnologies0@gmail.com; Timestamp: Aug 30, 2026 11:19 AM</t>
  </si>
  <si>
    <t>1x7ytAdqM9y8eRjuR4EdPDvpSarfma8FR</t>
  </si>
  <si>
    <t>https://drive.google.com/file/d/1x7ytAdqM9y8eRjuR4EdPDvpSarfma8FR/view?usp=drivesdk</t>
  </si>
  <si>
    <t>Document successfully created; Document successfully merged; PDF created; Emails Sent: [To: Vikash.25SCS1003003977@iilm.edu]; Run via form trigger as codectechnologies0@gmail.com; Timestamp: Aug 30, 2026 11:24 AM</t>
  </si>
  <si>
    <t>Sopan Pandit Gavali</t>
  </si>
  <si>
    <t>sopangavali55@gmail.com</t>
  </si>
  <si>
    <t>Sarhad college of Arts, Commerce &amp; Science</t>
  </si>
  <si>
    <t>1bWmfNh3IUG3U0bpPuDBRLWO_JB6Zn7wG</t>
  </si>
  <si>
    <t>https://drive.google.com/file/d/1bWmfNh3IUG3U0bpPuDBRLWO_JB6Zn7wG/view?usp=drivesdk</t>
  </si>
  <si>
    <t>Document successfully created; Document successfully merged; PDF created; Emails Sent: [To: sopangavali55@gmail.com]; Run via form trigger as codectechnologies0@gmail.com; Timestamp: Aug 30, 2026 11:26 AM</t>
  </si>
  <si>
    <t>Dasanapu Murari</t>
  </si>
  <si>
    <t>dasanapumurari@karunya.edu.in</t>
  </si>
  <si>
    <t>17lNX-2I7GIkyRe3uG_Ovctto-hRJwsbf</t>
  </si>
  <si>
    <t>https://drive.google.com/file/d/17lNX-2I7GIkyRe3uG_Ovctto-hRJwsbf/view?usp=drivesdk</t>
  </si>
  <si>
    <t>Document successfully created; Document successfully merged; PDF created; Emails Sent: [To: dasanapumurari@karunya.edu.in]; Run via form trigger as codectechnologies0@gmail.com; Timestamp: Aug 30, 2026 11:27 AM</t>
  </si>
  <si>
    <t>Anand Raj Kushwaha</t>
  </si>
  <si>
    <t>anandrajkushwaha13@gmail.com</t>
  </si>
  <si>
    <t>Qunatum University</t>
  </si>
  <si>
    <t>1qciOFSC7swlOd-aoh9RUerveH9msO2Pe</t>
  </si>
  <si>
    <t>https://drive.google.com/file/d/1qciOFSC7swlOd-aoh9RUerveH9msO2Pe/view?usp=drivesdk</t>
  </si>
  <si>
    <t>Document successfully created; Document successfully merged; PDF created; Emails Sent: [To: anandrajkushwaha13@gmail.com]; Run via form trigger as codectechnologies0@gmail.com; Timestamp: Aug 30, 2026 11:30 AM</t>
  </si>
  <si>
    <t>Aryan Tiwary</t>
  </si>
  <si>
    <t>aryanhunter946@gmail.com</t>
  </si>
  <si>
    <t>1fIWiaxsy0kRHCMjhsRjiNHKDG-xJiOaG</t>
  </si>
  <si>
    <t>https://drive.google.com/file/d/1fIWiaxsy0kRHCMjhsRjiNHKDG-xJiOaG/view?usp=drivesdk</t>
  </si>
  <si>
    <t>Document successfully created; Document successfully merged; PDF created; Emails Sent: [To: aryanhunter946@gmail.com]; Run via form trigger as codectechnologies0@gmail.com; Timestamp: Aug 30, 2026 11:31 AM</t>
  </si>
  <si>
    <t>Aman Patel</t>
  </si>
  <si>
    <t>kingamanpatel9936@gmail.com</t>
  </si>
  <si>
    <t>ITM, GIDA</t>
  </si>
  <si>
    <t>10SWU3fw_mGZSKIOyp3Ihy0yGNSCqsMjS</t>
  </si>
  <si>
    <t>https://drive.google.com/file/d/10SWU3fw_mGZSKIOyp3Ihy0yGNSCqsMjS/view?usp=drivesdk</t>
  </si>
  <si>
    <t>Document successfully created; Document successfully merged; PDF created; Emails Sent: [To: kingamanpatel9936@gmail.com]; Run via form trigger as codectechnologies0@gmail.com; Timestamp: Aug 30, 2026 11:32 AM</t>
  </si>
  <si>
    <t>Risabh Yadav</t>
  </si>
  <si>
    <t>rishi060807@gmail.com</t>
  </si>
  <si>
    <t xml:space="preserve">Iilm University </t>
  </si>
  <si>
    <t>1qSVzkLnWW4SkqqWEAwbO2cH2ILOuDgZV</t>
  </si>
  <si>
    <t>https://drive.google.com/file/d/1qSVzkLnWW4SkqqWEAwbO2cH2ILOuDgZV/view?usp=drivesdk</t>
  </si>
  <si>
    <t>Document successfully created; Document successfully merged; PDF created; Emails Sent: [To: rishi060807@gmail.com]; Run via form trigger as codectechnologies0@gmail.com; Timestamp: Aug 30, 2026 11:41 AM</t>
  </si>
  <si>
    <t xml:space="preserve">Pejjaye Jashwanth </t>
  </si>
  <si>
    <t>pejjayejaswanth@karunya.edu.in</t>
  </si>
  <si>
    <t>1jzEJddtDuRPN4Ky19a0eReho32KeW84s</t>
  </si>
  <si>
    <t>https://drive.google.com/file/d/1jzEJddtDuRPN4Ky19a0eReho32KeW84s/view?usp=drivesdk</t>
  </si>
  <si>
    <t>Document successfully created; Document successfully merged; PDF created; Emails Sent: [To: pejjayejaswanth@karunya.edu.in]; Run via form trigger as codectechnologies0@gmail.com; Timestamp: Aug 30, 2026 11:46 AM</t>
  </si>
  <si>
    <t xml:space="preserve">Piyush Batra </t>
  </si>
  <si>
    <t>Piyushbatra147@gmail.com</t>
  </si>
  <si>
    <t>IILM UNIVERSITY GN</t>
  </si>
  <si>
    <t>1cxo1GqIQx5N4vz7BBgssdoLacxAWECQG</t>
  </si>
  <si>
    <t>https://drive.google.com/file/d/1cxo1GqIQx5N4vz7BBgssdoLacxAWECQG/view?usp=drivesdk</t>
  </si>
  <si>
    <t>Document successfully created; Document successfully merged; PDF created; Emails Sent: [To: Piyushbatra147@gmail.com]; Run via form trigger as codectechnologies0@gmail.com; Timestamp: Aug 30, 2026 11:50 AM</t>
  </si>
  <si>
    <t>Mukund Nath Tripathi</t>
  </si>
  <si>
    <t>tripathimukund7398@gmail.com</t>
  </si>
  <si>
    <t xml:space="preserve">Babu Banarasi Das Institute of technology and management </t>
  </si>
  <si>
    <t>1bQq1GDW2EGLxaKpBjOevQM8D6ZyJoMKu</t>
  </si>
  <si>
    <t>https://drive.google.com/file/d/1bQq1GDW2EGLxaKpBjOevQM8D6ZyJoMKu/view?usp=drivesdk</t>
  </si>
  <si>
    <t>Document successfully created; Document successfully merged; PDF created; Emails Sent: [To: tripathimukund7398@gmail.com]; Run via form trigger as codectechnologies0@gmail.com; Timestamp: Aug 30, 2026 11:57 AM</t>
  </si>
  <si>
    <t>CHAVVA RAVI KUMAR REDDY</t>
  </si>
  <si>
    <t>ravikumar25@karunya.edu.in</t>
  </si>
  <si>
    <t>63039 79646</t>
  </si>
  <si>
    <t>1BxLDE7Y2LoxkRArSbP33dPDeeZNxSYYN</t>
  </si>
  <si>
    <t>https://drive.google.com/file/d/1BxLDE7Y2LoxkRArSbP33dPDeeZNxSYYN/view?usp=drivesdk</t>
  </si>
  <si>
    <t>Document successfully created; Document successfully merged; PDF created; Emails Sent: [To: ravikumar25@karunya.edu.in]; Run via form trigger as codectechnologies0@gmail.com; Timestamp: Aug 30, 2026 12:00 PM</t>
  </si>
  <si>
    <t>1hX9liZUBSduGbL9-plJe9V2tL6OgJuVn</t>
  </si>
  <si>
    <t>https://drive.google.com/file/d/1hX9liZUBSduGbL9-plJe9V2tL6OgJuVn/view?usp=drivesdk</t>
  </si>
  <si>
    <t>Document successfully created; Document successfully merged; PDF created; Emails Sent: [To: kartikdhingia35@gmail.com]; Run via form trigger as codectechnologies0@gmail.com; Timestamp: Aug 30, 2026 12:01 PM</t>
  </si>
  <si>
    <t>Avanish Singh</t>
  </si>
  <si>
    <t>avanishsanu868@gmail.com</t>
  </si>
  <si>
    <t>Iilm University Greater noida</t>
  </si>
  <si>
    <t>1owbAl0bRyJzh-RFZFRVWi6483d1-TML8</t>
  </si>
  <si>
    <t>https://drive.google.com/file/d/1owbAl0bRyJzh-RFZFRVWi6483d1-TML8/view?usp=drivesdk</t>
  </si>
  <si>
    <t>Document successfully created; Document successfully merged; PDF created; Emails Sent: [To: avanishsanu868@gmail.com]; Run via form trigger as codectechnologies0@gmail.com; Timestamp: Aug 30, 2026 12:02 PM</t>
  </si>
  <si>
    <t>Facebook, WhatsApp</t>
  </si>
  <si>
    <t>19f2KYbgZe2mxvfs56I_V2z1eLpF7_GHW</t>
  </si>
  <si>
    <t>https://drive.google.com/file/d/19f2KYbgZe2mxvfs56I_V2z1eLpF7_GHW/view?usp=drivesdk</t>
  </si>
  <si>
    <t>Document successfully created; Document successfully merged; PDF created; Emails Sent: [To: avanishsanu868@gmail.com]; Run via form trigger as codectechnologies0@gmail.com; Timestamp: Aug 30, 2026 12:05 PM</t>
  </si>
  <si>
    <t>ISHANT SINGH</t>
  </si>
  <si>
    <t>singhishant534@gmail.com</t>
  </si>
  <si>
    <t>1KbLJp9tsLQdhdQMvZbqU7s2F5mLHaDt9</t>
  </si>
  <si>
    <t>https://drive.google.com/file/d/1KbLJp9tsLQdhdQMvZbqU7s2F5mLHaDt9/view?usp=drivesdk</t>
  </si>
  <si>
    <t>Document successfully created; Document successfully merged; PDF created; Emails Sent: [To: singhishant534@gmail.com]; Run via form trigger as codectechnologies0@gmail.com; Timestamp: Aug 30, 2026 12:07 PM</t>
  </si>
  <si>
    <t>1ALvs7IC3yi-p7ZUDk7tdgjsrtHNfzVvF</t>
  </si>
  <si>
    <t>https://drive.google.com/file/d/1ALvs7IC3yi-p7ZUDk7tdgjsrtHNfzVvF/view?usp=drivesdk</t>
  </si>
  <si>
    <t>Document successfully created; Document successfully merged; PDF created; Emails Sent: [To: tanutiwari239@gmail.com]; Run via form trigger as codectechnologies0@gmail.com; Timestamp: Aug 30, 2026 12:07 PM</t>
  </si>
  <si>
    <t xml:space="preserve">Anish </t>
  </si>
  <si>
    <t>1xRaZGs-aCOSSad8U7i0E5V7bBuDlpWsq</t>
  </si>
  <si>
    <t>https://drive.google.com/file/d/1xRaZGs-aCOSSad8U7i0E5V7bBuDlpWsq/view?usp=drivesdk</t>
  </si>
  <si>
    <t>Document successfully created; Document successfully merged; PDF created; Emails Sent: [To: goarav.25scs1003001369@iilm.edu]; Run via form trigger as codectechnologies0@gmail.com; Timestamp: Aug 30, 2026 12:09 PM</t>
  </si>
  <si>
    <t>1i86hnxRd9AbwJGYOm1-1SU8X0SUTtuF0</t>
  </si>
  <si>
    <t>https://drive.google.com/file/d/1i86hnxRd9AbwJGYOm1-1SU8X0SUTtuF0/view?usp=drivesdk</t>
  </si>
  <si>
    <t>Document successfully created; Document successfully merged; PDF created; Emails Sent: [To: rishi060807@gmail.com]; Run via form trigger as codectechnologies0@gmail.com; Timestamp: Aug 30, 2026 12:10 PM</t>
  </si>
  <si>
    <t>Maneesh Kumar</t>
  </si>
  <si>
    <t>2303031240629@paruluniversity.ac.in</t>
  </si>
  <si>
    <t>1dozW95hlFiqYgGH5fnPZsrqtQRRxBoG6</t>
  </si>
  <si>
    <t>https://drive.google.com/file/d/1dozW95hlFiqYgGH5fnPZsrqtQRRxBoG6/view?usp=drivesdk</t>
  </si>
  <si>
    <t>Document successfully created; Document successfully merged; PDF created; Emails Sent: [To: 2303031240629@paruluniversity.ac.in]; Run via form trigger as codectechnologies0@gmail.com; Timestamp: Aug 30, 2026 12:10 PM</t>
  </si>
  <si>
    <t xml:space="preserve">Sumit Singh Bisht </t>
  </si>
  <si>
    <t>sumitsbisht45@gmail.com</t>
  </si>
  <si>
    <t>Iilm university greator noida</t>
  </si>
  <si>
    <t>106IRKnEJOoAIsbEVclxfGgIvQe5ms5GL</t>
  </si>
  <si>
    <t>https://drive.google.com/file/d/106IRKnEJOoAIsbEVclxfGgIvQe5ms5GL/view?usp=drivesdk</t>
  </si>
  <si>
    <t>Document successfully created; Document successfully merged; PDF created; Emails Sent: [To: sumitsbisht45@gmail.com]; Run via form trigger as codectechnologies0@gmail.com; Timestamp: Aug 30, 2026 12:14 PM</t>
  </si>
  <si>
    <t xml:space="preserve">Manisha Yadav </t>
  </si>
  <si>
    <t>immanishayadav526@gmail.com</t>
  </si>
  <si>
    <t xml:space="preserve">ITM, Gida gorakhpur </t>
  </si>
  <si>
    <t>1r-Y4WSoi0OyxmIzkhXQ0tuGCQOV3IZ8A</t>
  </si>
  <si>
    <t>https://drive.google.com/file/d/1r-Y4WSoi0OyxmIzkhXQ0tuGCQOV3IZ8A/view?usp=drivesdk</t>
  </si>
  <si>
    <t>Document successfully created; Document successfully merged; PDF created; Emails Sent: [To: immanishayadav526@gmail.com]; Run via form trigger as codectechnologies0@gmail.com; Timestamp: Aug 30, 2026 12:15 PM</t>
  </si>
  <si>
    <t>Srija Biswas</t>
  </si>
  <si>
    <t>somab0379@gmail.com</t>
  </si>
  <si>
    <t>IIT Kharagpur</t>
  </si>
  <si>
    <t>19y_7CumqyZhGLYKl8jRc57H7TsOUYLTw</t>
  </si>
  <si>
    <t>https://drive.google.com/file/d/19y_7CumqyZhGLYKl8jRc57H7TsOUYLTw/view?usp=drivesdk</t>
  </si>
  <si>
    <t>Document successfully created; Document successfully merged; PDF created; Emails Sent: [To: somab0379@gmail.com]; Run via form trigger as codectechnologies0@gmail.com; Timestamp: Aug 30, 2026 12:16 PM</t>
  </si>
  <si>
    <t>15H0U1HJ7NLzeUZvnAXrrt65Cu-WIuVaC</t>
  </si>
  <si>
    <t>https://drive.google.com/file/d/15H0U1HJ7NLzeUZvnAXrrt65Cu-WIuVaC/view?usp=drivesdk</t>
  </si>
  <si>
    <t>Document successfully created; Document successfully merged; PDF created; Emails Sent: [To: 2303031240629@paruluniversity.ac.in]; Run via form trigger as codectechnologies0@gmail.com; Timestamp: Aug 30, 2026 12:17 PM</t>
  </si>
  <si>
    <t>Akshar Shrivastava</t>
  </si>
  <si>
    <t>akshar.25scs1003004940@iilm.edu</t>
  </si>
  <si>
    <t>1-x8fhsYBw6VapQZ2adoZdDi8bSPK17Dh</t>
  </si>
  <si>
    <t>https://drive.google.com/file/d/1-x8fhsYBw6VapQZ2adoZdDi8bSPK17Dh/view?usp=drivesdk</t>
  </si>
  <si>
    <t>Document successfully created; Document successfully merged; PDF created; Emails Sent: [To: akshar.25scs1003004940@iilm.edu]; Run via form trigger as codectechnologies0@gmail.com; Timestamp: Aug 30, 2026 12:21 PM</t>
  </si>
  <si>
    <t>Divyanshu Gaur</t>
  </si>
  <si>
    <t>divyanshugaur46@gmail.com</t>
  </si>
  <si>
    <t xml:space="preserve">NOIDA institute of engineering and technology </t>
  </si>
  <si>
    <t>1x36vjR9EQy6P3Bvq1xXDJLukemzk0t1d</t>
  </si>
  <si>
    <t>https://drive.google.com/file/d/1x36vjR9EQy6P3Bvq1xXDJLukemzk0t1d/view?usp=drivesdk</t>
  </si>
  <si>
    <t>Document successfully created; Document successfully merged; PDF created; Emails Sent: [To: divyanshugaur46@gmail.com]; Run via form trigger as codectechnologies0@gmail.com; Timestamp: Aug 30, 2026 12:21 PM</t>
  </si>
  <si>
    <t>sharmaprakhar1081@gmail.com</t>
  </si>
  <si>
    <t>1I8KG1luLMeF6vtNcjdGLjCIpkVkxJ_OO</t>
  </si>
  <si>
    <t>https://drive.google.com/file/d/1I8KG1luLMeF6vtNcjdGLjCIpkVkxJ_OO/view?usp=drivesdk</t>
  </si>
  <si>
    <t>Document successfully created; Document successfully merged; PDF created; Emails Sent: [To: sharmaprakhar1081@gmail.com]; Run via form trigger as codectechnologies0@gmail.com; Timestamp: Aug 30, 2026 12:21 PM</t>
  </si>
  <si>
    <t>Purushottam kumar</t>
  </si>
  <si>
    <t>mishrapurushottam911@gmail.com</t>
  </si>
  <si>
    <t>06200634115</t>
  </si>
  <si>
    <t>IILM UNIVEREITY</t>
  </si>
  <si>
    <t>14t_r2uWCsmSGBBp1io5Zy27izXmgzq96</t>
  </si>
  <si>
    <t>https://drive.google.com/file/d/14t_r2uWCsmSGBBp1io5Zy27izXmgzq96/view?usp=drivesdk</t>
  </si>
  <si>
    <t>Document successfully created; Document successfully merged; PDF created; Emails Sent: [To: mishrapurushottam911@gmail.com]; Run via form trigger as codectechnologies0@gmail.com; Timestamp: Aug 30, 2026 12:22 PM</t>
  </si>
  <si>
    <t>1PQKAHnWbOSvJpsnh44Iabs3pj-eJUFCZ</t>
  </si>
  <si>
    <t>https://drive.google.com/file/d/1PQKAHnWbOSvJpsnh44Iabs3pj-eJUFCZ/view?usp=drivesdk</t>
  </si>
  <si>
    <t>Document successfully created; Document successfully merged; PDF created; Emails Sent: [To: singhishant534@gmail.com]; Run via form trigger as codectechnologies0@gmail.com; Timestamp: Aug 30, 2026 12:27 PM</t>
  </si>
  <si>
    <t>19PUPU3OFUxi8i9dnvex3AP3wK1EK4Oza</t>
  </si>
  <si>
    <t>https://drive.google.com/file/d/19PUPU3OFUxi8i9dnvex3AP3wK1EK4Oza/view?usp=drivesdk</t>
  </si>
  <si>
    <t>Document successfully created; Document successfully merged; PDF created; Emails Sent: [To: singhishant534@gmail.com]; Run via form trigger as codectechnologies0@gmail.com; Timestamp: Aug 30, 2026 12:30 PM</t>
  </si>
  <si>
    <t>RAZI AHMAD</t>
  </si>
  <si>
    <t>rziahmad555@gmail.com</t>
  </si>
  <si>
    <t>Galgotias University</t>
  </si>
  <si>
    <t>1HRHGAgDVjT6CvijmTQRDLHx7jjscxdg1</t>
  </si>
  <si>
    <t>https://drive.google.com/file/d/1HRHGAgDVjT6CvijmTQRDLHx7jjscxdg1/view?usp=drivesdk</t>
  </si>
  <si>
    <t>Document successfully created; Document successfully merged; PDF created; Emails Sent: [To: rziahmad555@gmail.com]; Run via form trigger as codectechnologies0@gmail.com; Timestamp: Aug 30, 2026 12:30 PM</t>
  </si>
  <si>
    <t>KARUMUDI SREETHU</t>
  </si>
  <si>
    <t>sreethu.2066@gmail.com</t>
  </si>
  <si>
    <t>LAKIREDDY BALIREDDY COLLEGE OF ENGINEERING</t>
  </si>
  <si>
    <t>1JRASDxsO6ys7R8cnaFjKOyXsUW5KNSBO</t>
  </si>
  <si>
    <t>https://drive.google.com/file/d/1JRASDxsO6ys7R8cnaFjKOyXsUW5KNSBO/view?usp=drivesdk</t>
  </si>
  <si>
    <t>Document successfully created; Document successfully merged; PDF created; Emails Sent: [To: sreethu.2066@gmail.com]; Run via form trigger as codectechnologies0@gmail.com; Timestamp: Aug 30, 2026 12:32 PM</t>
  </si>
  <si>
    <t xml:space="preserve">Abhishek Chauhan </t>
  </si>
  <si>
    <t>chauhanvinodkumar10071980@gmail.com</t>
  </si>
  <si>
    <t>135MAV60pe6OdxVuO4f4dPwMo3_cJzWGK</t>
  </si>
  <si>
    <t>https://drive.google.com/file/d/135MAV60pe6OdxVuO4f4dPwMo3_cJzWGK/view?usp=drivesdk</t>
  </si>
  <si>
    <t>Document successfully created; Document successfully merged; PDF created; Emails Sent: [To: chauhanvinodkumar10071980@gmail.com]; Run via form trigger as codectechnologies0@gmail.com; Timestamp: Aug 30, 2026 12:32 PM</t>
  </si>
  <si>
    <t>1rc6wMSgEYNhPAmikW_ak9mOcYe9i6FfH</t>
  </si>
  <si>
    <t>https://drive.google.com/file/d/1rc6wMSgEYNhPAmikW_ak9mOcYe9i6FfH/view?usp=drivesdk</t>
  </si>
  <si>
    <t>Document successfully created; Document successfully merged; PDF created; Emails Sent: [To: singhishant534@gmail.com]; Run via form trigger as codectechnologies0@gmail.com; Timestamp: Aug 30, 2026 12:33 PM</t>
  </si>
  <si>
    <t>Shivansh Yadav</t>
  </si>
  <si>
    <t>shivansh.25scs1003003283@iilm.edu</t>
  </si>
  <si>
    <t>1T_7DGT1RH9iBRoR2b1g_fhzogcgfoPla</t>
  </si>
  <si>
    <t>https://drive.google.com/file/d/1T_7DGT1RH9iBRoR2b1g_fhzogcgfoPla/view?usp=drivesdk</t>
  </si>
  <si>
    <t>Document successfully created; Document successfully merged; PDF created; Emails Sent: [To: shivansh.25scs1003003283@iilm.edu]; Run via form trigger as codectechnologies0@gmail.com; Timestamp: Aug 30, 2026 12:33 PM</t>
  </si>
  <si>
    <t>Atharva</t>
  </si>
  <si>
    <t>atharva.25scs1003002307@iilm.edu</t>
  </si>
  <si>
    <t>17rb7rSPNWrFZXl13Vc6InuKRVpWMhYJh</t>
  </si>
  <si>
    <t>https://drive.google.com/file/d/17rb7rSPNWrFZXl13Vc6InuKRVpWMhYJh/view?usp=drivesdk</t>
  </si>
  <si>
    <t>Document successfully created; Document successfully merged; PDF created; Emails Sent: [To: atharva.25scs1003002307@iilm.edu]; Run via form trigger as codectechnologies0@gmail.com; Timestamp: Aug 30, 2026 12:36 PM</t>
  </si>
  <si>
    <t>NAGOTHU SRI BALA DURGA</t>
  </si>
  <si>
    <t>sribaladurgatejasri@gmail.com</t>
  </si>
  <si>
    <t>LinkedIn, Instagram, WhatsApp, Friend</t>
  </si>
  <si>
    <t>1DkxWeaJKcgmnfgJy8O18MHhnHrVsLfMe</t>
  </si>
  <si>
    <t>https://drive.google.com/file/d/1DkxWeaJKcgmnfgJy8O18MHhnHrVsLfMe/view?usp=drivesdk</t>
  </si>
  <si>
    <t>Document successfully created; Document successfully merged; PDF created; Emails Sent: [To: sribaladurgatejasri@gmail.com]; Run via form trigger as codectechnologies0@gmail.com; Timestamp: Aug 30, 2026 12:36 PM</t>
  </si>
  <si>
    <t>1bN32HCQaBU852kdgnFazurHizcGQZAHY</t>
  </si>
  <si>
    <t>https://drive.google.com/file/d/1bN32HCQaBU852kdgnFazurHizcGQZAHY/view?usp=drivesdk</t>
  </si>
  <si>
    <t>Document successfully created; Document successfully merged; PDF created; Emails Sent: [To: chauhanvinodkumar10071980@gmail.com]; Run via form trigger as codectechnologies0@gmail.com; Timestamp: Aug 30, 2026 12:37 PM</t>
  </si>
  <si>
    <t>MD AMAAN SAHZADA</t>
  </si>
  <si>
    <t>asahjada786@gmail.com</t>
  </si>
  <si>
    <t>10VwtF3JVhbpfZ1Ic7UClNmLcjWELHBw6</t>
  </si>
  <si>
    <t>https://drive.google.com/file/d/10VwtF3JVhbpfZ1Ic7UClNmLcjWELHBw6/view?usp=drivesdk</t>
  </si>
  <si>
    <t>Document successfully created; Document successfully merged; PDF created; Emails Sent: [To: asahjada786@gmail.com]; Run via form trigger as codectechnologies0@gmail.com; Timestamp: Aug 30, 2026 12:37 PM</t>
  </si>
  <si>
    <t>Mehran Hassan</t>
  </si>
  <si>
    <t>mehran.25scs1003001536@iilm.edu</t>
  </si>
  <si>
    <t>1a3PjUfcT7Ogrr2ceJbYW6-xJ44W21edp</t>
  </si>
  <si>
    <t>https://drive.google.com/file/d/1a3PjUfcT7Ogrr2ceJbYW6-xJ44W21edp/view?usp=drivesdk</t>
  </si>
  <si>
    <t>Document successfully created; Document successfully merged; PDF created; Emails Sent: [To: mehran.25scs1003001536@iilm.edu]; Run via form trigger as codectechnologies0@gmail.com; Timestamp: Aug 30, 2026 12:38 PM</t>
  </si>
  <si>
    <t>Ishant singh</t>
  </si>
  <si>
    <t>1e1E03UbOd_zVOabLL1tGAb06dmA0dDwn</t>
  </si>
  <si>
    <t>https://drive.google.com/file/d/1e1E03UbOd_zVOabLL1tGAb06dmA0dDwn/view?usp=drivesdk</t>
  </si>
  <si>
    <t>Document successfully created; Document successfully merged; PDF created; Emails Sent: [To: singhishant534@gmail.com]; Run via form trigger as codectechnologies0@gmail.com; Timestamp: Aug 30, 2026 12:44 PM</t>
  </si>
  <si>
    <t>Vinayak Mishra</t>
  </si>
  <si>
    <t>vinayakmishra197@gmail.com</t>
  </si>
  <si>
    <t>1ssfefj1UBwxOKNJNB3n12Niu0b_QAj5n</t>
  </si>
  <si>
    <t>https://drive.google.com/file/d/1ssfefj1UBwxOKNJNB3n12Niu0b_QAj5n/view?usp=drivesdk</t>
  </si>
  <si>
    <t>Document successfully created; Document successfully merged; PDF created; Emails Sent: [To: vinayakmishra197@gmail.com]; Run via form trigger as codectechnologies0@gmail.com; Timestamp: Aug 30, 2026 12:45 PM</t>
  </si>
  <si>
    <t>SHIVANSH AWASTHI</t>
  </si>
  <si>
    <t>shivanshawasthi11111@gmail.com</t>
  </si>
  <si>
    <t>Friend, Email, AICTE/Indeed, Internshala</t>
  </si>
  <si>
    <t>1Q_Ho5r5bzc17szQr3DomApQHyawGsGc4</t>
  </si>
  <si>
    <t>https://drive.google.com/file/d/1Q_Ho5r5bzc17szQr3DomApQHyawGsGc4/view?usp=drivesdk</t>
  </si>
  <si>
    <t>Document successfully created; Document successfully merged; PDF created; Emails Sent: [To: shivanshawasthi11111@gmail.com]; Run via form trigger as codectechnologies0@gmail.com; Timestamp: Aug 30, 2026 12:50 PM</t>
  </si>
  <si>
    <t>Ayush Raj</t>
  </si>
  <si>
    <t>ayushtiwari6399@gmail.com</t>
  </si>
  <si>
    <t>1oJXlxEBs3oM6GdQzE1p-WjcXo_D-zW6J</t>
  </si>
  <si>
    <t>https://drive.google.com/file/d/1oJXlxEBs3oM6GdQzE1p-WjcXo_D-zW6J/view?usp=drivesdk</t>
  </si>
  <si>
    <t>Document successfully created; Document successfully merged; PDF created; Emails Sent: [To: ayushtiwari6399@gmail.com]; Run via form trigger as codectechnologies0@gmail.com; Timestamp: Aug 30, 2026 12:51 PM</t>
  </si>
  <si>
    <t xml:space="preserve">Elamsaravanan G </t>
  </si>
  <si>
    <t>elamsaravanan586@gmail.com</t>
  </si>
  <si>
    <t>1AO_nOBfcCuPIsp6zIrcygMkCQKRDkApm</t>
  </si>
  <si>
    <t>https://drive.google.com/file/d/1AO_nOBfcCuPIsp6zIrcygMkCQKRDkApm/view?usp=drivesdk</t>
  </si>
  <si>
    <t>Document successfully created; Document successfully merged; PDF created; Emails Sent: [To: elamsaravanan586@gmail.com]; Run via form trigger as codectechnologies0@gmail.com; Timestamp: Aug 30, 2026 1:00 PM</t>
  </si>
  <si>
    <t>Yash Kumar</t>
  </si>
  <si>
    <t>yashkumar180707@gmail.com</t>
  </si>
  <si>
    <t xml:space="preserve">Netaji Subhas Institute of Technology </t>
  </si>
  <si>
    <t>1-uk9lHMi8XLXszc89pSXC3GG-szXgChc</t>
  </si>
  <si>
    <t>https://drive.google.com/file/d/1-uk9lHMi8XLXszc89pSXC3GG-szXgChc/view?usp=drivesdk</t>
  </si>
  <si>
    <t>Document successfully created; Document successfully merged; PDF created; Emails Sent: [To: yashkumar180707@gmail.com]; Run via form trigger as codectechnologies0@gmail.com; Timestamp: Aug 30, 2026 1:01 PM</t>
  </si>
  <si>
    <t>Garv shrivastava</t>
  </si>
  <si>
    <t>garvshrivastava2809@gmail.com</t>
  </si>
  <si>
    <t>1cYv4aI-sOiGYxddjw5LivoU43fbr-i8G</t>
  </si>
  <si>
    <t>https://drive.google.com/file/d/1cYv4aI-sOiGYxddjw5LivoU43fbr-i8G/view?usp=drivesdk</t>
  </si>
  <si>
    <t>Document successfully created; Document successfully merged; PDF created; Emails Sent: [To: garvshrivastava2809@gmail.com]; Run via form trigger as codectechnologies0@gmail.com; Timestamp: Aug 30, 2026 1:03 PM</t>
  </si>
  <si>
    <t xml:space="preserve"> Dashrath</t>
  </si>
  <si>
    <t>164ObaBP5WK-jnzOLa3o2ZGzclRQQ3uhV</t>
  </si>
  <si>
    <t>https://drive.google.com/file/d/164ObaBP5WK-jnzOLa3o2ZGzclRQQ3uhV/view?usp=drivesdk</t>
  </si>
  <si>
    <t>Document successfully created; Document successfully merged; PDF created; Emails Sent: [To: goarav.25scs1003001369@iilm.edu]; Run via form trigger as codectechnologies0@gmail.com; Timestamp: Aug 30, 2026 1:04 PM</t>
  </si>
  <si>
    <t>1Hs9YKgobXEaviDhSV7VBY9G53JumPvoy</t>
  </si>
  <si>
    <t>https://drive.google.com/file/d/1Hs9YKgobXEaviDhSV7VBY9G53JumPvoy/view?usp=drivesdk</t>
  </si>
  <si>
    <t>Document successfully created; Document successfully merged; PDF created; Emails Sent: [To: amankumar6422811@gmail.com]; Run via form trigger as codectechnologies0@gmail.com; Timestamp: Aug 30, 2026 1:09 PM</t>
  </si>
  <si>
    <t xml:space="preserve">Rajesh Kumar </t>
  </si>
  <si>
    <t>rajesh.25scs1003003021@iilm.edu</t>
  </si>
  <si>
    <t>10EdGghxJT1UuidRQapu22704lqMdeayi</t>
  </si>
  <si>
    <t>https://drive.google.com/file/d/10EdGghxJT1UuidRQapu22704lqMdeayi/view?usp=drivesdk</t>
  </si>
  <si>
    <t>Document successfully created; Document successfully merged; PDF created; Emails Sent: [To: rajesh.25scs1003003021@iilm.edu]; Run via form trigger as codectechnologies0@gmail.com; Timestamp: Aug 30, 2026 1:12 PM</t>
  </si>
  <si>
    <t>Anukriti Sharma</t>
  </si>
  <si>
    <t>aksharshrivastava27@gmail.com</t>
  </si>
  <si>
    <t>1WnXYnj3ZRX9yUu1SirZljl8vNRrsrq9p</t>
  </si>
  <si>
    <t>https://drive.google.com/file/d/1WnXYnj3ZRX9yUu1SirZljl8vNRrsrq9p/view?usp=drivesdk</t>
  </si>
  <si>
    <t>Document successfully created; Document successfully merged; PDF created; Emails Sent: [To: aksharshrivastava27@gmail.com]; Run via form trigger as codectechnologies0@gmail.com; Timestamp: Aug 30, 2026 1:15 PM</t>
  </si>
  <si>
    <t xml:space="preserve">Lakshay verma </t>
  </si>
  <si>
    <t>03lakshayverma@gmail.com</t>
  </si>
  <si>
    <t>1Wsg9zAHwc_L0HLwrdg_r2KwcBiuePcdh</t>
  </si>
  <si>
    <t>https://drive.google.com/file/d/1Wsg9zAHwc_L0HLwrdg_r2KwcBiuePcdh/view?usp=drivesdk</t>
  </si>
  <si>
    <t>Document successfully created; Document successfully merged; PDF created; Emails Sent: [To: 03lakshayverma@gmail.com]; Run via form trigger as codectechnologies0@gmail.com; Timestamp: Aug 30, 2026 1:15 PM</t>
  </si>
  <si>
    <t>Ansh Dubey</t>
  </si>
  <si>
    <t>anshd2736@gmail.com</t>
  </si>
  <si>
    <t>1-uBAIr0nFWjkLHAPxANYGPi6MGNbxawN</t>
  </si>
  <si>
    <t>https://drive.google.com/file/d/1-uBAIr0nFWjkLHAPxANYGPi6MGNbxawN/view?usp=drivesdk</t>
  </si>
  <si>
    <t>Document successfully created; Document successfully merged; PDF created; Emails Sent: [To: anshd2736@gmail.com]; Run via form trigger as codectechnologies0@gmail.com; Timestamp: Aug 30, 2026 1:19 PM</t>
  </si>
  <si>
    <t xml:space="preserve">IILM university Greater Noida </t>
  </si>
  <si>
    <t>1z5yEmmbO_PAeg2M5YCNjEMTpwzAG54xw</t>
  </si>
  <si>
    <t>https://drive.google.com/file/d/1z5yEmmbO_PAeg2M5YCNjEMTpwzAG54xw/view?usp=drivesdk</t>
  </si>
  <si>
    <t>Document successfully created; Document successfully merged; PDF created; Emails Sent: [To: 03lakshayverma@gmail.com]; Run via form trigger as codectechnologies0@gmail.com; Timestamp: Aug 30, 2026 1:20 PM</t>
  </si>
  <si>
    <t xml:space="preserve">Kartik Mahajan </t>
  </si>
  <si>
    <t>mahajankartik84@gmail.com</t>
  </si>
  <si>
    <t>1L_uYmZwnWidnkSLbJiKV3nHYkdfonuD4</t>
  </si>
  <si>
    <t>https://drive.google.com/file/d/1L_uYmZwnWidnkSLbJiKV3nHYkdfonuD4/view?usp=drivesdk</t>
  </si>
  <si>
    <t>Document successfully created; Document successfully merged; PDF created; Emails Sent: [To: mahajankartik84@gmail.com]; Run via form trigger as codectechnologies0@gmail.com; Timestamp: Aug 30, 2026 1:20 PM</t>
  </si>
  <si>
    <t>Mercy Angelin Mary. I</t>
  </si>
  <si>
    <t>mercyhebzi@gmail.com</t>
  </si>
  <si>
    <t xml:space="preserve">M.A.M College of Engineering </t>
  </si>
  <si>
    <t>1hC-sNAcq6cTBPg5kdiKbOomjpmDqNFOA</t>
  </si>
  <si>
    <t>https://drive.google.com/file/d/1hC-sNAcq6cTBPg5kdiKbOomjpmDqNFOA/view?usp=drivesdk</t>
  </si>
  <si>
    <t>Document successfully created; Document successfully merged; PDF created; Emails Sent: [To: mercyhebzi@gmail.com]; Run via form trigger as codectechnologies0@gmail.com; Timestamp: Aug 30, 2026 1:27 PM</t>
  </si>
  <si>
    <t>Aradhya Gupta</t>
  </si>
  <si>
    <t>aradhyagupta1221@gmail.com</t>
  </si>
  <si>
    <t xml:space="preserve">Dr Virendra swarup institute of computer studies </t>
  </si>
  <si>
    <t>1s9RqSLn4GuEFl0uNZEcuLjRVioe9eYd8</t>
  </si>
  <si>
    <t>https://drive.google.com/file/d/1s9RqSLn4GuEFl0uNZEcuLjRVioe9eYd8/view?usp=drivesdk</t>
  </si>
  <si>
    <t>Document successfully created; Document successfully merged; PDF created; Emails Sent: [To: aradhyagupta1221@gmail.com]; Run via form trigger as codectechnologies0@gmail.com; Timestamp: Aug 30, 2026 1:27 PM</t>
  </si>
  <si>
    <t>MD Shamoel Farooqui</t>
  </si>
  <si>
    <t>farooquishamoel@gmail.com</t>
  </si>
  <si>
    <t>National Institute of Technology Patna</t>
  </si>
  <si>
    <t>1_Kk-Ed7KkmHVgK7WWxcxc8_IBRlxqJhZ</t>
  </si>
  <si>
    <t>https://drive.google.com/file/d/1_Kk-Ed7KkmHVgK7WWxcxc8_IBRlxqJhZ/view?usp=drivesdk</t>
  </si>
  <si>
    <t>Document successfully created; Document successfully merged; PDF created; Emails Sent: [To: farooquishamoel@gmail.com]; Run via form trigger as codectechnologies0@gmail.com; Timestamp: Aug 30, 2026 1:34 PM</t>
  </si>
  <si>
    <t>19pKNIXtLfz_LHQkOC9PRJ-fVNs0VjNh1</t>
  </si>
  <si>
    <t>https://drive.google.com/file/d/19pKNIXtLfz_LHQkOC9PRJ-fVNs0VjNh1/view?usp=drivesdk</t>
  </si>
  <si>
    <t>Document successfully created; Document successfully merged; PDF created; Emails Sent: [To: somab0379@gmail.com]; Run via form trigger as codectechnologies0@gmail.com; Timestamp: Aug 30, 2026 1:37 PM</t>
  </si>
  <si>
    <t>Amit Poddar</t>
  </si>
  <si>
    <t>amitpoddar8472@gmail.com</t>
  </si>
  <si>
    <t>1c4ejDlrcRBdQdU3xi9FPEjLYYKXUu5B0</t>
  </si>
  <si>
    <t>https://drive.google.com/file/d/1c4ejDlrcRBdQdU3xi9FPEjLYYKXUu5B0/view?usp=drivesdk</t>
  </si>
  <si>
    <t>Document successfully created; Document successfully merged; PDF created; Emails Sent: [To: amitpoddar8472@gmail.com]; Run via form trigger as codectechnologies0@gmail.com; Timestamp: Aug 30, 2026 1:38 PM</t>
  </si>
  <si>
    <t>Hardik Thakral</t>
  </si>
  <si>
    <t>hardikthakral9@gmail.com</t>
  </si>
  <si>
    <t>1M9tbKIa6uuojPB4GBL590MXGqRrOYg1V</t>
  </si>
  <si>
    <t>https://drive.google.com/file/d/1M9tbKIa6uuojPB4GBL590MXGqRrOYg1V/view?usp=drivesdk</t>
  </si>
  <si>
    <t>Document successfully created; Document successfully merged; PDF created; Emails Sent: [To: hardikthakral9@gmail.com]; Run via form trigger as codectechnologies0@gmail.com; Timestamp: Aug 30, 2026 1:43 PM</t>
  </si>
  <si>
    <t>Shreya Gautam</t>
  </si>
  <si>
    <t>shreya.25scs1003005525@iilm.edu</t>
  </si>
  <si>
    <t>1_CXs8qz--pV_Q82g6j1fnnG9cd1OtjAi</t>
  </si>
  <si>
    <t>https://drive.google.com/file/d/1_CXs8qz--pV_Q82g6j1fnnG9cd1OtjAi/view?usp=drivesdk</t>
  </si>
  <si>
    <t>Document successfully created; Document successfully merged; PDF created; Emails Sent: [To: shreya.25scs1003005525@iilm.edu]; Run via form trigger as codectechnologies0@gmail.com; Timestamp: Aug 30, 2026 1:48 PM</t>
  </si>
  <si>
    <t>Aditya Singh</t>
  </si>
  <si>
    <t>mailtoaditya1102@gmail.com</t>
  </si>
  <si>
    <t>IILM UNIVERSITY, Greater Noida</t>
  </si>
  <si>
    <t>1vYURL7mYEDI-3C5ucsrvmqncc2BTeNwg</t>
  </si>
  <si>
    <t>https://drive.google.com/file/d/1vYURL7mYEDI-3C5ucsrvmqncc2BTeNwg/view?usp=drivesdk</t>
  </si>
  <si>
    <t>Document successfully created; Document successfully merged; PDF created; Emails Sent: [To: mailtoaditya1102@gmail.com]; Run via form trigger as codectechnologies0@gmail.com; Timestamp: Aug 30, 2026 1:50 PM</t>
  </si>
  <si>
    <t>Harshit raj</t>
  </si>
  <si>
    <t>harshitofficial071@gmail.com</t>
  </si>
  <si>
    <t>1Rtn458SAd0hIDKWip1-sa0-PL4EaFUum</t>
  </si>
  <si>
    <t>https://drive.google.com/file/d/1Rtn458SAd0hIDKWip1-sa0-PL4EaFUum/view?usp=drivesdk</t>
  </si>
  <si>
    <t>Document successfully created; Document successfully merged; PDF created; Emails Sent: [To: harshitofficial071@gmail.com]; Run via form trigger as codectechnologies0@gmail.com; Timestamp: Aug 30, 2026 1:54 PM</t>
  </si>
  <si>
    <t>Aaryavya Dev Singh</t>
  </si>
  <si>
    <t>aaryavya.25scs1003004115@iilm.edu</t>
  </si>
  <si>
    <t>+91 8319695601</t>
  </si>
  <si>
    <t>1hjBRXP79R9SO4orRZV1TLQvsg4b2rn0Q</t>
  </si>
  <si>
    <t>https://drive.google.com/file/d/1hjBRXP79R9SO4orRZV1TLQvsg4b2rn0Q/view?usp=drivesdk</t>
  </si>
  <si>
    <t>Document successfully created; Document successfully merged; PDF created; Emails Sent: [To: aaryavya.25scs1003004115@iilm.edu]; Run via form trigger as codectechnologies0@gmail.com; Timestamp: Aug 30, 2026 2:06 PM</t>
  </si>
  <si>
    <t>Palak Mishra</t>
  </si>
  <si>
    <t>palak.25scs1003003505@iilm.edu</t>
  </si>
  <si>
    <t>1BE8uvRpZnyXOcbjJ-KtMEKqZKWWOitiF</t>
  </si>
  <si>
    <t>https://drive.google.com/file/d/1BE8uvRpZnyXOcbjJ-KtMEKqZKWWOitiF/view?usp=drivesdk</t>
  </si>
  <si>
    <t>Document successfully created; Document successfully merged; PDF created; Emails Sent: [To: palak.25scs1003003505@iilm.edu]; Run via form trigger as codectechnologies0@gmail.com; Timestamp: Aug 30, 2026 2:08 PM</t>
  </si>
  <si>
    <t>Aryan kumar</t>
  </si>
  <si>
    <t>aryan.25scs1003002788@iilm.edu</t>
  </si>
  <si>
    <t>LinkedIn, Instagram, Friend, AICTE/Indeed</t>
  </si>
  <si>
    <t>1pSimfbhLbrwT175bX4z5VGpVW-rftkfd</t>
  </si>
  <si>
    <t>https://drive.google.com/file/d/1pSimfbhLbrwT175bX4z5VGpVW-rftkfd/view?usp=drivesdk</t>
  </si>
  <si>
    <t>Document successfully created; Document successfully merged; PDF created; Emails Sent: [To: aryan.25scs1003002788@iilm.edu]; Run via form trigger as codectechnologies0@gmail.com; Timestamp: Aug 30, 2026 2:23 PM</t>
  </si>
  <si>
    <t xml:space="preserve">Aryan kumar </t>
  </si>
  <si>
    <t>1Ltiugl16LB4tR_z0vDnJyopEffxbYy4v</t>
  </si>
  <si>
    <t>https://drive.google.com/file/d/1Ltiugl16LB4tR_z0vDnJyopEffxbYy4v/view?usp=drivesdk</t>
  </si>
  <si>
    <t>Document successfully created; Document successfully merged; PDF created; Emails Sent: [To: aryan.25scs1003002788@iilm.edu]; Run via form trigger as codectechnologies0@gmail.com; Timestamp: Aug 30, 2026 2:37 PM</t>
  </si>
  <si>
    <t>Jatin Patidar</t>
  </si>
  <si>
    <t>jatinpatidar212@gmail.com</t>
  </si>
  <si>
    <t>Ujjain Engineering College, Ujjain</t>
  </si>
  <si>
    <t>1Az04Qt8o6im-x6YBpKRPvfod2r9eQtOi</t>
  </si>
  <si>
    <t>https://drive.google.com/file/d/1Az04Qt8o6im-x6YBpKRPvfod2r9eQtOi/view?usp=drivesdk</t>
  </si>
  <si>
    <t>Document successfully created; Document successfully merged; PDF created; Emails Sent: [To: jatinpatidar212@gmail.com]; Run via form trigger as codectechnologies0@gmail.com; Timestamp: Aug 30, 2026 3:24 PM</t>
  </si>
  <si>
    <t>07972199102</t>
  </si>
  <si>
    <t>1-tv6byBVuFMJqwgHLlUJIajmp5h73Nia</t>
  </si>
  <si>
    <t>https://drive.google.com/file/d/1-tv6byBVuFMJqwgHLlUJIajmp5h73Nia/view?usp=drivesdk</t>
  </si>
  <si>
    <t>Document successfully created; Document successfully merged; PDF created; Emails Sent: [To: kishorkornule@gmail.com]; Run via form trigger as codectechnologies0@gmail.com; Timestamp: Aug 30, 2026 4:09 PM</t>
  </si>
  <si>
    <t>Rahul M Ganacharimath</t>
  </si>
  <si>
    <t>rahulyt14325@gmail.com</t>
  </si>
  <si>
    <t>09880922386</t>
  </si>
  <si>
    <t>1PoRRMtmmaqfO0I7O98DjOh5ur6kG6tzu</t>
  </si>
  <si>
    <t>https://drive.google.com/file/d/1PoRRMtmmaqfO0I7O98DjOh5ur6kG6tzu/view?usp=drivesdk</t>
  </si>
  <si>
    <t>Document successfully created; Document successfully merged; PDF created; Emails Sent: [To: rahulyt14325@gmail.com]; Run via form trigger as codectechnologies0@gmail.com; Timestamp: Aug 30, 2026 5:54 PM</t>
  </si>
  <si>
    <t>Joyleen Rutendo Ruvoko</t>
  </si>
  <si>
    <t>joyleenruvoko@gmail.com</t>
  </si>
  <si>
    <t xml:space="preserve">ADITYA UNIVERSITY, SURAMPALEM </t>
  </si>
  <si>
    <t>18kLZEdlV1pn5vDCNww_tGJOH0t2gvvwx</t>
  </si>
  <si>
    <t>https://drive.google.com/file/d/18kLZEdlV1pn5vDCNww_tGJOH0t2gvvwx/view?usp=drivesdk</t>
  </si>
  <si>
    <t>Document successfully created; Document successfully merged; PDF created; Emails Sent: [To: joyleenruvoko@gmail.com]; Run via form trigger as codectechnologies0@gmail.com; Timestamp: Aug 30, 2026 9:43 PM</t>
  </si>
  <si>
    <t>Manisha Namala</t>
  </si>
  <si>
    <t>manishanamala1@gmail.com</t>
  </si>
  <si>
    <t>1V7GLHwMJFjUE8BqaUyIkqcC6Hmf0jDWz</t>
  </si>
  <si>
    <t>https://drive.google.com/file/d/1V7GLHwMJFjUE8BqaUyIkqcC6Hmf0jDWz/view?usp=drivesdk</t>
  </si>
  <si>
    <t>Document successfully created; Document successfully merged; PDF created; Emails Sent: [To: manishanamala1@gmail.com]; Run via form trigger as codectechnologies0@gmail.com; Timestamp: Aug 30, 2026 11:21 PM</t>
  </si>
  <si>
    <t xml:space="preserve">Vishnu N </t>
  </si>
  <si>
    <t>vishnuyadav5646@gmail.com</t>
  </si>
  <si>
    <t>08618022663</t>
  </si>
  <si>
    <t xml:space="preserve">Padmashre Institute of Management and Science </t>
  </si>
  <si>
    <t>1zJgymy1U4qEDx8QsrSkDqcoGti2zwf30</t>
  </si>
  <si>
    <t>https://drive.google.com/file/d/1zJgymy1U4qEDx8QsrSkDqcoGti2zwf30/view?usp=drivesdk</t>
  </si>
  <si>
    <t>Document successfully created; Document successfully merged; PDF created; Emails Sent: [To: vishnuyadav5646@gmail.com]; Run via form trigger as codectechnologies0@gmail.com; Timestamp: Aug 30, 2026 11:26 PM</t>
  </si>
  <si>
    <t>Vinisha</t>
  </si>
  <si>
    <t>vinisharulaniya04@gmail.com</t>
  </si>
  <si>
    <t>Bikaner technical university Rajasthan</t>
  </si>
  <si>
    <t>1VX1PtiFXBm9CKEUdM6KR7g6wThNphK28</t>
  </si>
  <si>
    <t>https://drive.google.com/file/d/1VX1PtiFXBm9CKEUdM6KR7g6wThNphK28/view?usp=drivesdk</t>
  </si>
  <si>
    <t>Document successfully created; Document successfully merged; PDF created; Emails Sent: [To: vinisharulaniya04@gmail.com]; Run via form trigger as codectechnologies0@gmail.com; Timestamp: Aug 30, 2026 11:55 PM</t>
  </si>
  <si>
    <t>Golu kumar  sah</t>
  </si>
  <si>
    <t>gk271049@gmail.com</t>
  </si>
  <si>
    <t xml:space="preserve">CENTURION UNIVERSITY of technology and management </t>
  </si>
  <si>
    <t>1iAizVyaMlm8Sp3a7UHaWkFCWUZZGMyRI</t>
  </si>
  <si>
    <t>https://drive.google.com/file/d/1iAizVyaMlm8Sp3a7UHaWkFCWUZZGMyRI/view?usp=drivesdk</t>
  </si>
  <si>
    <t>Document successfully created; Document successfully merged; PDF created; Emails Sent: [To: gk271049@gmail.com]; Run via form trigger as codectechnologies0@gmail.com; Timestamp: Aug 31, 2026 12:35 AM</t>
  </si>
  <si>
    <t xml:space="preserve">Amar </t>
  </si>
  <si>
    <t>amar.25scs1003002694@iilm.edu</t>
  </si>
  <si>
    <t>1Ke_iIbaKoOKhQUH3NoIv-seTIDaOXT_t</t>
  </si>
  <si>
    <t>https://drive.google.com/file/d/1Ke_iIbaKoOKhQUH3NoIv-seTIDaOXT_t/view?usp=drivesdk</t>
  </si>
  <si>
    <t>Document successfully created; Document successfully merged; PDF created; Emails Sent: [To: amar.25scs1003002694@iilm.edu]; Run via form trigger as codectechnologies0@gmail.com; Timestamp: Aug 31, 2026 12:44 AM</t>
  </si>
  <si>
    <t>Lakshya kumar</t>
  </si>
  <si>
    <t>lakshyaatwork@gmail.com</t>
  </si>
  <si>
    <t xml:space="preserve">Netaji subhash institute of technology </t>
  </si>
  <si>
    <t>1eHS0vAuwDbXdvLtEsTn0C0CktHsPuXkl</t>
  </si>
  <si>
    <t>https://drive.google.com/file/d/1eHS0vAuwDbXdvLtEsTn0C0CktHsPuXkl/view?usp=drivesdk</t>
  </si>
  <si>
    <t>Document successfully created; Document successfully merged; PDF created; Emails Sent: [To: lakshyaatwork@gmail.com]; Run via form trigger as codectechnologies0@gmail.com; Timestamp: Aug 31, 2026 12:47 AM</t>
  </si>
  <si>
    <t>VANSH VISHWAKARMA</t>
  </si>
  <si>
    <t>vanshvishwakarma99@gmail.com</t>
  </si>
  <si>
    <t>Pranveer Singh Institute of Technology (PSIT), Kanpur</t>
  </si>
  <si>
    <t>1Fq3dtMi91dz8kgwK1PtwM2hLdIREQBLP</t>
  </si>
  <si>
    <t>https://drive.google.com/file/d/1Fq3dtMi91dz8kgwK1PtwM2hLdIREQBLP/view?usp=drivesdk</t>
  </si>
  <si>
    <t>Document successfully created; Document successfully merged; PDF created; Emails Sent: [To: vanshvishwakarma99@gmail.com]; Run via form trigger as codectechnologies0@gmail.com; Timestamp: Aug 31, 2026 12:51 AM</t>
  </si>
  <si>
    <t>Krishna Kumar</t>
  </si>
  <si>
    <t>Krish1311ky@gmail.com</t>
  </si>
  <si>
    <t xml:space="preserve">Vivekananda global university </t>
  </si>
  <si>
    <t>10mEnQUJdOc9rEF7lf5Xlrynr-XL4UidL</t>
  </si>
  <si>
    <t>https://drive.google.com/file/d/10mEnQUJdOc9rEF7lf5Xlrynr-XL4UidL/view?usp=drivesdk</t>
  </si>
  <si>
    <t>Document successfully created; Document successfully merged; PDF created; Emails Sent: [To: Krish1311ky@gmail.com]; Run via form trigger as codectechnologies0@gmail.com; Timestamp: Aug 31, 2026 1:03 AM</t>
  </si>
  <si>
    <t>Ramakanta Sahoo</t>
  </si>
  <si>
    <t>ramakantas206@gmail.com</t>
  </si>
  <si>
    <t>1VJ4rG2uFdFSlOtlGeYWepm4w75B9HsfT</t>
  </si>
  <si>
    <t>https://drive.google.com/file/d/1VJ4rG2uFdFSlOtlGeYWepm4w75B9HsfT/view?usp=drivesdk</t>
  </si>
  <si>
    <t>Document successfully created; Document successfully merged; PDF created; Emails Sent: [To: ramakantas206@gmail.com]; Run via form trigger as codectechnologies0@gmail.com; Timestamp: Aug 31, 2026 1:05 AM</t>
  </si>
  <si>
    <t>Aditya Arun Ingole</t>
  </si>
  <si>
    <t>adityaingole531@gmail.com</t>
  </si>
  <si>
    <t xml:space="preserve">tilak maharashtra vidyapeeth </t>
  </si>
  <si>
    <t>1L8dcPqrSUbpr30EPXVvK24DmQYBQ2Wej</t>
  </si>
  <si>
    <t>https://drive.google.com/file/d/1L8dcPqrSUbpr30EPXVvK24DmQYBQ2Wej/view?usp=drivesdk</t>
  </si>
  <si>
    <t>Document successfully created; Document successfully merged; PDF created; Emails Sent: [To: adityaingole531@gmail.com]; Run via form trigger as codectechnologies0@gmail.com; Timestamp: Aug 31, 2026 1:05 AM</t>
  </si>
  <si>
    <t xml:space="preserve">Nirupama chowdary </t>
  </si>
  <si>
    <t>nirupamachowdaryn@gmail.com</t>
  </si>
  <si>
    <t xml:space="preserve">Gitam university </t>
  </si>
  <si>
    <t>1MKkOx-bX3sxue8GOuNCXNyXsDwuZml1O</t>
  </si>
  <si>
    <t>https://drive.google.com/file/d/1MKkOx-bX3sxue8GOuNCXNyXsDwuZml1O/view?usp=drivesdk</t>
  </si>
  <si>
    <t>Document successfully created; Document successfully merged; PDF created; Emails Sent: [To: nirupamachowdaryn@gmail.com]; Run via form trigger as codectechnologies0@gmail.com; Timestamp: Aug 31, 2026 1:09 AM</t>
  </si>
  <si>
    <t>Jeevarathinam P</t>
  </si>
  <si>
    <t>pjeevarathinam60@jnn.edu.in</t>
  </si>
  <si>
    <t>JNN INSTITUTE OF ENGINEERING</t>
  </si>
  <si>
    <t>1FWRj-XnFOXPLGs8EsnMNQ-AdI3AsW5fW</t>
  </si>
  <si>
    <t>https://drive.google.com/file/d/1FWRj-XnFOXPLGs8EsnMNQ-AdI3AsW5fW/view?usp=drivesdk</t>
  </si>
  <si>
    <t>Document successfully created; Document successfully merged; PDF created; Emails Sent: [To: pjeevarathinam60@jnn.edu.in]; Run via form trigger as codectechnologies0@gmail.com; Timestamp: Aug 31, 2026 1:13 AM</t>
  </si>
  <si>
    <t xml:space="preserve">Aditya Arun Ingole </t>
  </si>
  <si>
    <t>1qjX0hK_lhUdHL3eRhpyB8zpCL3ZvEpoB</t>
  </si>
  <si>
    <t>https://drive.google.com/file/d/1qjX0hK_lhUdHL3eRhpyB8zpCL3ZvEpoB/view?usp=drivesdk</t>
  </si>
  <si>
    <t>Document successfully created; Document successfully merged; PDF created; Emails Sent: [To: adityaingole531@gmail.com]; Run via form trigger as codectechnologies0@gmail.com; Timestamp: Aug 31, 2026 1:15 AM</t>
  </si>
  <si>
    <t>Pilli Shiva Kumar</t>
  </si>
  <si>
    <t>pillishiva0004@gmail.com</t>
  </si>
  <si>
    <t>KLH university</t>
  </si>
  <si>
    <t>14AIyPZhy0GHlcHrDy-hOJ9pwHqFYq4GC</t>
  </si>
  <si>
    <t>https://drive.google.com/file/d/14AIyPZhy0GHlcHrDy-hOJ9pwHqFYq4GC/view?usp=drivesdk</t>
  </si>
  <si>
    <t>Document successfully created; Document successfully merged; PDF created; Emails Sent: [To: pillishiva0004@gmail.com]; Run via form trigger as codectechnologies0@gmail.com; Timestamp: Aug 31, 2026 1:22 AM</t>
  </si>
  <si>
    <t>Nerusu kishore babu</t>
  </si>
  <si>
    <t>nerusukishorebabu.24ds@saividya.ac.in</t>
  </si>
  <si>
    <t>Sai Vidya Institute of Technology</t>
  </si>
  <si>
    <t>14lhkSY0lKJqHRwIU8alcfvtW0mvHTINr</t>
  </si>
  <si>
    <t>https://drive.google.com/file/d/14lhkSY0lKJqHRwIU8alcfvtW0mvHTINr/view?usp=drivesdk</t>
  </si>
  <si>
    <t>Document successfully created; Document successfully merged; PDF created; Emails Sent: [To: nerusukishorebabu.24ds@saividya.ac.in]; Run via form trigger as codectechnologies0@gmail.com; Timestamp: Aug 31, 2026 1:24 AM</t>
  </si>
  <si>
    <t xml:space="preserve">Raushani kumari </t>
  </si>
  <si>
    <t>rishusah2005@gmail.com</t>
  </si>
  <si>
    <t>09934403174</t>
  </si>
  <si>
    <t xml:space="preserve">Vivekananda global University </t>
  </si>
  <si>
    <t>18napSdNMNXE3TpCv3lAQf8K-adDxa2uy</t>
  </si>
  <si>
    <t>https://drive.google.com/file/d/18napSdNMNXE3TpCv3lAQf8K-adDxa2uy/view?usp=drivesdk</t>
  </si>
  <si>
    <t>Document successfully created; Document successfully merged; PDF created; Emails Sent: [To: rishusah2005@gmail.com]; Run via form trigger as codectechnologies0@gmail.com; Timestamp: Aug 31, 2026 1:26 AM</t>
  </si>
  <si>
    <t>Mratyunjay Singh</t>
  </si>
  <si>
    <t>crazyvape89@gmail.com</t>
  </si>
  <si>
    <t>Vivekananda Institute of Professional Studies</t>
  </si>
  <si>
    <t>1DAyDMJkU2fECWyYa6sduMdvpVJzdjTEP</t>
  </si>
  <si>
    <t>https://drive.google.com/file/d/1DAyDMJkU2fECWyYa6sduMdvpVJzdjTEP/view?usp=drivesdk</t>
  </si>
  <si>
    <t>Document successfully created; Document successfully merged; PDF created; Emails Sent: [To: crazyvape89@gmail.com]; Run via form trigger as codectechnologies0@gmail.com; Timestamp: Aug 31, 2026 1:28 AM</t>
  </si>
  <si>
    <t>Polamdas. Shivani</t>
  </si>
  <si>
    <t>shivanipolamdas@gmail.com</t>
  </si>
  <si>
    <t xml:space="preserve">Priyadarshini institute of science and technology for womens and technology for womens </t>
  </si>
  <si>
    <t>1G2SPkhXPEP88UZt8GI9XmwuwW_TN6ZBo</t>
  </si>
  <si>
    <t>https://drive.google.com/file/d/1G2SPkhXPEP88UZt8GI9XmwuwW_TN6ZBo/view?usp=drivesdk</t>
  </si>
  <si>
    <t>Document successfully created; Document successfully merged; PDF created; !!Error Sending Emails: Service invoked too many times for one day: email.; Run via form trigger as codectechnologies0@gmail.com; Timestamp: Aug 31, 2026 1:28 AM</t>
  </si>
  <si>
    <t xml:space="preserve">Unnathi D R </t>
  </si>
  <si>
    <t>unnathiunnu1@gmail.com</t>
  </si>
  <si>
    <t xml:space="preserve">Don Bosco institute of technology </t>
  </si>
  <si>
    <t>1YeNSZ4UtcNF3h-5YXmBtJpbbf8FsImkV</t>
  </si>
  <si>
    <t>https://drive.google.com/file/d/1YeNSZ4UtcNF3h-5YXmBtJpbbf8FsImkV/view?usp=drivesdk</t>
  </si>
  <si>
    <t>Document successfully created; Document successfully merged; PDF created; Emails Sent: [To: unnathiunnu1@gmail.com]; Run via form trigger as codectechnologies0@gmail.com; Timestamp: Aug 31, 2026 1:30 AM</t>
  </si>
  <si>
    <t>1EPw1c09eV7jkHsLLvRk102GPmDilsLGv</t>
  </si>
  <si>
    <t>https://drive.google.com/file/d/1EPw1c09eV7jkHsLLvRk102GPmDilsLGv/view?usp=drivesdk</t>
  </si>
  <si>
    <t>Document successfully created; Document successfully merged; PDF created; !!Error Sending Emails: Service invoked too many times for one day: email.; Run via form trigger as codectechnologies0@gmail.com; Timestamp: Aug 31, 2026 1:33 AM</t>
  </si>
  <si>
    <t xml:space="preserve">Harsh Rawal </t>
  </si>
  <si>
    <t>rawalharsh080@gmail.com</t>
  </si>
  <si>
    <t>1mhnD-kBldZwfj29VMPpik1kBdm68XD-j</t>
  </si>
  <si>
    <t>https://drive.google.com/file/d/1mhnD-kBldZwfj29VMPpik1kBdm68XD-j/view?usp=drivesdk</t>
  </si>
  <si>
    <t>Document successfully created; Document successfully merged; PDF created; Emails Sent: [To: rawalharsh080@gmail.com]; Run via form trigger as codectechnologies0@gmail.com; Timestamp: Aug 31, 2026 1:34 AM</t>
  </si>
  <si>
    <t xml:space="preserve">Rural engineering college hulkoti </t>
  </si>
  <si>
    <t>1lgNB49-vMVnQGR1iDetM7CttwU6jTCdG</t>
  </si>
  <si>
    <t>https://drive.google.com/file/d/1lgNB49-vMVnQGR1iDetM7CttwU6jTCdG/view?usp=drivesdk</t>
  </si>
  <si>
    <t>Document successfully created; Document successfully merged; PDF created; Emails Sent: [To: anushakumari99881@gmail.com]; Run via form trigger as codectechnologies0@gmail.com; Timestamp: Aug 31, 2026 1:38 AM</t>
  </si>
  <si>
    <t>1KgXe-L0AsgiBsxAQwXnqEFG6FVzNoy1g</t>
  </si>
  <si>
    <t>https://drive.google.com/file/d/1KgXe-L0AsgiBsxAQwXnqEFG6FVzNoy1g/view?usp=drivesdk</t>
  </si>
  <si>
    <t>Document successfully created; Document successfully merged; PDF created; Emails Sent: [To: adityaingole531@gmail.com]; Run via form trigger as codectechnologies0@gmail.com; Timestamp: Aug 31, 2026 1:38 AM</t>
  </si>
  <si>
    <t>Chaitanya Kore</t>
  </si>
  <si>
    <t>korechaitanya89@gmail.com</t>
  </si>
  <si>
    <t>1-yFgklnFmDFY8f71kyxolLTCE72vYtFK</t>
  </si>
  <si>
    <t>https://drive.google.com/file/d/1-yFgklnFmDFY8f71kyxolLTCE72vYtFK/view?usp=drivesdk</t>
  </si>
  <si>
    <t>Document successfully created; Document successfully merged; PDF created; Emails Sent: [To: korechaitanya89@gmail.com]; Run via form trigger as codectechnologies0@gmail.com; Timestamp: Aug 31, 2026 1:40 AM</t>
  </si>
  <si>
    <t>Shubham Mishra</t>
  </si>
  <si>
    <t>shubham.25scs1003001480@iilm.edu</t>
  </si>
  <si>
    <t>1XgZNMt30jc_j2I-_f_Xcv9_g7DUUfC8c</t>
  </si>
  <si>
    <t>https://drive.google.com/file/d/1XgZNMt30jc_j2I-_f_Xcv9_g7DUUfC8c/view?usp=drivesdk</t>
  </si>
  <si>
    <t>Document successfully created; Document successfully merged; PDF created; Emails Sent: [To: shubham.25scs1003001480@iilm.edu]; Run via form trigger as codectechnologies0@gmail.com; Timestamp: Aug 31, 2026 1:44 AM</t>
  </si>
  <si>
    <t>Aman Tanwar</t>
  </si>
  <si>
    <t>amantanwar448@gmail.com</t>
  </si>
  <si>
    <t>07988020998</t>
  </si>
  <si>
    <t>1Q3SMSd8z-Qpl2fA9FGZKzjNE8GZgkme7</t>
  </si>
  <si>
    <t>https://drive.google.com/file/d/1Q3SMSd8z-Qpl2fA9FGZKzjNE8GZgkme7/view?usp=drivesdk</t>
  </si>
  <si>
    <t>Document successfully created; Document successfully merged; PDF created; Emails Sent: [To: amantanwar448@gmail.com]; Run via form trigger as codectechnologies0@gmail.com; Timestamp: Aug 31, 2026 1:50 AM</t>
  </si>
  <si>
    <t>Anamika Adak</t>
  </si>
  <si>
    <t>anamikaadak2003@gmail.com</t>
  </si>
  <si>
    <t>Institute of Leadership, Entrepreneurship and Development (iLEAD)</t>
  </si>
  <si>
    <t>16quLb2-Gu4s6ywQSproz7voZAP0tViDi</t>
  </si>
  <si>
    <t>https://drive.google.com/file/d/16quLb2-Gu4s6ywQSproz7voZAP0tViDi/view?usp=drivesdk</t>
  </si>
  <si>
    <t>Document successfully created; Document successfully merged; PDF created; Emails Sent: [To: anamikaadak2003@gmail.com]; Run via form trigger as codectechnologies0@gmail.com; Timestamp: Aug 31, 2026 2:05 AM</t>
  </si>
  <si>
    <t>krishn soni</t>
  </si>
  <si>
    <t>sage university bhopal</t>
  </si>
  <si>
    <t>1gdpn8LHqlQrdSLckpeDaDPBXO3DwHX6S</t>
  </si>
  <si>
    <t>https://drive.google.com/file/d/1gdpn8LHqlQrdSLckpeDaDPBXO3DwHX6S/view?usp=drivesdk</t>
  </si>
  <si>
    <t>Document successfully created; Document successfully merged; PDF created; Emails Sent: [To: ks2642233@gmail.com]; Run via form trigger as codectechnologies0@gmail.com; Timestamp: Aug 31, 2026 2:12 AM</t>
  </si>
  <si>
    <t xml:space="preserve">Srujana Pirisingula </t>
  </si>
  <si>
    <t>srujana0284@gmail.com</t>
  </si>
  <si>
    <t xml:space="preserve">MallaReddy University </t>
  </si>
  <si>
    <t>1b1kwg9VlOWP8Y-wcacEk8iOEcXwuvyQW</t>
  </si>
  <si>
    <t>https://drive.google.com/file/d/1b1kwg9VlOWP8Y-wcacEk8iOEcXwuvyQW/view?usp=drivesdk</t>
  </si>
  <si>
    <t>Document successfully created; Document successfully merged; PDF created; Emails Sent: [To: srujana0284@gmail.com]; Run via form trigger as codectechnologies0@gmail.com; Timestamp: Aug 31, 2026 2:17 AM</t>
  </si>
  <si>
    <t xml:space="preserve">ADABALA HEMANTH VENKATA NAIDU </t>
  </si>
  <si>
    <t>hemanthadabala8@gmail.com</t>
  </si>
  <si>
    <t xml:space="preserve">Velagapudi Ramakrishna siddhartha engineering college </t>
  </si>
  <si>
    <t>12EBPQQAcas6xeXFtY9Hij8wMCuENvb7d</t>
  </si>
  <si>
    <t>https://drive.google.com/file/d/12EBPQQAcas6xeXFtY9Hij8wMCuENvb7d/view?usp=drivesdk</t>
  </si>
  <si>
    <t>Document successfully created; Document successfully merged; PDF created; Emails Sent: [To: hemanthadabala8@gmail.com]; Run via form trigger as codectechnologies0@gmail.com; Timestamp: Aug 31, 2026 2:20 AM</t>
  </si>
  <si>
    <t>Divesh Raj</t>
  </si>
  <si>
    <t>diveshraj18012006@gmail.com</t>
  </si>
  <si>
    <t>1fJwQ5Jgfvk_SObKhfQzoSf2NY_mko7h7</t>
  </si>
  <si>
    <t>https://drive.google.com/file/d/1fJwQ5Jgfvk_SObKhfQzoSf2NY_mko7h7/view?usp=drivesdk</t>
  </si>
  <si>
    <t>Document successfully created; Document successfully merged; PDF created; Emails Sent: [To: diveshraj18012006@gmail.com]; Run via form trigger as codectechnologies0@gmail.com; Timestamp: Aug 31, 2026 2:25 AM</t>
  </si>
  <si>
    <t>Ch Mahesh</t>
  </si>
  <si>
    <t>chmahesh7654@gmail.com</t>
  </si>
  <si>
    <t>Velagapudi Ramakrishna Siddhartha Engineering College</t>
  </si>
  <si>
    <t>1vh2UyF6rUBp4MzQ9vH35EfR1mdwQgubS</t>
  </si>
  <si>
    <t>https://drive.google.com/file/d/1vh2UyF6rUBp4MzQ9vH35EfR1mdwQgubS/view?usp=drivesdk</t>
  </si>
  <si>
    <t>Document successfully created; Document successfully merged; PDF created; Emails Sent: [To: chmahesh7654@gmail.com]; Run via form trigger as codectechnologies0@gmail.com; Timestamp: Aug 31, 2026 2:27 AM</t>
  </si>
  <si>
    <t>JAYASHANKARI K</t>
  </si>
  <si>
    <t>kjayashankari28@gmail.com</t>
  </si>
  <si>
    <t>Auxilium college (Autonomous)</t>
  </si>
  <si>
    <t>1ZiSn53hB02rL-4lcGjQfnVUF3sjrQSQ9</t>
  </si>
  <si>
    <t>https://drive.google.com/file/d/1ZiSn53hB02rL-4lcGjQfnVUF3sjrQSQ9/view?usp=drivesdk</t>
  </si>
  <si>
    <t>Document successfully created; Document successfully merged; PDF created; Emails Sent: [To: kjayashankari28@gmail.com]; Run via form trigger as codectechnologies0@gmail.com; Timestamp: Aug 31, 2026 2:28 AM</t>
  </si>
  <si>
    <t>1r10tc92stzVEn6oF4BqDCk2H2lTMcuVP</t>
  </si>
  <si>
    <t>https://drive.google.com/file/d/1r10tc92stzVEn6oF4BqDCk2H2lTMcuVP/view?usp=drivesdk</t>
  </si>
  <si>
    <t>Document successfully created; Document successfully merged; PDF created; !!Error Sending Emails: Service invoked too many times for one day: email.; Run via form trigger as codectechnologies0@gmail.com; Timestamp: Aug 31, 2026 2:28 AM</t>
  </si>
  <si>
    <t>ANUBHA DEEPTI CHARCHI</t>
  </si>
  <si>
    <t>2328007@kiit.ac.in</t>
  </si>
  <si>
    <t>KALINGA INSTITUE OF INDUSTRIAL TECHNOLOGY</t>
  </si>
  <si>
    <t>1_OphQ2fJCDUGeRZBCTTH6rVzm0TF6QlX</t>
  </si>
  <si>
    <t>https://drive.google.com/file/d/1_OphQ2fJCDUGeRZBCTTH6rVzm0TF6QlX/view?usp=drivesdk</t>
  </si>
  <si>
    <t>Document successfully created; Document successfully merged; PDF created; !!Error Sending Emails: Service invoked too many times for one day: email.; Run via form trigger as codectechnologies0@gmail.com; Timestamp: Aug 31, 2026 2:29 AM</t>
  </si>
  <si>
    <t xml:space="preserve">JAYASHANKARI K </t>
  </si>
  <si>
    <t>13ZuJtU-hLyaLisA-eAKfJjctK4jSFrMV</t>
  </si>
  <si>
    <t>https://drive.google.com/file/d/13ZuJtU-hLyaLisA-eAKfJjctK4jSFrMV/view?usp=drivesdk</t>
  </si>
  <si>
    <t>Document successfully created; Document successfully merged; PDF created; Emails Sent: [To: kjayashankari28@gmail.com]; Run via form trigger as codectechnologies0@gmail.com; Timestamp: Aug 31, 2026 2:31 AM</t>
  </si>
  <si>
    <t>Jayram yadav</t>
  </si>
  <si>
    <t>jayramyadavjayram98@gmail.com</t>
  </si>
  <si>
    <t>Dr harisingh gour university (A central university)</t>
  </si>
  <si>
    <t>1E3FsNob-gIopSz6kRhcMlZjwPyghAwsn</t>
  </si>
  <si>
    <t>https://drive.google.com/file/d/1E3FsNob-gIopSz6kRhcMlZjwPyghAwsn/view?usp=drivesdk</t>
  </si>
  <si>
    <t>Document successfully created; Document successfully merged; PDF created; !!Error Sending Emails: Service invoked too many times for one day: email.; Run via form trigger as codectechnologies0@gmail.com; Timestamp: Aug 31, 2026 2:38 AM</t>
  </si>
  <si>
    <t xml:space="preserve">Nishant Babaso Jagtap </t>
  </si>
  <si>
    <t>nishantjagtap1411@gmail.com</t>
  </si>
  <si>
    <t>+91 9325411042</t>
  </si>
  <si>
    <t xml:space="preserve">P.E.S. Modern College of Engineering </t>
  </si>
  <si>
    <t>1JsqdjJFHiufama7594VFeUeq_Bngfl8N</t>
  </si>
  <si>
    <t>https://drive.google.com/file/d/1JsqdjJFHiufama7594VFeUeq_Bngfl8N/view?usp=drivesdk</t>
  </si>
  <si>
    <t>Document successfully created; Document successfully merged; PDF created; !!Error Sending Emails: Service invoked too many times for one day: email.; Run via form trigger as codectechnologies0@gmail.com; Timestamp: Aug 31, 2026 2:41 AM</t>
  </si>
  <si>
    <t>AMAN KUMAR</t>
  </si>
  <si>
    <t>aman.25scs1003005342@iilm.edu</t>
  </si>
  <si>
    <t>1Dgnr6viFciR2eJdntOXj2IhXU0Ed1j3w</t>
  </si>
  <si>
    <t>https://drive.google.com/file/d/1Dgnr6viFciR2eJdntOXj2IhXU0Ed1j3w/view?usp=drivesdk</t>
  </si>
  <si>
    <t>Document successfully created; Document successfully merged; PDF created; Emails Sent: [To: aman.25scs1003005342@iilm.edu]; Run via form trigger as codectechnologies0@gmail.com; Timestamp: Aug 31, 2026 2:53 AM</t>
  </si>
  <si>
    <t xml:space="preserve">Jayram yadav </t>
  </si>
  <si>
    <t xml:space="preserve">Dr harisingh gour university </t>
  </si>
  <si>
    <t>1MmiBVHrFjegk8skcuNCxyekUeMA19m_A</t>
  </si>
  <si>
    <t>https://drive.google.com/file/d/1MmiBVHrFjegk8skcuNCxyekUeMA19m_A/view?usp=drivesdk</t>
  </si>
  <si>
    <t>Document successfully created; Document successfully merged; PDF created; !!Error Sending Emails: Service invoked too many times for one day: email.; Run via form trigger as codectechnologies0@gmail.com; Timestamp: Aug 31, 2026 2:58 AM</t>
  </si>
  <si>
    <t>Suraj Chaubey</t>
  </si>
  <si>
    <t>itschaubeysuraj@gmail.com</t>
  </si>
  <si>
    <t xml:space="preserve">D.P.G Degree College </t>
  </si>
  <si>
    <t>10ZN7Cjl1gPG4LrFlKgY2DiDSPwv-FckA</t>
  </si>
  <si>
    <t>https://drive.google.com/file/d/10ZN7Cjl1gPG4LrFlKgY2DiDSPwv-FckA/view?usp=drivesdk</t>
  </si>
  <si>
    <t>Document successfully created; Document successfully merged; PDF created; !!Error Sending Emails: Service invoked too many times for one day: email.; Run via form trigger as codectechnologies0@gmail.com; Timestamp: Aug 31, 2026 2:59 AM</t>
  </si>
  <si>
    <t xml:space="preserve">Md inzamam mallick </t>
  </si>
  <si>
    <t>inzamammallick854@gmail.com</t>
  </si>
  <si>
    <t>1A5-dg0069F1W2k4k6mrEc7NuyWL8uN3r</t>
  </si>
  <si>
    <t>https://drive.google.com/file/d/1A5-dg0069F1W2k4k6mrEc7NuyWL8uN3r/view?usp=drivesdk</t>
  </si>
  <si>
    <t>Document successfully created; Document successfully merged; PDF created; Emails Sent: [To: inzamammallick854@gmail.com]; Run via form trigger as codectechnologies0@gmail.com; Timestamp: Aug 31, 2026 3:09 AM</t>
  </si>
  <si>
    <t xml:space="preserve">Krupa Sampath </t>
  </si>
  <si>
    <t>sampathmachavarapu.m@gmail.com</t>
  </si>
  <si>
    <t xml:space="preserve">Velagapudi Ramakrishna Siddhartha Engineering College </t>
  </si>
  <si>
    <t>1y3ADNwthoEe9An2SI1r7Plqy2ZFh_qrB</t>
  </si>
  <si>
    <t>https://drive.google.com/file/d/1y3ADNwthoEe9An2SI1r7Plqy2ZFh_qrB/view?usp=drivesdk</t>
  </si>
  <si>
    <t>Document successfully created; Document successfully merged; PDF created; !!Error Sending Emails: Service invoked too many times for one day: email.; Run via form trigger as codectechnologies0@gmail.com; Timestamp: Aug 31, 2026 3:13 AM</t>
  </si>
  <si>
    <t>mk02092006@gmail.com</t>
  </si>
  <si>
    <t>1VKa8FLnfbkfXM2UIhwSOEUaXGRjH_2ca</t>
  </si>
  <si>
    <t>https://drive.google.com/file/d/1VKa8FLnfbkfXM2UIhwSOEUaXGRjH_2ca/view?usp=drivesdk</t>
  </si>
  <si>
    <t>Document successfully created; Document successfully merged; PDF created; Emails Sent: [To: mk02092006@gmail.com]; Run via form trigger as codectechnologies0@gmail.com; Timestamp: Aug 31, 2026 3:22 AM</t>
  </si>
  <si>
    <t xml:space="preserve">Machavarapu Krupa Sampath </t>
  </si>
  <si>
    <t>12MTka1vbkOifqTvVmgaVpAZnO1fbjIVG</t>
  </si>
  <si>
    <t>https://drive.google.com/file/d/12MTka1vbkOifqTvVmgaVpAZnO1fbjIVG/view?usp=drivesdk</t>
  </si>
  <si>
    <t>Document successfully created; Document successfully merged; PDF created; Emails Sent: [To: sampathmachavarapu.m@gmail.com]; Run via form trigger as codectechnologies0@gmail.com; Timestamp: Aug 31, 2026 3:24 AM</t>
  </si>
  <si>
    <t>Mohammed Amaan</t>
  </si>
  <si>
    <t>mdamaan7861234@gmail.com</t>
  </si>
  <si>
    <t>Nawab Shah Alam Khan College Of Engineering And Technology</t>
  </si>
  <si>
    <t>1ctl8ErqeKMO9u_1GixQnhMEywzRbzs2T</t>
  </si>
  <si>
    <t>https://drive.google.com/file/d/1ctl8ErqeKMO9u_1GixQnhMEywzRbzs2T/view?usp=drivesdk</t>
  </si>
  <si>
    <t>Document successfully created; Document successfully merged; PDF created; !!Error Sending Emails: Service invoked too many times for one day: email.; Run via form trigger as codectechnologies0@gmail.com; Timestamp: Aug 31, 2026 3:37 AM</t>
  </si>
  <si>
    <t xml:space="preserve">Trimesh kumar </t>
  </si>
  <si>
    <t>Trimesh.kumar.cs28@iilm.edu</t>
  </si>
  <si>
    <t>LinkedIn, Email, Google, AICTE/Indeed, Internshala</t>
  </si>
  <si>
    <t>1mYeYn10cWrzuWYIYampTy64YibC-X86A</t>
  </si>
  <si>
    <t>https://drive.google.com/file/d/1mYeYn10cWrzuWYIYampTy64YibC-X86A/view?usp=drivesdk</t>
  </si>
  <si>
    <t>Document successfully created; Document successfully merged; PDF created; !!Error Sending Emails: Service invoked too many times for one day: email.; Run via form trigger as codectechnologies0@gmail.com; Timestamp: Aug 31, 2026 3:43 AM</t>
  </si>
  <si>
    <t xml:space="preserve">Ayush kumar </t>
  </si>
  <si>
    <t>ayushkumarmjl7703@gmail.com</t>
  </si>
  <si>
    <t xml:space="preserve">Shubharti university </t>
  </si>
  <si>
    <t>1NxN7zXK2nMmUBjLrJmZKeRW0Y1XODbae</t>
  </si>
  <si>
    <t>https://drive.google.com/file/d/1NxN7zXK2nMmUBjLrJmZKeRW0Y1XODbae/view?usp=drivesdk</t>
  </si>
  <si>
    <t>Document successfully created; Document successfully merged; PDF created; !!Error Sending Emails: Service invoked too many times for one day: email.; Run via form trigger as codectechnologies0@gmail.com; Timestamp: Aug 31, 2026 3:51 AM</t>
  </si>
  <si>
    <t>Sujal</t>
  </si>
  <si>
    <t>sujal.k01549@gmail.com</t>
  </si>
  <si>
    <t>78070 51706</t>
  </si>
  <si>
    <t xml:space="preserve">Shaheed Bhagat Singh College of pharmacy </t>
  </si>
  <si>
    <t>14N1ds7ubca1YSZEDNJuCSwXOcW8Ej40k</t>
  </si>
  <si>
    <t>https://drive.google.com/file/d/14N1ds7ubca1YSZEDNJuCSwXOcW8Ej40k/view?usp=drivesdk</t>
  </si>
  <si>
    <t>Document successfully created; Document successfully merged; PDF created; !!Error Sending Emails: Service invoked too many times for one day: email.; Run via form trigger as codectechnologies0@gmail.com; Timestamp: Aug 31, 2026 3:53 AM</t>
  </si>
  <si>
    <t xml:space="preserve">Satyam Gautam </t>
  </si>
  <si>
    <t>jaishreram5690@gmail.com</t>
  </si>
  <si>
    <t xml:space="preserve">Chatrapati shahu Ji Maharaj University Kanpur </t>
  </si>
  <si>
    <t>1rV0CMUCeBGkzDxEGRCFF9VrreUDxEUUQ</t>
  </si>
  <si>
    <t>https://drive.google.com/file/d/1rV0CMUCeBGkzDxEGRCFF9VrreUDxEUUQ/view?usp=drivesdk</t>
  </si>
  <si>
    <t>Document successfully created; Document successfully merged; PDF created; Emails Sent: [To: jaishreram5690@gmail.com]; Run via form trigger as codectechnologies0@gmail.com; Timestamp: Aug 31, 2026 3:58 AM</t>
  </si>
  <si>
    <t>Parth Patwal</t>
  </si>
  <si>
    <t>parth.25scs1003001243@iilm.edu</t>
  </si>
  <si>
    <t>1g3fDTQ8SPsdkCkGQY7y4oiyw4VY9vNTh</t>
  </si>
  <si>
    <t>https://drive.google.com/file/d/1g3fDTQ8SPsdkCkGQY7y4oiyw4VY9vNTh/view?usp=drivesdk</t>
  </si>
  <si>
    <t>Document successfully created; Document successfully merged; PDF created; Emails Sent: [To: parth.25scs1003001243@iilm.edu]; Run via form trigger as codectechnologies0@gmail.com; Timestamp: Aug 31, 2026 3:59 AM</t>
  </si>
  <si>
    <t xml:space="preserve">Vishwajeet Kumar Pandey </t>
  </si>
  <si>
    <t>vishwajeet.25scs1003003512@iilm.edu</t>
  </si>
  <si>
    <t>08114555585</t>
  </si>
  <si>
    <t>1wsc-s2cDg7r_jPz6Vkw8Fd5V8MXrakp1</t>
  </si>
  <si>
    <t>https://drive.google.com/file/d/1wsc-s2cDg7r_jPz6Vkw8Fd5V8MXrakp1/view?usp=drivesdk</t>
  </si>
  <si>
    <t>Document successfully created; Document successfully merged; PDF created; !!Error Sending Emails: Service invoked too many times for one day: email.; Run via form trigger as codectechnologies0@gmail.com; Timestamp: Aug 31, 2026 4:00 AM</t>
  </si>
  <si>
    <t>Piyush Mangal</t>
  </si>
  <si>
    <t>24tec2cs115@vgu.ac.in</t>
  </si>
  <si>
    <t>1fIyjUtMFo9-1BYOu0jFgwB4hcuReGUvj</t>
  </si>
  <si>
    <t>https://drive.google.com/file/d/1fIyjUtMFo9-1BYOu0jFgwB4hcuReGUvj/view?usp=drivesdk</t>
  </si>
  <si>
    <t>Document successfully created; Document successfully merged; PDF created; !!Error Sending Emails: Service invoked too many times for one day: email.; Run via form trigger as codectechnologies0@gmail.com; Timestamp: Aug 31, 2026 4:05 AM</t>
  </si>
  <si>
    <t>Geetansh Kumar</t>
  </si>
  <si>
    <t>themalaycb1909@gmail.com</t>
  </si>
  <si>
    <t>College of Technology, GBPUAT, Pantnagar</t>
  </si>
  <si>
    <t>1BfTooQgPDEQ86K1R5hj53u-OzBd5HfQH</t>
  </si>
  <si>
    <t>https://drive.google.com/file/d/1BfTooQgPDEQ86K1R5hj53u-OzBd5HfQH/view?usp=drivesdk</t>
  </si>
  <si>
    <t>Document successfully created; Document successfully merged; PDF created; !!Error Sending Emails: Service invoked too many times for one day: email.; Run via form trigger as codectechnologies0@gmail.com; Timestamp: Aug 31, 2026 4:08 AM</t>
  </si>
  <si>
    <t>Harsh Jain</t>
  </si>
  <si>
    <t>harshjaindbr4@gmail.com</t>
  </si>
  <si>
    <t>1xA1ObQ-ejHDd49wGToMhu5EzzKllXuba</t>
  </si>
  <si>
    <t>https://drive.google.com/file/d/1xA1ObQ-ejHDd49wGToMhu5EzzKllXuba/view?usp=drivesdk</t>
  </si>
  <si>
    <t>Document successfully created; Document successfully merged; PDF created; !!Error Sending Emails: Service invoked too many times for one day: email.; Run via form trigger as codectechnologies0@gmail.com; Timestamp: Aug 31, 2026 4:10 AM</t>
  </si>
  <si>
    <t>Sanjana Sameera</t>
  </si>
  <si>
    <t>sanjana040513@gmail.com</t>
  </si>
  <si>
    <t>1AeTlQoIMXUGWm0aIkZw7kLEc2_y5vNGR</t>
  </si>
  <si>
    <t>https://drive.google.com/file/d/1AeTlQoIMXUGWm0aIkZw7kLEc2_y5vNGR/view?usp=drivesdk</t>
  </si>
  <si>
    <t>Document successfully created; Document successfully merged; PDF created; !!Error Sending Emails: Service invoked too many times for one day: email.; Run via form trigger as codectechnologies0@gmail.com; Timestamp: Aug 31, 2026 4:12 AM</t>
  </si>
  <si>
    <t>CHINNAKOTLA NIKHIL KUMAR REDDY</t>
  </si>
  <si>
    <t>rnikhilkumar331@gmail.com</t>
  </si>
  <si>
    <t>KARUNYA INSTISUTE OF TECNOLOGY</t>
  </si>
  <si>
    <t>1RQNkCoqty_f720n1hmZWsFVmtuLa5A6L</t>
  </si>
  <si>
    <t>https://drive.google.com/file/d/1RQNkCoqty_f720n1hmZWsFVmtuLa5A6L/view?usp=drivesdk</t>
  </si>
  <si>
    <t>Document successfully created; Document successfully merged; PDF created; !!Error Sending Emails: Service invoked too many times for one day: email.; Run via form trigger as codectechnologies0@gmail.com; Timestamp: Aug 31, 2026 4:19 AM</t>
  </si>
  <si>
    <t xml:space="preserve">SASIKIRAN MEDEPALLI </t>
  </si>
  <si>
    <t>sasikiranmedepalli33@gmail.com</t>
  </si>
  <si>
    <t>14clyHJU91vb8l3p1oQ5Nvyaccwi4nb0V</t>
  </si>
  <si>
    <t>https://drive.google.com/file/d/14clyHJU91vb8l3p1oQ5Nvyaccwi4nb0V/view?usp=drivesdk</t>
  </si>
  <si>
    <t>Document successfully created; Document successfully merged; PDF created; !!Error Sending Emails: Service invoked too many times for one day: email.; Run via form trigger as codectechnologies0@gmail.com; Timestamp: Aug 31, 2026 4:38 AM</t>
  </si>
  <si>
    <t xml:space="preserve">Vishal kanna </t>
  </si>
  <si>
    <t>vishal07november@gmail.com</t>
  </si>
  <si>
    <t>19dwesrUD7nYGKkwKtGeIxSGZeLXi9JDa</t>
  </si>
  <si>
    <t>https://drive.google.com/file/d/19dwesrUD7nYGKkwKtGeIxSGZeLXi9JDa/view?usp=drivesdk</t>
  </si>
  <si>
    <t>Document successfully created; Document successfully merged; PDF created; !!Error Sending Emails: Service invoked too many times for one day: email.; Run via form trigger as codectechnologies0@gmail.com; Timestamp: Aug 31, 2026 4:46 AM</t>
  </si>
  <si>
    <t>ABHIRANJAN YADAV</t>
  </si>
  <si>
    <t>abhiranjanyadav1111@gmail.com</t>
  </si>
  <si>
    <t xml:space="preserve">KANPUR INSTITUTE OF TECHNOLOGY </t>
  </si>
  <si>
    <t>1HjS8z8K71N54HucYxKgdOQtYGMhc9Ow7</t>
  </si>
  <si>
    <t>https://drive.google.com/file/d/1HjS8z8K71N54HucYxKgdOQtYGMhc9Ow7/view?usp=drivesdk</t>
  </si>
  <si>
    <t>Document successfully created; Document successfully merged; PDF created; !!Error Sending Emails: Service invoked too many times for one day: email.; Run via form trigger as codectechnologies0@gmail.com; Timestamp: Aug 31, 2026 5:03 AM</t>
  </si>
  <si>
    <t xml:space="preserve">SAKINALA MANIKANTA </t>
  </si>
  <si>
    <t>manisakinala@gmail.com</t>
  </si>
  <si>
    <t>1XcQd6uBbw_lV9OqcMckKWsQGCDeCx4I9</t>
  </si>
  <si>
    <t>https://drive.google.com/file/d/1XcQd6uBbw_lV9OqcMckKWsQGCDeCx4I9/view?usp=drivesdk</t>
  </si>
  <si>
    <t>Document successfully created; Document successfully merged; PDF created; !!Error Sending Emails: Service invoked too many times for one day: email.; Run via form trigger as codectechnologies0@gmail.com; Timestamp: Aug 31, 2026 5:15 AM</t>
  </si>
  <si>
    <t>Machavarapu Krupa Swaroop</t>
  </si>
  <si>
    <t>swaroopmachavarapu7@gmail.com</t>
  </si>
  <si>
    <t>LinkedIn, Instagram, Other</t>
  </si>
  <si>
    <t>17-iZPBlB8u3c80etzAenatFOSNswwEvr</t>
  </si>
  <si>
    <t>https://drive.google.com/file/d/17-iZPBlB8u3c80etzAenatFOSNswwEvr/view?usp=drivesdk</t>
  </si>
  <si>
    <t>Document successfully created; Document successfully merged; PDF created; !!Error Sending Emails: Service invoked too many times for one day: email.; Run via form trigger as codectechnologies0@gmail.com; Timestamp: Aug 31, 2026 5:19 AM</t>
  </si>
  <si>
    <t>List Devide</t>
  </si>
  <si>
    <t>18aLt-DOJT9OWzwV3RJ6Uq3wiDuzfBEY_</t>
  </si>
  <si>
    <t>1gG6rfTIJ4JMQpHrzB1PkrelrTaC1lbqH</t>
  </si>
  <si>
    <t>Document successfully created; Document successfully merged; PDF created; !!Error Sending Emails: Service invoked too many times for one day: email.; Run via form trigger as codectechnologies0@gmail.com; Timestamp: Aug 31, 2026 5:23 AM</t>
  </si>
  <si>
    <t xml:space="preserve">Mukku Gnanaraju </t>
  </si>
  <si>
    <t>mukkugnanaraju05@gmail.com</t>
  </si>
  <si>
    <t>1BtlwF9llgmL3AVRcJAozv-QIlBFW-Xsl</t>
  </si>
  <si>
    <t>https://drive.google.com/file/d/1BtlwF9llgmL3AVRcJAozv-QIlBFW-Xsl/view?usp=drivesdk</t>
  </si>
  <si>
    <t>Document successfully created; Document successfully merged; PDF created; !!Error Sending Emails: Service invoked too many times for one day: email.; Run via form trigger as codectechnologies0@gmail.com; Timestamp: Aug 31, 2026 5:26 AM</t>
  </si>
  <si>
    <t xml:space="preserve">Naga Thanusri </t>
  </si>
  <si>
    <t>thanusriprasad1314@gmail.com</t>
  </si>
  <si>
    <t xml:space="preserve">Sandip University </t>
  </si>
  <si>
    <t>1n07pdT6NLArtAs12vNoAbubBrn6PBir5</t>
  </si>
  <si>
    <t>https://drive.google.com/file/d/1n07pdT6NLArtAs12vNoAbubBrn6PBir5/view?usp=drivesdk</t>
  </si>
  <si>
    <t>Document successfully created; Document successfully merged; PDF created; !!Error Sending Emails: Service invoked too many times for one day: email.; Run via form trigger as codectechnologies0@gmail.com; Timestamp: Aug 31, 2026 5:33 AM</t>
  </si>
  <si>
    <t>Narapureddy.Uma Devi</t>
  </si>
  <si>
    <t>narapureddy1818@gmail.com</t>
  </si>
  <si>
    <t>1Hfi4BN7jY8xaKpphVj3xDSweZsqVMDT3</t>
  </si>
  <si>
    <t>https://drive.google.com/file/d/1Hfi4BN7jY8xaKpphVj3xDSweZsqVMDT3/view?usp=drivesdk</t>
  </si>
  <si>
    <t xml:space="preserve">Tyagarajan. Yashaswini </t>
  </si>
  <si>
    <t>yashutyagarajan@gmail.com</t>
  </si>
  <si>
    <t>1HlMapQumguiXmAXTV5tqME-9FGZrMGuQ</t>
  </si>
  <si>
    <t>https://drive.google.com/file/d/1HlMapQumguiXmAXTV5tqME-9FGZrMGuQ/view?usp=drivesdk</t>
  </si>
  <si>
    <t>Document successfully created; Document successfully merged; PDF created; !!Error Sending Emails: Service invoked too many times for one day: email.; Run via form trigger as codectechnologies0@gmail.com; Timestamp: Aug 31, 2026 5:42 AM</t>
  </si>
  <si>
    <t xml:space="preserve">Purnachandra </t>
  </si>
  <si>
    <t>633purnachandra</t>
  </si>
  <si>
    <t xml:space="preserve">BLDEA VIJAYAPUR </t>
  </si>
  <si>
    <t>1LyaUomGD3Lqn2z7izC5MknLAIlbupNfE</t>
  </si>
  <si>
    <t>https://drive.google.com/file/d/1LyaUomGD3Lqn2z7izC5MknLAIlbupNfE/view?usp=drivesdk</t>
  </si>
  <si>
    <t>Document successfully created; Document successfully merged; PDF created; !!Error Sending Emails: Invalid email: 633purnachandra; Run via form trigger as codectechnologies0@gmail.com; Timestamp: Aug 31, 2026 5:43 AM</t>
  </si>
  <si>
    <t>Riya Rajesh Singh</t>
  </si>
  <si>
    <t xml:space="preserve">singhriyarm05@gmail.com </t>
  </si>
  <si>
    <t xml:space="preserve">Somaiya School od Basic and Applied Science </t>
  </si>
  <si>
    <t>1kC6K6tUuC2tpfP7XVTWj5YzyjV6sg5pP</t>
  </si>
  <si>
    <t>https://drive.google.com/file/d/1kC6K6tUuC2tpfP7XVTWj5YzyjV6sg5pP/view?usp=drivesdk</t>
  </si>
  <si>
    <t>Document successfully created; Document successfully merged; PDF created; Emails Sent: [To: singhriyarm05@gmail.com]; Run via form trigger as codectechnologies0@gmail.com; Timestamp: Aug 31, 2026 5:45 AM</t>
  </si>
  <si>
    <t>Anjaneya Pavan Mogilipuvvu</t>
  </si>
  <si>
    <t>pavanmogilipuvvu2005@gmail.com</t>
  </si>
  <si>
    <t>lakireddy bali reddy college of Engineering</t>
  </si>
  <si>
    <t>1UImlcptZ41QuDmujNKJ5sCqWfpWUe4Ke</t>
  </si>
  <si>
    <t>https://drive.google.com/file/d/1UImlcptZ41QuDmujNKJ5sCqWfpWUe4Ke/view?usp=drivesdk</t>
  </si>
  <si>
    <t>Document successfully created; Document successfully merged; PDF created; !!Error Sending Emails: Service invoked too many times for one day: email.; Run via form trigger as codectechnologies0@gmail.com; Timestamp: Aug 31, 2026 5:46 AM</t>
  </si>
  <si>
    <t>mogilipuvvu Pavan</t>
  </si>
  <si>
    <t>12l1nF76cGoI-UQezAT9zu99NQE0nnr6s</t>
  </si>
  <si>
    <t>https://drive.google.com/file/d/12l1nF76cGoI-UQezAT9zu99NQE0nnr6s/view?usp=drivesdk</t>
  </si>
  <si>
    <t>Document successfully created; Document successfully merged; PDF created; !!Error Sending Emails: Service invoked too many times for one day: email.; Run via form trigger as codectechnologies0@gmail.com; Timestamp: Aug 31, 2026 5:50 AM</t>
  </si>
  <si>
    <t>Shinde Nutan Viajy</t>
  </si>
  <si>
    <t>nutan6451@gmail.com</t>
  </si>
  <si>
    <t xml:space="preserve">PIRENS INSTITUTE OF BUSINESS MANAGEMENT AND ADMINSTRATION IBMA LONI </t>
  </si>
  <si>
    <t>1D59sFgxzkJURHXPVWbLoUHXo6ClQ3n0n</t>
  </si>
  <si>
    <t>https://drive.google.com/file/d/1D59sFgxzkJURHXPVWbLoUHXo6ClQ3n0n/view?usp=drivesdk</t>
  </si>
  <si>
    <t>Document successfully created; Document successfully merged; PDF created; !!Error Sending Emails: Service invoked too many times for one day: email.; Run via form trigger as codectechnologies0@gmail.com; Timestamp: Aug 31, 2026 5:58 AM</t>
  </si>
  <si>
    <t xml:space="preserve">Shubham Kumar </t>
  </si>
  <si>
    <t>jshubhamkumar098@gmail.com</t>
  </si>
  <si>
    <t xml:space="preserve">Vivekananda golabal university </t>
  </si>
  <si>
    <t>1Q8ax8DF-Hc0g1JflGdEqNbGCa_3h2XU0</t>
  </si>
  <si>
    <t>https://drive.google.com/file/d/1Q8ax8DF-Hc0g1JflGdEqNbGCa_3h2XU0/view?usp=drivesdk</t>
  </si>
  <si>
    <t>Document successfully created; Document successfully merged; PDF created; !!Error Sending Emails: Service invoked too many times for one day: email.; Run via form trigger as codectechnologies0@gmail.com; Timestamp: Aug 31, 2026 6:00 AM</t>
  </si>
  <si>
    <t xml:space="preserve">Suhas Somappa Byahatti </t>
  </si>
  <si>
    <t>byahattisuhas@gmail.com</t>
  </si>
  <si>
    <t xml:space="preserve">Shri Dharmasthala Manjunatheshwara College of Engineering and Technology </t>
  </si>
  <si>
    <t>12W3J93XTcCmM6O--osCFPnbSsRjpguqu</t>
  </si>
  <si>
    <t>https://drive.google.com/file/d/12W3J93XTcCmM6O--osCFPnbSsRjpguqu/view?usp=drivesdk</t>
  </si>
  <si>
    <t>Document successfully created; Document successfully merged; PDF created; !!Error Sending Emails: Service invoked too many times for one day: email.; Run via form trigger as codectechnologies0@gmail.com; Timestamp: Aug 31, 2026 6:09 AM</t>
  </si>
  <si>
    <t>Ashish Malik</t>
  </si>
  <si>
    <t>ashishmalik1055@gmail.com</t>
  </si>
  <si>
    <t>college of engineering roorkee</t>
  </si>
  <si>
    <t>1a0qv-fjF-VBxaoNu2lUa6OcSRcveTggV</t>
  </si>
  <si>
    <t>https://drive.google.com/file/d/1a0qv-fjF-VBxaoNu2lUa6OcSRcveTggV/view?usp=drivesdk</t>
  </si>
  <si>
    <t>Document successfully created; Document successfully merged; PDF created; !!Error Sending Emails: Service invoked too many times for one day: email.; Run via form trigger as codectechnologies0@gmail.com; Timestamp: Aug 31, 2026 6:25 AM</t>
  </si>
  <si>
    <t xml:space="preserve">Sachin Gupta </t>
  </si>
  <si>
    <t>sachingupta0905@gmail.com</t>
  </si>
  <si>
    <t xml:space="preserve">SR Institute of Management and Technology </t>
  </si>
  <si>
    <t>1LHnemlMJFiYA3sA_gO__Rc-4-zKSlYBf</t>
  </si>
  <si>
    <t>https://drive.google.com/file/d/1LHnemlMJFiYA3sA_gO__Rc-4-zKSlYBf/view?usp=drivesdk</t>
  </si>
  <si>
    <t>Document successfully created; Document successfully merged; PDF created; Emails Sent: [To: sachingupta0905@gmail.com]; Run via form trigger as codectechnologies0@gmail.com; Timestamp: Aug 31, 2026 6:54 AM</t>
  </si>
  <si>
    <t xml:space="preserve">MUSKAN KUMARI </t>
  </si>
  <si>
    <t>muskangitp45@gmail.com</t>
  </si>
  <si>
    <t>LinkedIn, Instagram, WhatsApp, Internshala</t>
  </si>
  <si>
    <t>1be6hwNGWX5SnMARzF70f-r5rLhJrHfXA</t>
  </si>
  <si>
    <t>https://drive.google.com/file/d/1be6hwNGWX5SnMARzF70f-r5rLhJrHfXA/view?usp=drivesdk</t>
  </si>
  <si>
    <t>Document successfully created; Document successfully merged; PDF created; !!Error Sending Emails: Service invoked too many times for one day: email.; Run via form trigger as codectechnologies0@gmail.com; Timestamp: Aug 31, 2026 6:56 AM</t>
  </si>
  <si>
    <t>Shilpa Kumari</t>
  </si>
  <si>
    <t>shilpakumariy676@gmail.com</t>
  </si>
  <si>
    <t xml:space="preserve">Netaji Subhash institute of technology patna </t>
  </si>
  <si>
    <t>1XkRHiXKf3cfQtFyQPKSFGULS5MsN5QfR</t>
  </si>
  <si>
    <t>https://drive.google.com/file/d/1XkRHiXKf3cfQtFyQPKSFGULS5MsN5QfR/view?usp=drivesdk</t>
  </si>
  <si>
    <t>Document successfully created; Document successfully merged; PDF created; !!Error Sending Emails: Service invoked too many times for one day: email.; Run via form trigger as codectechnologies0@gmail.com; Timestamp: Aug 31, 2026 7:01 AM</t>
  </si>
  <si>
    <t xml:space="preserve">Shoorveer Pratap Agrahari </t>
  </si>
  <si>
    <t>shoorveer4518@gmail.com</t>
  </si>
  <si>
    <t>1QcTWvz3z2pWp2Ok2f8jK1cL_bp-f-LPM</t>
  </si>
  <si>
    <t>https://drive.google.com/file/d/1QcTWvz3z2pWp2Ok2f8jK1cL_bp-f-LPM/view?usp=drivesdk</t>
  </si>
  <si>
    <t>Dr Virendra Swarup Institute of computer studies</t>
  </si>
  <si>
    <t>1QSOhGRBC0YJfw_Mdx4m-IKFMS_o2QRPQ</t>
  </si>
  <si>
    <t>https://drive.google.com/file/d/1QSOhGRBC0YJfw_Mdx4m-IKFMS_o2QRPQ/view?usp=drivesdk</t>
  </si>
  <si>
    <t>Document successfully created; Document successfully merged; PDF created; !!Error Sending Emails: Service invoked too many times for one day: email.; Run via form trigger as codectechnologies0@gmail.com; Timestamp: Aug 31, 2026 7:49 AM</t>
  </si>
  <si>
    <t>Manish Binu</t>
  </si>
  <si>
    <t>manishbinu2@gmail.com</t>
  </si>
  <si>
    <t>Karunya institute of technology and sciences</t>
  </si>
  <si>
    <t>1BRpmAHlErmRkme6OZJS38sxRO_XB6PUl</t>
  </si>
  <si>
    <t>https://drive.google.com/file/d/1BRpmAHlErmRkme6OZJS38sxRO_XB6PUl/view?usp=drivesdk</t>
  </si>
  <si>
    <t>Document successfully created; Document successfully merged; PDF created; !!Error Sending Emails: Service invoked too many times for one day: email.; Run via form trigger as codectechnologies0@gmail.com; Timestamp: Aug 31, 2026 8:01 AM</t>
  </si>
  <si>
    <t xml:space="preserve">Upasana Pandey </t>
  </si>
  <si>
    <t>1ws9cMXN_TEZapzBTluPDqOWEfwlN40_E</t>
  </si>
  <si>
    <t>https://drive.google.com/file/d/1ws9cMXN_TEZapzBTluPDqOWEfwlN40_E/view?usp=drivesdk</t>
  </si>
  <si>
    <t>Document successfully created; Document successfully merged; PDF created; !!Error Sending Emails: Service invoked too many times for one day: email.; Run via form trigger as codectechnologies0@gmail.com; Timestamp: Aug 31, 2026 8:05 AM</t>
  </si>
  <si>
    <t>JOEL C</t>
  </si>
  <si>
    <t>vikass93621@gmail.com</t>
  </si>
  <si>
    <t>06362365023</t>
  </si>
  <si>
    <t>KARUNYA INSTITUTE OF TECHONOLOGY AND SCIENCES</t>
  </si>
  <si>
    <t>1yyaRectA56FWORENZOY_6lYF-nPfZYBD</t>
  </si>
  <si>
    <t>https://drive.google.com/file/d/1yyaRectA56FWORENZOY_6lYF-nPfZYBD/view?usp=drivesdk</t>
  </si>
  <si>
    <t>Document successfully created; Document successfully merged; PDF created; !!Error Sending Emails: Service invoked too many times for one day: email.; Run via form trigger as codectechnologies0@gmail.com; Timestamp: Aug 31, 2026 8:07 AM</t>
  </si>
  <si>
    <t>Sansmith A</t>
  </si>
  <si>
    <t>arulravi8608@gmail.com</t>
  </si>
  <si>
    <t xml:space="preserve">Karunya University </t>
  </si>
  <si>
    <t>1G_R_Dox70_v1zTpYB1Aj00Xz29mdZILJ</t>
  </si>
  <si>
    <t>https://drive.google.com/file/d/1G_R_Dox70_v1zTpYB1Aj00Xz29mdZILJ/view?usp=drivesdk</t>
  </si>
  <si>
    <t>Document successfully created; Document successfully merged; PDF created; !!Error Sending Emails: Service invoked too many times for one day: email.; Run via form trigger as codectechnologies0@gmail.com; Timestamp: Aug 31, 2026 8:32 AM</t>
  </si>
  <si>
    <t>Sagar Chauhan</t>
  </si>
  <si>
    <t>sagarchauhan06684@gmail.com</t>
  </si>
  <si>
    <t>Marwadi University</t>
  </si>
  <si>
    <t>13HHIa-04CBsi0njsrqyeVu88z-UWvSg7</t>
  </si>
  <si>
    <t>https://drive.google.com/file/d/13HHIa-04CBsi0njsrqyeVu88z-UWvSg7/view?usp=drivesdk</t>
  </si>
  <si>
    <t>Document successfully created; Document successfully merged; PDF created; !!Error Sending Emails: Service invoked too many times for one day: email.; Run via form trigger as codectechnologies0@gmail.com; Timestamp: Aug 31, 2026 8:33 AM</t>
  </si>
  <si>
    <t>Ayush Raj Srivastavs</t>
  </si>
  <si>
    <t>sayush2232@gmail.com</t>
  </si>
  <si>
    <t>Mahraja Agrsen Himalayn Garhwal university</t>
  </si>
  <si>
    <t>1mi2KoUVtk_blHRDBw3QLjZJ_4aEq6l2d</t>
  </si>
  <si>
    <t>https://drive.google.com/file/d/1mi2KoUVtk_blHRDBw3QLjZJ_4aEq6l2d/view?usp=drivesdk</t>
  </si>
  <si>
    <t>Document successfully created; Document successfully merged; PDF created; !!Error Sending Emails: Service invoked too many times for one day: email.; Run via form trigger as codectechnologies0@gmail.com; Timestamp: Aug 31, 2026 8:36 AM</t>
  </si>
  <si>
    <t>joelc@karunya.edu.in</t>
  </si>
  <si>
    <t>Karunya institute of technology and science</t>
  </si>
  <si>
    <t>17ixm1cmGYEpf4KmklIw8_ko1WBCdeeT2</t>
  </si>
  <si>
    <t>https://drive.google.com/file/d/17ixm1cmGYEpf4KmklIw8_ko1WBCdeeT2/view?usp=drivesdk</t>
  </si>
  <si>
    <t>Abhimanu kumar</t>
  </si>
  <si>
    <t>abhimanu.25scs1003000828@iilm.edu</t>
  </si>
  <si>
    <t>1DOprJBxI_jlXlUC55Ub9zbuyYhOi2p89</t>
  </si>
  <si>
    <t>https://drive.google.com/file/d/1DOprJBxI_jlXlUC55Ub9zbuyYhOi2p89/view?usp=drivesdk</t>
  </si>
  <si>
    <t>Document successfully created; Document successfully merged; PDF created; !!Error Sending Emails: Service invoked too many times for one day: email.; Run via form trigger as codectechnologies0@gmail.com; Timestamp: Aug 31, 2026 8:53 AM</t>
  </si>
  <si>
    <t>Chirag Jindal</t>
  </si>
  <si>
    <t>chirag.25scs1003005236@iilm.edu</t>
  </si>
  <si>
    <t>LinkedIn, Instagram, Facebook, WhatsApp, Email, Google, AICTE/Indeed, Internshala, Other</t>
  </si>
  <si>
    <t>12wL9Eefa1tfTqX2r5MOpUFpfhF9OOlpH</t>
  </si>
  <si>
    <t>https://drive.google.com/file/d/12wL9Eefa1tfTqX2r5MOpUFpfhF9OOlpH/view?usp=drivesdk</t>
  </si>
  <si>
    <t>Document successfully created; Document successfully merged; PDF created; !!Error Sending Emails: Service invoked too many times for one day: email.; Run via form trigger as codectechnologies0@gmail.com; Timestamp: Aug 31, 2026 8:59 AM</t>
  </si>
  <si>
    <t>Koppula Ravisai Reddy</t>
  </si>
  <si>
    <t>koppularavisaireddy21@gmail.com</t>
  </si>
  <si>
    <t>sri mittapalli college of engineering</t>
  </si>
  <si>
    <t>18AVf8XWPCEW6uV08WYv6k8ow1Cb6E4eE</t>
  </si>
  <si>
    <t>https://drive.google.com/file/d/18AVf8XWPCEW6uV08WYv6k8ow1Cb6E4eE/view?usp=drivesdk</t>
  </si>
  <si>
    <t>Document successfully created; Document successfully merged; PDF created; !!Error Sending Emails: Service invoked too many times for one day: email.; Run via form trigger as codectechnologies0@gmail.com; Timestamp: Aug 31, 2026 9:21 AM</t>
  </si>
  <si>
    <t>Onteddu Sudhakar Reddy</t>
  </si>
  <si>
    <t>1aJL4DCpU28n2iInSNrjPtoct28aZ9WSv</t>
  </si>
  <si>
    <t>https://drive.google.com/file/d/1aJL4DCpU28n2iInSNrjPtoct28aZ9WSv/view?usp=drivesdk</t>
  </si>
  <si>
    <t>Document successfully created; Document successfully merged; PDF created; !!Error Sending Emails: Service invoked too many times for one day: email.; Run via form trigger as codectechnologies0@gmail.com; Timestamp: Aug 31, 2026 9:27 AM</t>
  </si>
  <si>
    <t>Pratham Thakur</t>
  </si>
  <si>
    <t>pratham009thakur@gmail.com</t>
  </si>
  <si>
    <t>ITM Vocational University, Vadodara, Gujarat</t>
  </si>
  <si>
    <t>1fCggCPWfzVfqNGJMCRj-3vdwDljU-Ctw</t>
  </si>
  <si>
    <t>https://drive.google.com/file/d/1fCggCPWfzVfqNGJMCRj-3vdwDljU-Ctw/view?usp=drivesdk</t>
  </si>
  <si>
    <t>Document successfully created; Document successfully merged; PDF created; !!Error Sending Emails: Service invoked too many times for one day: email.; Run via form trigger as codectechnologies0@gmail.com; Timestamp: Aug 31, 2026 9:28 AM</t>
  </si>
  <si>
    <t>Jothi Harshan D K</t>
  </si>
  <si>
    <t>masterharshan5@gmail.com</t>
  </si>
  <si>
    <t xml:space="preserve">VSB ENGINEERING COLLEGE </t>
  </si>
  <si>
    <t>1ay2x-7lA0J__FzkuzontfM_4BBQpPspN</t>
  </si>
  <si>
    <t>https://drive.google.com/file/d/1ay2x-7lA0J__FzkuzontfM_4BBQpPspN/view?usp=drivesdk</t>
  </si>
  <si>
    <t>Document successfully created; Document successfully merged; PDF created; !!Error Sending Emails: Service invoked too many times for one day: email.; Run via form trigger as codectechnologies0@gmail.com; Timestamp: Aug 31, 2026 9:33 AM</t>
  </si>
  <si>
    <t>Shubham Muduli</t>
  </si>
  <si>
    <t>mudulishubham719@gmail.com</t>
  </si>
  <si>
    <t>EINSTEIN ACADEMY OF TECHNOLOGY &amp; MANAGEMENT</t>
  </si>
  <si>
    <t>1kVbDPhtPpv4IvfgHQZI2FjAQk_NnOh7I</t>
  </si>
  <si>
    <t>https://drive.google.com/file/d/1kVbDPhtPpv4IvfgHQZI2FjAQk_NnOh7I/view?usp=drivesdk</t>
  </si>
  <si>
    <t>Document successfully created; Document successfully merged; PDF created; !!Error Sending Emails: Service invoked too many times for one day: email.; Run via form trigger as codectechnologies0@gmail.com; Timestamp: Aug 31, 2026 9:39 AM</t>
  </si>
  <si>
    <t>Aditya Gupta</t>
  </si>
  <si>
    <t>aditya.25scs1003001506@gmail.com</t>
  </si>
  <si>
    <t>1oZA74QeiZLC22GlcdrOuag9ETC9DjbUc</t>
  </si>
  <si>
    <t>https://drive.google.com/file/d/1oZA74QeiZLC22GlcdrOuag9ETC9DjbUc/view?usp=drivesdk</t>
  </si>
  <si>
    <t>Document successfully created; Document successfully merged; PDF created; !!Error Sending Emails: Service invoked too many times for one day: email.; Run via form trigger as codectechnologies0@gmail.com; Timestamp: Aug 31, 2026 9:40 AM</t>
  </si>
  <si>
    <t>Sanskar srivastava</t>
  </si>
  <si>
    <t>mr.sanskar568@gmail.com</t>
  </si>
  <si>
    <t>Madan mohan malaviya university of technology gorakhpur</t>
  </si>
  <si>
    <t>1amcDYaj6yUjnHiE9jP2dPzdIdXw4qSHh</t>
  </si>
  <si>
    <t>https://drive.google.com/file/d/1amcDYaj6yUjnHiE9jP2dPzdIdXw4qSHh/view?usp=drivesdk</t>
  </si>
  <si>
    <t>Document successfully created; Document successfully merged; PDF created; !!Error Sending Emails: Service invoked too many times for one day: email.; Run via form trigger as codectechnologies0@gmail.com; Timestamp: Aug 31, 2026 9:48 AM</t>
  </si>
  <si>
    <t>Abhishek Goyal</t>
  </si>
  <si>
    <t>abhishek.goyal2023@vitstudent.ac.in</t>
  </si>
  <si>
    <t xml:space="preserve">Vellore Institute of technology vellore </t>
  </si>
  <si>
    <t>1aDAuG5AFGtxuA6KCrYGtTgIAJyMW_GYI</t>
  </si>
  <si>
    <t>https://drive.google.com/file/d/1aDAuG5AFGtxuA6KCrYGtTgIAJyMW_GYI/view?usp=drivesdk</t>
  </si>
  <si>
    <t>Document successfully created; Document successfully merged; PDF created; !!Error Sending Emails: Service invoked too many times for one day: email.; Run via form trigger as codectechnologies0@gmail.com; Timestamp: Aug 31, 2026 10:02 AM</t>
  </si>
  <si>
    <t xml:space="preserve">Tushar </t>
  </si>
  <si>
    <t>tusharyadav1052007@gmail.com</t>
  </si>
  <si>
    <t xml:space="preserve">Global institute of technology and management </t>
  </si>
  <si>
    <t>1GpUAV8ZcRny65ILi3Z4wtZ6ToOIlxXgF</t>
  </si>
  <si>
    <t>https://drive.google.com/file/d/1GpUAV8ZcRny65ILi3Z4wtZ6ToOIlxXgF/view?usp=drivesdk</t>
  </si>
  <si>
    <t>Inzamam mallick</t>
  </si>
  <si>
    <t>1z1OSLg-AN2RAyyxVgcWQ_DCGOhFusE9t</t>
  </si>
  <si>
    <t>https://drive.google.com/file/d/1z1OSLg-AN2RAyyxVgcWQ_DCGOhFusE9t/view?usp=drivesdk</t>
  </si>
  <si>
    <t>Document successfully created; Document successfully merged; PDF created; !!Error Sending Emails: Service invoked too many times for one day: email.; Run via form trigger as codectechnologies0@gmail.com; Timestamp: Aug 31, 2026 10:04 AM</t>
  </si>
  <si>
    <t>Polireddy Boilla</t>
  </si>
  <si>
    <t>boillapolireddy63@gmail.com</t>
  </si>
  <si>
    <t>ITM UNIVERSITY ,GWALIOR</t>
  </si>
  <si>
    <t>1nxIMFUgdwfOkFEqu4OY2aFaWCm_Q2xbK</t>
  </si>
  <si>
    <t>https://drive.google.com/file/d/1nxIMFUgdwfOkFEqu4OY2aFaWCm_Q2xbK/view?usp=drivesdk</t>
  </si>
  <si>
    <t>Document successfully created; Document successfully merged; PDF created; !!Error Sending Emails: Service invoked too many times for one day: email.; Run via form trigger as codectechnologies0@gmail.com; Timestamp: Aug 31, 2026 10:08 AM</t>
  </si>
  <si>
    <t>Keerthana Y</t>
  </si>
  <si>
    <t>keerthanay10@gmail.com</t>
  </si>
  <si>
    <t xml:space="preserve">Dayananda Sagar College of arts, science and commerce </t>
  </si>
  <si>
    <t>1UokWTbV9I324bsgPSkK3Z9BFpsMhjcrV</t>
  </si>
  <si>
    <t>https://drive.google.com/file/d/1UokWTbV9I324bsgPSkK3Z9BFpsMhjcrV/view?usp=drivesdk</t>
  </si>
  <si>
    <t>Document successfully created; Document successfully merged; PDF created; !!Error Sending Emails: Service invoked too many times for one day: email.; Run via form trigger as codectechnologies0@gmail.com; Timestamp: Aug 31, 2026 10:13 AM</t>
  </si>
  <si>
    <t>1PmdBxwk1Ep80pEnLJNOUEvQgBavT22-j</t>
  </si>
  <si>
    <t>https://drive.google.com/file/d/1PmdBxwk1Ep80pEnLJNOUEvQgBavT22-j/view?usp=drivesdk</t>
  </si>
  <si>
    <t>Document successfully created; Document successfully merged; PDF created; !!Error Sending Emails: Service invoked too many times for one day: email.; Run via form trigger as codectechnologies0@gmail.com; Timestamp: Aug 31, 2026 10:30 AM</t>
  </si>
  <si>
    <t>ITM UNIVERSITY,GWALIOR</t>
  </si>
  <si>
    <t>18uL_HKiUEi0y1MjtqK4_kvln4kw_UTWU</t>
  </si>
  <si>
    <t>https://drive.google.com/file/d/18uL_HKiUEi0y1MjtqK4_kvln4kw_UTWU/view?usp=drivesdk</t>
  </si>
  <si>
    <t>Document successfully created; Document successfully merged; PDF created; !!Error Sending Emails: Service invoked too many times for one day: email.; Run via form trigger as codectechnologies0@gmail.com; Timestamp: Aug 31, 2026 10:36 AM</t>
  </si>
  <si>
    <t xml:space="preserve">Muskan kumari </t>
  </si>
  <si>
    <t>muskannsingh11@gmail.com</t>
  </si>
  <si>
    <t>1TRvG0MW8556V6d3AjXPoSHqWqjhZQ7o_</t>
  </si>
  <si>
    <t>https://drive.google.com/file/d/1TRvG0MW8556V6d3AjXPoSHqWqjhZQ7o_/view?usp=drivesdk</t>
  </si>
  <si>
    <t>Document successfully created; Document successfully merged; PDF created; Emails Sent: [To: muskannsingh11@gmail.com]; Run via form trigger as codectechnologies0@gmail.com; Timestamp: Aug 31, 2026 10:52 AM</t>
  </si>
  <si>
    <t>Sonal Kumari</t>
  </si>
  <si>
    <t>sonalsingh1156@gmail.com</t>
  </si>
  <si>
    <t>Netaji subhash institute of technology</t>
  </si>
  <si>
    <t>1jsqc4Nw8ZVUNtJvxPMXZ2WxLOeCAzvC2</t>
  </si>
  <si>
    <t>https://drive.google.com/file/d/1jsqc4Nw8ZVUNtJvxPMXZ2WxLOeCAzvC2/view?usp=drivesdk</t>
  </si>
  <si>
    <t>Document successfully created; Document successfully merged; PDF created; Emails Sent: [To: sonalsingh1156@gmail.com]; Run via form trigger as codectechnologies0@gmail.com; Timestamp: Aug 31, 2026 10:54 AM</t>
  </si>
  <si>
    <t xml:space="preserve">Bhukya Manoj Kumar </t>
  </si>
  <si>
    <t>24r11a66b0@gcet.edu.in</t>
  </si>
  <si>
    <t>1UZjfWxUn02pE0KaC6XoSII1nn-FitGBH</t>
  </si>
  <si>
    <t>https://drive.google.com/file/d/1UZjfWxUn02pE0KaC6XoSII1nn-FitGBH/view?usp=drivesdk</t>
  </si>
  <si>
    <t>Document successfully created; Document successfully merged; PDF created; Emails Sent: [To: 24r11a66b0@gcet.edu.in]; Run via form trigger as codectechnologies0@gmail.com; Timestamp: Aug 31, 2026 11:05 AM</t>
  </si>
  <si>
    <t>Khusharth Sharma</t>
  </si>
  <si>
    <t>khusharthsharma@gmail.com</t>
  </si>
  <si>
    <t xml:space="preserve">Arya college of engineering and information technology </t>
  </si>
  <si>
    <t>17DVMtKpkt-zmqZ8qD_4RDKRzmTygqhQn</t>
  </si>
  <si>
    <t>https://drive.google.com/file/d/17DVMtKpkt-zmqZ8qD_4RDKRzmTygqhQn/view?usp=drivesdk</t>
  </si>
  <si>
    <t>Document successfully created; Document successfully merged; PDF created; Emails Sent: [To: khusharthsharma@gmail.com]; Run via form trigger as codectechnologies0@gmail.com; Timestamp: Aug 31, 2026 11:07 AM</t>
  </si>
  <si>
    <t xml:space="preserve">Ayushi kumari </t>
  </si>
  <si>
    <t>ayushisinghrajput428@gmail.com</t>
  </si>
  <si>
    <t>1NQktMkbpACkD4VI6sKHLjnQbJiWCu-VR</t>
  </si>
  <si>
    <t>https://drive.google.com/file/d/1NQktMkbpACkD4VI6sKHLjnQbJiWCu-VR/view?usp=drivesdk</t>
  </si>
  <si>
    <t>Document successfully created; Document successfully merged; PDF created; Emails Sent: [To: ayushisinghrajput428@gmail.com]; Run via form trigger as codectechnologies0@gmail.com; Timestamp: Aug 31, 2026 11:13 AM</t>
  </si>
  <si>
    <t>C.NIKHIL KUMAR REDDY</t>
  </si>
  <si>
    <t>KARUNYA INSTITUTE OF TECHNOLOGY AND SCIENCES</t>
  </si>
  <si>
    <t>1Lqo_rP_ugl524oshD7tB2ePNTjcJKHnw</t>
  </si>
  <si>
    <t>https://drive.google.com/file/d/1Lqo_rP_ugl524oshD7tB2ePNTjcJKHnw/view?usp=drivesdk</t>
  </si>
  <si>
    <t>Document successfully created; Document successfully merged; PDF created; Emails Sent: [To: rnikhilkumar331@gmail.com]; Run via form trigger as codectechnologies0@gmail.com; Timestamp: Aug 31, 2026 11:16 AM</t>
  </si>
  <si>
    <t>1Q9TRkDHw4VrOkYlzgPzTI7Ue0RYW8e5q</t>
  </si>
  <si>
    <t>https://drive.google.com/file/d/1Q9TRkDHw4VrOkYlzgPzTI7Ue0RYW8e5q/view?usp=drivesdk</t>
  </si>
  <si>
    <t>Document successfully created; Document successfully merged; PDF created; Emails Sent: [To: 24r11a66b0@gcet.edu.in]; Run via form trigger as codectechnologies0@gmail.com; Timestamp: Aug 31, 2026 11:16 AM</t>
  </si>
  <si>
    <t>Bhukya Manoj Kumar</t>
  </si>
  <si>
    <t>1zCFkbztpW6v3zXgFXGUlTrsPohqonIjq</t>
  </si>
  <si>
    <t>https://drive.google.com/file/d/1zCFkbztpW6v3zXgFXGUlTrsPohqonIjq/view?usp=drivesdk</t>
  </si>
  <si>
    <t>Document successfully created; Document successfully merged; PDF created; Emails Sent: [To: 24r11a66b0@gcet.edu.in]; Run via form trigger as codectechnologies0@gmail.com; Timestamp: Aug 31, 2026 11:27 AM</t>
  </si>
  <si>
    <t>Manan Gupta</t>
  </si>
  <si>
    <t>gmanan1910@gmail.com</t>
  </si>
  <si>
    <t xml:space="preserve">Arya College of Engineering and IT </t>
  </si>
  <si>
    <t>16bBSZUKbCNOKPi7fjyyE5KkdNpK50Ds6</t>
  </si>
  <si>
    <t>https://drive.google.com/file/d/16bBSZUKbCNOKPi7fjyyE5KkdNpK50Ds6/view?usp=drivesdk</t>
  </si>
  <si>
    <t>Document successfully created; Document successfully merged; PDF created; Emails Sent: [To: gmanan1910@gmail.com]; Run via form trigger as codectechnologies0@gmail.com; Timestamp: Aug 31, 2026 11:27 AM</t>
  </si>
  <si>
    <t xml:space="preserve">VISHAL J S </t>
  </si>
  <si>
    <t>vishal.js1901@gmail.com</t>
  </si>
  <si>
    <t>KARUNYA UNIVERSITY</t>
  </si>
  <si>
    <t>147Bg81ddB9NDCGSQasUO1AUyJHEOW9iY</t>
  </si>
  <si>
    <t>https://drive.google.com/file/d/147Bg81ddB9NDCGSQasUO1AUyJHEOW9iY/view?usp=drivesdk</t>
  </si>
  <si>
    <t>Document successfully created; Document successfully merged; PDF created; Emails Sent: [To: vishal.js1901@gmail.com]; Run via form trigger as codectechnologies0@gmail.com; Timestamp: Aug 31, 2026 11:37 AM</t>
  </si>
  <si>
    <t>Abishek S</t>
  </si>
  <si>
    <t>sabishektn123@gmail.com</t>
  </si>
  <si>
    <t xml:space="preserve">Karunya Institute of Technology and Science </t>
  </si>
  <si>
    <t>1ubcjp-IxtLI7FzAy36NyUeOyQEI_vuS7</t>
  </si>
  <si>
    <t>https://drive.google.com/file/d/1ubcjp-IxtLI7FzAy36NyUeOyQEI_vuS7/view?usp=drivesdk</t>
  </si>
  <si>
    <t>Document successfully created; Document successfully merged; PDF created; Emails Sent: [To: sabishektn123@gmail.com]; Run via form trigger as codectechnologies0@gmail.com; Timestamp: Aug 31, 2026 11:38 AM</t>
  </si>
  <si>
    <t>Amardip shaw</t>
  </si>
  <si>
    <t>amardipk405@gmail.com</t>
  </si>
  <si>
    <t>1Zuq0HYJPUFTZATabBbDo37AsQN8vb36P</t>
  </si>
  <si>
    <t>https://drive.google.com/file/d/1Zuq0HYJPUFTZATabBbDo37AsQN8vb36P/view?usp=drivesdk</t>
  </si>
  <si>
    <t>Document successfully created; Document successfully merged; PDF created; Emails Sent: [To: amardipk405@gmail.com]; Run via form trigger as codectechnologies0@gmail.com; Timestamp: Aug 31, 2026 11:39 AM</t>
  </si>
  <si>
    <t xml:space="preserve">Vikash kumar </t>
  </si>
  <si>
    <t>rajck553@gmail.com</t>
  </si>
  <si>
    <t xml:space="preserve">Subharti University </t>
  </si>
  <si>
    <t>1106bQbjL0j4rzfqkj-EYnx7u6KaaRAz0</t>
  </si>
  <si>
    <t>https://drive.google.com/file/d/1106bQbjL0j4rzfqkj-EYnx7u6KaaRAz0/view?usp=drivesdk</t>
  </si>
  <si>
    <t>Document successfully created; Document successfully merged; PDF created; Emails Sent: [To: rajck553@gmail.com]; Run via form trigger as codectechnologies0@gmail.com; Timestamp: Aug 31, 2026 11:44 AM</t>
  </si>
  <si>
    <t>uatpalini chowdhary</t>
  </si>
  <si>
    <t>uatpalini@gmail.com</t>
  </si>
  <si>
    <t>1zYC4aAqrqUQAkI8bgaX2i2VLIKg_nE-s</t>
  </si>
  <si>
    <t>https://drive.google.com/file/d/1zYC4aAqrqUQAkI8bgaX2i2VLIKg_nE-s/view?usp=drivesdk</t>
  </si>
  <si>
    <t>Document successfully created; Document successfully merged; PDF created; Emails Sent: [To: uatpalini@gmail.com]; Run via form trigger as codectechnologies0@gmail.com; Timestamp: Aug 31, 2026 11:44 AM</t>
  </si>
  <si>
    <t>RAKESH KUMAR SAHOO</t>
  </si>
  <si>
    <t>sunilsahoo0076</t>
  </si>
  <si>
    <t>1EIvlzWY1ATqLucC_Lbm_bTXxS3-VF2Vw</t>
  </si>
  <si>
    <t>https://drive.google.com/file/d/1EIvlzWY1ATqLucC_Lbm_bTXxS3-VF2Vw/view?usp=drivesdk</t>
  </si>
  <si>
    <t>Document successfully created; Document successfully merged; PDF created; !!Error Sending Emails: Invalid email: sunilsahoo0076; Run via form trigger as codectechnologies0@gmail.com; Timestamp: Aug 31, 2026 11:48 AM</t>
  </si>
  <si>
    <t>Somaiya School of Basic and Applied Science</t>
  </si>
  <si>
    <t>13d1vQt0kLweuBJlZP1lAH5n8FeA8z69E</t>
  </si>
  <si>
    <t>https://drive.google.com/file/d/13d1vQt0kLweuBJlZP1lAH5n8FeA8z69E/view?usp=drivesdk</t>
  </si>
  <si>
    <t>Document successfully created; Document successfully merged; PDF created; Emails Sent: [To: singhriyarm05@gmail.com]; Run via form trigger as codectechnologies0@gmail.com; Timestamp: Aug 31, 2026 11:53 AM</t>
  </si>
  <si>
    <t>Shiv Prakash</t>
  </si>
  <si>
    <t>sprakash6828@gmail.com</t>
  </si>
  <si>
    <t xml:space="preserve">Swami Vivekanand subharti University </t>
  </si>
  <si>
    <t>1W-FOHSVKaFgCsLalYaISGeOarD_kbJQh</t>
  </si>
  <si>
    <t>https://drive.google.com/file/d/1W-FOHSVKaFgCsLalYaISGeOarD_kbJQh/view?usp=drivesdk</t>
  </si>
  <si>
    <t>Document successfully created; Document successfully merged; PDF created; Emails Sent: [To: sprakash6828@gmail.com]; Run via form trigger as codectechnologies0@gmail.com; Timestamp: Aug 31, 2026 11:54 AM</t>
  </si>
  <si>
    <t>RAKESA KUMARA SAHOO</t>
  </si>
  <si>
    <t>sunilsahoo0076@gimal.com</t>
  </si>
  <si>
    <t xml:space="preserve">EINSTEIN ACADEMY OF TECHNOLOGY &amp; MANAGEMENT </t>
  </si>
  <si>
    <t>1Luzb6j_eZmazqXZda01vq_MTMc__ODzF</t>
  </si>
  <si>
    <t>https://drive.google.com/file/d/1Luzb6j_eZmazqXZda01vq_MTMc__ODzF/view?usp=drivesdk</t>
  </si>
  <si>
    <t>Document successfully created; Document successfully merged; PDF created; Emails Sent: [To: sunilsahoo0076@gimal.com]; Run via form trigger as codectechnologies0@gmail.com; Timestamp: Aug 31, 2026 12:07 PM</t>
  </si>
  <si>
    <t>JOSHUA SABU</t>
  </si>
  <si>
    <t>joshuasabu25@gmail.com</t>
  </si>
  <si>
    <t>12OSPLd-UFjcjhsEEvI_izddJTLdkK32F</t>
  </si>
  <si>
    <t>https://drive.google.com/file/d/12OSPLd-UFjcjhsEEvI_izddJTLdkK32F/view?usp=drivesdk</t>
  </si>
  <si>
    <t>Document successfully created; Document successfully merged; PDF created; Emails Sent: [To: joshuasabu25@gmail.com]; Run via form trigger as codectechnologies0@gmail.com; Timestamp: Aug 31, 2026 12:08 PM</t>
  </si>
  <si>
    <t xml:space="preserve">Kanhaiya Prajapati </t>
  </si>
  <si>
    <t>kprajapati3306@gmail.com</t>
  </si>
  <si>
    <t>1a0e52mO88m0TQVLB6lXPPO67Jrcxi6YB</t>
  </si>
  <si>
    <t>https://drive.google.com/file/d/1a0e52mO88m0TQVLB6lXPPO67Jrcxi6YB/view?usp=drivesdk</t>
  </si>
  <si>
    <t>Document successfully created; Document successfully merged; PDF created; Emails Sent: [To: kprajapati3306@gmail.com]; Run via form trigger as codectechnologies0@gmail.com; Timestamp: Aug 31, 2026 12:09 PM</t>
  </si>
  <si>
    <t>Priyanshu Singh</t>
  </si>
  <si>
    <t>priyanshusingh11062005@gmail.com</t>
  </si>
  <si>
    <t>1usIBsYrF9GkBedp43gx_DOPmeT-CGfLG</t>
  </si>
  <si>
    <t>https://drive.google.com/file/d/1usIBsYrF9GkBedp43gx_DOPmeT-CGfLG/view?usp=drivesdk</t>
  </si>
  <si>
    <t>Document successfully created; Document successfully merged; PDF created; Emails Sent: [To: priyanshusingh11062005@gmail.com]; Run via form trigger as codectechnologies0@gmail.com; Timestamp: Aug 31, 2026 12:11 PM</t>
  </si>
  <si>
    <t>Tammisetti Geetha nagajyoti</t>
  </si>
  <si>
    <t>2501600042mca@gmail.com</t>
  </si>
  <si>
    <t>KL University</t>
  </si>
  <si>
    <t>1FqHQKMG2pjlqvOtsmJcZ0KXbCihef22z</t>
  </si>
  <si>
    <t>https://drive.google.com/file/d/1FqHQKMG2pjlqvOtsmJcZ0KXbCihef22z/view?usp=drivesdk</t>
  </si>
  <si>
    <t>Document successfully created; Document successfully merged; PDF created; Emails Sent: [To: 2501600042mca@gmail.com]; Run via form trigger as codectechnologies0@gmail.com; Timestamp: Aug 31, 2026 12:13 PM</t>
  </si>
  <si>
    <t xml:space="preserve">Golu kumar sharma </t>
  </si>
  <si>
    <t>gg5121665@gmail.com</t>
  </si>
  <si>
    <t>1TacurrLSu_dld0lX2nxMa3C5qnHFeM7p</t>
  </si>
  <si>
    <t>https://drive.google.com/file/d/1TacurrLSu_dld0lX2nxMa3C5qnHFeM7p/view?usp=drivesdk</t>
  </si>
  <si>
    <t>Document successfully created; Document successfully merged; PDF created; Emails Sent: [To: gg5121665@gmail.com]; Run via form trigger as codectechnologies0@gmail.com; Timestamp: Aug 31, 2026 12:20 PM</t>
  </si>
  <si>
    <t>1_V8PJ6NSowC4plVzbj6f4_H3H0hnehuF</t>
  </si>
  <si>
    <t>https://drive.google.com/file/d/1_V8PJ6NSowC4plVzbj6f4_H3H0hnehuF/view?usp=drivesdk</t>
  </si>
  <si>
    <t>Document successfully created; Document successfully merged; PDF created; Emails Sent: [To: kprajapati3306@gmail.com]; Run via form trigger as codectechnologies0@gmail.com; Timestamp: Aug 31, 2026 12:25 PM</t>
  </si>
  <si>
    <t>78950 30781</t>
  </si>
  <si>
    <t>1pE-6nngD0s47dBnPoOXXJU56LCJEUCi_</t>
  </si>
  <si>
    <t>https://drive.google.com/file/d/1pE-6nngD0s47dBnPoOXXJU56LCJEUCi_/view?usp=drivesdk</t>
  </si>
  <si>
    <t>Document successfully created; Document successfully merged; PDF created; Emails Sent: [To: kartikdhingia35@gmail.com]; Run via form trigger as codectechnologies0@gmail.com; Timestamp: Aug 31, 2026 12:29 PM</t>
  </si>
  <si>
    <t>Anshul</t>
  </si>
  <si>
    <t>anshullrajputt98@gmail.com</t>
  </si>
  <si>
    <t>1HmxdtmrE1_Hm19h4utV8d9pN8OCR5b24</t>
  </si>
  <si>
    <t>https://drive.google.com/file/d/1HmxdtmrE1_Hm19h4utV8d9pN8OCR5b24/view?usp=drivesdk</t>
  </si>
  <si>
    <t>Document successfully created; Document successfully merged; PDF created; Emails Sent: [To: anshullrajputt98@gmail.com]; Run via form trigger as codectechnologies0@gmail.com; Timestamp: Aug 31, 2026 12:32 PM</t>
  </si>
  <si>
    <t>Kotha Akshaya</t>
  </si>
  <si>
    <t>akshayakotha129@gmail.com</t>
  </si>
  <si>
    <t>methodist college of engineering and technology</t>
  </si>
  <si>
    <t>1PSAsSg24IU4lUlrGCL_b5bfNENGMTlyJ</t>
  </si>
  <si>
    <t>https://drive.google.com/file/d/1PSAsSg24IU4lUlrGCL_b5bfNENGMTlyJ/view?usp=drivesdk</t>
  </si>
  <si>
    <t>Document successfully created; Document successfully merged; PDF created; Emails Sent: [To: akshayakotha129@gmail.com]; Run via form trigger as codectechnologies0@gmail.com; Timestamp: Aug 31, 2026 12:33 PM</t>
  </si>
  <si>
    <t xml:space="preserve">Sivaramakrishnan M </t>
  </si>
  <si>
    <t>sivaramakrishnanmxlbb@gmail.com</t>
  </si>
  <si>
    <t xml:space="preserve">dr.harisingh gour University,sagar , Madhya Pradesh </t>
  </si>
  <si>
    <t>1XNUcWT6PMZyRwF4yqNTow5Rqd6IYvp-1</t>
  </si>
  <si>
    <t>https://drive.google.com/file/d/1XNUcWT6PMZyRwF4yqNTow5Rqd6IYvp-1/view?usp=drivesdk</t>
  </si>
  <si>
    <t>Document successfully created; Document successfully merged; PDF created; Emails Sent: [To: sivaramakrishnanmxlbb@gmail.com]; Run via form trigger as codectechnologies0@gmail.com; Timestamp: Aug 31, 2026 12:33 PM</t>
  </si>
  <si>
    <t>Tammisetti Geetha Nagajyoti</t>
  </si>
  <si>
    <t>12wtsbPvn_OTjrHiFA809pSvy5laITj9f</t>
  </si>
  <si>
    <t>https://drive.google.com/file/d/12wtsbPvn_OTjrHiFA809pSvy5laITj9f/view?usp=drivesdk</t>
  </si>
  <si>
    <t>Document successfully created; Document successfully merged; PDF created; Emails Sent: [To: 2501600042mca@gmail.com]; Run via form trigger as codectechnologies0@gmail.com; Timestamp: Aug 31, 2026 12:35 PM</t>
  </si>
  <si>
    <t>Thummala Umesh</t>
  </si>
  <si>
    <t>thummalaumesh@karunya.edu.in</t>
  </si>
  <si>
    <t>1Wr-7BWJN7QelP0xsPTiF0l9AIxGVWogQ</t>
  </si>
  <si>
    <t>https://drive.google.com/file/d/1Wr-7BWJN7QelP0xsPTiF0l9AIxGVWogQ/view?usp=drivesdk</t>
  </si>
  <si>
    <t>Document successfully created; Document successfully merged; PDF created; Emails Sent: [To: thummalaumesh@karunya.edu.in]; Run via form trigger as codectechnologies0@gmail.com; Timestamp: Aug 31, 2026 12:39 PM</t>
  </si>
  <si>
    <t>Shashank Mall</t>
  </si>
  <si>
    <t>shashank83034@gmail.com</t>
  </si>
  <si>
    <t>UIET , CSJMU, Kanpur</t>
  </si>
  <si>
    <t>1N4MjVrvr1L7g8wgEuu1XmzsZyrPGWgZr</t>
  </si>
  <si>
    <t>https://drive.google.com/file/d/1N4MjVrvr1L7g8wgEuu1XmzsZyrPGWgZr/view?usp=drivesdk</t>
  </si>
  <si>
    <t>Document successfully created; Document successfully merged; PDF created; Emails Sent: [To: shashank83034@gmail.com]; Run via form trigger as codectechnologies0@gmail.com; Timestamp: Aug 31, 2026 12:45 PM</t>
  </si>
  <si>
    <t>Shaik khaleel basha</t>
  </si>
  <si>
    <t>khaleelbasha384@gmail.com</t>
  </si>
  <si>
    <t xml:space="preserve">dr.harising gour central university, sagar madhya pradesh </t>
  </si>
  <si>
    <t>1ua4xGLgZHOfinexlJgvotkcb7eMCOgJy</t>
  </si>
  <si>
    <t>https://drive.google.com/file/d/1ua4xGLgZHOfinexlJgvotkcb7eMCOgJy/view?usp=drivesdk</t>
  </si>
  <si>
    <t>Document successfully created; Document successfully merged; PDF created; Emails Sent: [To: khaleelbasha384@gmail.com]; Run via form trigger as codectechnologies0@gmail.com; Timestamp: Aug 31, 2026 12:45 PM</t>
  </si>
  <si>
    <t>Manoj Y</t>
  </si>
  <si>
    <t>manojgum12@gmail.com</t>
  </si>
  <si>
    <t xml:space="preserve">Dr hari singh gour central university sagar madhya pradesh </t>
  </si>
  <si>
    <t>180kuQLcuNlJ4bHqkKwprLzg4nsHYNF7A</t>
  </si>
  <si>
    <t>https://drive.google.com/file/d/180kuQLcuNlJ4bHqkKwprLzg4nsHYNF7A/view?usp=drivesdk</t>
  </si>
  <si>
    <t>Document successfully created; Document successfully merged; PDF created; Emails Sent: [To: manojgum12@gmail.com]; Run via form trigger as codectechnologies0@gmail.com; Timestamp: Aug 31, 2026 12:48 PM</t>
  </si>
  <si>
    <t xml:space="preserve">POTTURI VENKATA NAGA SAI AMARNADH </t>
  </si>
  <si>
    <t>pothuriamarnadh1306@gmail.com</t>
  </si>
  <si>
    <t>Mohan Babu university</t>
  </si>
  <si>
    <t>17Pu3SWgn0kQqkAyaS6TrjFIRS31yCjzs</t>
  </si>
  <si>
    <t>https://drive.google.com/file/d/17Pu3SWgn0kQqkAyaS6TrjFIRS31yCjzs/view?usp=drivesdk</t>
  </si>
  <si>
    <t>Document successfully created; Document successfully merged; PDF created; Emails Sent: [To: pothuriamarnadh1306@gmail.com]; Run via form trigger as codectechnologies0@gmail.com; Timestamp: Aug 31, 2026 12:49 PM</t>
  </si>
  <si>
    <t>Prince kumar</t>
  </si>
  <si>
    <t>prince.25scs1003002796@iilm.edu</t>
  </si>
  <si>
    <t>IILM UNIVERSITY (Greater Noida)</t>
  </si>
  <si>
    <t>1i8yN5ll9BapNBH6B-Ht5EASRa1R9BcMj</t>
  </si>
  <si>
    <t>https://drive.google.com/file/d/1i8yN5ll9BapNBH6B-Ht5EASRa1R9BcMj/view?usp=drivesdk</t>
  </si>
  <si>
    <t>Document successfully created; Document successfully merged; PDF created; Emails Sent: [To: prince.25scs1003002796@iilm.edu]; Run via form trigger as codectechnologies0@gmail.com; Timestamp: Aug 31, 2026 12:50 PM</t>
  </si>
  <si>
    <t>VADDIREDDY GANESH REDDY</t>
  </si>
  <si>
    <t>vaddireddyganesh@karunya.edu.in</t>
  </si>
  <si>
    <t>1mGO9jldEdxCW_zlDmZ4cpfjixvxRhO_y</t>
  </si>
  <si>
    <t>https://drive.google.com/file/d/1mGO9jldEdxCW_zlDmZ4cpfjixvxRhO_y/view?usp=drivesdk</t>
  </si>
  <si>
    <t>Document successfully created; Document successfully merged; PDF created; Emails Sent: [To: vaddireddyganesh@karunya.edu.in]; Run via form trigger as codectechnologies0@gmail.com; Timestamp: Aug 31, 2026 12:55 PM</t>
  </si>
  <si>
    <t>Jasmine Singh</t>
  </si>
  <si>
    <t>jsite1507@gmail.com</t>
  </si>
  <si>
    <t>Gautam Buddha University</t>
  </si>
  <si>
    <t>LinkedIn, Instagram, Facebook, WhatsApp, Friend, Email, Google, AICTE/Indeed</t>
  </si>
  <si>
    <t>1S5USyRQbLPOhQmV-fi0GfslcqrXFkIfv</t>
  </si>
  <si>
    <t>https://drive.google.com/file/d/1S5USyRQbLPOhQmV-fi0GfslcqrXFkIfv/view?usp=drivesdk</t>
  </si>
  <si>
    <t>Document successfully created; Document successfully merged; PDF created; Emails Sent: [To: jsite1507@gmail.com]; Run via form trigger as codectechnologies0@gmail.com; Timestamp: Aug 31, 2026 1:01 PM</t>
  </si>
  <si>
    <t xml:space="preserve">Adarsh Tripathi </t>
  </si>
  <si>
    <t>adarshtiwari278782@gmail.com</t>
  </si>
  <si>
    <t>1jiXz8voQEJ8beuIR8HXk3J3vP2O9UU_W</t>
  </si>
  <si>
    <t>https://drive.google.com/file/d/1jiXz8voQEJ8beuIR8HXk3J3vP2O9UU_W/view?usp=drivesdk</t>
  </si>
  <si>
    <t>Document successfully created; Document successfully merged; PDF created; Emails Sent: [To: adarshtiwari278782@gmail.com]; Run via form trigger as codectechnologies0@gmail.com; Timestamp: Aug 31, 2026 1:10 PM</t>
  </si>
  <si>
    <t>SAKE.VISHNU</t>
  </si>
  <si>
    <t>sakev767@gmail.com</t>
  </si>
  <si>
    <t>1SG4rd0MokvHDQWiWiJ--W85JKrhH8-kM</t>
  </si>
  <si>
    <t>https://drive.google.com/file/d/1SG4rd0MokvHDQWiWiJ--W85JKrhH8-kM/view?usp=drivesdk</t>
  </si>
  <si>
    <t>Document successfully created; Document successfully merged; PDF created; Emails Sent: [To: sakev767@gmail.com]; Run via form trigger as codectechnologies0@gmail.com; Timestamp: Aug 31, 2026 1:11 PM</t>
  </si>
  <si>
    <t>1F3PxWnRANTHsK0Q1h8H0A1IreTnGroJw</t>
  </si>
  <si>
    <t>https://drive.google.com/file/d/1F3PxWnRANTHsK0Q1h8H0A1IreTnGroJw/view?usp=drivesdk</t>
  </si>
  <si>
    <t>Document successfully created; Document successfully merged; PDF created; Emails Sent: [To: sakev767@gmail.com]; Run via form trigger as codectechnologies0@gmail.com; Timestamp: Aug 31, 2026 1:19 PM</t>
  </si>
  <si>
    <t>SHIKHA SUMAN</t>
  </si>
  <si>
    <t>sumanshikha2004@gmail.com</t>
  </si>
  <si>
    <t>1j7q_Lqe1idJbbk0uVe5Tv357qpHD2cGZ</t>
  </si>
  <si>
    <t>https://drive.google.com/file/d/1j7q_Lqe1idJbbk0uVe5Tv357qpHD2cGZ/view?usp=drivesdk</t>
  </si>
  <si>
    <t>Document successfully created; Document successfully merged; PDF created; Emails Sent: [To: sumanshikha2004@gmail.com]; Run via form trigger as codectechnologies0@gmail.com; Timestamp: Aug 31, 2026 1:25 PM</t>
  </si>
  <si>
    <t>1MxA98bPQLa5D30ZppEN5ZMfaq0QR3L3-</t>
  </si>
  <si>
    <t>https://drive.google.com/file/d/1MxA98bPQLa5D30ZppEN5ZMfaq0QR3L3-/view?usp=drivesdk</t>
  </si>
  <si>
    <t>Document successfully created; Document successfully merged; PDF created; Emails Sent: [To: sumanshikha2004@gmail.com]; Run via form trigger as codectechnologies0@gmail.com; Timestamp: Aug 31, 2026 1:34 PM</t>
  </si>
  <si>
    <t>ADARSH GUPTA</t>
  </si>
  <si>
    <t>clashingwithadarsh@gmail.com</t>
  </si>
  <si>
    <t>1YG4B0WW2sYjSTMmT7P9zKBM6gr90l0yR</t>
  </si>
  <si>
    <t>https://drive.google.com/file/d/1YG4B0WW2sYjSTMmT7P9zKBM6gr90l0yR/view?usp=drivesdk</t>
  </si>
  <si>
    <t>Document successfully created; Document successfully merged; PDF created; Emails Sent: [To: clashingwithadarsh@gmail.com]; Run via form trigger as codectechnologies0@gmail.com; Timestamp: Aug 31, 2026 1:42 PM</t>
  </si>
  <si>
    <t>SATYAM YADAV</t>
  </si>
  <si>
    <t>satyamsinghyadav0157@gmail.com</t>
  </si>
  <si>
    <t>1lNtAZgjNh5GSFHBHmPJvFvdy1AwxU0J6</t>
  </si>
  <si>
    <t>https://drive.google.com/file/d/1lNtAZgjNh5GSFHBHmPJvFvdy1AwxU0J6/view?usp=drivesdk</t>
  </si>
  <si>
    <t>Document successfully created; Document successfully merged; PDF created; Emails Sent: [To: satyamsinghyadav0157@gmail.com]; Run via form trigger as codectechnologies0@gmail.com; Timestamp: Aug 31, 2026 1:49 PM</t>
  </si>
  <si>
    <t>Rohit Bhattacharjee</t>
  </si>
  <si>
    <t>IILM UNIVERSIRTY</t>
  </si>
  <si>
    <t>1pswLEPYA2IvSaiu6kZA9Ef0H5aVtVoKK</t>
  </si>
  <si>
    <t>https://drive.google.com/file/d/1pswLEPYA2IvSaiu6kZA9Ef0H5aVtVoKK/view?usp=drivesdk</t>
  </si>
  <si>
    <t>Document successfully created; Document successfully merged; PDF created; Emails Sent: [To: goarav.25scs1003001369@iilm.edu]; Run via form trigger as codectechnologies0@gmail.com; Timestamp: Aug 31, 2026 1:52 PM</t>
  </si>
  <si>
    <t>JERISH MOSES S</t>
  </si>
  <si>
    <t>jerishmoses@karunya.edu.in</t>
  </si>
  <si>
    <t>1cVkXFU5RotYnHd9W4f6dvGR4dGSb6G6D</t>
  </si>
  <si>
    <t>https://drive.google.com/file/d/1cVkXFU5RotYnHd9W4f6dvGR4dGSb6G6D/view?usp=drivesdk</t>
  </si>
  <si>
    <t>Document successfully created; Document successfully merged; PDF created; Emails Sent: [To: jerishmoses@karunya.edu.in]; Run via form trigger as codectechnologies0@gmail.com; Timestamp: Aug 31, 2026 1:52 PM</t>
  </si>
  <si>
    <t>vikash kumar</t>
  </si>
  <si>
    <t>vikashkumarktq2005@gmail.com</t>
  </si>
  <si>
    <t xml:space="preserve">Swami Vivekanand Subharti University, Meerut </t>
  </si>
  <si>
    <t>1IhLU06RQv8TbQNVyk392NPtivwn6qSXT</t>
  </si>
  <si>
    <t>https://drive.google.com/file/d/1IhLU06RQv8TbQNVyk392NPtivwn6qSXT/view?usp=drivesdk</t>
  </si>
  <si>
    <t>Document successfully created; Document successfully merged; PDF created; Emails Sent: [To: vikashkumarktq2005@gmail.com]; Run via form trigger as codectechnologies0@gmail.com; Timestamp: Aug 31, 2026 2:01 PM</t>
  </si>
  <si>
    <t xml:space="preserve">CHITRA CHANDU </t>
  </si>
  <si>
    <t>chitrachandu345@gmail.com</t>
  </si>
  <si>
    <t>1h7NM3ey9B4UGvZf6TM8sYfEy9pZy-kig</t>
  </si>
  <si>
    <t>https://drive.google.com/file/d/1h7NM3ey9B4UGvZf6TM8sYfEy9pZy-kig/view?usp=drivesdk</t>
  </si>
  <si>
    <t>Document successfully created; Document successfully merged; PDF created; Emails Sent: [To: chitrachandu345@gmail.com]; Run via form trigger as codectechnologies0@gmail.com; Timestamp: Aug 31, 2026 2:02 PM</t>
  </si>
  <si>
    <t xml:space="preserve">ANURAG SAHU </t>
  </si>
  <si>
    <t>anuragsahu56432@gmail.com</t>
  </si>
  <si>
    <t>KANPUR INSTITUTE OF TECHNOLOGY</t>
  </si>
  <si>
    <t>1kLQgZ4GnHnXMthmNbZzM4qtnDSVXu-vX</t>
  </si>
  <si>
    <t>https://drive.google.com/file/d/1kLQgZ4GnHnXMthmNbZzM4qtnDSVXu-vX/view?usp=drivesdk</t>
  </si>
  <si>
    <t>Document successfully created; Document successfully merged; PDF created; Emails Sent: [To: anuragsahu56432@gmail.com]; Run via form trigger as codectechnologies0@gmail.com; Timestamp: Aug 31, 2026 2:06 PM</t>
  </si>
  <si>
    <t xml:space="preserve">Shubham kumar </t>
  </si>
  <si>
    <t>17lwlN6p4SLHAYnUEqty0wvb9gJotgJsX</t>
  </si>
  <si>
    <t>https://drive.google.com/file/d/17lwlN6p4SLHAYnUEqty0wvb9gJotgJsX/view?usp=drivesdk</t>
  </si>
  <si>
    <t>Document successfully created; Document successfully merged; PDF created; Emails Sent: [To: jshubhamkumar098@gmail.com]; Run via form trigger as codectechnologies0@gmail.com; Timestamp: Aug 31, 2026 2:26 PM</t>
  </si>
  <si>
    <t>Sai Krishna Aligeti</t>
  </si>
  <si>
    <t>saikrishnaa112233@gmail.com</t>
  </si>
  <si>
    <t>Keshav Memorial College Of Engineering</t>
  </si>
  <si>
    <t>1XDifEsCBZp8hd3R9ahBDzUcxL3VQ8ZUR</t>
  </si>
  <si>
    <t>https://drive.google.com/file/d/1XDifEsCBZp8hd3R9ahBDzUcxL3VQ8ZUR/view?usp=drivesdk</t>
  </si>
  <si>
    <t>Document successfully created; Document successfully merged; PDF created; Emails Sent: [To: saikrishnaa112233@gmail.com]; Run via form trigger as codectechnologies0@gmail.com; Timestamp: Aug 31, 2026 2:31 PM</t>
  </si>
  <si>
    <t>p.vinay kumar</t>
  </si>
  <si>
    <t>urs3998vinay@gmail.com</t>
  </si>
  <si>
    <t>iibs</t>
  </si>
  <si>
    <t>1KAfUlVPd1PCKluBZmYF_nUk8iJ2leU4A</t>
  </si>
  <si>
    <t>https://drive.google.com/file/d/1KAfUlVPd1PCKluBZmYF_nUk8iJ2leU4A/view?usp=drivesdk</t>
  </si>
  <si>
    <t>Document successfully created; Document successfully merged; PDF created; Emails Sent: [To: urs3998vinay@gmail.com]; Run via form trigger as codectechnologies0@gmail.com; Timestamp: Aug 31, 2026 2:34 PM</t>
  </si>
  <si>
    <t xml:space="preserve">Kanike Manjunath </t>
  </si>
  <si>
    <t>kanike.manju@gmail.com</t>
  </si>
  <si>
    <t xml:space="preserve">International institute of business studies </t>
  </si>
  <si>
    <t>1xl0M6EH2J-1eEooMKud8fFYmjr7MBWeG</t>
  </si>
  <si>
    <t>https://drive.google.com/file/d/1xl0M6EH2J-1eEooMKud8fFYmjr7MBWeG/view?usp=drivesdk</t>
  </si>
  <si>
    <t>Document successfully created; Document successfully merged; PDF created; Emails Sent: [To: kanike.manju@gmail.com]; Run via form trigger as codectechnologies0@gmail.com; Timestamp: Aug 31, 2026 2:57 PM</t>
  </si>
  <si>
    <t>PATEL SHEELKUMAR VIKRAMBHAI</t>
  </si>
  <si>
    <t>patelsheel0607@gmail.com</t>
  </si>
  <si>
    <t>Indus university</t>
  </si>
  <si>
    <t>1pS_kAx2FO0b7bFEsLoVfnyrQGrHpiL8k</t>
  </si>
  <si>
    <t>https://drive.google.com/file/d/1pS_kAx2FO0b7bFEsLoVfnyrQGrHpiL8k/view?usp=drivesdk</t>
  </si>
  <si>
    <t>Document successfully created; Document successfully merged; PDF created; Emails Sent: [To: patelsheel0607@gmail.com]; Run via form trigger as codectechnologies0@gmail.com; Timestamp: Aug 31, 2026 2:59 PM</t>
  </si>
  <si>
    <t>Vaibhav Kale</t>
  </si>
  <si>
    <t>kalevaibhavp8459@gmail.com</t>
  </si>
  <si>
    <t>08459080144</t>
  </si>
  <si>
    <t xml:space="preserve">Snjb polytechnic chandvad </t>
  </si>
  <si>
    <t>1C1MgQcD4czw5sEb3wOmgGvyqwasgcq7v</t>
  </si>
  <si>
    <t>https://drive.google.com/file/d/1C1MgQcD4czw5sEb3wOmgGvyqwasgcq7v/view?usp=drivesdk</t>
  </si>
  <si>
    <t>Document successfully created; Document successfully merged; PDF created; Emails Sent: [To: kalevaibhavp8459@gmail.com]; Run via form trigger as codectechnologies0@gmail.com; Timestamp: Aug 31, 2026 8:49 PM</t>
  </si>
  <si>
    <t xml:space="preserve">Kale vaibhav purushottam </t>
  </si>
  <si>
    <t xml:space="preserve">Matoshree institute of technology dhanore yeola </t>
  </si>
  <si>
    <t>1-MwPvJZVdzdde83uGBjVVnMbsjd-fMFk</t>
  </si>
  <si>
    <t>https://drive.google.com/file/d/1-MwPvJZVdzdde83uGBjVVnMbsjd-fMFk/view?usp=drivesdk</t>
  </si>
  <si>
    <t>Document successfully created; Document successfully merged; PDF created; Emails Sent: [To: kalevaibhavp8459@gmail.com]; Run via form trigger as codectechnologies0@gmail.com; Timestamp: Aug 31, 2026 8:53 PM</t>
  </si>
  <si>
    <t xml:space="preserve">Priyanshi Goyal </t>
  </si>
  <si>
    <t>p.25012008.g@gmail.com</t>
  </si>
  <si>
    <t>1XOCM47N1xLG0P8b9X-UoEHSQpaXB-YpH</t>
  </si>
  <si>
    <t>https://drive.google.com/file/d/1XOCM47N1xLG0P8b9X-UoEHSQpaXB-YpH/view?usp=drivesdk</t>
  </si>
  <si>
    <t>Document successfully created; Document successfully merged; PDF created; Emails Sent: [To: p.25012008.g@gmail.com]; Run via form trigger as codectechnologies0@gmail.com; Timestamp: Aug 31, 2026 9:47 PM</t>
  </si>
  <si>
    <t>1ca1oMAv92mbFXrTktDE-rOgm3cbmBQU_</t>
  </si>
  <si>
    <t>https://drive.google.com/file/d/1ca1oMAv92mbFXrTktDE-rOgm3cbmBQU_/view?usp=drivesdk</t>
  </si>
  <si>
    <t>Document successfully created; Document successfully merged; PDF created; Emails Sent: [To: p.25012008.g@gmail.com]; Run via form trigger as codectechnologies0@gmail.com; Timestamp: Aug 31, 2026 9:49 PM</t>
  </si>
  <si>
    <t>1Rhwgopqqk17ej1SjjAgdZUJqSw9Wg6SH</t>
  </si>
  <si>
    <t>https://drive.google.com/file/d/1Rhwgopqqk17ej1SjjAgdZUJqSw9Wg6SH/view?usp=drivesdk</t>
  </si>
  <si>
    <t>Document successfully created; Document successfully merged; PDF created; Emails Sent: [To: p.25012008.g@gmail.com]; Run via form trigger as codectechnologies0@gmail.com; Timestamp: Aug 31, 2026 9:52 PM</t>
  </si>
  <si>
    <t>Neha Roy</t>
  </si>
  <si>
    <t>neharoy6296@gmail.com</t>
  </si>
  <si>
    <t xml:space="preserve">GLOBAL COLLEGE OF SCIENCE AND TECHNOLOGY </t>
  </si>
  <si>
    <t>18Tgv63fhWfHzJT645QnaovRRz1HC1e80</t>
  </si>
  <si>
    <t>https://drive.google.com/file/d/18Tgv63fhWfHzJT645QnaovRRz1HC1e80/view?usp=drivesdk</t>
  </si>
  <si>
    <t>Document successfully created; Document successfully merged; PDF created; Emails Sent: [To: neharoy6296@gmail.com]; Run via form trigger as codectechnologies0@gmail.com; Timestamp: Aug 31, 2026 10:47 PM</t>
  </si>
  <si>
    <t>MOHAMMED IRFAN H</t>
  </si>
  <si>
    <t>irfanjd02@gmail.com</t>
  </si>
  <si>
    <t>1cbluUwsEfnekK-RTvINgVWQ40k41DexL</t>
  </si>
  <si>
    <t>https://drive.google.com/file/d/1cbluUwsEfnekK-RTvINgVWQ40k41DexL/view?usp=drivesdk</t>
  </si>
  <si>
    <t>Document successfully created; Document successfully merged; PDF created; Emails Sent: [To: irfanjd02@gmail.com]; Run via form trigger as codectechnologies0@gmail.com; Timestamp: Aug 31, 2026 11:06 PM</t>
  </si>
  <si>
    <t xml:space="preserve">Brijesh Kumar </t>
  </si>
  <si>
    <t>by4506360@gmail.com</t>
  </si>
  <si>
    <t>19BSti7IdjNCopot1MGDHdmkAXVabAeOY</t>
  </si>
  <si>
    <t>https://drive.google.com/file/d/19BSti7IdjNCopot1MGDHdmkAXVabAeOY/view?usp=drivesdk</t>
  </si>
  <si>
    <t>Document successfully created; Document successfully merged; PDF created; Emails Sent: [To: by4506360@gmail.com]; Run via form trigger as codectechnologies0@gmail.com; Timestamp: Aug 31, 2026 11:06 PM</t>
  </si>
  <si>
    <t>Priyam Anand</t>
  </si>
  <si>
    <t>priyamanand78@gmail.com</t>
  </si>
  <si>
    <t>11i8QpQP4x8uUWv9SJ8C6VUp5PsN9IDty</t>
  </si>
  <si>
    <t>https://drive.google.com/file/d/11i8QpQP4x8uUWv9SJ8C6VUp5PsN9IDty/view?usp=drivesdk</t>
  </si>
  <si>
    <t>Document successfully created; Document successfully merged; PDF created; Emails Sent: [To: priyamanand78@gmail.com]; Run via form trigger as codectechnologies0@gmail.com; Timestamp: Aug 31, 2026 11:24 PM</t>
  </si>
  <si>
    <t>Mythreyan S R</t>
  </si>
  <si>
    <t>srmythreyan241@gmail.com</t>
  </si>
  <si>
    <t xml:space="preserve">J.N.N Instution of engineering </t>
  </si>
  <si>
    <t>1YtM6HlerVkd8BeGviKU5lebr3qhoNWen</t>
  </si>
  <si>
    <t>https://drive.google.com/file/d/1YtM6HlerVkd8BeGviKU5lebr3qhoNWen/view?usp=drivesdk</t>
  </si>
  <si>
    <t>Document successfully created; Document successfully merged; PDF created; Emails Sent: [To: srmythreyan241@gmail.com]; Run via form trigger as codectechnologies0@gmail.com; Timestamp: Aug 31, 2026 11:33 PM</t>
  </si>
  <si>
    <t>ABHISHEK KUMAR</t>
  </si>
  <si>
    <t>abhishekumar331@gmail.com</t>
  </si>
  <si>
    <t>iilm university greater noida</t>
  </si>
  <si>
    <t>1UL3kEgKJndY_8XYSPZentTvLB2K2Z9XH</t>
  </si>
  <si>
    <t>https://drive.google.com/file/d/1UL3kEgKJndY_8XYSPZentTvLB2K2Z9XH/view?usp=drivesdk</t>
  </si>
  <si>
    <t>Document successfully created; Document successfully merged; PDF created; Emails Sent: [To: abhishekumar331@gmail.com]; Run via form trigger as codectechnologies0@gmail.com; Timestamp: Aug 31, 2026 11:40 PM</t>
  </si>
  <si>
    <t>Siddharth P</t>
  </si>
  <si>
    <t>kpsiddharth29@gmail.com</t>
  </si>
  <si>
    <t>1fbJj4HE1iAbR8a-t9twuoLJotbE1qJMH</t>
  </si>
  <si>
    <t>https://drive.google.com/file/d/1fbJj4HE1iAbR8a-t9twuoLJotbE1qJMH/view?usp=drivesdk</t>
  </si>
  <si>
    <t>Document successfully created; Document successfully merged; PDF created; Emails Sent: [To: kpsiddharth29@gmail.com]; Run via form trigger as codectechnologies0@gmail.com; Timestamp: Aug 31, 2026 11:43 PM</t>
  </si>
  <si>
    <t>Mohd Mustafa Faizan Ali</t>
  </si>
  <si>
    <t>mohdmustafafaizanali@gmail.com</t>
  </si>
  <si>
    <t>Malla Reddy (MR) Deemed To Be University</t>
  </si>
  <si>
    <t>19XbqlWcLAMMxVSHNojeU9dgGwkr8Qw9g</t>
  </si>
  <si>
    <t>https://drive.google.com/file/d/19XbqlWcLAMMxVSHNojeU9dgGwkr8Qw9g/view?usp=drivesdk</t>
  </si>
  <si>
    <t>Document successfully created; Document successfully merged; PDF created; Emails Sent: [To: mohdmustafafaizanali@gmail.com]; Run via form trigger as codectechnologies0@gmail.com; Timestamp: Aug 31, 2026 11:50 PM</t>
  </si>
  <si>
    <t xml:space="preserve">CHEKKA MADHUMITHALAKSHMI </t>
  </si>
  <si>
    <t>madhumithalakshmi17@gmail.com</t>
  </si>
  <si>
    <t xml:space="preserve">GITAM UNIVERSITY </t>
  </si>
  <si>
    <t>1cyO16rixYtU4y2gvmTQma1qk2h81SBGQ</t>
  </si>
  <si>
    <t>https://drive.google.com/file/d/1cyO16rixYtU4y2gvmTQma1qk2h81SBGQ/view?usp=drivesdk</t>
  </si>
  <si>
    <t>Document successfully created; Document successfully merged; PDF created; Emails Sent: [To: madhumithalakshmi17@gmail.com]; Run via form trigger as codectechnologies0@gmail.com; Timestamp: Aug 31, 2026 11:55 PM</t>
  </si>
  <si>
    <t xml:space="preserve">Sajal Shrivastava </t>
  </si>
  <si>
    <t>nightray024@gmail.com</t>
  </si>
  <si>
    <t xml:space="preserve">Vindhya Institute of Technology and Sciences </t>
  </si>
  <si>
    <t>1rzKesF8QsB8lcE-zOSZCh7ATSU5-uhVK</t>
  </si>
  <si>
    <t>https://drive.google.com/file/d/1rzKesF8QsB8lcE-zOSZCh7ATSU5-uhVK/view?usp=drivesdk</t>
  </si>
  <si>
    <t>Document successfully created; Document successfully merged; PDF created; Emails Sent: [To: nightray024@gmail.com]; Run via form trigger as codectechnologies0@gmail.com; Timestamp: Sep 1, 2026 12:27 AM</t>
  </si>
  <si>
    <t>Bhukya Ravindar</t>
  </si>
  <si>
    <t>24r11a6706@gcet.edu.in</t>
  </si>
  <si>
    <t>1F8X-nRCVtwRBAzwb8EHeo_q-gNn6CopR</t>
  </si>
  <si>
    <t>https://drive.google.com/file/d/1F8X-nRCVtwRBAzwb8EHeo_q-gNn6CopR/view?usp=drivesdk</t>
  </si>
  <si>
    <t>Document successfully created; Document successfully merged; PDF created; Emails Sent: [To: 24r11a6706@gcet.edu.in]; Run via form trigger as codectechnologies0@gmail.com; Timestamp: Sep 1, 2026 12:38 AM</t>
  </si>
  <si>
    <t>krishnapriyan.S</t>
  </si>
  <si>
    <t>skrishna29@jnn.edu.in</t>
  </si>
  <si>
    <t>J.N.N.institute of Engineering</t>
  </si>
  <si>
    <t>14PZKdfWSU_kva2Q63MCyWUMbs-9y03Nb</t>
  </si>
  <si>
    <t>https://drive.google.com/file/d/14PZKdfWSU_kva2Q63MCyWUMbs-9y03Nb/view?usp=drivesdk</t>
  </si>
  <si>
    <t>Document successfully created; Document successfully merged; PDF created; Emails Sent: [To: skrishna29@jnn.edu.in]; Run via form trigger as codectechnologies0@gmail.com; Timestamp: Sep 1, 2026 12:50 AM</t>
  </si>
  <si>
    <t>Shreshtha singh</t>
  </si>
  <si>
    <t>Shreshtha.study25@gmail.com</t>
  </si>
  <si>
    <t>1q2ptt5psGZii9Gl5DhVp2Si-SeCXDSev</t>
  </si>
  <si>
    <t>https://drive.google.com/file/d/1q2ptt5psGZii9Gl5DhVp2Si-SeCXDSev/view?usp=drivesdk</t>
  </si>
  <si>
    <t>Document successfully created; Document successfully merged; PDF created; Emails Sent: [To: Shreshtha.study25@gmail.com]; Run via form trigger as codectechnologies0@gmail.com; Timestamp: Sep 1, 2026 1:07 AM</t>
  </si>
  <si>
    <t>1qO1MT43kg_DQ2Yjb99QDlakBxFj0iL6W</t>
  </si>
  <si>
    <t>https://drive.google.com/file/d/1qO1MT43kg_DQ2Yjb99QDlakBxFj0iL6W/view?usp=drivesdk</t>
  </si>
  <si>
    <t>Document successfully created; Document successfully merged; PDF created; Emails Sent: [To: Shreshtha.study25@gmail.com]; Run via form trigger as codectechnologies0@gmail.com; Timestamp: Sep 1, 2026 1:09 AM</t>
  </si>
  <si>
    <t>ALOK KUMAR</t>
  </si>
  <si>
    <t>aloksooryavanshi@gmail.com</t>
  </si>
  <si>
    <t>SWAMI VIVEKANAND SUBHARTI UNIVERSITY</t>
  </si>
  <si>
    <t>1otd8tag3Sg8_46MScQ-zNxgAli6gxZEI</t>
  </si>
  <si>
    <t>https://drive.google.com/file/d/1otd8tag3Sg8_46MScQ-zNxgAli6gxZEI/view?usp=drivesdk</t>
  </si>
  <si>
    <t>Document successfully created; Document successfully merged; PDF created; Emails Sent: [To: aloksooryavanshi@gmail.com]; Run via form trigger as codectechnologies0@gmail.com; Timestamp: Sep 1, 2026 1:10 AM</t>
  </si>
  <si>
    <t xml:space="preserve">Aravindhan A </t>
  </si>
  <si>
    <t>aravindhan5354@gmail.com</t>
  </si>
  <si>
    <t xml:space="preserve">Ramco institute of technology </t>
  </si>
  <si>
    <t>1XLcJzkvKrqoMKsiDwWfWZuK3vwe5wnmi</t>
  </si>
  <si>
    <t>https://drive.google.com/file/d/1XLcJzkvKrqoMKsiDwWfWZuK3vwe5wnmi/view?usp=drivesdk</t>
  </si>
  <si>
    <t>Document successfully created; Document successfully merged; PDF created; Emails Sent: [To: aravindhan5354@gmail.com]; Run via form trigger as codectechnologies0@gmail.com; Timestamp: Sep 1, 2026 1:18 AM</t>
  </si>
  <si>
    <t>Leonath E R</t>
  </si>
  <si>
    <t>Leonath2109@gmail.com</t>
  </si>
  <si>
    <t>1AgsGb4WtJjFVu1Balg-u7-TsmcKXn2BY</t>
  </si>
  <si>
    <t>https://drive.google.com/file/d/1AgsGb4WtJjFVu1Balg-u7-TsmcKXn2BY/view?usp=drivesdk</t>
  </si>
  <si>
    <t>Document successfully created; Document successfully merged; PDF created; Emails Sent: [To: Leonath2109@gmail.com]; Run via form trigger as codectechnologies0@gmail.com; Timestamp: Sep 1, 2026 1:19 AM</t>
  </si>
  <si>
    <t>MOHAMMED SAIF NAWAZ</t>
  </si>
  <si>
    <t>saifnawaz2025@gmail.com</t>
  </si>
  <si>
    <t>METHODIST COLLEGE OF ENGINEERING AND TECHNOLOGY</t>
  </si>
  <si>
    <t>14GDwka5WXo01MRrZjxyWucHufF4-v6LD</t>
  </si>
  <si>
    <t>https://drive.google.com/file/d/14GDwka5WXo01MRrZjxyWucHufF4-v6LD/view?usp=drivesdk</t>
  </si>
  <si>
    <t>Document successfully created; Document successfully merged; PDF created; Emails Sent: [To: saifnawaz2025@gmail.com]; Run via form trigger as codectechnologies0@gmail.com; Timestamp: Sep 1, 2026 1:26 AM</t>
  </si>
  <si>
    <t xml:space="preserve">SANSKAR SRIVASTAVA </t>
  </si>
  <si>
    <t xml:space="preserve">Madan mohan Malaviya university of technology gorakhpur </t>
  </si>
  <si>
    <t>1Cr-qe0lZtCD2FMVk1u6SVmb5AcUr2qDH</t>
  </si>
  <si>
    <t>https://drive.google.com/file/d/1Cr-qe0lZtCD2FMVk1u6SVmb5AcUr2qDH/view?usp=drivesdk</t>
  </si>
  <si>
    <t>Document successfully created; Document successfully merged; PDF created; Emails Sent: [To: mr.sanskar568@gmail.com]; Run via form trigger as codectechnologies0@gmail.com; Timestamp: Sep 1, 2026 1:29 AM</t>
  </si>
  <si>
    <t>APOORVA Revansiddappa HANUMASAGAR</t>
  </si>
  <si>
    <t>apoorvah2003@gmail.com</t>
  </si>
  <si>
    <t xml:space="preserve">93801 48234 </t>
  </si>
  <si>
    <t xml:space="preserve">Navodaya institute of technology raichur </t>
  </si>
  <si>
    <t>1ZeqX6nAO_yrHa6hzzGh784dC24lN3SVg</t>
  </si>
  <si>
    <t>https://drive.google.com/file/d/1ZeqX6nAO_yrHa6hzzGh784dC24lN3SVg/view?usp=drivesdk</t>
  </si>
  <si>
    <t>Document successfully created; Document successfully merged; PDF created; Emails Sent: [To: apoorvah2003@gmail.com]; Run via form trigger as codectechnologies0@gmail.com; Timestamp: Sep 1, 2026 1:31 AM</t>
  </si>
  <si>
    <t>PRABHAKAR BHUSHAN</t>
  </si>
  <si>
    <t>prabhakarbhushan2006@gmail.com</t>
  </si>
  <si>
    <t xml:space="preserve">Kalinga University </t>
  </si>
  <si>
    <t>1yoJLVxJf7sK5lyhRHzBpQUbD1u65SBfP</t>
  </si>
  <si>
    <t>https://drive.google.com/file/d/1yoJLVxJf7sK5lyhRHzBpQUbD1u65SBfP/view?usp=drivesdk</t>
  </si>
  <si>
    <t>Document successfully created; Document successfully merged; PDF created; Emails Sent: [To: prabhakarbhushan2006@gmail.com]; Run via form trigger as codectechnologies0@gmail.com; Timestamp: Sep 1, 2026 1:45 AM</t>
  </si>
  <si>
    <t xml:space="preserve">Ayush kumar pandey </t>
  </si>
  <si>
    <t>ayush.25scs1003004405@iilm.edu</t>
  </si>
  <si>
    <t>15PaWQNDSxLEP1IHhH-uc46D9HiQ46Qso</t>
  </si>
  <si>
    <t>https://drive.google.com/file/d/15PaWQNDSxLEP1IHhH-uc46D9HiQ46Qso/view?usp=drivesdk</t>
  </si>
  <si>
    <t>Document successfully created; Document successfully merged; PDF created; Emails Sent: [To: ayush.25scs1003004405@iilm.edu]; Run via form trigger as codectechnologies0@gmail.com; Timestamp: Sep 1, 2026 1:45 AM</t>
  </si>
  <si>
    <t>Sakshi Bhadula</t>
  </si>
  <si>
    <t>sakshibhadula031@gmail.com</t>
  </si>
  <si>
    <t xml:space="preserve">Women Institute of Technology </t>
  </si>
  <si>
    <t>10CrBmqPdYCjZMqYIc8sDxmyUPR729vzW</t>
  </si>
  <si>
    <t>https://drive.google.com/file/d/10CrBmqPdYCjZMqYIc8sDxmyUPR729vzW/view?usp=drivesdk</t>
  </si>
  <si>
    <t>Document successfully created; Document successfully merged; PDF created; Emails Sent: [To: sakshibhadula031@gmail.com]; Run via form trigger as codectechnologies0@gmail.com; Timestamp: Sep 1, 2026 1:58 AM</t>
  </si>
  <si>
    <t>Sneh Dharmendrabhai patel</t>
  </si>
  <si>
    <t>Sneh18061970@gmail.com</t>
  </si>
  <si>
    <t>1Z1g0Pb6a8voclW3hsipRuesBukPy7AMW</t>
  </si>
  <si>
    <t>https://drive.google.com/file/d/1Z1g0Pb6a8voclW3hsipRuesBukPy7AMW/view?usp=drivesdk</t>
  </si>
  <si>
    <t>Document successfully created; Document successfully merged; PDF created; Emails Sent: [To: Sneh18061970@gmail.com]; Run via form trigger as codectechnologies0@gmail.com; Timestamp: Sep 1, 2026 1:59 AM</t>
  </si>
  <si>
    <t>Karegam Vasavi</t>
  </si>
  <si>
    <t>vasavikaregam@gmail.com</t>
  </si>
  <si>
    <t>Nalla narasimha reddy educations group of institutions</t>
  </si>
  <si>
    <t>1R5OG4NZc5deQ9vHNbMKWNsNdvZrXqFMp</t>
  </si>
  <si>
    <t>https://drive.google.com/file/d/1R5OG4NZc5deQ9vHNbMKWNsNdvZrXqFMp/view?usp=drivesdk</t>
  </si>
  <si>
    <t>Document successfully created; Document successfully merged; PDF created; Emails Sent: [To: vasavikaregam@gmail.com]; Run via form trigger as codectechnologies0@gmail.com; Timestamp: Sep 1, 2026 1:59 AM</t>
  </si>
  <si>
    <t xml:space="preserve">Mohammad Amaan </t>
  </si>
  <si>
    <t>ahmadamaan815@gmail.com</t>
  </si>
  <si>
    <t>1lNP_2eEqmPYtlwQExTExI-V9ljhJx9dM</t>
  </si>
  <si>
    <t>https://drive.google.com/file/d/1lNP_2eEqmPYtlwQExTExI-V9ljhJx9dM/view?usp=drivesdk</t>
  </si>
  <si>
    <t>Document successfully created; Document successfully merged; PDF created; Emails Sent: [To: ahmadamaan815@gmail.com]; Run via form trigger as codectechnologies0@gmail.com; Timestamp: Sep 1, 2026 2:01 AM</t>
  </si>
  <si>
    <t xml:space="preserve">Priyanshi </t>
  </si>
  <si>
    <t>priyanshipriyanshi570@gmail.com</t>
  </si>
  <si>
    <t>1CVK3bK2ysJEjv-HYfhhAObvG7mbsMVHW</t>
  </si>
  <si>
    <t>https://drive.google.com/file/d/1CVK3bK2ysJEjv-HYfhhAObvG7mbsMVHW/view?usp=drivesdk</t>
  </si>
  <si>
    <t>Document successfully created; Document successfully merged; PDF created; Emails Sent: [To: priyanshipriyanshi570@gmail.com]; Run via form trigger as codectechnologies0@gmail.com; Timestamp: Sep 1, 2026 2:02 AM</t>
  </si>
  <si>
    <t>Women Institute of technology</t>
  </si>
  <si>
    <t>16B0xEt8_W2kqHSfy_plEn87P8NYCZDMg</t>
  </si>
  <si>
    <t>https://drive.google.com/file/d/16B0xEt8_W2kqHSfy_plEn87P8NYCZDMg/view?usp=drivesdk</t>
  </si>
  <si>
    <t>Document successfully created; Document successfully merged; PDF created; Emails Sent: [To: paintolaneha1234@gmail.com]; Run via form trigger as codectechnologies0@gmail.com; Timestamp: Sep 1, 2026 2:02 AM</t>
  </si>
  <si>
    <t xml:space="preserve">G ROHITH </t>
  </si>
  <si>
    <t>rsitachi3@gmail.com</t>
  </si>
  <si>
    <t xml:space="preserve">Jaya engineering College </t>
  </si>
  <si>
    <t>1AsKs6E-EwOxxsXtZ85ct5uF56WiHc3E8</t>
  </si>
  <si>
    <t>https://drive.google.com/file/d/1AsKs6E-EwOxxsXtZ85ct5uF56WiHc3E8/view?usp=drivesdk</t>
  </si>
  <si>
    <t>Document successfully created; Document successfully merged; PDF created; Emails Sent: [To: rsitachi3@gmail.com]; Run via form trigger as codectechnologies0@gmail.com; Timestamp: Sep 1, 2026 2:04 AM</t>
  </si>
  <si>
    <t>YOGAMOORTHY s</t>
  </si>
  <si>
    <t>yogamoorthy12@gmail.com</t>
  </si>
  <si>
    <t xml:space="preserve">Sri krishna college of engineering and technology </t>
  </si>
  <si>
    <t>18yH-hVmUgpkF-CCPxGG1z8WsdgIMlK0O</t>
  </si>
  <si>
    <t>https://drive.google.com/file/d/18yH-hVmUgpkF-CCPxGG1z8WsdgIMlK0O/view?usp=drivesdk</t>
  </si>
  <si>
    <t>Document successfully created; Document successfully merged; PDF created; Emails Sent: [To: yogamoorthy12@gmail.com]; Run via form trigger as codectechnologies0@gmail.com; Timestamp: Sep 1, 2026 2:10 AM</t>
  </si>
  <si>
    <t>Sanskar Kumbhalkar</t>
  </si>
  <si>
    <t>sanskarkumbhalkar59@gmail.com</t>
  </si>
  <si>
    <t>WCEM</t>
  </si>
  <si>
    <t>1WjXezzm8sfr8RI8UuPU5w1dWK5lkwzzb</t>
  </si>
  <si>
    <t>https://drive.google.com/file/d/1WjXezzm8sfr8RI8UuPU5w1dWK5lkwzzb/view?usp=drivesdk</t>
  </si>
  <si>
    <t>Document successfully created; Document successfully merged; PDF created; Emails Sent: [To: sanskarkumbhalkar59@gmail.com]; Run via form trigger as codectechnologies0@gmail.com; Timestamp: Sep 1, 2026 2:11 AM</t>
  </si>
  <si>
    <t xml:space="preserve">Anu Arpitha S </t>
  </si>
  <si>
    <t>anuarpithasanuarpithas@gmail.com</t>
  </si>
  <si>
    <t xml:space="preserve">Rao Bahadur Y Mahabaleshwarappa Engineering College </t>
  </si>
  <si>
    <t>1BRzNAiCVTTzoOFmMmkWZYssRaIAZjbMr</t>
  </si>
  <si>
    <t>https://drive.google.com/file/d/1BRzNAiCVTTzoOFmMmkWZYssRaIAZjbMr/view?usp=drivesdk</t>
  </si>
  <si>
    <t>Document successfully created; Document successfully merged; PDF created; Emails Sent: [To: anuarpithasanuarpithas@gmail.com]; Run via form trigger as codectechnologies0@gmail.com; Timestamp: Sep 1, 2026 2:13 AM</t>
  </si>
  <si>
    <t>MAHASWETHA S</t>
  </si>
  <si>
    <t>mahaswetha.vdl2020@gmail.com</t>
  </si>
  <si>
    <t>1bcFQDNofy80mXKO2gko7z5KIHqsS3vrb</t>
  </si>
  <si>
    <t>https://drive.google.com/file/d/1bcFQDNofy80mXKO2gko7z5KIHqsS3vrb/view?usp=drivesdk</t>
  </si>
  <si>
    <t>Document successfully created; Document successfully merged; PDF created; Emails Sent: [To: mahaswetha.vdl2020@gmail.com]; Run via form trigger as codectechnologies0@gmail.com; Timestamp: Sep 1, 2026 2:43 AM</t>
  </si>
  <si>
    <t>Vishal kanna.R</t>
  </si>
  <si>
    <t>10ztpsk_hy9mdSxwO0Nn8iONd14pSVcB9</t>
  </si>
  <si>
    <t>https://drive.google.com/file/d/10ztpsk_hy9mdSxwO0Nn8iONd14pSVcB9/view?usp=drivesdk</t>
  </si>
  <si>
    <t>Document successfully created; Document successfully merged; PDF created; Emails Sent: [To: vishal07november@gmail.com]; Run via form trigger as codectechnologies0@gmail.com; Timestamp: Sep 1, 2026 2:48 AM</t>
  </si>
  <si>
    <t>Kashif Raza</t>
  </si>
  <si>
    <t>kashifraza9598@gmail.com</t>
  </si>
  <si>
    <t>1JTnyNuNAsFODpaWMFktkRp7ymuc6084R</t>
  </si>
  <si>
    <t>https://drive.google.com/file/d/1JTnyNuNAsFODpaWMFktkRp7ymuc6084R/view?usp=drivesdk</t>
  </si>
  <si>
    <t>Document successfully created; Document successfully merged; PDF created; Emails Sent: [To: kashifraza9598@gmail.com]; Run via form trigger as codectechnologies0@gmail.com; Timestamp: Sep 1, 2026 2:55 AM</t>
  </si>
  <si>
    <t>Preethi. R</t>
  </si>
  <si>
    <t>preethi92004@gmail.com</t>
  </si>
  <si>
    <t xml:space="preserve">Auxilium college </t>
  </si>
  <si>
    <t>1whJZhuKjAThGbE-PPY3auUbcrOT1W_4-</t>
  </si>
  <si>
    <t>https://drive.google.com/file/d/1whJZhuKjAThGbE-PPY3auUbcrOT1W_4-/view?usp=drivesdk</t>
  </si>
  <si>
    <t>Document successfully created; Document successfully merged; PDF created; Emails Sent: [To: preethi92004@gmail.com]; Run via form trigger as codectechnologies0@gmail.com; Timestamp: Sep 1, 2026 3:02 AM</t>
  </si>
  <si>
    <t>Ankit Barua</t>
  </si>
  <si>
    <t>imank9762@gmail.com</t>
  </si>
  <si>
    <t xml:space="preserve">Eminent College of Management and Technology </t>
  </si>
  <si>
    <t>1C7Z_4vck2SrFq17fe0PO81ajrzeT1mF1</t>
  </si>
  <si>
    <t>https://drive.google.com/file/d/1C7Z_4vck2SrFq17fe0PO81ajrzeT1mF1/view?usp=drivesdk</t>
  </si>
  <si>
    <t>Document successfully created; Document successfully merged; PDF created; Emails Sent: [To: imank9762@gmail.com]; Run via form trigger as codectechnologies0@gmail.com; Timestamp: Sep 1, 2026 3:14 AM</t>
  </si>
  <si>
    <t>Jai Prakash G</t>
  </si>
  <si>
    <t>prakashjai62155@gmail.com</t>
  </si>
  <si>
    <t>1aV51NLZ6YKOl0kqujxU8y2H8YC8Pn9v_</t>
  </si>
  <si>
    <t>https://drive.google.com/file/d/1aV51NLZ6YKOl0kqujxU8y2H8YC8Pn9v_/view?usp=drivesdk</t>
  </si>
  <si>
    <t>Document successfully created; Document successfully merged; PDF created; Emails Sent: [To: prakashjai62155@gmail.com]; Run via form trigger as codectechnologies0@gmail.com; Timestamp: Sep 1, 2026 3:17 AM</t>
  </si>
  <si>
    <t>Deelip Raj Singh</t>
  </si>
  <si>
    <t>singhdeelipraj@gmail.com</t>
  </si>
  <si>
    <t>Dr.hari singh gour University,sagar</t>
  </si>
  <si>
    <t>Friend, AICTE/Indeed, Internshala, Other</t>
  </si>
  <si>
    <t>1DCH3wY22i_uhQc78dPKPVEahCnJ8QObo</t>
  </si>
  <si>
    <t>https://drive.google.com/file/d/1DCH3wY22i_uhQc78dPKPVEahCnJ8QObo/view?usp=drivesdk</t>
  </si>
  <si>
    <t>Document successfully created; Document successfully merged; PDF created; Emails Sent: [To: singhdeelipraj@gmail.com]; Run via form trigger as codectechnologies0@gmail.com; Timestamp: Sep 1, 2026 3:25 AM</t>
  </si>
  <si>
    <t>Vaibhav Srivastava</t>
  </si>
  <si>
    <t>vaibhavsriv111@gmail.com</t>
  </si>
  <si>
    <t>Dr. Hari Singh Gaur Central University</t>
  </si>
  <si>
    <t>LinkedIn, WhatsApp, Email, Google, AICTE/Indeed, Internshala</t>
  </si>
  <si>
    <t>1qAEO9e6eKUm_wW404oX4uX28ms1vvz3Q</t>
  </si>
  <si>
    <t>https://drive.google.com/file/d/1qAEO9e6eKUm_wW404oX4uX28ms1vvz3Q/view?usp=drivesdk</t>
  </si>
  <si>
    <t>Document successfully created; Document successfully merged; PDF created; Emails Sent: [To: vaibhavsriv111@gmail.com]; Run via form trigger as codectechnologies0@gmail.com; Timestamp: Sep 1, 2026 3:27 AM</t>
  </si>
  <si>
    <t>Krithi Prabha.VN</t>
  </si>
  <si>
    <t>krithivenkat2006@gmail.com</t>
  </si>
  <si>
    <t>1Wx419s6qSQ4_uY3EfBxTdWz10lQnhYQ-</t>
  </si>
  <si>
    <t>https://drive.google.com/file/d/1Wx419s6qSQ4_uY3EfBxTdWz10lQnhYQ-/view?usp=drivesdk</t>
  </si>
  <si>
    <t>Document successfully created; Document successfully merged; PDF created; !!Error Sending Emails: Service invoked too many times for one day: email.; Run via form trigger as codectechnologies0@gmail.com; Timestamp: Sep 1, 2026 3:48 AM</t>
  </si>
  <si>
    <t>Aditya Madhukar Gadiwan</t>
  </si>
  <si>
    <t>adityagadiwan51@gmail.com</t>
  </si>
  <si>
    <t>Shri Guru Gobind Singhji Institute of Engineering and Technology, Nanded</t>
  </si>
  <si>
    <t>1sYEnvLHpxsSF3OSwnIyMSRE6zeSJ7AYs</t>
  </si>
  <si>
    <t>https://drive.google.com/file/d/1sYEnvLHpxsSF3OSwnIyMSRE6zeSJ7AYs/view?usp=drivesdk</t>
  </si>
  <si>
    <t>Document successfully created; Document successfully merged; PDF created; Emails Sent: [To: adityagadiwan51@gmail.com]; Run via form trigger as codectechnologies0@gmail.com; Timestamp: Sep 1, 2026 4:18 AM</t>
  </si>
  <si>
    <t>Akshat Raj</t>
  </si>
  <si>
    <t>akshatrak279@gmail.com</t>
  </si>
  <si>
    <t>18_qLeOFhZR5gccoLQ4jS-0_Uti8Qitnq</t>
  </si>
  <si>
    <t>https://drive.google.com/file/d/18_qLeOFhZR5gccoLQ4jS-0_Uti8Qitnq/view?usp=drivesdk</t>
  </si>
  <si>
    <t>Document successfully created; Document successfully merged; PDF created; Emails Sent: [To: akshatrak279@gmail.com]; Run via form trigger as codectechnologies0@gmail.com; Timestamp: Sep 1, 2026 4:23 AM</t>
  </si>
  <si>
    <t>ADITYA ARYAN</t>
  </si>
  <si>
    <t>cadityaaryan@gmail.com</t>
  </si>
  <si>
    <t>1jk-X6B_e5wTejxU43RWBHM_nspXIGMT9</t>
  </si>
  <si>
    <t>https://drive.google.com/file/d/1jk-X6B_e5wTejxU43RWBHM_nspXIGMT9/view?usp=drivesdk</t>
  </si>
  <si>
    <t>Document successfully created; Document successfully merged; PDF created; Emails Sent: [To: cadityaaryan@gmail.com]; Run via form trigger as codectechnologies0@gmail.com; Timestamp: Sep 1, 2026 4:43 AM</t>
  </si>
  <si>
    <t>Mettapanta Parvathi</t>
  </si>
  <si>
    <t>pm2053405@gmail.com</t>
  </si>
  <si>
    <t>sathyabama institute of science and technology</t>
  </si>
  <si>
    <t>1QuU4fXxs7QCFTJ4wnIhjmidwEfhl6LWc</t>
  </si>
  <si>
    <t>https://drive.google.com/file/d/1QuU4fXxs7QCFTJ4wnIhjmidwEfhl6LWc/view?usp=drivesdk</t>
  </si>
  <si>
    <t>Document successfully created; Document successfully merged; PDF created; Emails Sent: [To: pm2053405@gmail.com]; Run via form trigger as codectechnologies0@gmail.com; Timestamp: Sep 1, 2026 4:43 AM</t>
  </si>
  <si>
    <t xml:space="preserve">Raunak kumar patel </t>
  </si>
  <si>
    <t>25tec2cs272@vgu.ac.in</t>
  </si>
  <si>
    <t>1ICk2DSEyEKf39lhaWV_0itI0CgUzqExk</t>
  </si>
  <si>
    <t>https://drive.google.com/file/d/1ICk2DSEyEKf39lhaWV_0itI0CgUzqExk/view?usp=drivesdk</t>
  </si>
  <si>
    <t>Document successfully created; Document successfully merged; PDF created; Emails Sent: [To: 25tec2cs272@vgu.ac.in]; Run via form trigger as codectechnologies0@gmail.com; Timestamp: Sep 1, 2026 4:53 AM</t>
  </si>
  <si>
    <t>1pQBvEdTQTB-RCSBiNsYSjdwTu_naTs0S</t>
  </si>
  <si>
    <t>https://drive.google.com/file/d/1pQBvEdTQTB-RCSBiNsYSjdwTu_naTs0S/view?usp=drivesdk</t>
  </si>
  <si>
    <t>Document successfully created; Document successfully merged; PDF created; Emails Sent: [To: pm2053405@gmail.com]; Run via form trigger as codectechnologies0@gmail.com; Timestamp: Sep 1, 2026 5:23 AM</t>
  </si>
  <si>
    <t>1IQnXY1SWFEyRVoF-GvwgahcpbiUzWzY2</t>
  </si>
  <si>
    <t>https://drive.google.com/file/d/1IQnXY1SWFEyRVoF-GvwgahcpbiUzWzY2/view?usp=drivesdk</t>
  </si>
  <si>
    <t>Document successfully created; Document successfully merged; PDF created; Emails Sent: [To: kpsiddharth29@gmail.com]; Run via form trigger as codectechnologies0@gmail.com; Timestamp: Sep 1, 2026 5:25 AM</t>
  </si>
  <si>
    <t>Sandhiya C</t>
  </si>
  <si>
    <t>sandhiya.mcs@gmail.com</t>
  </si>
  <si>
    <t xml:space="preserve">Jeppiaar Engineering College </t>
  </si>
  <si>
    <t>13i7ox2NwUhFrmASFdI2RF3IJSgkGoTAA</t>
  </si>
  <si>
    <t>https://drive.google.com/file/d/13i7ox2NwUhFrmASFdI2RF3IJSgkGoTAA/view?usp=drivesdk</t>
  </si>
  <si>
    <t>Document successfully created; Document successfully merged; PDF created; Emails Sent: [To: sandhiya.mcs@gmail.com]; Run via form trigger as codectechnologies0@gmail.com; Timestamp: Sep 1, 2026 5:36 AM</t>
  </si>
  <si>
    <t>ankitkumar19112005@gmail.com</t>
  </si>
  <si>
    <t>IIT Roorkee</t>
  </si>
  <si>
    <t>1QlIzVCbWHXU-IN6FhbirNfIUIijHpGY4</t>
  </si>
  <si>
    <t>https://drive.google.com/file/d/1QlIzVCbWHXU-IN6FhbirNfIUIijHpGY4/view?usp=drivesdk</t>
  </si>
  <si>
    <t>Document successfully created; Document successfully merged; PDF created; Emails Sent: [To: ankitkumar19112005@gmail.com]; Run via form trigger as codectechnologies0@gmail.com; Timestamp: Sep 1, 2026 5:40 AM</t>
  </si>
  <si>
    <t>Chandan Kumar</t>
  </si>
  <si>
    <t>chandankumar16035@gmail.com</t>
  </si>
  <si>
    <t>1AMmW6xDicYI11YEJP0VcU5FoNV0TVw8E</t>
  </si>
  <si>
    <t>https://drive.google.com/file/d/1AMmW6xDicYI11YEJP0VcU5FoNV0TVw8E/view?usp=drivesdk</t>
  </si>
  <si>
    <t>Document successfully created; Document successfully merged; PDF created; Emails Sent: [To: chandankumar16035@gmail.com]; Run via form trigger as codectechnologies0@gmail.com; Timestamp: Sep 1, 2026 5:50 AM</t>
  </si>
  <si>
    <t>Aashanvit Kumarchand Janbandhu</t>
  </si>
  <si>
    <t>ashujan358@gmail.com</t>
  </si>
  <si>
    <t>1YW87D2lR65TpLvMCWBLxopE8l6QKJ2JD</t>
  </si>
  <si>
    <t>https://drive.google.com/file/d/1YW87D2lR65TpLvMCWBLxopE8l6QKJ2JD/view?usp=drivesdk</t>
  </si>
  <si>
    <t>Document successfully created; Document successfully merged; PDF created; Emails Sent: [To: ashujan358@gmail.com]; Run via form trigger as codectechnologies0@gmail.com; Timestamp: Sep 1, 2026 5:54 AM</t>
  </si>
  <si>
    <t>amansmith405@gmail.com</t>
  </si>
  <si>
    <t>1uzFfVMaQbyRdPgYl2O_uZ--Xrfvf42M6</t>
  </si>
  <si>
    <t>https://drive.google.com/file/d/1uzFfVMaQbyRdPgYl2O_uZ--Xrfvf42M6/view?usp=drivesdk</t>
  </si>
  <si>
    <t>Document successfully created; Document successfully merged; PDF created; !!Error Sending Emails: Service invoked too many times for one day: email.; Run via form trigger as codectechnologies0@gmail.com; Timestamp: Sep 1, 2026 5:58 AM</t>
  </si>
  <si>
    <t>Shubhashree Rout</t>
  </si>
  <si>
    <t>shubhashreerout766@gmail.com</t>
  </si>
  <si>
    <t xml:space="preserve">CENTURION UNIVERSITY </t>
  </si>
  <si>
    <t>15p0kV0kQZep8See4wuoupuWR3yQYHF1g</t>
  </si>
  <si>
    <t>https://drive.google.com/file/d/15p0kV0kQZep8See4wuoupuWR3yQYHF1g/view?usp=drivesdk</t>
  </si>
  <si>
    <t>Document successfully created; Document successfully merged; PDF created; Emails Sent: [To: shubhashreerout766@gmail.com]; Run via form trigger as codectechnologies0@gmail.com; Timestamp: Sep 1, 2026 6:04 AM</t>
  </si>
  <si>
    <t>Arpita Mallick</t>
  </si>
  <si>
    <t>mallickarpita0987@gmail.com</t>
  </si>
  <si>
    <t>CUTM</t>
  </si>
  <si>
    <t>1Ms5A6nAKa-sKf4uxmXHV_sbIDPqMVSLM</t>
  </si>
  <si>
    <t>https://drive.google.com/file/d/1Ms5A6nAKa-sKf4uxmXHV_sbIDPqMVSLM/view?usp=drivesdk</t>
  </si>
  <si>
    <t>Document successfully created; Document successfully merged; PDF created; Emails Sent: [To: mallickarpita0987@gmail.com]; Run via form trigger as codectechnologies0@gmail.com; Timestamp: Sep 1, 2026 6:04 AM</t>
  </si>
  <si>
    <t xml:space="preserve">Yadav Kuldeep Mansharam </t>
  </si>
  <si>
    <t>ky6102544@gmail.com</t>
  </si>
  <si>
    <t>1cNlmpRBLiby0FvCXHjuDkLtT5q9IhKCu</t>
  </si>
  <si>
    <t>https://drive.google.com/file/d/1cNlmpRBLiby0FvCXHjuDkLtT5q9IhKCu/view?usp=drivesdk</t>
  </si>
  <si>
    <t>Document successfully created; Document successfully merged; PDF created; !!Error Sending Emails: Service invoked too many times for one day: email.; Run via form trigger as codectechnologies0@gmail.com; Timestamp: Sep 1, 2026 6:06 AM</t>
  </si>
  <si>
    <t>Mohit Manu</t>
  </si>
  <si>
    <t>mohitmanu64@gmail.com</t>
  </si>
  <si>
    <t>CMR UNIVERISTY</t>
  </si>
  <si>
    <t>1Et-Mkn9kTn-XucWAYBDHl7_9zLvjpYoY</t>
  </si>
  <si>
    <t>https://drive.google.com/file/d/1Et-Mkn9kTn-XucWAYBDHl7_9zLvjpYoY/view?usp=drivesdk</t>
  </si>
  <si>
    <t>Document successfully created; Document successfully merged; PDF created; Emails Sent: [To: mohitmanu64@gmail.com]; Run via form trigger as codectechnologies0@gmail.com; Timestamp: Sep 1, 2026 6:06 AM</t>
  </si>
  <si>
    <t>Anshdeep singh</t>
  </si>
  <si>
    <t>singhansh020307@gmail.com</t>
  </si>
  <si>
    <t xml:space="preserve">Teerthanker Mahaveer university </t>
  </si>
  <si>
    <t>1iYRIi2xsgBpxp2sL3wHWBT-rg81tNZ7x</t>
  </si>
  <si>
    <t>https://drive.google.com/file/d/1iYRIi2xsgBpxp2sL3wHWBT-rg81tNZ7x/view?usp=drivesdk</t>
  </si>
  <si>
    <t>Document successfully created; Document successfully merged; PDF created; Emails Sent: [To: singhansh020307@gmail.com]; Run via form trigger as codectechnologies0@gmail.com; Timestamp: Sep 1, 2026 6:21 AM</t>
  </si>
  <si>
    <t xml:space="preserve">Vipul Sanjay Navghare </t>
  </si>
  <si>
    <t>Vnnavghare1080@gmail.com</t>
  </si>
  <si>
    <t xml:space="preserve">Bapurao Deshmukh College of Engineering Sevagram Wardha </t>
  </si>
  <si>
    <t>1oY4hUY2_9sflEO9yYYSd7l_NrqVQVmq9</t>
  </si>
  <si>
    <t>https://drive.google.com/file/d/1oY4hUY2_9sflEO9yYYSd7l_NrqVQVmq9/view?usp=drivesdk</t>
  </si>
  <si>
    <t>Document successfully created; Document successfully merged; PDF created; !!Error Sending Emails: Service invoked too many times for one day: email.; Run via form trigger as codectechnologies0@gmail.com; Timestamp: Sep 1, 2026 6:31 AM</t>
  </si>
  <si>
    <t xml:space="preserve">Vartika Singh </t>
  </si>
  <si>
    <t>11zaSCeDrqb1Q27-CrSzdRLHFRWU9vira</t>
  </si>
  <si>
    <t>https://drive.google.com/file/d/11zaSCeDrqb1Q27-CrSzdRLHFRWU9vira/view?usp=drivesdk</t>
  </si>
  <si>
    <t>Document successfully created; Document successfully merged; PDF created; !!Error Sending Emails: Service invoked too many times for one day: email.; Run via form trigger as codectechnologies0@gmail.com; Timestamp: Sep 1, 2026 6:34 AM</t>
  </si>
  <si>
    <t>Vidyashree</t>
  </si>
  <si>
    <t>v7212208@gmail.com</t>
  </si>
  <si>
    <t>SDC degree college</t>
  </si>
  <si>
    <t>1uhjKvYz3-Ju4sLRHJGu9FpCWC2cajYpx</t>
  </si>
  <si>
    <t>https://drive.google.com/file/d/1uhjKvYz3-Ju4sLRHJGu9FpCWC2cajYpx/view?usp=drivesdk</t>
  </si>
  <si>
    <t>Document successfully created; Document successfully merged; PDF created; !!Error Sending Emails: Service invoked too many times for one day: email.; Run via form trigger as codectechnologies0@gmail.com; Timestamp: Sep 1, 2026 6:41 AM</t>
  </si>
  <si>
    <t>Irvin M George</t>
  </si>
  <si>
    <t>irvinm@karunya.edu.in</t>
  </si>
  <si>
    <t>1Frsp1ERe0TZcOtwfR5TPi-8z17MyT1dM</t>
  </si>
  <si>
    <t>https://drive.google.com/file/d/1Frsp1ERe0TZcOtwfR5TPi-8z17MyT1dM/view?usp=drivesdk</t>
  </si>
  <si>
    <t>Document successfully created; Document successfully merged; PDF created; Emails Sent: [To: irvinm@karunya.edu.in]; Run via form trigger as codectechnologies0@gmail.com; Timestamp: Sep 1, 2026 6:46 AM</t>
  </si>
  <si>
    <t>aditya Kumar</t>
  </si>
  <si>
    <t>adityakr4722@gmail.com</t>
  </si>
  <si>
    <t xml:space="preserve">CGC landran Mohali </t>
  </si>
  <si>
    <t>1UtZUmIRHEOp2P_7w5IWBkFzAG-fBAOSE</t>
  </si>
  <si>
    <t>https://drive.google.com/file/d/1UtZUmIRHEOp2P_7w5IWBkFzAG-fBAOSE/view?usp=drivesdk</t>
  </si>
  <si>
    <t>Document successfully created; Document successfully merged; PDF created; !!Error Sending Emails: Service invoked too many times for one day: email.; Run via form trigger as codectechnologies0@gmail.com; Timestamp: Sep 1, 2026 7:04 AM</t>
  </si>
  <si>
    <t>Harshini S V</t>
  </si>
  <si>
    <t>harshinivenkatesan8@gmail.com</t>
  </si>
  <si>
    <t>Meenakshi college of Engineering</t>
  </si>
  <si>
    <t>1SreU_xb-p0qFbq23m2HaZCxeb_a_5zzs</t>
  </si>
  <si>
    <t>https://drive.google.com/file/d/1SreU_xb-p0qFbq23m2HaZCxeb_a_5zzs/view?usp=drivesdk</t>
  </si>
  <si>
    <t>Document successfully created; Document successfully merged; PDF created; !!Error Sending Emails: Service invoked too many times for one day: email.; Run via form trigger as codectechnologies0@gmail.com; Timestamp: Sep 1, 2026 7:26 AM</t>
  </si>
  <si>
    <t>Chirag Bundela</t>
  </si>
  <si>
    <t>chiragbundela17@gmail.com</t>
  </si>
  <si>
    <t xml:space="preserve">IIT ROORKEE </t>
  </si>
  <si>
    <t>1PWmAajIgJroDS_X57-wo38ILzdsRz9bD</t>
  </si>
  <si>
    <t>https://drive.google.com/file/d/1PWmAajIgJroDS_X57-wo38ILzdsRz9bD/view?usp=drivesdk</t>
  </si>
  <si>
    <t>Document successfully created; Document successfully merged; PDF created; Emails Sent: [To: chiragbundela17@gmail.com]; Run via form trigger as codectechnologies0@gmail.com; Timestamp: Sep 1, 2026 8:02 AM</t>
  </si>
  <si>
    <t>Anuj Baurai</t>
  </si>
  <si>
    <t>anujbaurai147@gmail.com</t>
  </si>
  <si>
    <t>1_X6xS1ZjwBG5swDxd-1howaKAAw4iWlt</t>
  </si>
  <si>
    <t>https://drive.google.com/file/d/1_X6xS1ZjwBG5swDxd-1howaKAAw4iWlt/view?usp=drivesdk</t>
  </si>
  <si>
    <t>Document successfully created; Document successfully merged; PDF created; !!Error Sending Emails: Service invoked too many times for one day: email.; Run via form trigger as codectechnologies0@gmail.com; Timestamp: Sep 1, 2026 8:16 AM</t>
  </si>
  <si>
    <t>Yogesh Goyal</t>
  </si>
  <si>
    <t>yogeshgoyal.dev@gmail.com</t>
  </si>
  <si>
    <t>SR Group of Institutions</t>
  </si>
  <si>
    <t>16HfOYW3NdlLejya_wJd8dvU2mFNZBhVs</t>
  </si>
  <si>
    <t>https://drive.google.com/file/d/16HfOYW3NdlLejya_wJd8dvU2mFNZBhVs/view?usp=drivesdk</t>
  </si>
  <si>
    <t>Document successfully created; Document successfully merged; PDF created; Emails Sent: [To: yogeshgoyal.dev@gmail.com]; Run via form trigger as codectechnologies0@gmail.com; Timestamp: Sep 1, 2026 8:18 AM</t>
  </si>
  <si>
    <t>DAKEY DEEPTHI</t>
  </si>
  <si>
    <t>dakeydeepthi24@gmail.com</t>
  </si>
  <si>
    <t>ANDHRA UNIVERSITY</t>
  </si>
  <si>
    <t>1UBCU1xBferm316qcmJoUHqwYE4_H5zWE</t>
  </si>
  <si>
    <t>https://drive.google.com/file/d/1UBCU1xBferm316qcmJoUHqwYE4_H5zWE/view?usp=drivesdk</t>
  </si>
  <si>
    <t>Document successfully created; Document successfully merged; PDF created; !!Error Sending Emails: Service invoked too many times for one day: email.; Run via form trigger as codectechnologies0@gmail.com; Timestamp: Sep 1, 2026 8:19 AM</t>
  </si>
  <si>
    <t>Kavi Prasath</t>
  </si>
  <si>
    <t>kaviprasathms2006@gmail.com</t>
  </si>
  <si>
    <t>Karunya</t>
  </si>
  <si>
    <t>1iZ6Td3DLAoY5X-QoXhJlHcjhxEBkU9KY</t>
  </si>
  <si>
    <t>https://drive.google.com/file/d/1iZ6Td3DLAoY5X-QoXhJlHcjhxEBkU9KY/view?usp=drivesdk</t>
  </si>
  <si>
    <t>Document successfully created; Document successfully merged; PDF created; !!Error Sending Emails: Service invoked too many times for one day: email.; Run via form trigger as codectechnologies0@gmail.com; Timestamp: Sep 1, 2026 8:34 AM</t>
  </si>
  <si>
    <t>Ayush Kushwaha</t>
  </si>
  <si>
    <t>ayushsandeepkush86041@gmail.com</t>
  </si>
  <si>
    <t>JSS Academy Of Technical Education , Noida</t>
  </si>
  <si>
    <t>1Vq57he1otbvR-i9OUSBsOSxQrV-89ciX</t>
  </si>
  <si>
    <t>https://drive.google.com/file/d/1Vq57he1otbvR-i9OUSBsOSxQrV-89ciX/view?usp=drivesdk</t>
  </si>
  <si>
    <t>Document successfully created; Document successfully merged; PDF created; !!Error Sending Emails: Service invoked too many times for one day: email.; Run via form trigger as codectechnologies0@gmail.com; Timestamp: Sep 1, 2026 8:35 AM</t>
  </si>
  <si>
    <t>CHAKALI ABINASH</t>
  </si>
  <si>
    <t>c.abinash666@gmail.com</t>
  </si>
  <si>
    <t>1PcZw9oQ8uaU1mq7-tbYrUXDDZ2uT2L69</t>
  </si>
  <si>
    <t>https://drive.google.com/file/d/1PcZw9oQ8uaU1mq7-tbYrUXDDZ2uT2L69/view?usp=drivesdk</t>
  </si>
  <si>
    <t>Document successfully created; Document successfully merged; PDF created; !!Error Sending Emails: Service invoked too many times for one day: email.; Run via form trigger as codectechnologies0@gmail.com; Timestamp: Sep 1, 2026 8:37 AM</t>
  </si>
  <si>
    <t>H G Bharathi</t>
  </si>
  <si>
    <t>10/2/0026</t>
  </si>
  <si>
    <t>bharathihampasagara@gmail.com</t>
  </si>
  <si>
    <t xml:space="preserve">Bahubali collage of Engineering </t>
  </si>
  <si>
    <t>1ZLc49sEjSORL7DEUnSjHMYSvhZtBoyJo</t>
  </si>
  <si>
    <t>https://drive.google.com/file/d/1ZLc49sEjSORL7DEUnSjHMYSvhZtBoyJo/view?usp=drivesdk</t>
  </si>
  <si>
    <t>Document successfully created; Document successfully merged; PDF created; !!Error Sending Emails: Service invoked too many times for one day: email.; Run via form trigger as codectechnologies0@gmail.com; Timestamp: Sep 1, 2026 8:50 AM</t>
  </si>
  <si>
    <t xml:space="preserve">Hemarubini Balamurugan </t>
  </si>
  <si>
    <t>keeraheera11@gmail.com</t>
  </si>
  <si>
    <t xml:space="preserve">Periyar University </t>
  </si>
  <si>
    <t>1Jk3OGQxROHsIrR7oEUYGGlBNq-xQQfYF</t>
  </si>
  <si>
    <t>https://drive.google.com/file/d/1Jk3OGQxROHsIrR7oEUYGGlBNq-xQQfYF/view?usp=drivesdk</t>
  </si>
  <si>
    <t>Document successfully created; Document successfully merged; PDF created; !!Error Sending Emails: Service invoked too many times for one day: email.; Run via form trigger as codectechnologies0@gmail.com; Timestamp: Sep 1, 2026 8:53 AM</t>
  </si>
  <si>
    <t>KURUBA CHAITANYA KIRAN</t>
  </si>
  <si>
    <t>kchaitanya7070@gmail.com</t>
  </si>
  <si>
    <t>Mohan Babu University</t>
  </si>
  <si>
    <t>1UWWR7mqT-QPwC3FdXytSJJRdzW-ZeOmM</t>
  </si>
  <si>
    <t>https://drive.google.com/file/d/1UWWR7mqT-QPwC3FdXytSJJRdzW-ZeOmM/view?usp=drivesdk</t>
  </si>
  <si>
    <t>Document successfully created; Document successfully merged; PDF created; !!Error Sending Emails: Service invoked too many times for one day: email.; Run via form trigger as codectechnologies0@gmail.com; Timestamp: Sep 1, 2026 9:09 AM</t>
  </si>
  <si>
    <t>Lathifathul Mubeena</t>
  </si>
  <si>
    <t>lathifathulmubeena102@gmail.com</t>
  </si>
  <si>
    <t>Krishnasamy College of Science Arts and Management for women</t>
  </si>
  <si>
    <t>1T6tg8D76gIRLZjrJM-W8oH5HBizj8awx</t>
  </si>
  <si>
    <t>https://drive.google.com/file/d/1T6tg8D76gIRLZjrJM-W8oH5HBizj8awx/view?usp=drivesdk</t>
  </si>
  <si>
    <t>Document successfully created; Document successfully merged; PDF created; !!Error Sending Emails: Service invoked too many times for one day: email.; Run via form trigger as codectechnologies0@gmail.com; Timestamp: Sep 1, 2026 9:15 AM</t>
  </si>
  <si>
    <t>SUJEET KUMAR BHARTI</t>
  </si>
  <si>
    <t>kumarsusie802@gmail.com</t>
  </si>
  <si>
    <t>INSTITUTE OF ENGINEERING AND TECHNOLOGY (DHSGSU ,SAGAR)</t>
  </si>
  <si>
    <t>1-tbO460_CNxxxyKaOodQX4QIgawEckZ2</t>
  </si>
  <si>
    <t>https://drive.google.com/file/d/1-tbO460_CNxxxyKaOodQX4QIgawEckZ2/view?usp=drivesdk</t>
  </si>
  <si>
    <t>Document successfully created; Document successfully merged; PDF created; Emails Sent: [To: kumarsusie802@gmail.com]; Run via form trigger as codectechnologies0@gmail.com; Timestamp: Sep 1, 2026 9:28 AM</t>
  </si>
  <si>
    <t>1gbjtq3xJdO0bl9zLh92t83FdTyFcN5c0</t>
  </si>
  <si>
    <t>https://drive.google.com/file/d/1gbjtq3xJdO0bl9zLh92t83FdTyFcN5c0/view?usp=drivesdk</t>
  </si>
  <si>
    <t>Document successfully created; Document successfully merged; PDF created; !!Error Sending Emails: Service invoked too many times for one day: email.; Run via form trigger as codectechnologies0@gmail.com; Timestamp: Sep 1, 2026 9:47 AM</t>
  </si>
  <si>
    <t>1Yn6bp7o917U4gJl5OoE6r9oJ8V1eoU6K</t>
  </si>
  <si>
    <t>https://drive.google.com/file/d/1Yn6bp7o917U4gJl5OoE6r9oJ8V1eoU6K/view?usp=drivesdk</t>
  </si>
  <si>
    <t>Document successfully created; Document successfully merged; PDF created; !!Error Sending Emails: Service invoked too many times for one day: email.; Run via form trigger as codectechnologies0@gmail.com; Timestamp: Sep 1, 2026 10:00 AM</t>
  </si>
  <si>
    <t xml:space="preserve">Koushik Shankar Naik </t>
  </si>
  <si>
    <t>naikkoushik34@gmail.com</t>
  </si>
  <si>
    <t xml:space="preserve">Nitte Meenakshi institute of technology </t>
  </si>
  <si>
    <t>1vdoOwT7zpHJiWSgpNtnmZXxI2frFHtpE</t>
  </si>
  <si>
    <t>https://drive.google.com/file/d/1vdoOwT7zpHJiWSgpNtnmZXxI2frFHtpE/view?usp=drivesdk</t>
  </si>
  <si>
    <t>Document successfully created; Document successfully merged; PDF created; !!Error Sending Emails: Service invoked too many times for one day: email.; Run via form trigger as codectechnologies0@gmail.com; Timestamp: Sep 1, 2026 10:13 AM</t>
  </si>
  <si>
    <t>Kanakaraju N P</t>
  </si>
  <si>
    <t>kanakaraju3262@gmail.com</t>
  </si>
  <si>
    <t>12knrn_eDrEpMbF9kfEOw7c7FjAXWSxpl</t>
  </si>
  <si>
    <t>https://drive.google.com/file/d/12knrn_eDrEpMbF9kfEOw7c7FjAXWSxpl/view?usp=drivesdk</t>
  </si>
  <si>
    <t>Document successfully created; Document successfully merged; PDF created; Emails Sent: [To: kanakaraju3262@gmail.com]; Run via form trigger as codectechnologies0@gmail.com; Timestamp: Sep 1, 2026 10:15 AM</t>
  </si>
  <si>
    <t>Rajnish Kumar</t>
  </si>
  <si>
    <t>rajnishroyofficail@gmail.com</t>
  </si>
  <si>
    <t>Jis College Of Engineering</t>
  </si>
  <si>
    <t>1luOdGs6R8a_0-HDkNn2yIAE5HAjD96ou</t>
  </si>
  <si>
    <t>https://drive.google.com/file/d/1luOdGs6R8a_0-HDkNn2yIAE5HAjD96ou/view?usp=drivesdk</t>
  </si>
  <si>
    <t>Document successfully created; Document successfully merged; PDF created; !!Error Sending Emails: Service invoked too many times for one day: email.; Run via form trigger as codectechnologies0@gmail.com; Timestamp: Sep 1, 2026 10:19 AM</t>
  </si>
  <si>
    <t xml:space="preserve">Vadapalli kishore kumar </t>
  </si>
  <si>
    <t>kishorekumarvadapalli@gmail.com</t>
  </si>
  <si>
    <t>1OK46uV6IQ2vc97alKPJSeeK5_4y7E4xh</t>
  </si>
  <si>
    <t>https://drive.google.com/file/d/1OK46uV6IQ2vc97alKPJSeeK5_4y7E4xh/view?usp=drivesdk</t>
  </si>
  <si>
    <t>Document successfully created; Document successfully merged; PDF created; Emails Sent: [To: kishorekumarvadapalli@gmail.com]; Run via form trigger as codectechnologies0@gmail.com; Timestamp: Sep 1, 2026 10:26 AM</t>
  </si>
  <si>
    <t>BODDU LEELA PRASAD</t>
  </si>
  <si>
    <t>boddu.leelaprasadyadav@gmail.com</t>
  </si>
  <si>
    <t>1Vf_d82gm5yvcgDfIFR4y7pwvS6BOSUPA</t>
  </si>
  <si>
    <t>https://drive.google.com/file/d/1Vf_d82gm5yvcgDfIFR4y7pwvS6BOSUPA/view?usp=drivesdk</t>
  </si>
  <si>
    <t>Document successfully created; Document successfully merged; PDF created; Emails Sent: [To: boddu.leelaprasadyadav@gmail.com]; Run via form trigger as codectechnologies0@gmail.com; Timestamp: Sep 1, 2026 10:27 AM</t>
  </si>
  <si>
    <t>abaweja165@gmail.com</t>
  </si>
  <si>
    <t xml:space="preserve">Uiet kurukshetra </t>
  </si>
  <si>
    <t>1MRxpINBbnyp3rR41899dBT2YUY9auLwm</t>
  </si>
  <si>
    <t>https://drive.google.com/file/d/1MRxpINBbnyp3rR41899dBT2YUY9auLwm/view?usp=drivesdk</t>
  </si>
  <si>
    <t>Document successfully created; Document successfully merged; PDF created; Emails Sent: [To: abaweja165@gmail.com]; Run via form trigger as codectechnologies0@gmail.com; Timestamp: Sep 1, 2026 10:38 AM</t>
  </si>
  <si>
    <t>Auxilium College (Autonomous).</t>
  </si>
  <si>
    <t>12SD8ynr0Eqgsp1DFaMlOMVV9WnrzX1rB</t>
  </si>
  <si>
    <t>https://drive.google.com/file/d/12SD8ynr0Eqgsp1DFaMlOMVV9WnrzX1rB/view?usp=drivesdk</t>
  </si>
  <si>
    <t>Document successfully created; Document successfully merged; PDF created; Emails Sent: [To: kjayashankari28@gmail.com]; Run via form trigger as codectechnologies0@gmail.com; Timestamp: Sep 1, 2026 11:00 AM</t>
  </si>
  <si>
    <t>YATHAM KARTHIK KUMAR</t>
  </si>
  <si>
    <t>yathamkarthik3@gmail.com</t>
  </si>
  <si>
    <t>1rOG_cBnNP6jRPX4l2PrgeCLXBe3eqUtv</t>
  </si>
  <si>
    <t>https://drive.google.com/file/d/1rOG_cBnNP6jRPX4l2PrgeCLXBe3eqUtv/view?usp=drivesdk</t>
  </si>
  <si>
    <t>Document successfully created; Document successfully merged; PDF created; Emails Sent: [To: yathamkarthik3@gmail.com]; Run via form trigger as codectechnologies0@gmail.com; Timestamp: Sep 1, 2026 11:04 AM</t>
  </si>
  <si>
    <t>David Jasper Srinivasan</t>
  </si>
  <si>
    <t>davidsrinivasan11@gmail.com</t>
  </si>
  <si>
    <t>1mZEYT752-fYQEHyhzG6JSRzvv1oscf-8</t>
  </si>
  <si>
    <t>https://drive.google.com/file/d/1mZEYT752-fYQEHyhzG6JSRzvv1oscf-8/view?usp=drivesdk</t>
  </si>
  <si>
    <t>Document successfully created; Document successfully merged; PDF created; Emails Sent: [To: davidsrinivasan11@gmail.com]; Run via form trigger as codectechnologies0@gmail.com; Timestamp: Sep 1, 2026 11:05 AM</t>
  </si>
  <si>
    <t>Auxilium College (Autonomous)</t>
  </si>
  <si>
    <t>1F3B9gheHiyw_CyE1ilNBxhRE0VAQxH5x</t>
  </si>
  <si>
    <t>https://drive.google.com/file/d/1F3B9gheHiyw_CyE1ilNBxhRE0VAQxH5x/view?usp=drivesdk</t>
  </si>
  <si>
    <t>Document successfully created; Document successfully merged; PDF created; Emails Sent: [To: kjayashankari28@gmail.com]; Run via form trigger as codectechnologies0@gmail.com; Timestamp: Sep 1, 2026 11:07 AM</t>
  </si>
  <si>
    <t>Vivek Singh</t>
  </si>
  <si>
    <t>singhvivek200603@gmail.com</t>
  </si>
  <si>
    <t>1s4yy-jMWtAJOzTgzTJQgy3ZRbctiijrM</t>
  </si>
  <si>
    <t>https://drive.google.com/file/d/1s4yy-jMWtAJOzTgzTJQgy3ZRbctiijrM/view?usp=drivesdk</t>
  </si>
  <si>
    <t>Document successfully created; Document successfully merged; PDF created; Emails Sent: [To: singhvivek200603@gmail.com]; Run via form trigger as codectechnologies0@gmail.com; Timestamp: Sep 1, 2026 11:09 AM</t>
  </si>
  <si>
    <t xml:space="preserve">Kanakaraju N P </t>
  </si>
  <si>
    <t>1AMIwkGT8yR-1C10esIuzN4l-spzLi3Rf</t>
  </si>
  <si>
    <t>https://drive.google.com/file/d/1AMIwkGT8yR-1C10esIuzN4l-spzLi3Rf/view?usp=drivesdk</t>
  </si>
  <si>
    <t>Document successfully created; Document successfully merged; PDF created; Emails Sent: [To: kanakaraju3262@gmail.com]; Run via form trigger as codectechnologies0@gmail.com; Timestamp: Sep 1, 2026 11:12 AM</t>
  </si>
  <si>
    <t>Ankita pal</t>
  </si>
  <si>
    <t xml:space="preserve">ankitapalp343@gmail.com </t>
  </si>
  <si>
    <t xml:space="preserve">Virendra Swarup Institute of Computer Studies </t>
  </si>
  <si>
    <t>11kI-HTup4b0F_70XxT520lfTAEvEBCuc</t>
  </si>
  <si>
    <t>https://drive.google.com/file/d/11kI-HTup4b0F_70XxT520lfTAEvEBCuc/view?usp=drivesdk</t>
  </si>
  <si>
    <t>Document successfully created; Document successfully merged; PDF created; Emails Sent: [To: ankitapalp343@gmail.com]; Run via form trigger as codectechnologies0@gmail.com; Timestamp: Sep 1, 2026 11:12 AM</t>
  </si>
  <si>
    <t>VIVEK KUMAR</t>
  </si>
  <si>
    <t>lifencode147@gmail.com</t>
  </si>
  <si>
    <t>1j3I5SEtas8HXIv0p4HUeY06X3B4ricQE</t>
  </si>
  <si>
    <t>https://drive.google.com/file/d/1j3I5SEtas8HXIv0p4HUeY06X3B4ricQE/view?usp=drivesdk</t>
  </si>
  <si>
    <t>Document successfully created; Document successfully merged; PDF created; Emails Sent: [To: lifencode147@gmail.com]; Run via form trigger as codectechnologies0@gmail.com; Timestamp: Sep 1, 2026 11:22 AM</t>
  </si>
  <si>
    <t>JESHUA PREM KUMAR</t>
  </si>
  <si>
    <t>jerishmoses10@gmail.com</t>
  </si>
  <si>
    <t>1DvHPdP2vuYYN1u8S7R2o4nYhfrkUgoNP</t>
  </si>
  <si>
    <t>https://drive.google.com/file/d/1DvHPdP2vuYYN1u8S7R2o4nYhfrkUgoNP/view?usp=drivesdk</t>
  </si>
  <si>
    <t>Document successfully created; Document successfully merged; PDF created; Emails Sent: [To: jerishmoses10@gmail.com]; Run via form trigger as codectechnologies0@gmail.com; Timestamp: Sep 1, 2026 11:25 AM</t>
  </si>
  <si>
    <t>RITU</t>
  </si>
  <si>
    <t>ritu.25scs1003004643@iilm.edu</t>
  </si>
  <si>
    <t>07536834359</t>
  </si>
  <si>
    <t>1_8oKcKdANgS5DK0GQPxJPETR15xLRIQ9</t>
  </si>
  <si>
    <t>https://drive.google.com/file/d/1_8oKcKdANgS5DK0GQPxJPETR15xLRIQ9/view?usp=drivesdk</t>
  </si>
  <si>
    <t>Document successfully created; Document successfully merged; PDF created; Emails Sent: [To: ritu.25scs1003004643@iilm.edu]; Run via form trigger as codectechnologies0@gmail.com; Timestamp: Sep 1, 2026 11:32 AM</t>
  </si>
  <si>
    <t>Muskan</t>
  </si>
  <si>
    <t>23cse029muskan@eitfaridabad.co.in</t>
  </si>
  <si>
    <t>echelon institute of technology faridabad</t>
  </si>
  <si>
    <t>1DjXiC6465MJqP6y6tvmqZiebZzxW5ubQ</t>
  </si>
  <si>
    <t>https://drive.google.com/file/d/1DjXiC6465MJqP6y6tvmqZiebZzxW5ubQ/view?usp=drivesdk</t>
  </si>
  <si>
    <t>Document successfully created; Document successfully merged; PDF created; Emails Sent: [To: 23cse029muskan@eitfaridabad.co.in]; Run via form trigger as codectechnologies0@gmail.com; Timestamp: Sep 1, 2026 11:33 AM</t>
  </si>
  <si>
    <t>Vaitheeswaran S</t>
  </si>
  <si>
    <t>vaithee221@gmail.com</t>
  </si>
  <si>
    <t>Karunya University</t>
  </si>
  <si>
    <t>1rqMb5ml2-cbtecA6uR4n6ganPzttXfqs</t>
  </si>
  <si>
    <t>https://drive.google.com/file/d/1rqMb5ml2-cbtecA6uR4n6ganPzttXfqs/view?usp=drivesdk</t>
  </si>
  <si>
    <t>Document successfully created; Document successfully merged; PDF created; Emails Sent: [To: vaithee221@gmail.com]; Run via form trigger as codectechnologies0@gmail.com; Timestamp: Sep 1, 2026 11:35 AM</t>
  </si>
  <si>
    <t>ritu</t>
  </si>
  <si>
    <t>1iUdwXBDNPKM_9Y47qab5n5gSeSKvDAPx</t>
  </si>
  <si>
    <t>https://drive.google.com/file/d/1iUdwXBDNPKM_9Y47qab5n5gSeSKvDAPx/view?usp=drivesdk</t>
  </si>
  <si>
    <t>Document successfully created; Document successfully merged; PDF created; Emails Sent: [To: ritu.25scs1003004643@iilm.edu]; Run via form trigger as codectechnologies0@gmail.com; Timestamp: Sep 1, 2026 11:39 AM</t>
  </si>
  <si>
    <t>Tanmay Koli</t>
  </si>
  <si>
    <t>tanmaykoli27@gmail.com</t>
  </si>
  <si>
    <t>1-Nf3aHyYsbJS9Sl25fZkqUvJO8ZCTkSt</t>
  </si>
  <si>
    <t>https://drive.google.com/file/d/1-Nf3aHyYsbJS9Sl25fZkqUvJO8ZCTkSt/view?usp=drivesdk</t>
  </si>
  <si>
    <t>Document successfully created; Document successfully merged; PDF created; Emails Sent: [To: tanmaykoli27@gmail.com]; Run via form trigger as codectechnologies0@gmail.com; Timestamp: Sep 1, 2026 11:42 AM</t>
  </si>
  <si>
    <t>Bhavana S G</t>
  </si>
  <si>
    <t xml:space="preserve">msm34006@gmail.com </t>
  </si>
  <si>
    <t>1g_glAsTt3zwVBm6aQQfAwsaEKcOGXeaZ</t>
  </si>
  <si>
    <t>https://drive.google.com/file/d/1g_glAsTt3zwVBm6aQQfAwsaEKcOGXeaZ/view?usp=drivesdk</t>
  </si>
  <si>
    <t>Document successfully created; Document successfully merged; PDF created; Emails Sent: [To: msm34006@gmail.com]; Run via form trigger as codectechnologies0@gmail.com; Timestamp: Sep 1, 2026 11:56 AM</t>
  </si>
  <si>
    <t>S Sam Derish</t>
  </si>
  <si>
    <t>samderish2007@gmail.com</t>
  </si>
  <si>
    <t>Paniamalar Engineering College</t>
  </si>
  <si>
    <t>1dnjjql4ENWULVq84Fvy4TzNw0q7GF1W9</t>
  </si>
  <si>
    <t>https://drive.google.com/file/d/1dnjjql4ENWULVq84Fvy4TzNw0q7GF1W9/view?usp=drivesdk</t>
  </si>
  <si>
    <t>Document successfully created; Document successfully merged; PDF created; Emails Sent: [To: samderish2007@gmail.com]; Run via form trigger as codectechnologies0@gmail.com; Timestamp: Sep 1, 2026 12:04 PM</t>
  </si>
  <si>
    <t>Devika Rajput</t>
  </si>
  <si>
    <t>devikarajput2268@gmail.com</t>
  </si>
  <si>
    <t xml:space="preserve">St Aloysius College autonomous jabalpur </t>
  </si>
  <si>
    <t>16KIYrbHtAN2OV1d_TSQ-IYErP_7oSK8c</t>
  </si>
  <si>
    <t>https://drive.google.com/file/d/16KIYrbHtAN2OV1d_TSQ-IYErP_7oSK8c/view?usp=drivesdk</t>
  </si>
  <si>
    <t>Document successfully created; Document successfully merged; PDF created; Emails Sent: [To: devikarajput2268@gmail.com]; Run via form trigger as codectechnologies0@gmail.com; Timestamp: Sep 1, 2026 12:19 PM</t>
  </si>
  <si>
    <t>Shivanshu Kushwaha</t>
  </si>
  <si>
    <t>shivakushwaha460@gmail.com</t>
  </si>
  <si>
    <t>Axis Institute Of technology and management</t>
  </si>
  <si>
    <t>1nDeJON72qe0E3ch5rXi6njmmLRx3xRCA</t>
  </si>
  <si>
    <t>https://drive.google.com/file/d/1nDeJON72qe0E3ch5rXi6njmmLRx3xRCA/view?usp=drivesdk</t>
  </si>
  <si>
    <t>Document successfully created; Document successfully merged; PDF created; Emails Sent: [To: shivakushwaha460@gmail.com]; Run via form trigger as codectechnologies0@gmail.com; Timestamp: Sep 1, 2026 12:25 PM</t>
  </si>
  <si>
    <t xml:space="preserve">kartik sisodia </t>
  </si>
  <si>
    <t>sisodiakartik20@gmail.com</t>
  </si>
  <si>
    <t xml:space="preserve">teerthankar mahaveer universiity </t>
  </si>
  <si>
    <t>1kaImrMGB3dMa0jwWw224nm6oJQjb7Q84</t>
  </si>
  <si>
    <t>https://drive.google.com/file/d/1kaImrMGB3dMa0jwWw224nm6oJQjb7Q84/view?usp=drivesdk</t>
  </si>
  <si>
    <t>Document successfully created; Document successfully merged; PDF created; Emails Sent: [To: sisodiakartik20@gmail.com]; Run via form trigger as codectechnologies0@gmail.com; Timestamp: Sep 1, 2026 12:30 PM</t>
  </si>
  <si>
    <t>Utkarsh Kumar</t>
  </si>
  <si>
    <t>kumarkarsh17282744@gmail.com</t>
  </si>
  <si>
    <t>1Y8FA8fK4JKlYW08416aF5NAI_bONyrNm</t>
  </si>
  <si>
    <t>https://drive.google.com/file/d/1Y8FA8fK4JKlYW08416aF5NAI_bONyrNm/view?usp=drivesdk</t>
  </si>
  <si>
    <t>Document successfully created; Document successfully merged; PDF created; Emails Sent: [To: kumarkarsh17282744@gmail.com]; Run via form trigger as codectechnologies0@gmail.com; Timestamp: Sep 1, 2026 12:36 PM</t>
  </si>
  <si>
    <t>Anshika Namdeo</t>
  </si>
  <si>
    <t>anshikanamdeo49@gmail.com</t>
  </si>
  <si>
    <t xml:space="preserve">St.Aloysius college autonomous </t>
  </si>
  <si>
    <t>1UUqguLPK9OVLeVTXA1Nd3UJB7B0YcPZ_</t>
  </si>
  <si>
    <t>https://drive.google.com/file/d/1UUqguLPK9OVLeVTXA1Nd3UJB7B0YcPZ_/view?usp=drivesdk</t>
  </si>
  <si>
    <t>Document successfully created; Document successfully merged; PDF created; Emails Sent: [To: anshikanamdeo49@gmail.com]; Run via form trigger as codectechnologies0@gmail.com; Timestamp: Sep 1, 2026 12:37 PM</t>
  </si>
  <si>
    <t>DhanyaShri S V</t>
  </si>
  <si>
    <t>dhanyashrisv300@gmail.com</t>
  </si>
  <si>
    <t xml:space="preserve">Bahubali college of Engineering </t>
  </si>
  <si>
    <t>16ZOKBkonyHYR7EL5GWaosRajb-rx4aTB</t>
  </si>
  <si>
    <t>https://drive.google.com/file/d/16ZOKBkonyHYR7EL5GWaosRajb-rx4aTB/view?usp=drivesdk</t>
  </si>
  <si>
    <t>Document successfully created; Document successfully merged; PDF created; Emails Sent: [To: dhanyashrisv300@gmail.com]; Run via form trigger as codectechnologies0@gmail.com; Timestamp: Sep 1, 2026 12:39 PM</t>
  </si>
  <si>
    <t>Sangram Keshari Mohapatra</t>
  </si>
  <si>
    <t xml:space="preserve">sangram150@gmail.com </t>
  </si>
  <si>
    <t>ICFAI BUSINESS SCHOOL, KOLKATA</t>
  </si>
  <si>
    <t>10TkOwxiPyEik3GYStMGhGSl69UMYw6Vn</t>
  </si>
  <si>
    <t>https://drive.google.com/file/d/10TkOwxiPyEik3GYStMGhGSl69UMYw6Vn/view?usp=drivesdk</t>
  </si>
  <si>
    <t>Document successfully created; Document successfully merged; PDF created; Emails Sent: [To: sangram150@gmail.com]; Run via form trigger as codectechnologies0@gmail.com; Timestamp: Sep 1, 2026 12:57 PM</t>
  </si>
  <si>
    <t xml:space="preserve">Jatin Singh Rajput </t>
  </si>
  <si>
    <t>jr1155801@gmail.com</t>
  </si>
  <si>
    <t>Samrat Ashok Technological Institute vidisha (m.p.)</t>
  </si>
  <si>
    <t>189UQarNMIloHCyYZxf4JLNy6diyZcjcm</t>
  </si>
  <si>
    <t>https://drive.google.com/file/d/189UQarNMIloHCyYZxf4JLNy6diyZcjcm/view?usp=drivesdk</t>
  </si>
  <si>
    <t>Document successfully created; Document successfully merged; PDF created; Emails Sent: [To: jr1155801@gmail.com]; Run via form trigger as codectechnologies0@gmail.com; Timestamp: Sep 1, 2026 1:07 PM</t>
  </si>
  <si>
    <t>PRATYA RATHOUR</t>
  </si>
  <si>
    <t>pratya.25scs1003003962@iilm.edu</t>
  </si>
  <si>
    <t>18zP5rLJIL_7SuKNLTzeubVrbDz8znKYE</t>
  </si>
  <si>
    <t>https://drive.google.com/file/d/18zP5rLJIL_7SuKNLTzeubVrbDz8znKYE/view?usp=drivesdk</t>
  </si>
  <si>
    <t>Document successfully created; Document successfully merged; PDF created; Emails Sent: [To: pratya.25scs1003003962@iilm.edu]; Run via form trigger as codectechnologies0@gmail.com; Timestamp: Sep 1, 2026 1:10 PM</t>
  </si>
  <si>
    <t>1yWESnoWVWig50g7pH4GYZtdPoiKEjo7U</t>
  </si>
  <si>
    <t>https://drive.google.com/file/d/1yWESnoWVWig50g7pH4GYZtdPoiKEjo7U/view?usp=drivesdk</t>
  </si>
  <si>
    <t>Document successfully created; Document successfully merged; PDF created; Emails Sent: [To: inzamammallick854@gmail.com]; Run via form trigger as codectechnologies0@gmail.com; Timestamp: Sep 1, 2026 1:19 PM</t>
  </si>
  <si>
    <t>saprem jumare</t>
  </si>
  <si>
    <t>sapremjumare2262@gmail.com</t>
  </si>
  <si>
    <t>jawahar education society's ac patil college of engineering, kharghar</t>
  </si>
  <si>
    <t>1js_x8IUBLyi1L7XeDKOsZW3yiHIzhPha</t>
  </si>
  <si>
    <t>https://drive.google.com/file/d/1js_x8IUBLyi1L7XeDKOsZW3yiHIzhPha/view?usp=drivesdk</t>
  </si>
  <si>
    <t>Document successfully created; Document successfully merged; PDF created; Emails Sent: [To: sapremjumare2262@gmail.com]; Run via form trigger as codectechnologies0@gmail.com; Timestamp: Sep 1, 2026 1:24 PM</t>
  </si>
  <si>
    <t>DARSHAN MATHAPATI</t>
  </si>
  <si>
    <t>EAST POINT COLLEGE OF ENGINEERING AND TECHNOLOGY</t>
  </si>
  <si>
    <t>1LiXYZL7_NaBDUC6h0T8SjJWzt-DHicnh</t>
  </si>
  <si>
    <t>https://drive.google.com/file/d/1LiXYZL7_NaBDUC6h0T8SjJWzt-DHicnh/view?usp=drivesdk</t>
  </si>
  <si>
    <t>Document successfully created; Document successfully merged; PDF created; Emails Sent: [To: mathapatiappayya88@gmail.com]; Run via form trigger as codectechnologies0@gmail.com; Timestamp: Sep 1, 2026 1:29 PM</t>
  </si>
  <si>
    <t xml:space="preserve">Afiya faiyaz Sarang </t>
  </si>
  <si>
    <t>25ds10@aiktc.ac.in</t>
  </si>
  <si>
    <t xml:space="preserve">Anjuman-islam kalsekar technical campus </t>
  </si>
  <si>
    <t>158vp7AHQMEeddiYQO_gDLUEKWUtkmcfv</t>
  </si>
  <si>
    <t>https://drive.google.com/file/d/158vp7AHQMEeddiYQO_gDLUEKWUtkmcfv/view?usp=drivesdk</t>
  </si>
  <si>
    <t>Document successfully created; Document successfully merged; PDF created; Emails Sent: [To: 25ds10@aiktc.ac.in]; Run via form trigger as codectechnologies0@gmail.com; Timestamp: Sep 1, 2026 1:35 PM</t>
  </si>
  <si>
    <t>Divya N</t>
  </si>
  <si>
    <t>dnkalanad@gmail.com</t>
  </si>
  <si>
    <t>1kkG1-C2Vv_ma_OpVyya9EAPm2Mv4jZzU</t>
  </si>
  <si>
    <t>https://drive.google.com/file/d/1kkG1-C2Vv_ma_OpVyya9EAPm2Mv4jZzU/view?usp=drivesdk</t>
  </si>
  <si>
    <t>Document successfully created; Document successfully merged; PDF created; Emails Sent: [To: dnkalanad@gmail.com]; Run via form trigger as codectechnologies0@gmail.com; Timestamp: Sep 1, 2026 1:38 PM</t>
  </si>
  <si>
    <t xml:space="preserve">PREETHI R </t>
  </si>
  <si>
    <t xml:space="preserve">Auxilium college autonomous </t>
  </si>
  <si>
    <t>1dlMBcw4MPRdBVfZRpvaT2Z8T8_fb0Xfd</t>
  </si>
  <si>
    <t>https://drive.google.com/file/d/1dlMBcw4MPRdBVfZRpvaT2Z8T8_fb0Xfd/view?usp=drivesdk</t>
  </si>
  <si>
    <t>Document successfully created; Document successfully merged; PDF created; Emails Sent: [To: preethi92004@gmail.com]; Run via form trigger as codectechnologies0@gmail.com; Timestamp: Sep 1, 2026 1:42 PM</t>
  </si>
  <si>
    <t xml:space="preserve">KRISHNA KUMAR </t>
  </si>
  <si>
    <t>kkumaraspirant1234@gmail.com</t>
  </si>
  <si>
    <t xml:space="preserve">Rajkiya Engineering College, Bijnor </t>
  </si>
  <si>
    <t>12Fumd2wk_vDHxAYkAICvl5T_NwTFi9zl</t>
  </si>
  <si>
    <t>https://drive.google.com/file/d/12Fumd2wk_vDHxAYkAICvl5T_NwTFi9zl/view?usp=drivesdk</t>
  </si>
  <si>
    <t>Document successfully created; Document successfully merged; PDF created; Emails Sent: [To: kkumaraspirant1234@gmail.com]; Run via form trigger as codectechnologies0@gmail.com; Timestamp: Sep 1, 2026 1:50 PM</t>
  </si>
  <si>
    <t>ARITRA MONDAL</t>
  </si>
  <si>
    <t xml:space="preserve"> mondalaritra15@gmail.com</t>
  </si>
  <si>
    <t>KALINGA INSTITUTE OF INDUSTRIAL TECHNOLOGY,BHUBANESWAR</t>
  </si>
  <si>
    <t>1NdmScYJ_caAcv-G5r_3OvvLyMqUV46Cq</t>
  </si>
  <si>
    <t>https://drive.google.com/file/d/1NdmScYJ_caAcv-G5r_3OvvLyMqUV46Cq/view?usp=drivesdk</t>
  </si>
  <si>
    <t>Document successfully created; Document successfully merged; PDF created; Emails Sent: [To: mondalaritra15@gmail.com]; Run via form trigger as codectechnologies0@gmail.com; Timestamp: Sep 1, 2026 2:51 PM</t>
  </si>
  <si>
    <t>Pritee Yadav</t>
  </si>
  <si>
    <t>yadavpritee9252@gmail.com</t>
  </si>
  <si>
    <t>+91 87076 89252</t>
  </si>
  <si>
    <t xml:space="preserve">St.Theresa College </t>
  </si>
  <si>
    <t>1WP5GFHkbhXJQTOSJbMSVk-tsvwSwCtFD</t>
  </si>
  <si>
    <t>https://drive.google.com/file/d/1WP5GFHkbhXJQTOSJbMSVk-tsvwSwCtFD/view?usp=drivesdk</t>
  </si>
  <si>
    <t>Document successfully created; Document successfully merged; PDF created; Emails Sent: [To: yadavpritee9252@gmail.com]; Run via form trigger as codectechnologies0@gmail.com; Timestamp: Sep 1, 2026 2:59 PM</t>
  </si>
  <si>
    <t>Eswar Mahalingam</t>
  </si>
  <si>
    <t xml:space="preserve">eswarmba05313@gmail.com </t>
  </si>
  <si>
    <t>1OLRWEqdk92mH8AlDYYUncxVENoWbN0zf</t>
  </si>
  <si>
    <t>https://drive.google.com/file/d/1OLRWEqdk92mH8AlDYYUncxVENoWbN0zf/view?usp=drivesdk</t>
  </si>
  <si>
    <t>Document successfully created; Document successfully merged; PDF created; Emails Sent: [To: eswarmba05313@gmail.com]; Run via form trigger as codectechnologies0@gmail.com; Timestamp: Sep 1, 2026 8:54 PM</t>
  </si>
  <si>
    <t xml:space="preserve">Eswar Mahalingam </t>
  </si>
  <si>
    <t>1MrJrZOA1WYTtSslhdkhQWseGQ5GuEbhB</t>
  </si>
  <si>
    <t>https://drive.google.com/file/d/1MrJrZOA1WYTtSslhdkhQWseGQ5GuEbhB/view?usp=drivesdk</t>
  </si>
  <si>
    <t>Document successfully created; Document successfully merged; PDF created; Emails Sent: [To: eswarmba05313@gmail.com]; Run via form trigger as codectechnologies0@gmail.com; Timestamp: Sep 1, 2026 9:37 PM</t>
  </si>
  <si>
    <t>12aDj0k1UfJeg08LPSDH-g_0ugDzbOuRl</t>
  </si>
  <si>
    <t>https://drive.google.com/file/d/12aDj0k1UfJeg08LPSDH-g_0ugDzbOuRl/view?usp=drivesdk</t>
  </si>
  <si>
    <t>Document successfully created; Document successfully merged; PDF created; Emails Sent: [To: eswarmba05313@gmail.com]; Run via form trigger as codectechnologies0@gmail.com; Timestamp: Sep 1, 2026 9:41 PM</t>
  </si>
  <si>
    <t>eswarmba05313@gmail.com</t>
  </si>
  <si>
    <t>1pp6lC00ZUD4J31QjQuw3LbFn-pZ2pZG-</t>
  </si>
  <si>
    <t>https://drive.google.com/file/d/1pp6lC00ZUD4J31QjQuw3LbFn-pZ2pZG-/view?usp=drivesdk</t>
  </si>
  <si>
    <t>Document successfully created; Document successfully merged; PDF created; Emails Sent: [To: eswarmba05313@gmail.com]; Run via form trigger as codectechnologies0@gmail.com; Timestamp: Sep 1, 2026 9:45 PM</t>
  </si>
  <si>
    <t>1tj5PKvfuupvca9xtHUeW-lZeOIJT5SNk</t>
  </si>
  <si>
    <t>https://drive.google.com/file/d/1tj5PKvfuupvca9xtHUeW-lZeOIJT5SNk/view?usp=drivesdk</t>
  </si>
  <si>
    <t>Document successfully created; Document successfully merged; PDF created; Emails Sent: [To: ayushkumarmjl7703@gmail.com]; Run via form trigger as codectechnologies0@gmail.com; Timestamp: Sep 1, 2026 10:05 PM</t>
  </si>
  <si>
    <t>ANUJ KUMAR BIND</t>
  </si>
  <si>
    <t>anujkumar34689@gmail.com</t>
  </si>
  <si>
    <t>SAMRAT ASHOK RAJKIYA ENGINEERING COLLEGE MIRZAPUR</t>
  </si>
  <si>
    <t>1sfy8WzUPsYjEG7ccldqTtYZo7r0pBJre</t>
  </si>
  <si>
    <t>https://drive.google.com/file/d/1sfy8WzUPsYjEG7ccldqTtYZo7r0pBJre/view?usp=drivesdk</t>
  </si>
  <si>
    <t>Document successfully created; Document successfully merged; PDF created; Emails Sent: [To: anujkumar34689@gmail.com]; Run via form trigger as codectechnologies0@gmail.com; Timestamp: Sep 1, 2026 10:19 PM</t>
  </si>
  <si>
    <t>PAWAN GORE</t>
  </si>
  <si>
    <t>pgore6742@gmail.com</t>
  </si>
  <si>
    <t>Bharatratna Dr APJ Abdul Kalam College Amravati</t>
  </si>
  <si>
    <t>10D-JSWroSXqxkLWWn687NNePKEmZlJry</t>
  </si>
  <si>
    <t>https://drive.google.com/file/d/10D-JSWroSXqxkLWWn687NNePKEmZlJry/view?usp=drivesdk</t>
  </si>
  <si>
    <t>Document successfully created; Document successfully merged; PDF created; Emails Sent: [To: pgore6742@gmail.com]; Run via form trigger as codectechnologies0@gmail.com; Timestamp: Sep 1, 2026 10:54 PM</t>
  </si>
  <si>
    <t xml:space="preserve">Malakonda Rayudu M </t>
  </si>
  <si>
    <t>mrayudu64@gmail.com</t>
  </si>
  <si>
    <t xml:space="preserve">Anand institute of higher technology </t>
  </si>
  <si>
    <t>1Ey_b7J3hgVbAJbx0YKsumYwP3Vvps2qi</t>
  </si>
  <si>
    <t>https://drive.google.com/file/d/1Ey_b7J3hgVbAJbx0YKsumYwP3Vvps2qi/view?usp=drivesdk</t>
  </si>
  <si>
    <t>Document successfully created; Document successfully merged; PDF created; Emails Sent: [To: mrayudu64@gmail.com]; Run via form trigger as codectechnologies0@gmail.com; Timestamp: Sep 1, 2026 11:09 PM</t>
  </si>
  <si>
    <t>1NQKXLFBFzlNovSelWsmMZavOxtOlybb1</t>
  </si>
  <si>
    <t>https://drive.google.com/file/d/1NQKXLFBFzlNovSelWsmMZavOxtOlybb1/view?usp=drivesdk</t>
  </si>
  <si>
    <t>Document successfully created; Document successfully merged; PDF created; Emails Sent: [To: v7212208@gmail.com]; Run via form trigger as codectechnologies0@gmail.com; Timestamp: Sep 1, 2026 11:20 PM</t>
  </si>
  <si>
    <t>Sakthivel R</t>
  </si>
  <si>
    <t>sakthivelraghupathy05@gmail.com</t>
  </si>
  <si>
    <t xml:space="preserve">Anand Institute of Higher Technology </t>
  </si>
  <si>
    <t>1B_3owxImOA2AUzAX-jGxR-qSufTs5NUf</t>
  </si>
  <si>
    <t>https://drive.google.com/file/d/1B_3owxImOA2AUzAX-jGxR-qSufTs5NUf/view?usp=drivesdk</t>
  </si>
  <si>
    <t>Document successfully created; Document successfully merged; PDF created; Emails Sent: [To: sakthivelraghupathy05@gmail.com]; Run via form trigger as codectechnologies0@gmail.com; Timestamp: Sep 1, 2026 11:51 PM</t>
  </si>
  <si>
    <t>himesh</t>
  </si>
  <si>
    <t>himeshchoudhary0007@gmail.com</t>
  </si>
  <si>
    <t>1uNJ0vHfodsMth1MQfQGVWaIiH05PbsU8</t>
  </si>
  <si>
    <t>https://drive.google.com/file/d/1uNJ0vHfodsMth1MQfQGVWaIiH05PbsU8/view?usp=drivesdk</t>
  </si>
  <si>
    <t>Document successfully created; Document successfully merged; PDF created; Emails Sent: [To: himeshchoudhary0007@gmail.com]; Run via form trigger as codectechnologies0@gmail.com; Timestamp: Sep 2, 2026 12:19 AM</t>
  </si>
  <si>
    <t xml:space="preserve">Roddam Naga Sarvesh </t>
  </si>
  <si>
    <t>sarveshnaga923@gmail.com</t>
  </si>
  <si>
    <t>173EIs_LmgZ23iqRe59IfkPrJmIDOgCv1</t>
  </si>
  <si>
    <t>https://drive.google.com/file/d/173EIs_LmgZ23iqRe59IfkPrJmIDOgCv1/view?usp=drivesdk</t>
  </si>
  <si>
    <t>Document successfully created; Document successfully merged; PDF created; Emails Sent: [To: sarveshnaga923@gmail.com]; Run via form trigger as codectechnologies0@gmail.com; Timestamp: Sep 2, 2026 12:23 AM</t>
  </si>
  <si>
    <t>CHITTIBOYINA SURYAKRISHNA</t>
  </si>
  <si>
    <t>suryakrishna9608@gmail.com</t>
  </si>
  <si>
    <t>1u4dtMuIKdwJ2cOCgBok0JysBCZifU5xN</t>
  </si>
  <si>
    <t>https://drive.google.com/file/d/1u4dtMuIKdwJ2cOCgBok0JysBCZifU5xN/view?usp=drivesdk</t>
  </si>
  <si>
    <t>Document successfully created; Document successfully merged; PDF created; Emails Sent: [To: suryakrishna9608@gmail.com]; Run via form trigger as codectechnologies0@gmail.com; Timestamp: Sep 2, 2026 12:29 AM</t>
  </si>
  <si>
    <t xml:space="preserve">Bandi Rohan </t>
  </si>
  <si>
    <t>rohanbandi14@gmail.com</t>
  </si>
  <si>
    <t xml:space="preserve">Anurag University </t>
  </si>
  <si>
    <t>1QymUj8epVG5W9n6Fq1kjc2TyD7hIug4N</t>
  </si>
  <si>
    <t>https://drive.google.com/file/d/1QymUj8epVG5W9n6Fq1kjc2TyD7hIug4N/view?usp=drivesdk</t>
  </si>
  <si>
    <t>Document successfully created; Document successfully merged; PDF created; Emails Sent: [To: rohanbandi14@gmail.com]; Run via form trigger as codectechnologies0@gmail.com; Timestamp: Sep 2, 2026 12:32 AM</t>
  </si>
  <si>
    <t>Shaik Saniya</t>
  </si>
  <si>
    <t>saniyasonu87@gmail.com</t>
  </si>
  <si>
    <t>Malla Reddy(MR)Demeed To be University</t>
  </si>
  <si>
    <t>1lNq1ax4staoz_nXt1Ny1xWS_lQ3Ra-kD</t>
  </si>
  <si>
    <t>https://drive.google.com/file/d/1lNq1ax4staoz_nXt1Ny1xWS_lQ3Ra-kD/view?usp=drivesdk</t>
  </si>
  <si>
    <t>Document successfully created; Document successfully merged; PDF created; Emails Sent: [To: saniyasonu87@gmail.com]; Run via form trigger as codectechnologies0@gmail.com; Timestamp: Sep 2, 2026 12:40 AM</t>
  </si>
  <si>
    <t>Nikhila Miryala</t>
  </si>
  <si>
    <t>nikhilamiryala09@gmail.com</t>
  </si>
  <si>
    <t>1VkZHyhdF3cAxhTnxA6tOLHajDrQ5YELo</t>
  </si>
  <si>
    <t>https://drive.google.com/file/d/1VkZHyhdF3cAxhTnxA6tOLHajDrQ5YELo/view?usp=drivesdk</t>
  </si>
  <si>
    <t>Document successfully created; Document successfully merged; PDF created; Emails Sent: [To: nikhilamiryala09@gmail.com]; Run via form trigger as codectechnologies0@gmail.com; Timestamp: Sep 2, 2026 12:41 AM</t>
  </si>
  <si>
    <t>19ttb9IYGLqU2kQR7IE1oivvr--C3CEgL</t>
  </si>
  <si>
    <t>https://drive.google.com/file/d/19ttb9IYGLqU2kQR7IE1oivvr--C3CEgL/view?usp=drivesdk</t>
  </si>
  <si>
    <t>Document successfully created; Document successfully merged; PDF created; Emails Sent: [To: rohanbandi14@gmail.com]; Run via form trigger as codectechnologies0@gmail.com; Timestamp: Sep 2, 2026 12:44 AM</t>
  </si>
  <si>
    <t>Krishnasamy College of Science Arts and Management for Women</t>
  </si>
  <si>
    <t>1AaFdXwhAxMn7_teZ1mW6ZWLldzD6VvXN</t>
  </si>
  <si>
    <t>https://drive.google.com/file/d/1AaFdXwhAxMn7_teZ1mW6ZWLldzD6VvXN/view?usp=drivesdk</t>
  </si>
  <si>
    <t>Document successfully created; Document successfully merged; PDF created; Emails Sent: [To: lathifathulmubeena102@gmail.com]; Run via form trigger as codectechnologies0@gmail.com; Timestamp: Sep 2, 2026 12:48 AM</t>
  </si>
  <si>
    <t>sktiwari12005@gmail.com</t>
  </si>
  <si>
    <t>1fKwM0uGQv9XEzEiHd3pB_70SLvqa01Ad</t>
  </si>
  <si>
    <t>https://drive.google.com/file/d/1fKwM0uGQv9XEzEiHd3pB_70SLvqa01Ad/view?usp=drivesdk</t>
  </si>
  <si>
    <t>Document successfully created; Document successfully merged; PDF created; Emails Sent: [To: sktiwari12005@gmail.com]; Run via form trigger as codectechnologies0@gmail.com; Timestamp: Sep 2, 2026 12:54 AM</t>
  </si>
  <si>
    <t>Dharmam Kumar</t>
  </si>
  <si>
    <t>dharmamkumar64@gmail.com</t>
  </si>
  <si>
    <t>1keDEPjRG99VsR_L2YulrQ62BeGESKq7U</t>
  </si>
  <si>
    <t>https://drive.google.com/file/d/1keDEPjRG99VsR_L2YulrQ62BeGESKq7U/view?usp=drivesdk</t>
  </si>
  <si>
    <t>Document successfully created; Document successfully merged; PDF created; Emails Sent: [To: dharmamkumar64@gmail.com]; Run via form trigger as codectechnologies0@gmail.com; Timestamp: Sep 2, 2026 12:54 AM</t>
  </si>
  <si>
    <t xml:space="preserve">Saumitra Salvi </t>
  </si>
  <si>
    <t>salvisaumitra@gmail.com</t>
  </si>
  <si>
    <t xml:space="preserve">SABAS </t>
  </si>
  <si>
    <t>1eBPB_FTOS93unnExyQjEJZMtHdVTPCUF</t>
  </si>
  <si>
    <t>https://drive.google.com/file/d/1eBPB_FTOS93unnExyQjEJZMtHdVTPCUF/view?usp=drivesdk</t>
  </si>
  <si>
    <t>Document successfully created; Document successfully merged; PDF created; Emails Sent: [To: salvisaumitra@gmail.com]; Run via form trigger as codectechnologies0@gmail.com; Timestamp: Sep 2, 2026 1:03 AM</t>
  </si>
  <si>
    <t>Keerthivarma S</t>
  </si>
  <si>
    <t>keerthivarma52@gmail.com</t>
  </si>
  <si>
    <t>Knowledge Institute Of Technology</t>
  </si>
  <si>
    <t>19dCqKoTi21wT-AVU6Bom407PGVDEPGcg</t>
  </si>
  <si>
    <t>https://drive.google.com/file/d/19dCqKoTi21wT-AVU6Bom407PGVDEPGcg/view?usp=drivesdk</t>
  </si>
  <si>
    <t>Document successfully created; Document successfully merged; PDF created; Emails Sent: [To: keerthivarma52@gmail.com]; Run via form trigger as codectechnologies0@gmail.com; Timestamp: Sep 2, 2026 1:03 AM</t>
  </si>
  <si>
    <t xml:space="preserve">Somaiya School of Basic and Applied Science </t>
  </si>
  <si>
    <t>1A7t24rG2UDLr2wqn9XgS68mw6oTAItxM</t>
  </si>
  <si>
    <t>https://drive.google.com/file/d/1A7t24rG2UDLr2wqn9XgS68mw6oTAItxM/view?usp=drivesdk</t>
  </si>
  <si>
    <t>Document successfully created; Document successfully merged; PDF created; Emails Sent: [To: singhriyarm05@gmail.com]; Run via form trigger as codectechnologies0@gmail.com; Timestamp: Sep 2, 2026 1:09 AM</t>
  </si>
  <si>
    <t>Nilakantha Sahu</t>
  </si>
  <si>
    <t>nilakanthasahu496@gmail.com</t>
  </si>
  <si>
    <t>1k3UApTWG1jMJN2m7QEDa17gJn-AAeHBi</t>
  </si>
  <si>
    <t>https://drive.google.com/file/d/1k3UApTWG1jMJN2m7QEDa17gJn-AAeHBi/view?usp=drivesdk</t>
  </si>
  <si>
    <t>Document successfully created; Document successfully merged; PDF created; Emails Sent: [To: nilakanthasahu496@gmail.com]; Run via form trigger as codectechnologies0@gmail.com; Timestamp: Sep 2, 2026 1:20 AM</t>
  </si>
  <si>
    <t>Eslavath Subhash Chandra</t>
  </si>
  <si>
    <t>eslavath_sc@cy.iitr.ac.in</t>
  </si>
  <si>
    <t>Indian Institute of Technology Roorkee</t>
  </si>
  <si>
    <t>1BpNenldof3zSBTmpZhAaSplcR2S1ascC</t>
  </si>
  <si>
    <t>https://drive.google.com/file/d/1BpNenldof3zSBTmpZhAaSplcR2S1ascC/view?usp=drivesdk</t>
  </si>
  <si>
    <t>Document successfully created; Document successfully merged; PDF created; Emails Sent: [To: eslavath_sc@cy.iitr.ac.in]; Run via form trigger as codectechnologies0@gmail.com; Timestamp: Sep 2, 2026 1:36 AM</t>
  </si>
  <si>
    <t xml:space="preserve">YASHWANTH MUDDA </t>
  </si>
  <si>
    <t>yashwanthmudda09@gmail.com</t>
  </si>
  <si>
    <t>07601042339</t>
  </si>
  <si>
    <t>kl university</t>
  </si>
  <si>
    <t>1sv95LhE7NPc3hJPBPMbluxMgkK_Gukpz</t>
  </si>
  <si>
    <t>https://drive.google.com/file/d/1sv95LhE7NPc3hJPBPMbluxMgkK_Gukpz/view?usp=drivesdk</t>
  </si>
  <si>
    <t>Document successfully created; Document successfully merged; PDF created; Emails Sent: [To: yashwanthmudda09@gmail.com]; Run via form trigger as codectechnologies0@gmail.com; Timestamp: Sep 2, 2026 1:38 AM</t>
  </si>
  <si>
    <t>1AXSDFugxBueZL6xmw87t2C6pTeTJHHkj</t>
  </si>
  <si>
    <t>https://drive.google.com/file/d/1AXSDFugxBueZL6xmw87t2C6pTeTJHHkj/view?usp=drivesdk</t>
  </si>
  <si>
    <t>Document successfully created; Document successfully merged; PDF created; Emails Sent: [To: jayramyadavjayram98@gmail.com]; Run via form trigger as codectechnologies0@gmail.com; Timestamp: Sep 2, 2026 1:46 AM</t>
  </si>
  <si>
    <t>T. raghu veer</t>
  </si>
  <si>
    <t>thotaraghuveer1435@gmail.com</t>
  </si>
  <si>
    <t>1MnOsCh3Xh41ABa6YXvZzCD1tCcebDxkD</t>
  </si>
  <si>
    <t>https://drive.google.com/file/d/1MnOsCh3Xh41ABa6YXvZzCD1tCcebDxkD/view?usp=drivesdk</t>
  </si>
  <si>
    <t>Document successfully created; Document successfully merged; PDF created; Emails Sent: [To: thotaraghuveer1435@gmail.com]; Run via form trigger as codectechnologies0@gmail.com; Timestamp: Sep 2, 2026 1:48 AM</t>
  </si>
  <si>
    <t>Amit Namdeo</t>
  </si>
  <si>
    <t>amitnamdeo51@gmail.com</t>
  </si>
  <si>
    <t>Dr. Hari singh gour university sagar</t>
  </si>
  <si>
    <t>11W4Ts77pX_i1k28nClLV-MU07AtvlPJ5</t>
  </si>
  <si>
    <t>https://drive.google.com/file/d/11W4Ts77pX_i1k28nClLV-MU07AtvlPJ5/view?usp=drivesdk</t>
  </si>
  <si>
    <t>Document successfully created; Document successfully merged; PDF created; Emails Sent: [To: amitnamdeo51@gmail.com]; Run via form trigger as codectechnologies0@gmail.com; Timestamp: Sep 2, 2026 1:53 AM</t>
  </si>
  <si>
    <t>T. Raghu veer</t>
  </si>
  <si>
    <t>1hjkDnPjG5dhkjFzkyS_2oqVQR2tLH_C0</t>
  </si>
  <si>
    <t>https://drive.google.com/file/d/1hjkDnPjG5dhkjFzkyS_2oqVQR2tLH_C0/view?usp=drivesdk</t>
  </si>
  <si>
    <t>Document successfully created; Document successfully merged; PDF created; Emails Sent: [To: thotaraghuveer1435@gmail.com]; Run via form trigger as codectechnologies0@gmail.com; Timestamp: Sep 2, 2026 1:54 AM</t>
  </si>
  <si>
    <t>Soumyashree Sharma</t>
  </si>
  <si>
    <t>soumyashreesharma53@gmail.com</t>
  </si>
  <si>
    <t>1XRJavSISa7noFLKFT7yNo-BaQpFizx4j</t>
  </si>
  <si>
    <t>https://drive.google.com/file/d/1XRJavSISa7noFLKFT7yNo-BaQpFizx4j/view?usp=drivesdk</t>
  </si>
  <si>
    <t>Document successfully created; Document successfully merged; PDF created; Emails Sent: [To: soumyashreesharma53@gmail.com]; Run via form trigger as codectechnologies0@gmail.com; Timestamp: Sep 2, 2026 1:56 AM</t>
  </si>
  <si>
    <t>Mohammed Bin Akram</t>
  </si>
  <si>
    <t>mohammedbinakram835@gmail.com</t>
  </si>
  <si>
    <t>1uQXYcL80_VAWdDoAJdj2XnjuK6Sl8PJQ</t>
  </si>
  <si>
    <t>https://drive.google.com/file/d/1uQXYcL80_VAWdDoAJdj2XnjuK6Sl8PJQ/view?usp=drivesdk</t>
  </si>
  <si>
    <t>Document successfully created; Document successfully merged; PDF created; Emails Sent: [To: mohammedbinakram835@gmail.com]; Run via form trigger as codectechnologies0@gmail.com; Timestamp: Sep 2, 2026 2:03 AM</t>
  </si>
  <si>
    <t>Sudhanshu singh</t>
  </si>
  <si>
    <t>sudhanshu.25scs1003002789@iilm.edu</t>
  </si>
  <si>
    <t>12Ws4TDRE2S8i_c9viR7CqSBM2v-SV4oW</t>
  </si>
  <si>
    <t>https://drive.google.com/file/d/12Ws4TDRE2S8i_c9viR7CqSBM2v-SV4oW/view?usp=drivesdk</t>
  </si>
  <si>
    <t>Document successfully created; Document successfully merged; PDF created; Emails Sent: [To: sudhanshu.25scs1003002789@iilm.edu]; Run via form trigger as codectechnologies0@gmail.com; Timestamp: Sep 2, 2026 2:10 AM</t>
  </si>
  <si>
    <t xml:space="preserve">Shivam Singh </t>
  </si>
  <si>
    <t>shivamsinghs4u@gmail.com</t>
  </si>
  <si>
    <t xml:space="preserve">Institute of Technology And Management </t>
  </si>
  <si>
    <t>1oT76pzbOTEP4Wpj1eBNbJICV3wk5ZUsL</t>
  </si>
  <si>
    <t>https://drive.google.com/file/d/1oT76pzbOTEP4Wpj1eBNbJICV3wk5ZUsL/view?usp=drivesdk</t>
  </si>
  <si>
    <t>Document successfully created; Document successfully merged; PDF created; Emails Sent: [To: shivamsinghs4u@gmail.com]; Run via form trigger as codectechnologies0@gmail.com; Timestamp: Sep 2, 2026 2:15 AM</t>
  </si>
  <si>
    <t xml:space="preserve">Rohit Sharma </t>
  </si>
  <si>
    <t>rohitpass264@gmail.com</t>
  </si>
  <si>
    <t>1l1Iz2poLlkRTPLUv44PFDcO2OcIS0V9m</t>
  </si>
  <si>
    <t>https://drive.google.com/file/d/1l1Iz2poLlkRTPLUv44PFDcO2OcIS0V9m/view?usp=drivesdk</t>
  </si>
  <si>
    <t>Document successfully created; Document successfully merged; PDF created; Emails Sent: [To: rohitpass264@gmail.com]; Run via form trigger as codectechnologies0@gmail.com; Timestamp: Sep 2, 2026 2:20 AM</t>
  </si>
  <si>
    <t>Chandraveer Kumar</t>
  </si>
  <si>
    <t>chandraveerkumar500@gmail.com</t>
  </si>
  <si>
    <t xml:space="preserve">Roorkee Institute of Technology </t>
  </si>
  <si>
    <t>1aIUjBIPaKtJ-jO6EmxbjNq7fRrOkqCu4</t>
  </si>
  <si>
    <t>https://drive.google.com/file/d/1aIUjBIPaKtJ-jO6EmxbjNq7fRrOkqCu4/view?usp=drivesdk</t>
  </si>
  <si>
    <t>Document successfully created; Document successfully merged; PDF created; Emails Sent: [To: chandraveerkumar500@gmail.com]; Run via form trigger as codectechnologies0@gmail.com; Timestamp: Sep 2, 2026 2:38 AM</t>
  </si>
  <si>
    <t>Nivesh Tyagi</t>
  </si>
  <si>
    <t>nivesh.25scs1003004947@iilm.edu</t>
  </si>
  <si>
    <t>1N7EPjwqaT2Re85j7rPz9DYIk8fnE1xin</t>
  </si>
  <si>
    <t>https://drive.google.com/file/d/1N7EPjwqaT2Re85j7rPz9DYIk8fnE1xin/view?usp=drivesdk</t>
  </si>
  <si>
    <t>Document successfully created; Document successfully merged; PDF created; Emails Sent: [To: nivesh.25scs1003004947@iilm.edu]; Run via form trigger as codectechnologies0@gmail.com; Timestamp: Sep 2, 2026 2:43 AM</t>
  </si>
  <si>
    <t xml:space="preserve">Laxmi biradar </t>
  </si>
  <si>
    <t>laxmibiradar2508@gmail.com</t>
  </si>
  <si>
    <t>6360542446k</t>
  </si>
  <si>
    <t xml:space="preserve">KS institute of technology banglore </t>
  </si>
  <si>
    <t>1LrQE1ymFZ3vSm8Uf7NRch6SwpQZbtZuE</t>
  </si>
  <si>
    <t>https://drive.google.com/file/d/1LrQE1ymFZ3vSm8Uf7NRch6SwpQZbtZuE/view?usp=drivesdk</t>
  </si>
  <si>
    <t>Document successfully created; Document successfully merged; PDF created; Emails Sent: [To: laxmibiradar2508@gmail.com]; Run via form trigger as codectechnologies0@gmail.com; Timestamp: Sep 2, 2026 2:51 AM</t>
  </si>
  <si>
    <t>Abhijeet Pandey</t>
  </si>
  <si>
    <t>ap5742288@gmail.com</t>
  </si>
  <si>
    <t xml:space="preserve">Dr harisingh gour university sagar </t>
  </si>
  <si>
    <t>1AtlPBrc8ILeGAbYoIxiawjqvi4t6mYUF</t>
  </si>
  <si>
    <t>https://drive.google.com/file/d/1AtlPBrc8ILeGAbYoIxiawjqvi4t6mYUF/view?usp=drivesdk</t>
  </si>
  <si>
    <t>Document successfully created; Document successfully merged; PDF created; Emails Sent: [To: ap5742288@gmail.com]; Run via form trigger as codectechnologies0@gmail.com; Timestamp: Sep 2, 2026 2:56 AM</t>
  </si>
  <si>
    <t xml:space="preserve">DUPPETI AKASH </t>
  </si>
  <si>
    <t>akashlucky474@gmail.com</t>
  </si>
  <si>
    <t xml:space="preserve">Gayatri Vidya parshid College of engineering </t>
  </si>
  <si>
    <t>1TmCX6jsX2YNUmr7R2UIwE4oi0PfiTvMs</t>
  </si>
  <si>
    <t>https://drive.google.com/file/d/1TmCX6jsX2YNUmr7R2UIwE4oi0PfiTvMs/view?usp=drivesdk</t>
  </si>
  <si>
    <t>Document successfully created; Document successfully merged; PDF created; Emails Sent: [To: akashlucky474@gmail.com]; Run via form trigger as codectechnologies0@gmail.com; Timestamp: Sep 2, 2026 2:58 AM</t>
  </si>
  <si>
    <t>Rutuja Mane</t>
  </si>
  <si>
    <t>rutuja.mane24@pcu.edu.in</t>
  </si>
  <si>
    <t>1oOCBG_ZivJhoku1ncBc0wPEhotxkn5KK</t>
  </si>
  <si>
    <t>https://drive.google.com/file/d/1oOCBG_ZivJhoku1ncBc0wPEhotxkn5KK/view?usp=drivesdk</t>
  </si>
  <si>
    <t>Document successfully created; Document successfully merged; PDF created; Emails Sent: [To: rutuja.mane24@pcu.edu.in]; Run via form trigger as codectechnologies0@gmail.com; Timestamp: Sep 2, 2026 2:59 AM</t>
  </si>
  <si>
    <t>Rashi Sharma</t>
  </si>
  <si>
    <t>rashi9sharma2006@gmail.com</t>
  </si>
  <si>
    <t xml:space="preserve">Dr. Hari Singh Gour University </t>
  </si>
  <si>
    <t>1Q_qDvyZ-B7m-uzTWCL33h2dYhPNT09Rr</t>
  </si>
  <si>
    <t>https://drive.google.com/file/d/1Q_qDvyZ-B7m-uzTWCL33h2dYhPNT09Rr/view?usp=drivesdk</t>
  </si>
  <si>
    <t>Document successfully created; Document successfully merged; PDF created; Emails Sent: [To: rashi9sharma2006@gmail.com]; Run via form trigger as codectechnologies0@gmail.com; Timestamp: Sep 2, 2026 3:00 AM</t>
  </si>
  <si>
    <t>Namrata Jagdale</t>
  </si>
  <si>
    <t>namratajagdale56@gmail.com</t>
  </si>
  <si>
    <t xml:space="preserve">Sanjay Ghodawat Institute </t>
  </si>
  <si>
    <t>1F0SUdLSrVUG2kDu8vKgOzgmIQ-KsCiMM</t>
  </si>
  <si>
    <t>https://drive.google.com/file/d/1F0SUdLSrVUG2kDu8vKgOzgmIQ-KsCiMM/view?usp=drivesdk</t>
  </si>
  <si>
    <t>Document successfully created; Document successfully merged; PDF created; Emails Sent: [To: namratajagdale56@gmail.com]; Run via form trigger as codectechnologies0@gmail.com; Timestamp: Sep 2, 2026 3:02 AM</t>
  </si>
  <si>
    <t>Venu Madhav S</t>
  </si>
  <si>
    <t>230710.cd@rmkec.ac.in</t>
  </si>
  <si>
    <t>R.M.K. Engineerning college</t>
  </si>
  <si>
    <t>1NvQ0-Zu1tjJNNvgTQGHXN71d4PQZsIe5</t>
  </si>
  <si>
    <t>https://drive.google.com/file/d/1NvQ0-Zu1tjJNNvgTQGHXN71d4PQZsIe5/view?usp=drivesdk</t>
  </si>
  <si>
    <t>Document successfully created; Document successfully merged; PDF created; Emails Sent: [To: 230710.cd@rmkec.ac.in]; Run via form trigger as codectechnologies0@gmail.com; Timestamp: Sep 2, 2026 3:08 AM</t>
  </si>
  <si>
    <t>Tanish pinjwani</t>
  </si>
  <si>
    <t>tanishpinjwani@gmail.com</t>
  </si>
  <si>
    <t xml:space="preserve">Dr Hari Singh Gour university </t>
  </si>
  <si>
    <t>1rl4gzQqJwrk666dbWgdsMVoLylHf24M-</t>
  </si>
  <si>
    <t>https://drive.google.com/file/d/1rl4gzQqJwrk666dbWgdsMVoLylHf24M-/view?usp=drivesdk</t>
  </si>
  <si>
    <t>Document successfully created; Document successfully merged; PDF created; Emails Sent: [To: tanishpinjwani@gmail.com]; Run via form trigger as codectechnologies0@gmail.com; Timestamp: Sep 2, 2026 3:16 AM</t>
  </si>
  <si>
    <t>ANUJ KUMAR</t>
  </si>
  <si>
    <t>anujprajapati7090@gmail.com</t>
  </si>
  <si>
    <t>1VjV9PpJiHccbrYQ7nidM6YSHoY9bSA2Q</t>
  </si>
  <si>
    <t>https://drive.google.com/file/d/1VjV9PpJiHccbrYQ7nidM6YSHoY9bSA2Q/view?usp=drivesdk</t>
  </si>
  <si>
    <t>Document successfully created; Document successfully merged; PDF created; Emails Sent: [To: anujprajapati7090@gmail.com]; Run via form trigger as codectechnologies0@gmail.com; Timestamp: Sep 2, 2026 3:24 AM</t>
  </si>
  <si>
    <t>Krish jaiswal</t>
  </si>
  <si>
    <t>Krishjaiswalff@gmail.com</t>
  </si>
  <si>
    <t>1PCKAvHpQ_C1IJ2yMKFPjxKUvLzEFtwCs</t>
  </si>
  <si>
    <t>https://drive.google.com/file/d/1PCKAvHpQ_C1IJ2yMKFPjxKUvLzEFtwCs/view?usp=drivesdk</t>
  </si>
  <si>
    <t>Document successfully created; Document successfully merged; PDF created; Emails Sent: [To: Krishjaiswalff@gmail.com]; Run via form trigger as codectechnologies0@gmail.com; Timestamp: Sep 2, 2026 3:38 AM</t>
  </si>
  <si>
    <t>Y Pavan Naidu</t>
  </si>
  <si>
    <t>pavanprashankyerramothu@gmail.com</t>
  </si>
  <si>
    <t xml:space="preserve">Aditya University </t>
  </si>
  <si>
    <t>1C--K5DTbdTdrlkrvaDId6eIRlaH9CpuK</t>
  </si>
  <si>
    <t>https://drive.google.com/file/d/1C--K5DTbdTdrlkrvaDId6eIRlaH9CpuK/view?usp=drivesdk</t>
  </si>
  <si>
    <t>Document successfully created; Document successfully merged; PDF created; Emails Sent: [To: pavanprashankyerramothu@gmail.com]; Run via form trigger as codectechnologies0@gmail.com; Timestamp: Sep 2, 2026 4:00 AM</t>
  </si>
  <si>
    <t>PATAPANCHALA SANDHYARANI</t>
  </si>
  <si>
    <t>24761A0542@lbrce.ac.in</t>
  </si>
  <si>
    <t>LAKIREDDYBALIREDDY COLLEGE OF ENGINEERING</t>
  </si>
  <si>
    <t>1J2M_h5m1QQBIDQeSZhin7KGkyneudpNS</t>
  </si>
  <si>
    <t>https://drive.google.com/file/d/1J2M_h5m1QQBIDQeSZhin7KGkyneudpNS/view?usp=drivesdk</t>
  </si>
  <si>
    <t>Document successfully created; Document successfully merged; PDF created; Emails Sent: [To: 24761A0542@lbrce.ac.in]; Run via form trigger as codectechnologies0@gmail.com; Timestamp: Sep 2, 2026 4:10 AM</t>
  </si>
  <si>
    <t>Ayush Kumar rai</t>
  </si>
  <si>
    <t>ayushkumarrai0988@gmail.com</t>
  </si>
  <si>
    <t>Noida Institute Of Engineering and Technology Greater Noida</t>
  </si>
  <si>
    <t>1SAQw6AgIy6DFdHEREd7QF9Mtna1yRcH4</t>
  </si>
  <si>
    <t>https://drive.google.com/file/d/1SAQw6AgIy6DFdHEREd7QF9Mtna1yRcH4/view?usp=drivesdk</t>
  </si>
  <si>
    <t>Document successfully created; Document successfully merged; PDF created; Emails Sent: [To: ayushkumarrai0988@gmail.com]; Run via form trigger as codectechnologies0@gmail.com; Timestamp: Sep 2, 2026 4:12 AM</t>
  </si>
  <si>
    <t>Sankalp Gupta</t>
  </si>
  <si>
    <t>sankalpgupta2803@gmail.com</t>
  </si>
  <si>
    <t>NIT Patna</t>
  </si>
  <si>
    <t>1hN1yLJDtT_NAC2MBt2n0UYVoFCQ6t1H8</t>
  </si>
  <si>
    <t>https://drive.google.com/file/d/1hN1yLJDtT_NAC2MBt2n0UYVoFCQ6t1H8/view?usp=drivesdk</t>
  </si>
  <si>
    <t>Document successfully created; Document successfully merged; PDF created; Emails Sent: [To: sankalpgupta2803@gmail.com]; Run via form trigger as codectechnologies0@gmail.com; Timestamp: Sep 2, 2026 4:12 AM</t>
  </si>
  <si>
    <t>Sneha Sahu</t>
  </si>
  <si>
    <t>snehasahu39827@gmail.com</t>
  </si>
  <si>
    <t xml:space="preserve">SR Group of Institutions (SRGI) </t>
  </si>
  <si>
    <t>LinkedIn, Friend, Internshala</t>
  </si>
  <si>
    <t>122S-Y3qDeU8au4Ck7x7SZoVMRnaZ9U24</t>
  </si>
  <si>
    <t>https://drive.google.com/file/d/122S-Y3qDeU8au4Ck7x7SZoVMRnaZ9U24/view?usp=drivesdk</t>
  </si>
  <si>
    <t>Document successfully created; Document successfully merged; PDF created; Emails Sent: [To: snehasahu39827@gmail.com]; Run via form trigger as codectechnologies0@gmail.com; Timestamp: Sep 2, 2026 4:15 AM</t>
  </si>
  <si>
    <t>Adarsh Kumar Gupta</t>
  </si>
  <si>
    <t>adarshg2305@gmail.com</t>
  </si>
  <si>
    <t>Chatrapati Shahu Ji Maharaj University Kanpur</t>
  </si>
  <si>
    <t>1SP9zWxFHDeT0pBqSQZDGyPdafwJLLR3P</t>
  </si>
  <si>
    <t>https://drive.google.com/file/d/1SP9zWxFHDeT0pBqSQZDGyPdafwJLLR3P/view?usp=drivesdk</t>
  </si>
  <si>
    <t>Document successfully created; Document successfully merged; PDF created; Emails Sent: [To: adarshg2305@gmail.com]; Run via form trigger as codectechnologies0@gmail.com; Timestamp: Sep 2, 2026 4:26 AM</t>
  </si>
  <si>
    <t>PASUPULETI JYOTHIRMAI</t>
  </si>
  <si>
    <t>jyopasupuleti07@gmail.com</t>
  </si>
  <si>
    <t>Lakireddy Bali Reddy college of enginerring</t>
  </si>
  <si>
    <t>1oMz5Qym8gA6a-TqqNeQ_oyE5AEzLudDq</t>
  </si>
  <si>
    <t>https://drive.google.com/file/d/1oMz5Qym8gA6a-TqqNeQ_oyE5AEzLudDq/view?usp=drivesdk</t>
  </si>
  <si>
    <t>Document successfully created; Document successfully merged; PDF created; Emails Sent: [To: jyopasupuleti07@gmail.com]; Run via form trigger as codectechnologies0@gmail.com; Timestamp: Sep 2, 2026 4:30 AM</t>
  </si>
  <si>
    <t xml:space="preserve">Bhakti Pandurang Varekar </t>
  </si>
  <si>
    <t>bhaktivarekar45@gmail.com</t>
  </si>
  <si>
    <t xml:space="preserve">Sanjay Ghodawat institute, Atigre </t>
  </si>
  <si>
    <t>1tqJbDhu6Q7JHvrzy_uAfNKLiCyAqhGee</t>
  </si>
  <si>
    <t>https://drive.google.com/file/d/1tqJbDhu6Q7JHvrzy_uAfNKLiCyAqhGee/view?usp=drivesdk</t>
  </si>
  <si>
    <t>Document successfully created; Document successfully merged; PDF created; Emails Sent: [To: bhaktivarekar45@gmail.com]; Run via form trigger as codectechnologies0@gmail.com; Timestamp: Sep 2, 2026 4:30 AM</t>
  </si>
  <si>
    <t>Roshni Roy</t>
  </si>
  <si>
    <t>roshniroy9600@gmail.com</t>
  </si>
  <si>
    <t>University Of Kalyani</t>
  </si>
  <si>
    <t>1rFJQB5ZFUNLB9Sklm_3k7WoTmPmLi1Fk</t>
  </si>
  <si>
    <t>https://drive.google.com/file/d/1rFJQB5ZFUNLB9Sklm_3k7WoTmPmLi1Fk/view?usp=drivesdk</t>
  </si>
  <si>
    <t>Document successfully created; Document successfully merged; PDF created; Emails Sent: [To: roshniroy9600@gmail.com]; Run via form trigger as codectechnologies0@gmail.com; Timestamp: Sep 2, 2026 4:50 AM</t>
  </si>
  <si>
    <t>PRAVEEN KUMAR UMESH VISHWAKARMA</t>
  </si>
  <si>
    <t>praveenvishwakarma5455@gmail.com</t>
  </si>
  <si>
    <t>SNBP COLLEGE OF ARTS, COMMERCE, SCIENCE AND MANAGEMENT STUDIES</t>
  </si>
  <si>
    <t>1B2jfzvy-0r6GxQnT9mmVi4ToMqmBwrM_</t>
  </si>
  <si>
    <t>https://drive.google.com/file/d/1B2jfzvy-0r6GxQnT9mmVi4ToMqmBwrM_/view?usp=drivesdk</t>
  </si>
  <si>
    <t>Document successfully created; Document successfully merged; PDF created; Emails Sent: [To: praveenvishwakarma5455@gmail.com]; Run via form trigger as codectechnologies0@gmail.com; Timestamp: Sep 2, 2026 4:51 AM</t>
  </si>
  <si>
    <t>Chetan Kisanlal Choudhary</t>
  </si>
  <si>
    <t>chetanchoudhary4554@gmail.com</t>
  </si>
  <si>
    <t>SNBP College Of Arts , Commerce , Science And Management Studies</t>
  </si>
  <si>
    <t>1e4jhgQQOFDoIGtu3x3VxkCWfhxvviqjU</t>
  </si>
  <si>
    <t>https://drive.google.com/file/d/1e4jhgQQOFDoIGtu3x3VxkCWfhxvviqjU/view?usp=drivesdk</t>
  </si>
  <si>
    <t>Document successfully created; Document successfully merged; PDF created; Emails Sent: [To: chetanchoudhary4554@gmail.com]; Run via form trigger as codectechnologies0@gmail.com; Timestamp: Sep 2, 2026 4:52 AM</t>
  </si>
  <si>
    <t xml:space="preserve">Yasam Nandeeswarudu </t>
  </si>
  <si>
    <t>yasamnandeeswarudu08@gmail.com</t>
  </si>
  <si>
    <t xml:space="preserve">Malla reddy university </t>
  </si>
  <si>
    <t>1UqmzrTEzG4Vf2bMfEV6G7xwLuLVJ3aQQ</t>
  </si>
  <si>
    <t>https://drive.google.com/file/d/1UqmzrTEzG4Vf2bMfEV6G7xwLuLVJ3aQQ/view?usp=drivesdk</t>
  </si>
  <si>
    <t>Document successfully created; Document successfully merged; PDF created; Emails Sent: [To: yasamnandeeswarudu08@gmail.com]; Run via form trigger as codectechnologies0@gmail.com; Timestamp: Sep 2, 2026 5:12 AM</t>
  </si>
  <si>
    <t>Aryan pal</t>
  </si>
  <si>
    <t>apal9232@gmail.com</t>
  </si>
  <si>
    <t xml:space="preserve">Sunderdeep Engineering college </t>
  </si>
  <si>
    <t>1YM7CfhUyzrSVj6xSm0GDQsxHbZHPxp2v</t>
  </si>
  <si>
    <t>https://drive.google.com/file/d/1YM7CfhUyzrSVj6xSm0GDQsxHbZHPxp2v/view?usp=drivesdk</t>
  </si>
  <si>
    <t>Document successfully created; Document successfully merged; PDF created; Emails Sent: [To: apal9232@gmail.com]; Run via form trigger as codectechnologies0@gmail.com; Timestamp: Sep 2, 2026 5:17 AM</t>
  </si>
  <si>
    <t>Pritt Sarkar</t>
  </si>
  <si>
    <t>prittsarkar@gmail.com</t>
  </si>
  <si>
    <t>University of Kalyani</t>
  </si>
  <si>
    <t>1xwrRACzLNbn4AXmht1Db7sVUgNQYGdQx</t>
  </si>
  <si>
    <t>https://drive.google.com/file/d/1xwrRACzLNbn4AXmht1Db7sVUgNQYGdQx/view?usp=drivesdk</t>
  </si>
  <si>
    <t>Document successfully created; Document successfully merged; PDF created; Emails Sent: [To: prittsarkar@gmail.com]; Run via form trigger as codectechnologies0@gmail.com; Timestamp: Sep 2, 2026 5:18 AM</t>
  </si>
  <si>
    <t>Prajapati Manavkumar Sanjaybhai</t>
  </si>
  <si>
    <t>manavpra2511@gmail.com</t>
  </si>
  <si>
    <t>LDRP-ITR , Ghandhinagar</t>
  </si>
  <si>
    <t>1LRzL37wMafhyTrtl_IwtpJEKUeZZEtAZ</t>
  </si>
  <si>
    <t>https://drive.google.com/file/d/1LRzL37wMafhyTrtl_IwtpJEKUeZZEtAZ/view?usp=drivesdk</t>
  </si>
  <si>
    <t>Document successfully created; Document successfully merged; PDF created; Emails Sent: [To: manavpra2511@gmail.com]; Run via form trigger as codectechnologies0@gmail.com; Timestamp: Sep 2, 2026 5:21 AM</t>
  </si>
  <si>
    <t>abhishekofficial13@gmail.com</t>
  </si>
  <si>
    <t xml:space="preserve">Dr Harisingh Gour University </t>
  </si>
  <si>
    <t>LinkedIn, Instagram, Facebook, Friend, Email, Google, AICTE/Indeed, Internshala, Other</t>
  </si>
  <si>
    <t>1bki6GhNGUPZyCVvpqREFj1F63suwKaaC</t>
  </si>
  <si>
    <t>https://drive.google.com/file/d/1bki6GhNGUPZyCVvpqREFj1F63suwKaaC/view?usp=drivesdk</t>
  </si>
  <si>
    <t>Document successfully created; Document successfully merged; PDF created; Emails Sent: [To: abhishekofficial13@gmail.com]; Run via form trigger as codectechnologies0@gmail.com; Timestamp: Sep 2, 2026 5:23 AM</t>
  </si>
  <si>
    <t>15WPr04ek-HbF8owWVN1lFA9MrnviXXXG</t>
  </si>
  <si>
    <t>https://drive.google.com/file/d/15WPr04ek-HbF8owWVN1lFA9MrnviXXXG/view?usp=drivesdk</t>
  </si>
  <si>
    <t>Document successfully created; Document successfully merged; PDF created; Emails Sent: [To: roshniroy9600@gmail.com]; Run via form trigger as codectechnologies0@gmail.com; Timestamp: Sep 2, 2026 5:25 AM</t>
  </si>
  <si>
    <t>Arpit Kumar Chourasiya</t>
  </si>
  <si>
    <t>chaurasiaarpit13@gmail.com</t>
  </si>
  <si>
    <t>Roorkee Institute Of Technology</t>
  </si>
  <si>
    <t>1KZc9hV7CyqpOvjyXmRxh7626zD4BmAUe</t>
  </si>
  <si>
    <t>https://drive.google.com/file/d/1KZc9hV7CyqpOvjyXmRxh7626zD4BmAUe/view?usp=drivesdk</t>
  </si>
  <si>
    <t>Document successfully created; Document successfully merged; PDF created; Emails Sent: [To: chaurasiaarpit13@gmail.com]; Run via form trigger as codectechnologies0@gmail.com; Timestamp: Sep 2, 2026 5:26 AM</t>
  </si>
  <si>
    <t>1O8HdRcc0_nHm92fLfDPRZ1OxQ2Y1vdNY</t>
  </si>
  <si>
    <t>https://drive.google.com/file/d/1O8HdRcc0_nHm92fLfDPRZ1OxQ2Y1vdNY/view?usp=drivesdk</t>
  </si>
  <si>
    <t>Document successfully created; Document successfully merged; PDF created; Emails Sent: [To: apal9232@gmail.com]; Run via form trigger as codectechnologies0@gmail.com; Timestamp: Sep 2, 2026 5:58 AM</t>
  </si>
  <si>
    <t>Lovelesh Jain</t>
  </si>
  <si>
    <t>jainloveleshmar06@gmail.com</t>
  </si>
  <si>
    <t>kalinga institute of industrial technology</t>
  </si>
  <si>
    <t>1K2kZDrXPdjr20svuoiROpW67L2h_sIEH</t>
  </si>
  <si>
    <t>https://drive.google.com/file/d/1K2kZDrXPdjr20svuoiROpW67L2h_sIEH/view?usp=drivesdk</t>
  </si>
  <si>
    <t>Document successfully created; Document successfully merged; PDF created; Emails Sent: [To: jainloveleshmar06@gmail.com]; Run via form trigger as codectechnologies0@gmail.com; Timestamp: Sep 2, 2026 6:36 AM</t>
  </si>
  <si>
    <t>Shubham Sharma</t>
  </si>
  <si>
    <t>www.shubhamsharma9th0@gmail.com</t>
  </si>
  <si>
    <t>Noida Institute of engineering and technology</t>
  </si>
  <si>
    <t>1MqYeM6E8Okxz2pM0dgtCmmGQLrb0rDm2</t>
  </si>
  <si>
    <t>https://drive.google.com/file/d/1MqYeM6E8Okxz2pM0dgtCmmGQLrb0rDm2/view?usp=drivesdk</t>
  </si>
  <si>
    <t>Document successfully created; Document successfully merged; PDF created; Emails Sent: [To: www.shubhamsharma9th0@gmail.com]; Run via form trigger as codectechnologies0@gmail.com; Timestamp: Sep 2, 2026 6:44 AM</t>
  </si>
  <si>
    <t>RAVINDRA KAUSHAL</t>
  </si>
  <si>
    <t>ravindrakaushal586@gmail.com</t>
  </si>
  <si>
    <t>vivekananda global university, jaipur</t>
  </si>
  <si>
    <t>1GnBv5B6Ac-srOT6Mgnz02V7ZiMZYs--h</t>
  </si>
  <si>
    <t>https://drive.google.com/file/d/1GnBv5B6Ac-srOT6Mgnz02V7ZiMZYs--h/view?usp=drivesdk</t>
  </si>
  <si>
    <t>Document successfully created; Document successfully merged; PDF created; !!Error Sending Emails: Service invoked too many times for one day: email.; Run via form trigger as codectechnologies0@gmail.com; Timestamp: Sep 2, 2026 6:49 AM</t>
  </si>
  <si>
    <t>Ayush Shukla</t>
  </si>
  <si>
    <t>ayushshukla200697@gmail.com</t>
  </si>
  <si>
    <t>1oE6DKmPw8j15Lm9dA6TeInL9qTPjU1wB</t>
  </si>
  <si>
    <t>https://drive.google.com/file/d/1oE6DKmPw8j15Lm9dA6TeInL9qTPjU1wB/view?usp=drivesdk</t>
  </si>
  <si>
    <t>Document successfully created; Document successfully merged; PDF created; Emails Sent: [To: ayushshukla200697@gmail.com]; Run via form trigger as codectechnologies0@gmail.com; Timestamp: Sep 2, 2026 7:06 AM</t>
  </si>
  <si>
    <t xml:space="preserve">ANUJ BHANDARI </t>
  </si>
  <si>
    <t>anujbhandari0099@gmail.com</t>
  </si>
  <si>
    <t>TULAS</t>
  </si>
  <si>
    <t>10kyP7RN4e0dyneAql_K385G4st6wEp_Q</t>
  </si>
  <si>
    <t>https://drive.google.com/file/d/10kyP7RN4e0dyneAql_K385G4st6wEp_Q/view?usp=drivesdk</t>
  </si>
  <si>
    <t>Document successfully created; Document successfully merged; PDF created; Emails Sent: [To: anujbhandari0099@gmail.com]; Run via form trigger as codectechnologies0@gmail.com; Timestamp: Sep 2, 2026 7:41 AM</t>
  </si>
  <si>
    <t xml:space="preserve">Anuj Singh </t>
  </si>
  <si>
    <t>ubaka3344@gmail.com</t>
  </si>
  <si>
    <t xml:space="preserve">Tulas institute </t>
  </si>
  <si>
    <t>13lqHomXA1UcdS--g3vk0g42XRi6_ESIg</t>
  </si>
  <si>
    <t>https://drive.google.com/file/d/13lqHomXA1UcdS--g3vk0g42XRi6_ESIg/view?usp=drivesdk</t>
  </si>
  <si>
    <t>Document successfully created; Document successfully merged; PDF created; Emails Sent: [To: ubaka3344@gmail.com]; Run via form trigger as codectechnologies0@gmail.com; Timestamp: Sep 2, 2026 7:56 AM</t>
  </si>
  <si>
    <t>Saras Ugale</t>
  </si>
  <si>
    <t>sarasugale@gmail.com</t>
  </si>
  <si>
    <t xml:space="preserve">Nutan college of engineering and research </t>
  </si>
  <si>
    <t>1tGY63Jjvs_jpNu5BDBhopyGn75aKcr89</t>
  </si>
  <si>
    <t>https://drive.google.com/file/d/1tGY63Jjvs_jpNu5BDBhopyGn75aKcr89/view?usp=drivesdk</t>
  </si>
  <si>
    <t>Document successfully created; Document successfully merged; PDF created; Emails Sent: [To: sarasugale@gmail.com]; Run via form trigger as codectechnologies0@gmail.com; Timestamp: Sep 2, 2026 8:00 AM</t>
  </si>
  <si>
    <t>Abhijeet pandey</t>
  </si>
  <si>
    <t>+91 98937 53369</t>
  </si>
  <si>
    <t xml:space="preserve">Dr hari singh gour University </t>
  </si>
  <si>
    <t>1zo1BqV7pdPRnqHUkbeunwnGiULY4gn-x</t>
  </si>
  <si>
    <t>https://drive.google.com/file/d/1zo1BqV7pdPRnqHUkbeunwnGiULY4gn-x/view?usp=drivesdk</t>
  </si>
  <si>
    <t>Document successfully created; Document successfully merged; PDF created; !!Error Sending Emails: Service invoked too many times for one day: email.; Run via form trigger as codectechnologies0@gmail.com; Timestamp: Sep 2, 2026 8:16 AM</t>
  </si>
  <si>
    <t>Aditya kumar Mishra</t>
  </si>
  <si>
    <t>mishraaditya970806@gmail.com</t>
  </si>
  <si>
    <t>1bzNWrMwA-5Rm9ozTf4_11faqRMOeU7zU</t>
  </si>
  <si>
    <t>https://drive.google.com/file/d/1bzNWrMwA-5Rm9ozTf4_11faqRMOeU7zU/view?usp=drivesdk</t>
  </si>
  <si>
    <t>Document successfully created; Document successfully merged; PDF created; Emails Sent: [To: mishraaditya970806@gmail.com]; Run via form trigger as codectechnologies0@gmail.com; Timestamp: Sep 2, 2026 8:20 AM</t>
  </si>
  <si>
    <t>Gargee Parhi</t>
  </si>
  <si>
    <t>2203051050190@paruluniversity.ac.in</t>
  </si>
  <si>
    <t>1-7lBINirp2VSDA2Z5C8FrwQ0ak1bNvfX</t>
  </si>
  <si>
    <t>https://drive.google.com/file/d/1-7lBINirp2VSDA2Z5C8FrwQ0ak1bNvfX/view?usp=drivesdk</t>
  </si>
  <si>
    <t>Document successfully created; Document successfully merged; PDF created; Emails Sent: [To: 2203051050190@paruluniversity.ac.in]; Run via form trigger as codectechnologies0@gmail.com; Timestamp: Sep 2, 2026 8:32 AM</t>
  </si>
  <si>
    <t>14YD0w0ML5lt2wHGoRWHRzpqy8OlxrTTL</t>
  </si>
  <si>
    <t>https://drive.google.com/file/d/14YD0w0ML5lt2wHGoRWHRzpqy8OlxrTTL/view?usp=drivesdk</t>
  </si>
  <si>
    <t>Document successfully created; Document successfully merged; PDF created; Emails Sent: [To: mishraaditya970806@gmail.com]; Run via form trigger as codectechnologies0@gmail.com; Timestamp: Sep 2, 2026 8:37 AM</t>
  </si>
  <si>
    <t>Ragula Indra Sena Reddy</t>
  </si>
  <si>
    <t>isenareddy86@gmail.com</t>
  </si>
  <si>
    <t>1mzPkBNKqLI73kf-E3Yc4VzQaoW9KfXWZ</t>
  </si>
  <si>
    <t>https://drive.google.com/file/d/1mzPkBNKqLI73kf-E3Yc4VzQaoW9KfXWZ/view?usp=drivesdk</t>
  </si>
  <si>
    <t>Document successfully created; Document successfully merged; PDF created; !!Error Sending Emails: Service invoked too many times for one day: email.; Run via form trigger as codectechnologies0@gmail.com; Timestamp: Sep 2, 2026 8:41 AM</t>
  </si>
  <si>
    <t>Ayush Sharma</t>
  </si>
  <si>
    <t>realx40@gmail.com</t>
  </si>
  <si>
    <t xml:space="preserve">TULAS </t>
  </si>
  <si>
    <t>13Bs21jU-H1SxyLGYVdYKuxTLUNfgOerb</t>
  </si>
  <si>
    <t>https://drive.google.com/file/d/13Bs21jU-H1SxyLGYVdYKuxTLUNfgOerb/view?usp=drivesdk</t>
  </si>
  <si>
    <t>Document successfully created; Document successfully merged; PDF created; !!Error Sending Emails: Service invoked too many times for one day: email.; Run via form trigger as codectechnologies0@gmail.com; Timestamp: Sep 2, 2026 8:54 AM</t>
  </si>
  <si>
    <t>Mohammad Amaanullah</t>
  </si>
  <si>
    <t>amaanullah1238@gmail.com</t>
  </si>
  <si>
    <t xml:space="preserve">Integral University Lucknow </t>
  </si>
  <si>
    <t>1AnNHSpxxLZFJiUsJgaXp9vvSQpczLQSW</t>
  </si>
  <si>
    <t>https://drive.google.com/file/d/1AnNHSpxxLZFJiUsJgaXp9vvSQpczLQSW/view?usp=drivesdk</t>
  </si>
  <si>
    <t>Vikash Malakar</t>
  </si>
  <si>
    <t>vikashmalakar312@gmail.com</t>
  </si>
  <si>
    <t xml:space="preserve">Rajeev Gandhi College Bhopal </t>
  </si>
  <si>
    <t>1dNIWkCKNk5iDRmFId9kb4GaNa9VJGq7I</t>
  </si>
  <si>
    <t>https://drive.google.com/file/d/1dNIWkCKNk5iDRmFId9kb4GaNa9VJGq7I/view?usp=drivesdk</t>
  </si>
  <si>
    <t>Document successfully created; Document successfully merged; PDF created; Emails Sent: [To: vikashmalakar312@gmail.com]; Run via form trigger as codectechnologies0@gmail.com; Timestamp: Sep 2, 2026 8:58 AM</t>
  </si>
  <si>
    <t>1XKMNn-MPVaGnzFKOpzsmKSVJdU_ufVMs</t>
  </si>
  <si>
    <t>https://drive.google.com/file/d/1XKMNn-MPVaGnzFKOpzsmKSVJdU_ufVMs/view?usp=drivesdk</t>
  </si>
  <si>
    <t>Document successfully created; Document successfully merged; PDF created; Emails Sent: [To: realx40@gmail.com]; Run via form trigger as codectechnologies0@gmail.com; Timestamp: Sep 2, 2026 9:02 AM</t>
  </si>
  <si>
    <t>Biswajeet Patra</t>
  </si>
  <si>
    <t>patragangadhar64@gmail.com</t>
  </si>
  <si>
    <t>Dr.Bc roy engineering College</t>
  </si>
  <si>
    <t>1iwbz4KqekCvjOLkewN4V8nIRM-j-GaOM</t>
  </si>
  <si>
    <t>https://drive.google.com/file/d/1iwbz4KqekCvjOLkewN4V8nIRM-j-GaOM/view?usp=drivesdk</t>
  </si>
  <si>
    <t>Document successfully created; Document successfully merged; PDF created; Emails Sent: [To: patragangadhar64@gmail.com]; Run via form trigger as codectechnologies0@gmail.com; Timestamp: Sep 2, 2026 9:14 AM</t>
  </si>
  <si>
    <t>Kanhaiya Lal Yadav</t>
  </si>
  <si>
    <t>kanhaiya.25scs1003002780@iilm.edu</t>
  </si>
  <si>
    <t>1TbDfUIWR9oZRf3QtG_Kh90KJLmGrq32N</t>
  </si>
  <si>
    <t>https://drive.google.com/file/d/1TbDfUIWR9oZRf3QtG_Kh90KJLmGrq32N/view?usp=drivesdk</t>
  </si>
  <si>
    <t>Document successfully created; Document successfully merged; PDF created; Emails Sent: [To: kanhaiya.25scs1003002780@iilm.edu]; Run via form trigger as codectechnologies0@gmail.com; Timestamp: Sep 2, 2026 9:17 AM</t>
  </si>
  <si>
    <t>SNIGDHA SINGH</t>
  </si>
  <si>
    <t>snigdhasingh2906@gmail.com</t>
  </si>
  <si>
    <t>1_gA2O1rKSYdNOy4l2O-Favmw99cPy_f-</t>
  </si>
  <si>
    <t>https://drive.google.com/file/d/1_gA2O1rKSYdNOy4l2O-Favmw99cPy_f-/view?usp=drivesdk</t>
  </si>
  <si>
    <t>Document successfully created; Document successfully merged; PDF created; !!Error Sending Emails: Service invoked too many times for one day: email.; Run via form trigger as codectechnologies0@gmail.com; Timestamp: Sep 2, 2026 9:20 AM</t>
  </si>
  <si>
    <t>1poPbKmdgJ4VTnpWRHrtnj27yglplehHn</t>
  </si>
  <si>
    <t>https://drive.google.com/file/d/1poPbKmdgJ4VTnpWRHrtnj27yglplehHn/view?usp=drivesdk</t>
  </si>
  <si>
    <t>Document successfully created; Document successfully merged; PDF created; !!Error Sending Emails: Service invoked too many times for one day: email.; Run via form trigger as codectechnologies0@gmail.com; Timestamp: Sep 2, 2026 9:28 AM</t>
  </si>
  <si>
    <t>Basoji Vishnu vardhan</t>
  </si>
  <si>
    <t>basojivishnuvardhan@gmail.com</t>
  </si>
  <si>
    <t>ISBM UNIVERSITY</t>
  </si>
  <si>
    <t>1zcfqViL6XIBApyN6xT5EizfIOkqQFs2q</t>
  </si>
  <si>
    <t>https://drive.google.com/file/d/1zcfqViL6XIBApyN6xT5EizfIOkqQFs2q/view?usp=drivesdk</t>
  </si>
  <si>
    <t>Document successfully created; Document successfully merged; PDF created; Emails Sent: [To: basojivishnuvardhan@gmail.com]; Run via form trigger as codectechnologies0@gmail.com; Timestamp: Sep 2, 2026 9:37 AM</t>
  </si>
  <si>
    <t xml:space="preserve">DOREDDULA PRAVEEN </t>
  </si>
  <si>
    <t>doreddulap@gmail.com</t>
  </si>
  <si>
    <t>1a1qQI3cb-sjBqE8KiXCXWkP0k4OyUMc4</t>
  </si>
  <si>
    <t>https://drive.google.com/file/d/1a1qQI3cb-sjBqE8KiXCXWkP0k4OyUMc4/view?usp=drivesdk</t>
  </si>
  <si>
    <t>Document successfully created; Document successfully merged; PDF created; !!Error Sending Emails: Service invoked too many times for one day: email.; Run via form trigger as codectechnologies0@gmail.com; Timestamp: Sep 2, 2026 9:43 AM</t>
  </si>
  <si>
    <t>Mule Sakshi Vikas</t>
  </si>
  <si>
    <t>mulesakshi808@gmail.com</t>
  </si>
  <si>
    <t xml:space="preserve">Vidya pratishtan Baramati </t>
  </si>
  <si>
    <t>1QiQ7Es84cLYp9057BRRpJXMWzRl04dbY</t>
  </si>
  <si>
    <t>https://drive.google.com/file/d/1QiQ7Es84cLYp9057BRRpJXMWzRl04dbY/view?usp=drivesdk</t>
  </si>
  <si>
    <t>Document successfully created; Document successfully merged; PDF created; !!Error Sending Emails: Service invoked too many times for one day: email.; Run via form trigger as codectechnologies0@gmail.com; Timestamp: Sep 2, 2026 9:44 AM</t>
  </si>
  <si>
    <t xml:space="preserve">IILM, GREATER NOIDA </t>
  </si>
  <si>
    <t>1wT2_FQhqrn0BogSmWTqExBgoKuFxScra</t>
  </si>
  <si>
    <t>https://drive.google.com/file/d/1wT2_FQhqrn0BogSmWTqExBgoKuFxScra/view?usp=drivesdk</t>
  </si>
  <si>
    <t>Document successfully created; Document successfully merged; PDF created; !!Error Sending Emails: Service invoked too many times for one day: email.; Run via form trigger as codectechnologies0@gmail.com; Timestamp: Sep 2, 2026 9:48 AM</t>
  </si>
  <si>
    <t>Porchezian V</t>
  </si>
  <si>
    <t>vporchezian79@jnn.edu.in</t>
  </si>
  <si>
    <t>J N N institute of engineering</t>
  </si>
  <si>
    <t>1Gr3JPok2hX9NZMU-xETUCuV0B9qOUSDP</t>
  </si>
  <si>
    <t>https://drive.google.com/file/d/1Gr3JPok2hX9NZMU-xETUCuV0B9qOUSDP/view?usp=drivesdk</t>
  </si>
  <si>
    <t>Document successfully created; Document successfully merged; PDF created; Emails Sent: [To: vporchezian79@jnn.edu.in]; Run via form trigger as codectechnologies0@gmail.com; Timestamp: Sep 2, 2026 10:06 AM</t>
  </si>
  <si>
    <t xml:space="preserve">MAVULLURU BHAVESH </t>
  </si>
  <si>
    <t>mavullurubhavesh6956@gmail.com</t>
  </si>
  <si>
    <t xml:space="preserve">Sri Venkateswara College of Engineering </t>
  </si>
  <si>
    <t>1k7f640HVH_kIcOCpd3xNTauysTGgYYQc</t>
  </si>
  <si>
    <t>https://drive.google.com/file/d/1k7f640HVH_kIcOCpd3xNTauysTGgYYQc/view?usp=drivesdk</t>
  </si>
  <si>
    <t>Document successfully created; Document successfully merged; PDF created; !!Error Sending Emails: Service invoked too many times for one day: email.; Run via form trigger as codectechnologies0@gmail.com; Timestamp: Sep 2, 2026 10:09 AM</t>
  </si>
  <si>
    <t>Siva P</t>
  </si>
  <si>
    <t>sivap4982@gmail.com</t>
  </si>
  <si>
    <t>1DGMYuSFw7OJWKnxj_CPjdaEiDuUeiubJ</t>
  </si>
  <si>
    <t>https://drive.google.com/file/d/1DGMYuSFw7OJWKnxj_CPjdaEiDuUeiubJ/view?usp=drivesdk</t>
  </si>
  <si>
    <t>Document successfully created; Document successfully merged; PDF created; !!Error Sending Emails: Service invoked too many times for one day: email.; Run via form trigger as codectechnologies0@gmail.com; Timestamp: Sep 2, 2026 10:10 AM</t>
  </si>
  <si>
    <t>Rahul Nayak</t>
  </si>
  <si>
    <t>rahulnayak2628@gmail.com</t>
  </si>
  <si>
    <t xml:space="preserve">United school of business management </t>
  </si>
  <si>
    <t>1mZNmvSdFgV5-SdpYg-nFaYA_UFGgoEGp</t>
  </si>
  <si>
    <t>https://drive.google.com/file/d/1mZNmvSdFgV5-SdpYg-nFaYA_UFGgoEGp/view?usp=drivesdk</t>
  </si>
  <si>
    <t>Document successfully created; Document successfully merged; PDF created; !!Error Sending Emails: Service invoked too many times for one day: email.; Run via form trigger as codectechnologies0@gmail.com; Timestamp: Sep 2, 2026 10:11 AM</t>
  </si>
  <si>
    <t xml:space="preserve">Rahul Nayak </t>
  </si>
  <si>
    <t xml:space="preserve">United School of Business Management </t>
  </si>
  <si>
    <t>1JmAe4QSNFZ_Qp2zmKSBEdWN3m7SPA5E8</t>
  </si>
  <si>
    <t>https://drive.google.com/file/d/1JmAe4QSNFZ_Qp2zmKSBEdWN3m7SPA5E8/view?usp=drivesdk</t>
  </si>
  <si>
    <t>Document successfully created; Document successfully merged; PDF created; !!Error Sending Emails: Service invoked too many times for one day: email.; Run via form trigger as codectechnologies0@gmail.com; Timestamp: Sep 2, 2026 10:18 AM</t>
  </si>
  <si>
    <t xml:space="preserve">Mavulluru Bhavesh </t>
  </si>
  <si>
    <t>1ga_-yUUgmuvqw1nHGYMlIhEnMOayiu26</t>
  </si>
  <si>
    <t>https://drive.google.com/file/d/1ga_-yUUgmuvqw1nHGYMlIhEnMOayiu26/view?usp=drivesdk</t>
  </si>
  <si>
    <t>Document successfully created; Document successfully merged; PDF created; !!Error Sending Emails: Service invoked too many times for one day: email.; Run via form trigger as codectechnologies0@gmail.com; Timestamp: Sep 2, 2026 10:22 AM</t>
  </si>
  <si>
    <t>Anshika</t>
  </si>
  <si>
    <t>anshikabaliyan299@gmail.com</t>
  </si>
  <si>
    <t>ABES Engineering College, Ghaziabad</t>
  </si>
  <si>
    <t>1_EfHxy3Nhp2UBD8Lj1r1-2QSG_dotBL_</t>
  </si>
  <si>
    <t>https://drive.google.com/file/d/1_EfHxy3Nhp2UBD8Lj1r1-2QSG_dotBL_/view?usp=drivesdk</t>
  </si>
  <si>
    <t>Document successfully created; Document successfully merged; PDF created; !!Error Sending Emails: Service invoked too many times for one day: email.; Run via form trigger as codectechnologies0@gmail.com; Timestamp: Sep 2, 2026 10:27 AM</t>
  </si>
  <si>
    <t xml:space="preserve">Surjyakanta Pradhan </t>
  </si>
  <si>
    <t>surjyakantapradhan8917@gmail.com</t>
  </si>
  <si>
    <t>14CQgX2M9N-CEP9fn-z16Lyr2B_OzCes2</t>
  </si>
  <si>
    <t>https://drive.google.com/file/d/14CQgX2M9N-CEP9fn-z16Lyr2B_OzCes2/view?usp=drivesdk</t>
  </si>
  <si>
    <t>Prakhar Shahi</t>
  </si>
  <si>
    <t>brandoboose@gmail.com</t>
  </si>
  <si>
    <t>16n1aaNI2vuL0CbS4DV7UJ9nBzXhJk4Cf</t>
  </si>
  <si>
    <t>https://drive.google.com/file/d/16n1aaNI2vuL0CbS4DV7UJ9nBzXhJk4Cf/view?usp=drivesdk</t>
  </si>
  <si>
    <t>Document successfully created; Document successfully merged; PDF created; !!Error Sending Emails: Service invoked too many times for one day: email.; Run via form trigger as codectechnologies0@gmail.com; Timestamp: Sep 2, 2026 10:31 AM</t>
  </si>
  <si>
    <t xml:space="preserve">Shreeyansh </t>
  </si>
  <si>
    <t>shreeyansh17@gmail.com</t>
  </si>
  <si>
    <t>1XKsbx3OvvGmrD0aQR5DQLN2ki8YUZz5I</t>
  </si>
  <si>
    <t>https://drive.google.com/file/d/1XKsbx3OvvGmrD0aQR5DQLN2ki8YUZz5I/view?usp=drivesdk</t>
  </si>
  <si>
    <t>Document successfully created; Document successfully merged; PDF created; Emails Sent: [To: shreeyansh17@gmail.com]; Run via form trigger as codectechnologies0@gmail.com; Timestamp: Sep 2, 2026 10:37 AM</t>
  </si>
  <si>
    <t>Amuktamalyada Venkatayogi</t>
  </si>
  <si>
    <t>amuktamalyadav@gmail.com</t>
  </si>
  <si>
    <t>08019311955</t>
  </si>
  <si>
    <t>Keshav Memorial Engineering College</t>
  </si>
  <si>
    <t>1hbSjl6_F6BVi35v8DpjFAKUuVui1FLuD</t>
  </si>
  <si>
    <t>https://drive.google.com/file/d/1hbSjl6_F6BVi35v8DpjFAKUuVui1FLuD/view?usp=drivesdk</t>
  </si>
  <si>
    <t>Document successfully created; Document successfully merged; PDF created; Emails Sent: [To: amuktamalyadav@gmail.com]; Run via form trigger as codectechnologies0@gmail.com; Timestamp: Sep 2, 2026 10:46 AM</t>
  </si>
  <si>
    <t>Chiranjibee Panigrahi</t>
  </si>
  <si>
    <t>chiranjibeepanigrahi@gmail.com</t>
  </si>
  <si>
    <t>1R7mE-QnV8LDpB3HMxVzKDnIMDe6fD4JZ</t>
  </si>
  <si>
    <t>https://drive.google.com/file/d/1R7mE-QnV8LDpB3HMxVzKDnIMDe6fD4JZ/view?usp=drivesdk</t>
  </si>
  <si>
    <t>Document successfully created; Document successfully merged; PDF created; Emails Sent: [To: chiranjibeepanigrahi@gmail.com]; Run via form trigger as codectechnologies0@gmail.com; Timestamp: Sep 2, 2026 11:06 AM</t>
  </si>
  <si>
    <t>Manoj Kumar HP</t>
  </si>
  <si>
    <t>manojkumarmanu1144@gmail.com</t>
  </si>
  <si>
    <t>Presidency College,Kempapura-hebbal, Bengaluru</t>
  </si>
  <si>
    <t>1aD-BNOHxcjlyv-ygVMCK3wZmFxtzP3D3</t>
  </si>
  <si>
    <t>https://drive.google.com/file/d/1aD-BNOHxcjlyv-ygVMCK3wZmFxtzP3D3/view?usp=drivesdk</t>
  </si>
  <si>
    <t>Document successfully created; Document successfully merged; PDF created; Emails Sent: [To: manojkumarmanu1144@gmail.com]; Run via form trigger as codectechnologies0@gmail.com; Timestamp: Sep 2, 2026 11:07 AM</t>
  </si>
  <si>
    <t>Anshika patel</t>
  </si>
  <si>
    <t>anshikap7692@gmail.com</t>
  </si>
  <si>
    <t>Instagram, WhatsApp, Email</t>
  </si>
  <si>
    <t>1nNtKR6TkMxf8qol0pDjjbuRUbyl9-WOr</t>
  </si>
  <si>
    <t>https://drive.google.com/file/d/1nNtKR6TkMxf8qol0pDjjbuRUbyl9-WOr/view?usp=drivesdk</t>
  </si>
  <si>
    <t>Document successfully created; Document successfully merged; PDF created; Emails Sent: [To: anshikap7692@gmail.com]; Run via form trigger as codectechnologies0@gmail.com; Timestamp: Sep 2, 2026 11:13 AM</t>
  </si>
  <si>
    <t>Dinesh Nandi</t>
  </si>
  <si>
    <t>dineshnandi07@gmail.com</t>
  </si>
  <si>
    <t>1beK_lW9YK6meZ49fmiTgWiuyCioFNHCQ</t>
  </si>
  <si>
    <t>https://drive.google.com/file/d/1beK_lW9YK6meZ49fmiTgWiuyCioFNHCQ/view?usp=drivesdk</t>
  </si>
  <si>
    <t>Document successfully created; Document successfully merged; PDF created; Emails Sent: [To: dineshnandi07@gmail.com]; Run via form trigger as codectechnologies0@gmail.com; Timestamp: Sep 2, 2026 11:14 AM</t>
  </si>
  <si>
    <t xml:space="preserve">Doreddula Praveen </t>
  </si>
  <si>
    <t>1yO50D4nBLztdO0212mQglIQFmKmBfj_j</t>
  </si>
  <si>
    <t>https://drive.google.com/file/d/1yO50D4nBLztdO0212mQglIQFmKmBfj_j/view?usp=drivesdk</t>
  </si>
  <si>
    <t>Document successfully created; Document successfully merged; PDF created; Emails Sent: [To: doreddulap@gmail.com]; Run via form trigger as codectechnologies0@gmail.com; Timestamp: Sep 2, 2026 11:23 AM</t>
  </si>
  <si>
    <t>Mayank Yadav</t>
  </si>
  <si>
    <t>my7380644@gmail.com</t>
  </si>
  <si>
    <t>Allenhouse Institute of Technology</t>
  </si>
  <si>
    <t>1WJh2EX5qgR7yVKdZhJCPFTmc48iCsY0i</t>
  </si>
  <si>
    <t>https://drive.google.com/file/d/1WJh2EX5qgR7yVKdZhJCPFTmc48iCsY0i/view?usp=drivesdk</t>
  </si>
  <si>
    <t>Document successfully created; Document successfully merged; PDF created; Emails Sent: [To: my7380644@gmail.com]; Run via form trigger as codectechnologies0@gmail.com; Timestamp: Sep 2, 2026 11:42 AM</t>
  </si>
  <si>
    <t xml:space="preserve">Balasa Venkata Sai Gopi Samith </t>
  </si>
  <si>
    <t>25al010@rmd.ac.in</t>
  </si>
  <si>
    <t xml:space="preserve">Rmd engineering college </t>
  </si>
  <si>
    <t>1xS23HhF5iXS2mvbO1iHV0gEqinXhEwsi</t>
  </si>
  <si>
    <t>https://drive.google.com/file/d/1xS23HhF5iXS2mvbO1iHV0gEqinXhEwsi/view?usp=drivesdk</t>
  </si>
  <si>
    <t>Document successfully created; Document successfully merged; PDF created; Emails Sent: [To: 25al010@rmd.ac.in]; Run via form trigger as codectechnologies0@gmail.com; Timestamp: Sep 2, 2026 11:57 AM</t>
  </si>
  <si>
    <t xml:space="preserve">Ayush Budakoti </t>
  </si>
  <si>
    <t>ayush2ayush2op@gmail.com</t>
  </si>
  <si>
    <t>1_nIgnJaJmWZgsUJp-zBYbQ9xRdW3Tuek</t>
  </si>
  <si>
    <t>https://drive.google.com/file/d/1_nIgnJaJmWZgsUJp-zBYbQ9xRdW3Tuek/view?usp=drivesdk</t>
  </si>
  <si>
    <t>Document successfully created; Document successfully merged; PDF created; Emails Sent: [To: ayush2ayush2op@gmail.com]; Run via form trigger as codectechnologies0@gmail.com; Timestamp: Sep 2, 2026 12:10 PM</t>
  </si>
  <si>
    <t>Nileshwari Vitthalbhai Parmar</t>
  </si>
  <si>
    <t>nileshwari14@gmail.com</t>
  </si>
  <si>
    <t>Parul Institute of Technology</t>
  </si>
  <si>
    <t>1_NwEcmIIGA2aP51MxssUI_1fg7ZqLtcn</t>
  </si>
  <si>
    <t>https://drive.google.com/file/d/1_NwEcmIIGA2aP51MxssUI_1fg7ZqLtcn/view?usp=drivesdk</t>
  </si>
  <si>
    <t>Document successfully created; Document successfully merged; PDF created; Emails Sent: [To: nileshwari14@gmail.com]; Run via form trigger as codectechnologies0@gmail.com; Timestamp: Sep 2, 2026 12:16 PM</t>
  </si>
  <si>
    <t xml:space="preserve">Devarakonda Raghuram </t>
  </si>
  <si>
    <t>25al020@rmd.ac.in</t>
  </si>
  <si>
    <t xml:space="preserve">R.M.D engineering college </t>
  </si>
  <si>
    <t>1G3Xk9JS6LtdUDW7BR7Twtp-Ka5HC-amt</t>
  </si>
  <si>
    <t>https://drive.google.com/file/d/1G3Xk9JS6LtdUDW7BR7Twtp-Ka5HC-amt/view?usp=drivesdk</t>
  </si>
  <si>
    <t>Document successfully created; Document successfully merged; PDF created; Emails Sent: [To: 25al020@rmd.ac.in]; Run via form trigger as codectechnologies0@gmail.com; Timestamp: Sep 2, 2026 12:35 PM</t>
  </si>
  <si>
    <t xml:space="preserve">Raghuram Devarakonda </t>
  </si>
  <si>
    <t>R.M.D. engineering college</t>
  </si>
  <si>
    <t>1PUzUn2JmvXIzn5J8IDb_4eVjyek52OZw</t>
  </si>
  <si>
    <t>https://drive.google.com/file/d/1PUzUn2JmvXIzn5J8IDb_4eVjyek52OZw/view?usp=drivesdk</t>
  </si>
  <si>
    <t>Document successfully created; Document successfully merged; PDF created; Emails Sent: [To: 25al020@rmd.ac.in]; Run via form trigger as codectechnologies0@gmail.com; Timestamp: Sep 2, 2026 12:39 PM</t>
  </si>
  <si>
    <t xml:space="preserve">Shipra Mahesh Sharma </t>
  </si>
  <si>
    <t>tanshiisharma.04@gmail.com</t>
  </si>
  <si>
    <t xml:space="preserve">GES R H SAPAT ENGINEERING &amp; MANAGEMENT COLLEGE </t>
  </si>
  <si>
    <t>1h2ihK9YQtkfObO0tWNzQZa7BE_jWmxAG</t>
  </si>
  <si>
    <t>https://drive.google.com/file/d/1h2ihK9YQtkfObO0tWNzQZa7BE_jWmxAG/view?usp=drivesdk</t>
  </si>
  <si>
    <t>Document successfully created; Document successfully merged; PDF created; Emails Sent: [To: tanshiisharma.04@gmail.com]; Run via form trigger as codectechnologies0@gmail.com; Timestamp: Sep 2, 2026 12:43 PM</t>
  </si>
  <si>
    <t>Kumari Arpita</t>
  </si>
  <si>
    <t>arpitakumararpita33@gmail.com</t>
  </si>
  <si>
    <t xml:space="preserve">Dr.Bhimrao Ambedkar University Agra </t>
  </si>
  <si>
    <t>1KzlMdG-Oa5gDVywPlVR3ZC3pXr3x4xik</t>
  </si>
  <si>
    <t>https://drive.google.com/file/d/1KzlMdG-Oa5gDVywPlVR3ZC3pXr3x4xik/view?usp=drivesdk</t>
  </si>
  <si>
    <t>Document successfully created; Document successfully merged; PDF created; Emails Sent: [To: arpitakumararpita33@gmail.com]; Run via form trigger as codectechnologies0@gmail.com; Timestamp: Sep 2, 2026 12:44 PM</t>
  </si>
  <si>
    <t xml:space="preserve">Khushi Gupta </t>
  </si>
  <si>
    <t>kg0618332@gmail.com</t>
  </si>
  <si>
    <t xml:space="preserve">Institute of technology and management gida gorakhpur </t>
  </si>
  <si>
    <t>1J3waKNs06uNfttbotz9MHbKF60ND7_lz</t>
  </si>
  <si>
    <t>https://drive.google.com/file/d/1J3waKNs06uNfttbotz9MHbKF60ND7_lz/view?usp=drivesdk</t>
  </si>
  <si>
    <t>Document successfully created; Document successfully merged; PDF created; Emails Sent: [To: kg0618332@gmail.com]; Run via form trigger as codectechnologies0@gmail.com; Timestamp: Sep 2, 2026 1:02 PM</t>
  </si>
  <si>
    <t>1ylJwL_f5LZH_08PtcqLnzJOvC7RsBGp9</t>
  </si>
  <si>
    <t>https://drive.google.com/file/d/1ylJwL_f5LZH_08PtcqLnzJOvC7RsBGp9/view?usp=drivesdk</t>
  </si>
  <si>
    <t>Document successfully created; Document successfully merged; PDF created; Emails Sent: [To: kg0618332@gmail.com]; Run via form trigger as codectechnologies0@gmail.com; Timestamp: Sep 2, 2026 1:05 PM</t>
  </si>
  <si>
    <t>Devesh Sukdeo Dhole</t>
  </si>
  <si>
    <t>deveshdhole05@gmail.com</t>
  </si>
  <si>
    <t>NMIMS</t>
  </si>
  <si>
    <t>170WDDtRxLRKDHUvT94IMZOTeWk4prYUb</t>
  </si>
  <si>
    <t>https://drive.google.com/file/d/170WDDtRxLRKDHUvT94IMZOTeWk4prYUb/view?usp=drivesdk</t>
  </si>
  <si>
    <t>Document successfully created; Document successfully merged; PDF created; Emails Sent: [To: deveshdhole05@gmail.com]; Run via form trigger as codectechnologies0@gmail.com; Timestamp: Sep 2, 2026 1:32 PM</t>
  </si>
  <si>
    <t>Surendra Patel</t>
  </si>
  <si>
    <t>rp5640282@gmail.com</t>
  </si>
  <si>
    <t xml:space="preserve">S.V. polytechnic college bhopal </t>
  </si>
  <si>
    <t>1mywGlKiQjLqK3deQYRPbSOuvu0TF9hMm</t>
  </si>
  <si>
    <t>https://drive.google.com/file/d/1mywGlKiQjLqK3deQYRPbSOuvu0TF9hMm/view?usp=drivesdk</t>
  </si>
  <si>
    <t>Document successfully created; Document successfully merged; PDF created; Emails Sent: [To: rp5640282@gmail.com]; Run via form trigger as codectechnologies0@gmail.com; Timestamp: Sep 2, 2026 1:35 PM</t>
  </si>
  <si>
    <t>Lunavath Ganesh</t>
  </si>
  <si>
    <t>lunavathganesh17@gmail.com</t>
  </si>
  <si>
    <t>1R2hBboTQ_ZmaqylKc4Nx03TVcCAV4cud</t>
  </si>
  <si>
    <t>https://drive.google.com/file/d/1R2hBboTQ_ZmaqylKc4Nx03TVcCAV4cud/view?usp=drivesdk</t>
  </si>
  <si>
    <t>Document successfully created; Document successfully merged; PDF created; Emails Sent: [To: lunavathganesh17@gmail.com]; Run via form trigger as codectechnologies0@gmail.com; Timestamp: Sep 2, 2026 1:47 PM</t>
  </si>
  <si>
    <t>RIMA GHOSH</t>
  </si>
  <si>
    <t>sparklesoul1909@gmail.com</t>
  </si>
  <si>
    <t>UNIVERSITY INSTITUTE OF TECHNOLOGY BURDWAN</t>
  </si>
  <si>
    <t>1QVmby4TrFCzb_Ht9gIz_Pg5puR7dU_Xy</t>
  </si>
  <si>
    <t>https://drive.google.com/file/d/1QVmby4TrFCzb_Ht9gIz_Pg5puR7dU_Xy/view?usp=drivesdk</t>
  </si>
  <si>
    <t>Document successfully created; Document successfully merged; PDF created; Emails Sent: [To: sparklesoul1909@gmail.com]; Run via form trigger as codectechnologies0@gmail.com; Timestamp: Sep 2, 2026 1:56 PM</t>
  </si>
  <si>
    <t xml:space="preserve">Ritik Raj </t>
  </si>
  <si>
    <t>ritikraj72504@gmail.com</t>
  </si>
  <si>
    <t xml:space="preserve">IIT Roorkee </t>
  </si>
  <si>
    <t>1OHFRR3jB6PFaLs4A1RsVt34i7GYUI0Fv</t>
  </si>
  <si>
    <t>https://drive.google.com/file/d/1OHFRR3jB6PFaLs4A1RsVt34i7GYUI0Fv/view?usp=drivesdk</t>
  </si>
  <si>
    <t>Document successfully created; Document successfully merged; PDF created; Emails Sent: [To: ritikraj72504@gmail.com]; Run via form trigger as codectechnologies0@gmail.com; Timestamp: Sep 2, 2026 2:07 PM</t>
  </si>
  <si>
    <t>1HR_EN60nXhLzX_4BX5xaZ-5MIiXym3j_</t>
  </si>
  <si>
    <t>https://drive.google.com/file/d/1HR_EN60nXhLzX_4BX5xaZ-5MIiXym3j_/view?usp=drivesdk</t>
  </si>
  <si>
    <t>Document successfully created; Document successfully merged; PDF created; Emails Sent: [To: ritikraj72504@gmail.com]; Run via form trigger as codectechnologies0@gmail.com; Timestamp: Sep 2, 2026 2:15 PM</t>
  </si>
  <si>
    <t>MEENA M</t>
  </si>
  <si>
    <t>meena9150446930@gmail.com</t>
  </si>
  <si>
    <t>19rwXOtwGX79puEA-iEQY3WCYVnM2u-OS</t>
  </si>
  <si>
    <t>https://drive.google.com/file/d/19rwXOtwGX79puEA-iEQY3WCYVnM2u-OS/view?usp=drivesdk</t>
  </si>
  <si>
    <t>Document successfully created; Document successfully merged; PDF created; Emails Sent: [To: meena9150446930@gmail.com]; Run via form trigger as codectechnologies0@gmail.com; Timestamp: Sep 2, 2026 2:34 PM</t>
  </si>
  <si>
    <t xml:space="preserve">Avishkar Shashikant Maval </t>
  </si>
  <si>
    <t>avimaval48@gmail.com</t>
  </si>
  <si>
    <t>Government polytechnic Awasari (khurd)</t>
  </si>
  <si>
    <t>1zB6zFCKW7qQhcGQA7m_qrFJr0hmkAuL4</t>
  </si>
  <si>
    <t>https://drive.google.com/file/d/1zB6zFCKW7qQhcGQA7m_qrFJr0hmkAuL4/view?usp=drivesdk</t>
  </si>
  <si>
    <t>Document successfully created; Document successfully merged; PDF created; Emails Sent: [To: avimaval48@gmail.com]; Run via form trigger as codectechnologies0@gmail.com; Timestamp: Sep 2, 2026 3:01 PM</t>
  </si>
  <si>
    <t>daksh</t>
  </si>
  <si>
    <t>chauhandaksh60@gmail.com</t>
  </si>
  <si>
    <t>1h69Lu8faBxLaGe5fBtOLEUC9IfWj45rP</t>
  </si>
  <si>
    <t>https://drive.google.com/file/d/1h69Lu8faBxLaGe5fBtOLEUC9IfWj45rP/view?usp=drivesdk</t>
  </si>
  <si>
    <t>Document successfully created; Document successfully merged; PDF created; Emails Sent: [To: chauhandaksh60@gmail.com]; Run via form trigger as codectechnologies0@gmail.com; Timestamp: Sep 2, 2026 3:12 PM</t>
  </si>
  <si>
    <t>Avishkar Shashikant Maval</t>
  </si>
  <si>
    <t>1xPklZMa2hDG6tnWfzZDn0w_R5GfHzx2r</t>
  </si>
  <si>
    <t>https://drive.google.com/file/d/1xPklZMa2hDG6tnWfzZDn0w_R5GfHzx2r/view?usp=drivesdk</t>
  </si>
  <si>
    <t>Document successfully created; Document successfully merged; PDF created; Emails Sent: [To: avimaval48@gmail.com]; Run via form trigger as codectechnologies0@gmail.com; Timestamp: Sep 2, 2026 3:13 PM</t>
  </si>
  <si>
    <t>SAHIL SANTHOSH</t>
  </si>
  <si>
    <t>sahilsanthosh21@gmail.com</t>
  </si>
  <si>
    <t>Lead College (Autonomous)</t>
  </si>
  <si>
    <t>1VsykXBqe_Gay12aoRXz72g3Vn19co37m</t>
  </si>
  <si>
    <t>https://drive.google.com/file/d/1VsykXBqe_Gay12aoRXz72g3Vn19co37m/view?usp=drivesdk</t>
  </si>
  <si>
    <t>Document successfully created; Document successfully merged; PDF created; Emails Sent: [To: sahilsanthosh21@gmail.com]; Run via form trigger as codectechnologies0@gmail.com; Timestamp: Sep 2, 2026 5:02 PM</t>
  </si>
  <si>
    <t>Mahendra Kumar</t>
  </si>
  <si>
    <t>okmahendra123@gmail.com</t>
  </si>
  <si>
    <t>1fuMbcFhlRPl1xxQ35L5onIv4R1EYfNB4</t>
  </si>
  <si>
    <t>https://drive.google.com/file/d/1fuMbcFhlRPl1xxQ35L5onIv4R1EYfNB4/view?usp=drivesdk</t>
  </si>
  <si>
    <t>Document successfully created; Document successfully merged; PDF created; Emails Sent: [To: okmahendra123@gmail.com]; Run via form trigger as codectechnologies0@gmail.com; Timestamp: Sep 2, 2026 5:07 PM</t>
  </si>
  <si>
    <t>Vansh Pundir</t>
  </si>
  <si>
    <t>pundirvansh881@gmail.com</t>
  </si>
  <si>
    <t xml:space="preserve">Shri ram group of colleges, Muzaffarnagar </t>
  </si>
  <si>
    <t>1wIxuj--y7-1DSTcs-_gfvr96BSl6L3P2</t>
  </si>
  <si>
    <t>https://drive.google.com/file/d/1wIxuj--y7-1DSTcs-_gfvr96BSl6L3P2/view?usp=drivesdk</t>
  </si>
  <si>
    <t>Document successfully created; Document successfully merged; PDF created; Emails Sent: [To: pundirvansh881@gmail.com]; Run via form trigger as codectechnologies0@gmail.com; Timestamp: Sep 2, 2026 8:01 PM</t>
  </si>
  <si>
    <t>1S7jdF4BEsWSaSOnC5qWiCYL6TI4UBxLI</t>
  </si>
  <si>
    <t>https://drive.google.com/file/d/1S7jdF4BEsWSaSOnC5qWiCYL6TI4UBxLI/view?usp=drivesdk</t>
  </si>
  <si>
    <t>Document successfully created; Document successfully merged; PDF created; Emails Sent: [To: pundirvansh881@gmail.com]; Run via form trigger as codectechnologies0@gmail.com; Timestamp: Sep 2, 2026 8:04 PM</t>
  </si>
  <si>
    <t>Siva Galla</t>
  </si>
  <si>
    <t>gallasiva12345@gmail.com</t>
  </si>
  <si>
    <t>raghu enggineering college</t>
  </si>
  <si>
    <t>100I-nPdrwbvH22MBXfZeGEZz0Ijt9T6I</t>
  </si>
  <si>
    <t>https://drive.google.com/file/d/100I-nPdrwbvH22MBXfZeGEZz0Ijt9T6I/view?usp=drivesdk</t>
  </si>
  <si>
    <t>Document successfully created; Document successfully merged; PDF created; Emails Sent: [To: gallasiva12345@gmail.com]; Run via form trigger as codectechnologies0@gmail.com; Timestamp: Sep 2, 2026 10:39 PM</t>
  </si>
  <si>
    <t xml:space="preserve">Mou Gorai </t>
  </si>
  <si>
    <t>mougorai323@gmail.com</t>
  </si>
  <si>
    <t xml:space="preserve">Michael Madhusudan Memorial College </t>
  </si>
  <si>
    <t>1osTHHW1QAJGfgaDXUCTYJ_mZZgsUndXj</t>
  </si>
  <si>
    <t>https://drive.google.com/file/d/1osTHHW1QAJGfgaDXUCTYJ_mZZgsUndXj/view?usp=drivesdk</t>
  </si>
  <si>
    <t>Document successfully created; Document successfully merged; PDF created; Emails Sent: [To: mougorai323@gmail.com]; Run via form trigger as codectechnologies0@gmail.com; Timestamp: Sep 2, 2026 10:53 PM</t>
  </si>
  <si>
    <t xml:space="preserve">Bhumireddi Vanaja </t>
  </si>
  <si>
    <t>23981a04k7@raghuenggcollege.in</t>
  </si>
  <si>
    <t xml:space="preserve">Raghu engineering college </t>
  </si>
  <si>
    <t>1ea13FEhGnaIQ_skJscVj5Hjt7m2CgOv_</t>
  </si>
  <si>
    <t>https://drive.google.com/file/d/1ea13FEhGnaIQ_skJscVj5Hjt7m2CgOv_/view?usp=drivesdk</t>
  </si>
  <si>
    <t>Document successfully created; Document successfully merged; PDF created; Emails Sent: [To: 23981a04k7@raghuenggcollege.in]; Run via form trigger as codectechnologies0@gmail.com; Timestamp: Sep 2, 2026 11:03 PM</t>
  </si>
  <si>
    <t>1yQ_kkZSEtwdxdy_mu3DrfUf-7aDaYgxg</t>
  </si>
  <si>
    <t>https://drive.google.com/file/d/1yQ_kkZSEtwdxdy_mu3DrfUf-7aDaYgxg/view?usp=drivesdk</t>
  </si>
  <si>
    <t>Document successfully created; Document successfully merged; PDF created; Emails Sent: [To: eslavath_sc@cy.iitr.ac.in]; Run via form trigger as codectechnologies0@gmail.com; Timestamp: Sep 3, 2026 12:17 AM</t>
  </si>
  <si>
    <t xml:space="preserve">Jahid Hasan </t>
  </si>
  <si>
    <t>triss10tannovel@gmail.com</t>
  </si>
  <si>
    <t>1tadZNsTIz40DzfwWEeZxFT_V3nv_CqO2</t>
  </si>
  <si>
    <t>https://drive.google.com/file/d/1tadZNsTIz40DzfwWEeZxFT_V3nv_CqO2/view?usp=drivesdk</t>
  </si>
  <si>
    <t>Document successfully created; Document successfully merged; PDF created; Emails Sent: [To: triss10tannovel@gmail.com]; Run via form trigger as codectechnologies0@gmail.com; Timestamp: Sep 3, 2026 12:58 AM</t>
  </si>
  <si>
    <t>abhisheksharma737929@gmail.com</t>
  </si>
  <si>
    <t xml:space="preserve">Maharana Pratap Engineering College </t>
  </si>
  <si>
    <t>1u3A6Xxnz5trIcC-IGbzIRJNHPlsbpVtP</t>
  </si>
  <si>
    <t>https://drive.google.com/file/d/1u3A6Xxnz5trIcC-IGbzIRJNHPlsbpVtP/view?usp=drivesdk</t>
  </si>
  <si>
    <t>Document successfully created; Document successfully merged; PDF created; Emails Sent: [To: abhisheksharma737929@gmail.com]; Run via form trigger as codectechnologies0@gmail.com; Timestamp: Sep 3, 2026 12:58 AM</t>
  </si>
  <si>
    <t>Khushi Sahu</t>
  </si>
  <si>
    <t>khushisahu021006@gmail.com</t>
  </si>
  <si>
    <t>113ZVE0COVB8Md1MbMff6YNsq03ybdQDV</t>
  </si>
  <si>
    <t>https://drive.google.com/file/d/113ZVE0COVB8Md1MbMff6YNsq03ybdQDV/view?usp=drivesdk</t>
  </si>
  <si>
    <t>Document successfully created; Document successfully merged; PDF created; Emails Sent: [To: khushisahu021006@gmail.com]; Run via form trigger as codectechnologies0@gmail.com; Timestamp: Sep 3, 2026 1:00 AM</t>
  </si>
  <si>
    <t>1e2nCJ8vKmS-ftRRbEV5SwuXL4EnBjAgW</t>
  </si>
  <si>
    <t>https://drive.google.com/file/d/1e2nCJ8vKmS-ftRRbEV5SwuXL4EnBjAgW/view?usp=drivesdk</t>
  </si>
  <si>
    <t>Document successfully created; Document successfully merged; PDF created; Emails Sent: [To: khushisahu021006@gmail.com]; Run via form trigger as codectechnologies0@gmail.com; Timestamp: Sep 3, 2026 1:02 AM</t>
  </si>
  <si>
    <t>kaditya7316@gmail.com</t>
  </si>
  <si>
    <t>JB Institute Of Technology</t>
  </si>
  <si>
    <t>Friend, Google, AICTE/Indeed</t>
  </si>
  <si>
    <t>1ToMTLBIFMKsCmQSDfiQDuKoCAi0Rq_7K</t>
  </si>
  <si>
    <t>https://drive.google.com/file/d/1ToMTLBIFMKsCmQSDfiQDuKoCAi0Rq_7K/view?usp=drivesdk</t>
  </si>
  <si>
    <t>Document successfully created; Document successfully merged; PDF created; Emails Sent: [To: kaditya7316@gmail.com]; Run via form trigger as codectechnologies0@gmail.com; Timestamp: Sep 3, 2026 1:09 AM</t>
  </si>
  <si>
    <t>CHANDRA KEERTHI</t>
  </si>
  <si>
    <t>keerthikeerthi73852@gmail.com</t>
  </si>
  <si>
    <t>LinkedIn, Instagram, Friend, Email, Google, AICTE/Indeed</t>
  </si>
  <si>
    <t>1ZCVxwGS7YPsQ88enGjzPX5ijgKMXpzi7</t>
  </si>
  <si>
    <t>https://drive.google.com/file/d/1ZCVxwGS7YPsQ88enGjzPX5ijgKMXpzi7/view?usp=drivesdk</t>
  </si>
  <si>
    <t>Document successfully created; Document successfully merged; PDF created; Emails Sent: [To: keerthikeerthi73852@gmail.com]; Run via form trigger as codectechnologies0@gmail.com; Timestamp: Sep 3, 2026 1:14 AM</t>
  </si>
  <si>
    <t>Janhvi Raj Singh</t>
  </si>
  <si>
    <t>janhvisinghclass913@gmail.com</t>
  </si>
  <si>
    <t>1IuKlNHHXtUIA71rRpkz354i0E6PTanTw</t>
  </si>
  <si>
    <t>https://drive.google.com/file/d/1IuKlNHHXtUIA71rRpkz354i0E6PTanTw/view?usp=drivesdk</t>
  </si>
  <si>
    <t>Document successfully created; Document successfully merged; PDF created; Emails Sent: [To: janhvisinghclass913@gmail.com]; Run via form trigger as codectechnologies0@gmail.com; Timestamp: Sep 3, 2026 1:18 AM</t>
  </si>
  <si>
    <t>ARPITA MISHRA</t>
  </si>
  <si>
    <t>arpitamishra6895@gmail.com</t>
  </si>
  <si>
    <t>Parala maharaja engineering college, Berhampur</t>
  </si>
  <si>
    <t>12PWN1wtaASXelMa6DUXALVQ17PwQanIj</t>
  </si>
  <si>
    <t>https://drive.google.com/file/d/12PWN1wtaASXelMa6DUXALVQ17PwQanIj/view?usp=drivesdk</t>
  </si>
  <si>
    <t>Document successfully created; Document successfully merged; PDF created; Emails Sent: [To: arpitamishra6895@gmail.com]; Run via form trigger as codectechnologies0@gmail.com; Timestamp: Sep 3, 2026 1:28 AM</t>
  </si>
  <si>
    <t xml:space="preserve">Rohit Mukund Vedpathak </t>
  </si>
  <si>
    <t>rohitvedpathak786@gmail.com</t>
  </si>
  <si>
    <t xml:space="preserve">Sinhgad Academy of engineering </t>
  </si>
  <si>
    <t>1ui9yFfk7TIIZOOgge7eH2ioBGlRDPuqL</t>
  </si>
  <si>
    <t>https://drive.google.com/file/d/1ui9yFfk7TIIZOOgge7eH2ioBGlRDPuqL/view?usp=drivesdk</t>
  </si>
  <si>
    <t>Document successfully created; Document successfully merged; PDF created; Emails Sent: [To: rohitvedpathak786@gmail.com]; Run via form trigger as codectechnologies0@gmail.com; Timestamp: Sep 3, 2026 1:30 AM</t>
  </si>
  <si>
    <t>Driganshu Kumar</t>
  </si>
  <si>
    <t>driganshukumar2008@gmail.com</t>
  </si>
  <si>
    <t>1LbLtxVbtdfFc6xU88N4aVwVjAfzSr48A</t>
  </si>
  <si>
    <t>https://drive.google.com/file/d/1LbLtxVbtdfFc6xU88N4aVwVjAfzSr48A/view?usp=drivesdk</t>
  </si>
  <si>
    <t>Document successfully created; Document successfully merged; PDF created; Emails Sent: [To: driganshukumar2008@gmail.com]; Run via form trigger as codectechnologies0@gmail.com; Timestamp: Sep 3, 2026 1:40 AM</t>
  </si>
  <si>
    <t>KRISH REXWAL</t>
  </si>
  <si>
    <t>krishrexwal7@gmail.com</t>
  </si>
  <si>
    <t>17speOUubkSsW3R-ybEYymGpn2JZ6H17s</t>
  </si>
  <si>
    <t>https://drive.google.com/file/d/17speOUubkSsW3R-ybEYymGpn2JZ6H17s/view?usp=drivesdk</t>
  </si>
  <si>
    <t>Document successfully created; Document successfully merged; PDF created; Emails Sent: [To: krishrexwal7@gmail.com]; Run via form trigger as codectechnologies0@gmail.com; Timestamp: Sep 3, 2026 1:41 AM</t>
  </si>
  <si>
    <t xml:space="preserve">Patel Jaimitkumar Hiteshkumar </t>
  </si>
  <si>
    <t>jaimit904@gmail.com</t>
  </si>
  <si>
    <t>LDRP-ITR Gandhinagar</t>
  </si>
  <si>
    <t>1cLmhM384p8ubxXrNl2_qe7ZpJ1EnzkoU</t>
  </si>
  <si>
    <t>https://drive.google.com/file/d/1cLmhM384p8ubxXrNl2_qe7ZpJ1EnzkoU/view?usp=drivesdk</t>
  </si>
  <si>
    <t>Document successfully created; Document successfully merged; PDF created; Emails Sent: [To: jaimit904@gmail.com]; Run via form trigger as codectechnologies0@gmail.com; Timestamp: Sep 3, 2026 1:42 AM</t>
  </si>
  <si>
    <t>Nikhil yadav</t>
  </si>
  <si>
    <t>ny68475@gmail.com</t>
  </si>
  <si>
    <t xml:space="preserve">Dr Hari Singh Gour University </t>
  </si>
  <si>
    <t>1HPThCsY3IODCGfKmj1L151HrgK-hu5e9</t>
  </si>
  <si>
    <t>https://drive.google.com/file/d/1HPThCsY3IODCGfKmj1L151HrgK-hu5e9/view?usp=drivesdk</t>
  </si>
  <si>
    <t>Document successfully created; Document successfully merged; PDF created; Emails Sent: [To: ny68475@gmail.com]; Run via form trigger as codectechnologies0@gmail.com; Timestamp: Sep 3, 2026 2:12 AM</t>
  </si>
  <si>
    <t>AGASTYA MAURYA</t>
  </si>
  <si>
    <t>astrolith.agst0001@gmail.com</t>
  </si>
  <si>
    <t>GL Bajaj Institute of Technology and Management</t>
  </si>
  <si>
    <t>1rivYY75ekfpEbcuqF1e_xYO3_jO6Mt4i</t>
  </si>
  <si>
    <t>https://drive.google.com/file/d/1rivYY75ekfpEbcuqF1e_xYO3_jO6Mt4i/view?usp=drivesdk</t>
  </si>
  <si>
    <t>Document successfully created; Document successfully merged; PDF created; Emails Sent: [To: astrolith.agst0001@gmail.com]; Run via form trigger as codectechnologies0@gmail.com; Timestamp: Sep 3, 2026 2:55 AM</t>
  </si>
  <si>
    <t xml:space="preserve">Mohit Raghav </t>
  </si>
  <si>
    <t>thakurmohitraaghav@gmail.com</t>
  </si>
  <si>
    <t xml:space="preserve">Manav Rachna International Institute Of Research and Studies </t>
  </si>
  <si>
    <t>1o-pK6ShdayPow8P2SyfwPFcGXutbIalH</t>
  </si>
  <si>
    <t>https://drive.google.com/file/d/1o-pK6ShdayPow8P2SyfwPFcGXutbIalH/view?usp=drivesdk</t>
  </si>
  <si>
    <t>Document successfully created; Document successfully merged; PDF created; Emails Sent: [To: thakurmohitraaghav@gmail.com]; Run via form trigger as codectechnologies0@gmail.com; Timestamp: Sep 3, 2026 2:56 AM</t>
  </si>
  <si>
    <t>Sujata Gorad</t>
  </si>
  <si>
    <t>sgorad139@gmail.com</t>
  </si>
  <si>
    <t xml:space="preserve">College of engineering Phaltan </t>
  </si>
  <si>
    <t>1QLxVIjOn9uki8ayEvni06xhPFDUfdUr_</t>
  </si>
  <si>
    <t>https://drive.google.com/file/d/1QLxVIjOn9uki8ayEvni06xhPFDUfdUr_/view?usp=drivesdk</t>
  </si>
  <si>
    <t>Document successfully created; Document successfully merged; PDF created; Emails Sent: [To: sgorad139@gmail.com]; Run via form trigger as codectechnologies0@gmail.com; Timestamp: Sep 3, 2026 2:57 AM</t>
  </si>
  <si>
    <t>Priyanshu Yadav</t>
  </si>
  <si>
    <t>priyanshu.mbad@gmail.com</t>
  </si>
  <si>
    <t>16fEhqRddW1mMdpeAJ2HX6fl7pBZWdKRv</t>
  </si>
  <si>
    <t>https://drive.google.com/file/d/16fEhqRddW1mMdpeAJ2HX6fl7pBZWdKRv/view?usp=drivesdk</t>
  </si>
  <si>
    <t>Document successfully created; Document successfully merged; PDF created; Emails Sent: [To: priyanshu.mbad@gmail.com]; Run via form trigger as codectechnologies0@gmail.com; Timestamp: Sep 3, 2026 3:14 AM</t>
  </si>
  <si>
    <t>VARUN.N.THAKARE</t>
  </si>
  <si>
    <t>varunthakare.23@stvincentngp.edu.in</t>
  </si>
  <si>
    <t xml:space="preserve">St. Vincent Pallotti College of Engineering and Technology,Nagpur </t>
  </si>
  <si>
    <t>1OCxhhI0-Icb7FhlRjRRhhkATmTVpV1WL</t>
  </si>
  <si>
    <t>https://drive.google.com/file/d/1OCxhhI0-Icb7FhlRjRRhhkATmTVpV1WL/view?usp=drivesdk</t>
  </si>
  <si>
    <t>Document successfully created; Document successfully merged; PDF created; Emails Sent: [To: varunthakare.23@stvincentngp.edu.in]; Run via form trigger as codectechnologies0@gmail.com; Timestamp: Sep 3, 2026 3:18 AM</t>
  </si>
  <si>
    <t>Utkarsh Patel</t>
  </si>
  <si>
    <t>utkarshpatel1668@gmail.com</t>
  </si>
  <si>
    <t>Jss academy of technology education noida</t>
  </si>
  <si>
    <t>1twzGji-Opfl_9TFXK3WPQuB7M9KjcGnB</t>
  </si>
  <si>
    <t>https://drive.google.com/file/d/1twzGji-Opfl_9TFXK3WPQuB7M9KjcGnB/view?usp=drivesdk</t>
  </si>
  <si>
    <t>Document successfully created; Document successfully merged; PDF created; Emails Sent: [To: utkarshpatel1668@gmail.com]; Run via form trigger as codectechnologies0@gmail.com; Timestamp: Sep 3, 2026 3:57 AM</t>
  </si>
  <si>
    <t xml:space="preserve">Vrihaspath kumar </t>
  </si>
  <si>
    <t>brispatyadav9@gmail.com</t>
  </si>
  <si>
    <t xml:space="preserve">Jss academy of technical education noida </t>
  </si>
  <si>
    <t>1Hie_Ye0qbRif3SBvfnJyJDNsjvs8rKEY</t>
  </si>
  <si>
    <t>https://drive.google.com/file/d/1Hie_Ye0qbRif3SBvfnJyJDNsjvs8rKEY/view?usp=drivesdk</t>
  </si>
  <si>
    <t>Document successfully created; Document successfully merged; PDF created; Emails Sent: [To: brispatyadav9@gmail.com]; Run via form trigger as codectechnologies0@gmail.com; Timestamp: Sep 3, 2026 4:01 AM</t>
  </si>
  <si>
    <t>Bhavitha MC</t>
  </si>
  <si>
    <t>mcbhavitha@gmail.com</t>
  </si>
  <si>
    <t>Jss college of arts, commerce and science, mysuru</t>
  </si>
  <si>
    <t>1YQa_9DC_7EhT9Ks_LH8rE2L3FUCHSHF7</t>
  </si>
  <si>
    <t>https://drive.google.com/file/d/1YQa_9DC_7EhT9Ks_LH8rE2L3FUCHSHF7/view?usp=drivesdk</t>
  </si>
  <si>
    <t>Document successfully created; Document successfully merged; PDF created; Emails Sent: [To: mcbhavitha@gmail.com]; Run via form trigger as codectechnologies0@gmail.com; Timestamp: Sep 3, 2026 4:05 AM</t>
  </si>
  <si>
    <t>09135700256</t>
  </si>
  <si>
    <t>1TaUYgAOdowxjv4QCYGRV_hFqclRl-LrU</t>
  </si>
  <si>
    <t>https://drive.google.com/file/d/1TaUYgAOdowxjv4QCYGRV_hFqclRl-LrU/view?usp=drivesdk</t>
  </si>
  <si>
    <t>Document successfully created; Document successfully merged; PDF created; Emails Sent: [To: brispatyadav9@gmail.com]; Run via form trigger as codectechnologies0@gmail.com; Timestamp: Sep 3, 2026 4:06 AM</t>
  </si>
  <si>
    <t>Jannat</t>
  </si>
  <si>
    <t>badhanjannat7@gmail.com</t>
  </si>
  <si>
    <t xml:space="preserve">Kanya Maha Vidyalaya </t>
  </si>
  <si>
    <t>1mvS6tdYgEzru2WbIdOC4LDkcZrG7saJo</t>
  </si>
  <si>
    <t>https://drive.google.com/file/d/1mvS6tdYgEzru2WbIdOC4LDkcZrG7saJo/view?usp=drivesdk</t>
  </si>
  <si>
    <t>Document successfully created; Document successfully merged; PDF created; Emails Sent: [To: badhanjannat7@gmail.com]; Run via form trigger as codectechnologies0@gmail.com; Timestamp: Sep 3, 2026 4:34 AM</t>
  </si>
  <si>
    <t>Tanisha Ahuja</t>
  </si>
  <si>
    <t>tanishaahuja76@gmail.com</t>
  </si>
  <si>
    <t xml:space="preserve">Kanya Maha vidyalaya, Jalandhar </t>
  </si>
  <si>
    <t>1VyoJrf7kju50q1uzXRx1KU27kF7B-zmM</t>
  </si>
  <si>
    <t>https://drive.google.com/file/d/1VyoJrf7kju50q1uzXRx1KU27kF7B-zmM/view?usp=drivesdk</t>
  </si>
  <si>
    <t>Document successfully created; Document successfully merged; PDF created; Emails Sent: [To: tanishaahuja76@gmail.com]; Run via form trigger as codectechnologies0@gmail.com; Timestamp: Sep 3, 2026 4:35 AM</t>
  </si>
  <si>
    <t>Prince Anand</t>
  </si>
  <si>
    <t>prince07anand@gmail.com</t>
  </si>
  <si>
    <t>teerthanker mahaveer university</t>
  </si>
  <si>
    <t>1_BKNEx1QsTsnwxsVgMfJzuXWZ79WSUkV</t>
  </si>
  <si>
    <t>https://drive.google.com/file/d/1_BKNEx1QsTsnwxsVgMfJzuXWZ79WSUkV/view?usp=drivesdk</t>
  </si>
  <si>
    <t>Document successfully created; Document successfully merged; PDF created; Emails Sent: [To: prince07anand@gmail.com]; Run via form trigger as codectechnologies0@gmail.com; Timestamp: Sep 3, 2026 4:36 AM</t>
  </si>
  <si>
    <t>Piyusha Patil</t>
  </si>
  <si>
    <t>piyushapatil1905@gmail.com</t>
  </si>
  <si>
    <t xml:space="preserve">Government college of engineering kolhapur </t>
  </si>
  <si>
    <t>1m8-CMrbJU_bP00xYCMCYf4Fd8pUqgg5a</t>
  </si>
  <si>
    <t>https://drive.google.com/file/d/1m8-CMrbJU_bP00xYCMCYf4Fd8pUqgg5a/view?usp=drivesdk</t>
  </si>
  <si>
    <t>Document successfully created; Document successfully merged; PDF created; Emails Sent: [To: piyushapatil1905@gmail.com]; Run via form trigger as codectechnologies0@gmail.com; Timestamp: Sep 3, 2026 4:42 AM</t>
  </si>
  <si>
    <t xml:space="preserve">Asmita Sunil Kamble </t>
  </si>
  <si>
    <t>asmitakamble1925@gmail.com</t>
  </si>
  <si>
    <t xml:space="preserve">Government College of Engineering Kolhapur </t>
  </si>
  <si>
    <t>16yBfjXrH0yi2sje1Q6DALcUEFLg27dGR</t>
  </si>
  <si>
    <t>https://drive.google.com/file/d/16yBfjXrH0yi2sje1Q6DALcUEFLg27dGR/view?usp=drivesdk</t>
  </si>
  <si>
    <t>Document successfully created; Document successfully merged; PDF created; Emails Sent: [To: asmitakamble1925@gmail.com]; Run via form trigger as codectechnologies0@gmail.com; Timestamp: Sep 3, 2026 4:43 AM</t>
  </si>
  <si>
    <t xml:space="preserve">Yash choudhary </t>
  </si>
  <si>
    <t>Yash.25SCS1003001167@iilm.edu</t>
  </si>
  <si>
    <t xml:space="preserve"> 74568 86246</t>
  </si>
  <si>
    <t>1JUzvv_ssbqSXPwjGT0M2BsxHNStEWkJc</t>
  </si>
  <si>
    <t>https://drive.google.com/file/d/1JUzvv_ssbqSXPwjGT0M2BsxHNStEWkJc/view?usp=drivesdk</t>
  </si>
  <si>
    <t>Document successfully created; Document successfully merged; PDF created; Emails Sent: [To: Yash.25SCS1003001167@iilm.edu]; Run via form trigger as codectechnologies0@gmail.com; Timestamp: Sep 3, 2026 4:44 AM</t>
  </si>
  <si>
    <t xml:space="preserve">Ganesh Raju Thombare </t>
  </si>
  <si>
    <t>ganeshrajuthombare41@gmail.com</t>
  </si>
  <si>
    <t xml:space="preserve">Department of technology,Shivaji university,Kolhapur </t>
  </si>
  <si>
    <t>14sqjG20GA9X9AJq5M0j9OxT3BmmmaLRO</t>
  </si>
  <si>
    <t>https://drive.google.com/file/d/14sqjG20GA9X9AJq5M0j9OxT3BmmmaLRO/view?usp=drivesdk</t>
  </si>
  <si>
    <t>Document successfully created; Document successfully merged; PDF created; Emails Sent: [To: ganeshrajuthombare41@gmail.com]; Run via form trigger as codectechnologies0@gmail.com; Timestamp: Sep 3, 2026 4:45 AM</t>
  </si>
  <si>
    <t xml:space="preserve">Pratik Pramod Ramagare </t>
  </si>
  <si>
    <t>pratikramagare012@gmail.com</t>
  </si>
  <si>
    <t xml:space="preserve">Rai University </t>
  </si>
  <si>
    <t>1PrR1BM5ol_FRnjhR81Oml5W3vFIHNKS4</t>
  </si>
  <si>
    <t>https://drive.google.com/file/d/1PrR1BM5ol_FRnjhR81Oml5W3vFIHNKS4/view?usp=drivesdk</t>
  </si>
  <si>
    <t>Document successfully created; Document successfully merged; PDF created; Emails Sent: [To: pratikramagare012@gmail.com]; Run via form trigger as codectechnologies0@gmail.com; Timestamp: Sep 3, 2026 4:46 AM</t>
  </si>
  <si>
    <t>Madhura Maruti Kamble</t>
  </si>
  <si>
    <t>kamblemadhura11@gmail.com</t>
  </si>
  <si>
    <t>18DRs21SiBnbiyu5aegoG4TSx5P0ERGgl</t>
  </si>
  <si>
    <t>https://drive.google.com/file/d/18DRs21SiBnbiyu5aegoG4TSx5P0ERGgl/view?usp=drivesdk</t>
  </si>
  <si>
    <t>Document successfully created; Document successfully merged; PDF created; Emails Sent: [To: kamblemadhura11@gmail.com]; Run via form trigger as codectechnologies0@gmail.com; Timestamp: Sep 3, 2026 4:47 AM</t>
  </si>
  <si>
    <t>1cx0KLNTuemlsR8GcoCOZ8wTdCLLwnocq</t>
  </si>
  <si>
    <t>https://drive.google.com/file/d/1cx0KLNTuemlsR8GcoCOZ8wTdCLLwnocq/view?usp=drivesdk</t>
  </si>
  <si>
    <t>Document successfully created; Document successfully merged; PDF created; Emails Sent: [To: pratikramagare012@gmail.com]; Run via form trigger as codectechnologies0@gmail.com; Timestamp: Sep 3, 2026 4:50 AM</t>
  </si>
  <si>
    <t>Mayank Rawat</t>
  </si>
  <si>
    <t>mayank_r@ece.iitr.ac.in</t>
  </si>
  <si>
    <t>1MTx0W4cgfSHU3PkHuVZLe0yqk8VaAdRT</t>
  </si>
  <si>
    <t>https://drive.google.com/file/d/1MTx0W4cgfSHU3PkHuVZLe0yqk8VaAdRT/view?usp=drivesdk</t>
  </si>
  <si>
    <t>Document successfully created; Document successfully merged; PDF created; Emails Sent: [To: mayank_r@ece.iitr.ac.in]; Run via form trigger as codectechnologies0@gmail.com; Timestamp: Sep 3, 2026 5:03 AM</t>
  </si>
  <si>
    <t>vk5189444@gmail.com</t>
  </si>
  <si>
    <t>1XIktzi-62VIyO0EwG_GFVPR0M4PpvWME</t>
  </si>
  <si>
    <t>https://drive.google.com/file/d/1XIktzi-62VIyO0EwG_GFVPR0M4PpvWME/view?usp=drivesdk</t>
  </si>
  <si>
    <t>Document successfully created; Document successfully merged; PDF created; Emails Sent: [To: vk5189444@gmail.com]; Run via form trigger as codectechnologies0@gmail.com; Timestamp: Sep 3, 2026 5:05 AM</t>
  </si>
  <si>
    <t>Shahank Trivedi</t>
  </si>
  <si>
    <t>golaktry@gmail.com</t>
  </si>
  <si>
    <t>1AGmXVdFXL53bPfR2uWvcN_sDugJvidm2</t>
  </si>
  <si>
    <t>https://drive.google.com/file/d/1AGmXVdFXL53bPfR2uWvcN_sDugJvidm2/view?usp=drivesdk</t>
  </si>
  <si>
    <t>Document successfully created; Document successfully merged; PDF created; Emails Sent: [To: golaktry@gmail.com]; Run via form trigger as codectechnologies0@gmail.com; Timestamp: Sep 3, 2026 5:06 AM</t>
  </si>
  <si>
    <t>Ankan paul</t>
  </si>
  <si>
    <t>paulankan951@gmail.com</t>
  </si>
  <si>
    <t>University of Calcutta</t>
  </si>
  <si>
    <t>1efThgZAt6Rpnrq4Uv3R42W2otAII4yRH</t>
  </si>
  <si>
    <t>https://drive.google.com/file/d/1efThgZAt6Rpnrq4Uv3R42W2otAII4yRH/view?usp=drivesdk</t>
  </si>
  <si>
    <t>Document successfully created; Document successfully merged; PDF created; Emails Sent: [To: paulankan951@gmail.com]; Run via form trigger as codectechnologies0@gmail.com; Timestamp: Sep 3, 2026 5:09 AM</t>
  </si>
  <si>
    <t>1jNaObCNCOcQZoxLkGFGBo9fjF5HcYwSw</t>
  </si>
  <si>
    <t>https://drive.google.com/file/d/1jNaObCNCOcQZoxLkGFGBo9fjF5HcYwSw/view?usp=drivesdk</t>
  </si>
  <si>
    <t>Document successfully created; Document successfully merged; PDF created; Emails Sent: [To: mayank_r@ece.iitr.ac.in]; Run via form trigger as codectechnologies0@gmail.com; Timestamp: Sep 3, 2026 5:18 AM</t>
  </si>
  <si>
    <t>Saurabh</t>
  </si>
  <si>
    <t>saurabh20847@gmail.com</t>
  </si>
  <si>
    <t xml:space="preserve">Allenhouse business school </t>
  </si>
  <si>
    <t>19zxBCHa-zgacK7Z4XQGDvgEjj0ZrUBz5</t>
  </si>
  <si>
    <t>https://drive.google.com/file/d/19zxBCHa-zgacK7Z4XQGDvgEjj0ZrUBz5/view?usp=drivesdk</t>
  </si>
  <si>
    <t>Document successfully created; Document successfully merged; PDF created; Emails Sent: [To: saurabh20847@gmail.com]; Run via form trigger as codectechnologies0@gmail.com; Timestamp: Sep 3, 2026 5:19 AM</t>
  </si>
  <si>
    <t>Harsh Pal</t>
  </si>
  <si>
    <t>harsh130444@gmail.com</t>
  </si>
  <si>
    <t>JSS Academy Of Technical Education</t>
  </si>
  <si>
    <t>185ymkdiuprNE_8y0plEfT-PxUl0lqBAF</t>
  </si>
  <si>
    <t>https://drive.google.com/file/d/185ymkdiuprNE_8y0plEfT-PxUl0lqBAF/view?usp=drivesdk</t>
  </si>
  <si>
    <t>Document successfully created; Document successfully merged; PDF created; Emails Sent: [To: harsh130444@gmail.com]; Run via form trigger as codectechnologies0@gmail.com; Timestamp: Sep 3, 2026 5:22 AM</t>
  </si>
  <si>
    <t>Yash Bhardwaj</t>
  </si>
  <si>
    <t>yash130444@gmail.com</t>
  </si>
  <si>
    <t>Noida Institute OF Engineering and Technology</t>
  </si>
  <si>
    <t>1PXIUawKLU1g6R47t-O8_li11oMv3CoDw</t>
  </si>
  <si>
    <t>https://drive.google.com/file/d/1PXIUawKLU1g6R47t-O8_li11oMv3CoDw/view?usp=drivesdk</t>
  </si>
  <si>
    <t>Document successfully created; Document successfully merged; PDF created; Emails Sent: [To: yash130444@gmail.com]; Run via form trigger as codectechnologies0@gmail.com; Timestamp: Sep 3, 2026 5:22 AM</t>
  </si>
  <si>
    <t>DHANRAJ K</t>
  </si>
  <si>
    <t>dhanraj25042006@gmail.com</t>
  </si>
  <si>
    <t xml:space="preserve">Annamalaiar College of Engineering </t>
  </si>
  <si>
    <t>1BVftXhCTTLqSqI3ZEnwzzbCJRzACUaEr</t>
  </si>
  <si>
    <t>https://drive.google.com/file/d/1BVftXhCTTLqSqI3ZEnwzzbCJRzACUaEr/view?usp=drivesdk</t>
  </si>
  <si>
    <t>Document successfully created; Document successfully merged; PDF created; Emails Sent: [To: dhanraj25042006@gmail.com]; Run via form trigger as codectechnologies0@gmail.com; Timestamp: Sep 3, 2026 5:26 AM</t>
  </si>
  <si>
    <t>Madhan kumar B</t>
  </si>
  <si>
    <t>madhankumarbala2k@gmail.com</t>
  </si>
  <si>
    <t>Sethu Institute of  Technology</t>
  </si>
  <si>
    <t>13Z3ORNjDWYg8t7FySFU8nc7B1B-IwZa1</t>
  </si>
  <si>
    <t>https://drive.google.com/file/d/13Z3ORNjDWYg8t7FySFU8nc7B1B-IwZa1/view?usp=drivesdk</t>
  </si>
  <si>
    <t>Document successfully created; Document successfully merged; PDF created; Emails Sent: [To: madhankumarbala2k@gmail.com]; Run via form trigger as codectechnologies0@gmail.com; Timestamp: Sep 3, 2026 5:52 AM</t>
  </si>
  <si>
    <t>Ayan Pramanick</t>
  </si>
  <si>
    <t>ayanpramanick001@gmail.com</t>
  </si>
  <si>
    <t xml:space="preserve">Calcutta University </t>
  </si>
  <si>
    <t>1mUGOsCqEovqu0SLpu50cz30uVXU1Zl1S</t>
  </si>
  <si>
    <t>https://drive.google.com/file/d/1mUGOsCqEovqu0SLpu50cz30uVXU1Zl1S/view?usp=drivesdk</t>
  </si>
  <si>
    <t>Document successfully created; Document successfully merged; PDF created; Emails Sent: [To: ayanpramanick001@gmail.com]; Run via form trigger as codectechnologies0@gmail.com; Timestamp: Sep 3, 2026 6:22 AM</t>
  </si>
  <si>
    <t>D Rupesh</t>
  </si>
  <si>
    <t>rupeshdudhi71@gmail.com</t>
  </si>
  <si>
    <t xml:space="preserve">GITAM Visakhapatnam </t>
  </si>
  <si>
    <t>18F-J97js5g_iZgMMcHf4-FBsD82KUoZd</t>
  </si>
  <si>
    <t>https://drive.google.com/file/d/18F-J97js5g_iZgMMcHf4-FBsD82KUoZd/view?usp=drivesdk</t>
  </si>
  <si>
    <t>Document successfully created; Document successfully merged; PDF created; Emails Sent: [To: rupeshdudhi71@gmail.com]; Run via form trigger as codectechnologies0@gmail.com; Timestamp: Sep 3, 2026 6:45 AM</t>
  </si>
  <si>
    <t>SUJAL</t>
  </si>
  <si>
    <t xml:space="preserve">78070 51706 </t>
  </si>
  <si>
    <t>1SIkMCPNkqTV3BIv_2nu3I851TE-2RQqI</t>
  </si>
  <si>
    <t>https://drive.google.com/file/d/1SIkMCPNkqTV3BIv_2nu3I851TE-2RQqI/view?usp=drivesdk</t>
  </si>
  <si>
    <t>Document successfully created; Document successfully merged; PDF created; Emails Sent: [To: sujal.k01549@gmail.com]; Run via form trigger as codectechnologies0@gmail.com; Timestamp: Sep 3, 2026 6:50 AM</t>
  </si>
  <si>
    <t>Ashutosh Kumar</t>
  </si>
  <si>
    <t>ashutosh.kumar.dev01@gmail.com</t>
  </si>
  <si>
    <t>Jaypee Institute of Information Technology</t>
  </si>
  <si>
    <t>1MyP1MikCx7ks6Fc96x2cuJV92jmhpzJ6</t>
  </si>
  <si>
    <t>https://drive.google.com/file/d/1MyP1MikCx7ks6Fc96x2cuJV92jmhpzJ6/view?usp=drivesdk</t>
  </si>
  <si>
    <t>Document successfully created; Document successfully merged; PDF created; Emails Sent: [To: ashutosh.kumar.dev01@gmail.com]; Run via form trigger as codectechnologies0@gmail.com; Timestamp: Sep 3, 2026 7:17 AM</t>
  </si>
  <si>
    <t>Anik Yadav</t>
  </si>
  <si>
    <t>thezypher.work@gmail.com</t>
  </si>
  <si>
    <t>1BWdJzKwBeqQ9jOr6PfzEFwpP7RSlijWp</t>
  </si>
  <si>
    <t>https://drive.google.com/file/d/1BWdJzKwBeqQ9jOr6PfzEFwpP7RSlijWp/view?usp=drivesdk</t>
  </si>
  <si>
    <t>Document successfully created; Document successfully merged; PDF created; Emails Sent: [To: thezypher.work@gmail.com]; Run via form trigger as codectechnologies0@gmail.com; Timestamp: Sep 3, 2026 7:41 AM</t>
  </si>
  <si>
    <t>Kratgya Bhardwaj</t>
  </si>
  <si>
    <t>kritagyacoc@gmail.com</t>
  </si>
  <si>
    <t>Jaypee Institute of information Technology</t>
  </si>
  <si>
    <t>LinkedIn, AICTE/Indeed, Other</t>
  </si>
  <si>
    <t>1Bvo67LdrpnCpyo2-xiJ75icpwP1I5NBt</t>
  </si>
  <si>
    <t>https://drive.google.com/file/d/1Bvo67LdrpnCpyo2-xiJ75icpwP1I5NBt/view?usp=drivesdk</t>
  </si>
  <si>
    <t>Document successfully created; Document successfully merged; PDF created; Emails Sent: [To: kritagyacoc@gmail.com]; Run via form trigger as codectechnologies0@gmail.com; Timestamp: Sep 3, 2026 7:45 AM</t>
  </si>
  <si>
    <t>Jaynish patel</t>
  </si>
  <si>
    <t>jaynishpatelm@gmail.com</t>
  </si>
  <si>
    <t>1ekNLOY_TkeUsYwZw9DpZcpFV5qy6iNav</t>
  </si>
  <si>
    <t>https://drive.google.com/file/d/1ekNLOY_TkeUsYwZw9DpZcpFV5qy6iNav/view?usp=drivesdk</t>
  </si>
  <si>
    <t>Document successfully created; Document successfully merged; PDF created; Emails Sent: [To: jaynishpatelm@gmail.com]; Run via form trigger as codectechnologies0@gmail.com; Timestamp: Sep 3, 2026 8:25 AM</t>
  </si>
  <si>
    <t>Stuti Dongre</t>
  </si>
  <si>
    <t>dongrestuti56@gmail.com</t>
  </si>
  <si>
    <t>1mg7QHKu2WanCnLbXiBEumSfYjkXWCgBp</t>
  </si>
  <si>
    <t>https://drive.google.com/file/d/1mg7QHKu2WanCnLbXiBEumSfYjkXWCgBp/view?usp=drivesdk</t>
  </si>
  <si>
    <t>Document successfully created; Document successfully merged; PDF created; Emails Sent: [To: dongrestuti56@gmail.com]; Run via form trigger as codectechnologies0@gmail.com; Timestamp: Sep 3, 2026 8:38 AM</t>
  </si>
  <si>
    <t>Himanshi Jain</t>
  </si>
  <si>
    <t>himanshijn640@gmail.com</t>
  </si>
  <si>
    <t>Dezyne École College , Ajmer</t>
  </si>
  <si>
    <t>1lM6EBMzBmSUB2bVzlj-81gBKLnsOfwy1</t>
  </si>
  <si>
    <t>https://drive.google.com/file/d/1lM6EBMzBmSUB2bVzlj-81gBKLnsOfwy1/view?usp=drivesdk</t>
  </si>
  <si>
    <t>Document successfully created; Document successfully merged; PDF created; Emails Sent: [To: himanshijn640@gmail.com]; Run via form trigger as codectechnologies0@gmail.com; Timestamp: Sep 3, 2026 9:17 AM</t>
  </si>
  <si>
    <t>AKASH THAMMAVARAPU</t>
  </si>
  <si>
    <t>akashthammavarapu66@gmail.com</t>
  </si>
  <si>
    <t>MOHAN BABU UNIVERSTY</t>
  </si>
  <si>
    <t>1GJZ_M-SZ9bbuZrFSJ7cBmXZ9J4ffuoGb</t>
  </si>
  <si>
    <t>https://drive.google.com/file/d/1GJZ_M-SZ9bbuZrFSJ7cBmXZ9J4ffuoGb/view?usp=drivesdk</t>
  </si>
  <si>
    <t>Document successfully created; Document successfully merged; PDF created; Emails Sent: [To: akashthammavarapu66@gmail.com]; Run via form trigger as codectechnologies0@gmail.com; Timestamp: Sep 3, 2026 9:29 AM</t>
  </si>
  <si>
    <t>Ansh raj</t>
  </si>
  <si>
    <t>anshbhaktraj@gmail.com</t>
  </si>
  <si>
    <t>1-PigLqob8TLgpQxMCF7DW3V66L6R84L-</t>
  </si>
  <si>
    <t>https://drive.google.com/file/d/1-PigLqob8TLgpQxMCF7DW3V66L6R84L-/view?usp=drivesdk</t>
  </si>
  <si>
    <t>Document successfully created; Document successfully merged; PDF created; Emails Sent: [To: anshbhaktraj@gmail.com]; Run via form trigger as codectechnologies0@gmail.com; Timestamp: Sep 3, 2026 9:33 AM</t>
  </si>
  <si>
    <t>Aditya Verma</t>
  </si>
  <si>
    <t>adityavermaa2005@gmail.com</t>
  </si>
  <si>
    <t xml:space="preserve">Jain University </t>
  </si>
  <si>
    <t>Instagram, Email</t>
  </si>
  <si>
    <t>1DYmr-35BZ4xdn5Ux5ybR2fE5TymzUDwf</t>
  </si>
  <si>
    <t>https://drive.google.com/file/d/1DYmr-35BZ4xdn5Ux5ybR2fE5TymzUDwf/view?usp=drivesdk</t>
  </si>
  <si>
    <t>Document successfully created; Document successfully merged; PDF created; Emails Sent: [To: adityavermaa2005@gmail.com]; Run via form trigger as codectechnologies0@gmail.com; Timestamp: Sep 3, 2026 9:49 AM</t>
  </si>
  <si>
    <t>Swanandi Girish Chaudhari</t>
  </si>
  <si>
    <t>swanandichaudhari03@gmail.com</t>
  </si>
  <si>
    <t>08767463270</t>
  </si>
  <si>
    <t xml:space="preserve">G H Raisoni college of engineering and management </t>
  </si>
  <si>
    <t>1pvU5Wt39V4wCmBatbMklF2L7eQI1_5gG</t>
  </si>
  <si>
    <t>https://drive.google.com/file/d/1pvU5Wt39V4wCmBatbMklF2L7eQI1_5gG/view?usp=drivesdk</t>
  </si>
  <si>
    <t>Document successfully created; Document successfully merged; PDF created; Emails Sent: [To: swanandichaudhari03@gmail.com]; Run via form trigger as codectechnologies0@gmail.com; Timestamp: Sep 3, 2026 9:55 AM</t>
  </si>
  <si>
    <t>Swanandi Chaudhari</t>
  </si>
  <si>
    <t xml:space="preserve">G H Raisoni College of engineering and management </t>
  </si>
  <si>
    <t>1Ob1sTziQL3ITEVSO5bYAzDplD9lOQmrO</t>
  </si>
  <si>
    <t>https://drive.google.com/file/d/1Ob1sTziQL3ITEVSO5bYAzDplD9lOQmrO/view?usp=drivesdk</t>
  </si>
  <si>
    <t>Document successfully created; Document successfully merged; PDF created; Emails Sent: [To: swanandichaudhari03@gmail.com]; Run via form trigger as codectechnologies0@gmail.com; Timestamp: Sep 3, 2026 10:03 AM</t>
  </si>
  <si>
    <t>Suparadeesh E</t>
  </si>
  <si>
    <t>suparadeeshe@gmail.com</t>
  </si>
  <si>
    <t>+916380608669</t>
  </si>
  <si>
    <t xml:space="preserve">SKP Engineering College thiruvannamalai </t>
  </si>
  <si>
    <t>1Q5yMDgaIThQjhzOsUOSsuNIWwUS6v976</t>
  </si>
  <si>
    <t>https://drive.google.com/file/d/1Q5yMDgaIThQjhzOsUOSsuNIWwUS6v976/view?usp=drivesdk</t>
  </si>
  <si>
    <t>Document successfully created; Document successfully merged; PDF created; Emails Sent: [To: suparadeeshe@gmail.com]; Run via form trigger as codectechnologies0@gmail.com; Timestamp: Sep 3, 2026 10:04 AM</t>
  </si>
  <si>
    <t>Shreyanshu Das</t>
  </si>
  <si>
    <t>shreyanshudas04@gmail.com</t>
  </si>
  <si>
    <t>1xFAv0rdt0RZXCc6RqFleHmBkI0mQAkaZ</t>
  </si>
  <si>
    <t>https://drive.google.com/file/d/1xFAv0rdt0RZXCc6RqFleHmBkI0mQAkaZ/view?usp=drivesdk</t>
  </si>
  <si>
    <t>Document successfully created; Document successfully merged; PDF created; Emails Sent: [To: shreyanshudas04@gmail.com]; Run via form trigger as codectechnologies0@gmail.com; Timestamp: Sep 3, 2026 10:05 AM</t>
  </si>
  <si>
    <t>Jain University</t>
  </si>
  <si>
    <t>LinkedIn, Instagram, Facebook, AICTE/Indeed</t>
  </si>
  <si>
    <t>1hqTCoMJL4gxW_zpeGzdsgYo3l_JPfXmg</t>
  </si>
  <si>
    <t>https://drive.google.com/file/d/1hqTCoMJL4gxW_zpeGzdsgYo3l_JPfXmg/view?usp=drivesdk</t>
  </si>
  <si>
    <t>Document successfully created; Document successfully merged; PDF created; Emails Sent: [To: adityavermaa2005@gmail.com]; Run via form trigger as codectechnologies0@gmail.com; Timestamp: Sep 3, 2026 10:06 AM</t>
  </si>
  <si>
    <t>Geeta Sharad Kulkarni</t>
  </si>
  <si>
    <t>geetakulkarni1313@gmail.com</t>
  </si>
  <si>
    <t xml:space="preserve">PES Modern College of Engineering Pune </t>
  </si>
  <si>
    <t>1AjcQVtrkG3cdidLlp9IL40gVFTGey4JY</t>
  </si>
  <si>
    <t>https://drive.google.com/file/d/1AjcQVtrkG3cdidLlp9IL40gVFTGey4JY/view?usp=drivesdk</t>
  </si>
  <si>
    <t>Document successfully created; Document successfully merged; PDF created; Emails Sent: [To: geetakulkarni1313@gmail.com]; Run via form trigger as codectechnologies0@gmail.com; Timestamp: Sep 3, 2026 10:07 AM</t>
  </si>
  <si>
    <t>M.Shubham</t>
  </si>
  <si>
    <t>subhamsoudeep@gmail.com</t>
  </si>
  <si>
    <t xml:space="preserve">Netaji Subhas university jamshedpur </t>
  </si>
  <si>
    <t>1Cm7SWTX9Zo7zOtqY-Pkb8rG6ElCZtdVB</t>
  </si>
  <si>
    <t>https://drive.google.com/file/d/1Cm7SWTX9Zo7zOtqY-Pkb8rG6ElCZtdVB/view?usp=drivesdk</t>
  </si>
  <si>
    <t>Document successfully created; Document successfully merged; PDF created; Emails Sent: [To: subhamsoudeep@gmail.com]; Run via form trigger as codectechnologies0@gmail.com; Timestamp: Sep 3, 2026 10:14 AM</t>
  </si>
  <si>
    <t>Ayush Harish Sonawane</t>
  </si>
  <si>
    <t>info00ayush@gmail.com</t>
  </si>
  <si>
    <t>Walchand College of Engineering Sangli</t>
  </si>
  <si>
    <t>1dAgP5OBodwHLgmhOL_cO4u9M5RXf4Vn-</t>
  </si>
  <si>
    <t>https://drive.google.com/file/d/1dAgP5OBodwHLgmhOL_cO4u9M5RXf4Vn-/view?usp=drivesdk</t>
  </si>
  <si>
    <t>Document successfully created; Document successfully merged; PDF created; Emails Sent: [To: info00ayush@gmail.com]; Run via form trigger as codectechnologies0@gmail.com; Timestamp: Sep 3, 2026 10:18 AM</t>
  </si>
  <si>
    <t>VISINIGIRI KARTHIK GOURAV</t>
  </si>
  <si>
    <t>vkg.karthik.gourav@gmail.com</t>
  </si>
  <si>
    <t>ANDHRA UNIVERSITY COLLEGE OF ENGINEERING-AUCE</t>
  </si>
  <si>
    <t>1XKZRd_DNODlTvECXabTf0PHkkQa9kJCa</t>
  </si>
  <si>
    <t>https://drive.google.com/file/d/1XKZRd_DNODlTvECXabTf0PHkkQa9kJCa/view?usp=drivesdk</t>
  </si>
  <si>
    <t>Document successfully created; Document successfully merged; PDF created; Emails Sent: [To: vkg.karthik.gourav@gmail.com]; Run via form trigger as codectechnologies0@gmail.com; Timestamp: Sep 3, 2026 10:19 AM</t>
  </si>
  <si>
    <t>Devsankar V babu</t>
  </si>
  <si>
    <t>devsankarvb@gmail.com</t>
  </si>
  <si>
    <t>Thejus engineering college vellarakad</t>
  </si>
  <si>
    <t>1aJizsVTKCrgnny14XtxCu8JsYC6SJrwj</t>
  </si>
  <si>
    <t>https://drive.google.com/file/d/1aJizsVTKCrgnny14XtxCu8JsYC6SJrwj/view?usp=drivesdk</t>
  </si>
  <si>
    <t>Document successfully created; Document successfully merged; PDF created; Emails Sent: [To: devsankarvb@gmail.com]; Run via form trigger as codectechnologies0@gmail.com; Timestamp: Sep 3, 2026 10:45 AM</t>
  </si>
  <si>
    <t xml:space="preserve">Karri Hareesh Sri Lakshmi Ramana </t>
  </si>
  <si>
    <t>karrihareesh6@gmail.com</t>
  </si>
  <si>
    <t>GVPCE</t>
  </si>
  <si>
    <t>1zBlYbrW0Afsk8EkrIBVUZWRIaBasqe_-</t>
  </si>
  <si>
    <t>https://drive.google.com/file/d/1zBlYbrW0Afsk8EkrIBVUZWRIaBasqe_-/view?usp=drivesdk</t>
  </si>
  <si>
    <t>Document successfully created; Document successfully merged; PDF created; Emails Sent: [To: karrihareesh6@gmail.com]; Run via form trigger as codectechnologies0@gmail.com; Timestamp: Sep 3, 2026 11:03 AM</t>
  </si>
  <si>
    <t xml:space="preserve">Anshika Tripathi </t>
  </si>
  <si>
    <t>anshikatripathi974@gmail.com</t>
  </si>
  <si>
    <t xml:space="preserve">Institute of Technology and Management Gida Gorakhpur </t>
  </si>
  <si>
    <t>1Ki20kHeIvqkSI2-S6_gQFzcNlPo-mroX</t>
  </si>
  <si>
    <t>https://drive.google.com/file/d/1Ki20kHeIvqkSI2-S6_gQFzcNlPo-mroX/view?usp=drivesdk</t>
  </si>
  <si>
    <t>Document successfully created; Document successfully merged; PDF created; Emails Sent: [To: anshikatripathi974@gmail.com]; Run via form trigger as codectechnologies0@gmail.com; Timestamp: Sep 3, 2026 11:24 AM</t>
  </si>
  <si>
    <t>1TFiATOnWekqpLHk70LWKIUYwaQxtWJud</t>
  </si>
  <si>
    <t>https://drive.google.com/file/d/1TFiATOnWekqpLHk70LWKIUYwaQxtWJud/view?usp=drivesdk</t>
  </si>
  <si>
    <t>Document successfully created; Document successfully merged; PDF created; Emails Sent: [To: anshikatripathi974@gmail.com]; Run via form trigger as codectechnologies0@gmail.com; Timestamp: Sep 3, 2026 11:30 AM</t>
  </si>
  <si>
    <t>VELPULA VEDAVYAS</t>
  </si>
  <si>
    <t>vyasvelpula@gmail.com</t>
  </si>
  <si>
    <t>Methodist college of engineering and technology</t>
  </si>
  <si>
    <t>1PtDWcPuakdXaL1WCXjBz8AgFx0WXf8Kk</t>
  </si>
  <si>
    <t>https://drive.google.com/file/d/1PtDWcPuakdXaL1WCXjBz8AgFx0WXf8Kk/view?usp=drivesdk</t>
  </si>
  <si>
    <t>Document successfully created; Document successfully merged; PDF created; Emails Sent: [To: vyasvelpula@gmail.com]; Run via form trigger as codectechnologies0@gmail.com; Timestamp: Sep 3, 2026 11:32 AM</t>
  </si>
  <si>
    <t>1hglC_RcZ8eQNZZk4ioHeN5HR1UiJaCY9</t>
  </si>
  <si>
    <t>https://drive.google.com/file/d/1hglC_RcZ8eQNZZk4ioHeN5HR1UiJaCY9/view?usp=drivesdk</t>
  </si>
  <si>
    <t>Document successfully created; Document successfully merged; PDF created; Emails Sent: [To: anshikatripathi974@gmail.com]; Run via form trigger as codectechnologies0@gmail.com; Timestamp: Sep 3, 2026 11:35 AM</t>
  </si>
  <si>
    <t>Devaki Kesavan</t>
  </si>
  <si>
    <t>devakik2006@gmail.com</t>
  </si>
  <si>
    <t>INFO INSTITUTE OF ENGINEERING</t>
  </si>
  <si>
    <t>1iSofhchcs-wbUc5VGjUl84Xv5DAfbTKT</t>
  </si>
  <si>
    <t>https://drive.google.com/file/d/1iSofhchcs-wbUc5VGjUl84Xv5DAfbTKT/view?usp=drivesdk</t>
  </si>
  <si>
    <t>Document successfully created; Document successfully merged; PDF created; Emails Sent: [To: devakik2006@gmail.com]; Run via form trigger as codectechnologies0@gmail.com; Timestamp: Sep 3, 2026 11:37 AM</t>
  </si>
  <si>
    <t>Dhruv Kumar Jha</t>
  </si>
  <si>
    <t>dhruvjhapc247@gmail.com</t>
  </si>
  <si>
    <t>1NqB9QII_XoLfRYTA6VnoOD0eSCS2grRC</t>
  </si>
  <si>
    <t>https://drive.google.com/file/d/1NqB9QII_XoLfRYTA6VnoOD0eSCS2grRC/view?usp=drivesdk</t>
  </si>
  <si>
    <t>Document successfully created; Document successfully merged; PDF created; Emails Sent: [To: dhruvjhapc247@gmail.com]; Run via form trigger as codectechnologies0@gmail.com; Timestamp: Sep 3, 2026 11:47 AM</t>
  </si>
  <si>
    <t>Pragya Jaiswal</t>
  </si>
  <si>
    <t>pragyajais154@gmail.com</t>
  </si>
  <si>
    <t>1wP0LIYxn7SyHxeKie1YVV_uec6_IRU_O</t>
  </si>
  <si>
    <t>https://drive.google.com/file/d/1wP0LIYxn7SyHxeKie1YVV_uec6_IRU_O/view?usp=drivesdk</t>
  </si>
  <si>
    <t>Document successfully created; Document successfully merged; PDF created; Emails Sent: [To: pragyajais154@gmail.com]; Run via form trigger as codectechnologies0@gmail.com; Timestamp: Sep 3, 2026 11:47 AM</t>
  </si>
  <si>
    <t xml:space="preserve">Institute of Technology and Management Gida gorakhpur </t>
  </si>
  <si>
    <t>1JCIeotbPGBQv1rkFZs5EEoMqVyrKjeyE</t>
  </si>
  <si>
    <t>https://drive.google.com/file/d/1JCIeotbPGBQv1rkFZs5EEoMqVyrKjeyE/view?usp=drivesdk</t>
  </si>
  <si>
    <t>Document successfully created; Document successfully merged; PDF created; Emails Sent: [To: anshikatripathi974@gmail.com]; Run via form trigger as codectechnologies0@gmail.com; Timestamp: Sep 3, 2026 12:02 PM</t>
  </si>
  <si>
    <t xml:space="preserve">Bhagat Komal Rajesh </t>
  </si>
  <si>
    <t>komalbhagat270@gmail.com</t>
  </si>
  <si>
    <t xml:space="preserve">PES college of engineering Phaltan </t>
  </si>
  <si>
    <t>11K7MEXM8iXBOr-XVuC_FaPNjLbd7tTPL</t>
  </si>
  <si>
    <t>https://drive.google.com/file/d/11K7MEXM8iXBOr-XVuC_FaPNjLbd7tTPL/view?usp=drivesdk</t>
  </si>
  <si>
    <t>Document successfully created; Document successfully merged; PDF created; Emails Sent: [To: komalbhagat270@gmail.com]; Run via form trigger as codectechnologies0@gmail.com; Timestamp: Sep 3, 2026 1:19 PM</t>
  </si>
  <si>
    <t>Abinaya</t>
  </si>
  <si>
    <t>abinayaabi2004plr@gmail.com</t>
  </si>
  <si>
    <t xml:space="preserve">Info Institute of Engineering </t>
  </si>
  <si>
    <t>1WbmbhEf2FAbam25Rlp-DcBneo3tVsWM1</t>
  </si>
  <si>
    <t>https://drive.google.com/file/d/1WbmbhEf2FAbam25Rlp-DcBneo3tVsWM1/view?usp=drivesdk</t>
  </si>
  <si>
    <t>Document successfully created; Document successfully merged; PDF created; Emails Sent: [To: abinayaabi2004plr@gmail.com]; Run via form trigger as codectechnologies0@gmail.com; Timestamp: Sep 3, 2026 1:21 PM</t>
  </si>
  <si>
    <t>AMAN RAJ</t>
  </si>
  <si>
    <t>aman.25scs1003003193@iilm.edu</t>
  </si>
  <si>
    <t>14YZKrojmHqGzDJqL_T59AwgBVPKkIx7f</t>
  </si>
  <si>
    <t>https://drive.google.com/file/d/14YZKrojmHqGzDJqL_T59AwgBVPKkIx7f/view?usp=drivesdk</t>
  </si>
  <si>
    <t>Document successfully created; Document successfully merged; PDF created; Emails Sent: [To: aman.25scs1003003193@iilm.edu]; Run via form trigger as codectechnologies0@gmail.com; Timestamp: Sep 3, 2026 1:28 PM</t>
  </si>
  <si>
    <t>Mohd Ashab</t>
  </si>
  <si>
    <t>ashab3103470@gmail.com</t>
  </si>
  <si>
    <t xml:space="preserve">Haridwar university </t>
  </si>
  <si>
    <t>132-cA7UsVeZIBf6k_DzCIqpzhBaVVkkz</t>
  </si>
  <si>
    <t>https://drive.google.com/file/d/132-cA7UsVeZIBf6k_DzCIqpzhBaVVkkz/view?usp=drivesdk</t>
  </si>
  <si>
    <t>Document successfully created; Document successfully merged; PDF created; Emails Sent: [To: ashab3103470@gmail.com]; Run via form trigger as codectechnologies0@gmail.com; Timestamp: Sep 3, 2026 1:33 PM</t>
  </si>
  <si>
    <t>1EkMIMRIrTwRmC3d-TlK0UBLADaDhzR7M</t>
  </si>
  <si>
    <t>https://drive.google.com/file/d/1EkMIMRIrTwRmC3d-TlK0UBLADaDhzR7M/view?usp=drivesdk</t>
  </si>
  <si>
    <t>Document successfully created; Document successfully merged; PDF created; Emails Sent: [To: komalbhagat270@gmail.com]; Run via form trigger as codectechnologies0@gmail.com; Timestamp: Sep 3, 2026 1:44 PM</t>
  </si>
  <si>
    <t>Avishkar Patil</t>
  </si>
  <si>
    <t>2446021@ritindia.edu</t>
  </si>
  <si>
    <t>Rajarambapu Institute of Technology</t>
  </si>
  <si>
    <t>1UbEh5Epkg4jwhyYkAN8xnz_32qv3Jvzc</t>
  </si>
  <si>
    <t>https://drive.google.com/file/d/1UbEh5Epkg4jwhyYkAN8xnz_32qv3Jvzc/view?usp=drivesdk</t>
  </si>
  <si>
    <t>Document successfully created; Document successfully merged; PDF created; Emails Sent: [To: 2446021@ritindia.edu]; Run via form trigger as codectechnologies0@gmail.com; Timestamp: Sep 3, 2026 1:54 PM</t>
  </si>
  <si>
    <t>Aman Mishra</t>
  </si>
  <si>
    <t>amanmishra685098@gmail.com</t>
  </si>
  <si>
    <t>1WZ-meruqZkDAM2lloQ66V-xZfzz4L3_x</t>
  </si>
  <si>
    <t>https://drive.google.com/file/d/1WZ-meruqZkDAM2lloQ66V-xZfzz4L3_x/view?usp=drivesdk</t>
  </si>
  <si>
    <t>Document successfully created; Document successfully merged; PDF created; Emails Sent: [To: amanmishra685098@gmail.com]; Run via form trigger as codectechnologies0@gmail.com; Timestamp: Sep 3, 2026 1:54 PM</t>
  </si>
  <si>
    <t>aman37572804@gmail.com</t>
  </si>
  <si>
    <t xml:space="preserve">Amity University jaipur </t>
  </si>
  <si>
    <t>1_fC8xuHdNvCLweEYJy5fiJGkkS-RbvL8</t>
  </si>
  <si>
    <t>https://drive.google.com/file/d/1_fC8xuHdNvCLweEYJy5fiJGkkS-RbvL8/view?usp=drivesdk</t>
  </si>
  <si>
    <t>Document successfully created; Document successfully merged; PDF created; Emails Sent: [To: aman37572804@gmail.com]; Run via form trigger as codectechnologies0@gmail.com; Timestamp: Sep 3, 2026 1:59 PM</t>
  </si>
  <si>
    <t>1FNdgWFps4935qRJHM2XITjh5Kdv7x1Zu</t>
  </si>
  <si>
    <t>https://drive.google.com/file/d/1FNdgWFps4935qRJHM2XITjh5Kdv7x1Zu/view?usp=drivesdk</t>
  </si>
  <si>
    <t>Document successfully created; Document successfully merged; PDF created; Emails Sent: [To: azmeeranehru2004@gmail.com]; Run via form trigger as codectechnologies0@gmail.com; Timestamp: Sep 3, 2026 2:05 PM</t>
  </si>
  <si>
    <t>Sushant Gautam</t>
  </si>
  <si>
    <t>gautamsushant27@gmail.com</t>
  </si>
  <si>
    <t xml:space="preserve">J.S.S Academy of Technical Education,Noida </t>
  </si>
  <si>
    <t>10sBib2rirLu9LUfYOolhZGwwOM9D3LNl</t>
  </si>
  <si>
    <t>https://drive.google.com/file/d/10sBib2rirLu9LUfYOolhZGwwOM9D3LNl/view?usp=drivesdk</t>
  </si>
  <si>
    <t>Document successfully created; Document successfully merged; PDF created; Emails Sent: [To: gautamsushant27@gmail.com]; Run via form trigger as codectechnologies0@gmail.com; Timestamp: Sep 3, 2026 2:18 PM</t>
  </si>
  <si>
    <t>Abhay Vishwakarma</t>
  </si>
  <si>
    <t>paradoxinside350@gmail.com</t>
  </si>
  <si>
    <t>JSS Academy Of Technical Education Noida</t>
  </si>
  <si>
    <t>1ExkRt2FaReaIH3OU29--r-ss0rWEDbuZ</t>
  </si>
  <si>
    <t>https://drive.google.com/file/d/1ExkRt2FaReaIH3OU29--r-ss0rWEDbuZ/view?usp=drivesdk</t>
  </si>
  <si>
    <t>Document successfully created; Document successfully merged; PDF created; Emails Sent: [To: paradoxinside350@gmail.com]; Run via form trigger as codectechnologies0@gmail.com; Timestamp: Sep 3, 2026 2:58 PM</t>
  </si>
  <si>
    <t>Kavya Gupta</t>
  </si>
  <si>
    <t>kavyaguptadhn30@gmail.com</t>
  </si>
  <si>
    <t>Gandhi Engineering College</t>
  </si>
  <si>
    <t>1a_QCvPiEkjAK9ypME4ZyKtv8jlByILqy</t>
  </si>
  <si>
    <t>https://drive.google.com/file/d/1a_QCvPiEkjAK9ypME4ZyKtv8jlByILqy/view?usp=drivesdk</t>
  </si>
  <si>
    <t>Document successfully created; Document successfully merged; PDF created; Emails Sent: [To: kavyaguptadhn30@gmail.com]; Run via form trigger as codectechnologies0@gmail.com; Timestamp: Sep 3, 2026 3:05 PM</t>
  </si>
  <si>
    <t>Abhishek Mishra</t>
  </si>
  <si>
    <t>mishraabhishek9688@gmail.com</t>
  </si>
  <si>
    <t>1ZQwdHrNCD6KVF9OjvXtpWgKhlJRbuFHl</t>
  </si>
  <si>
    <t>https://drive.google.com/file/d/1ZQwdHrNCD6KVF9OjvXtpWgKhlJRbuFHl/view?usp=drivesdk</t>
  </si>
  <si>
    <t>Document successfully created; Document successfully merged; PDF created; Emails Sent: [To: mishraabhishek9688@gmail.com]; Run via form trigger as codectechnologies0@gmail.com; Timestamp: Sep 3, 2026 3:14 PM</t>
  </si>
  <si>
    <t xml:space="preserve">Nitin </t>
  </si>
  <si>
    <t>rana786536@gmail.com</t>
  </si>
  <si>
    <t xml:space="preserve">Gurugram university </t>
  </si>
  <si>
    <t>11S1DNA2mn3YIpfaxxNfHK4WnzSvsjS9u</t>
  </si>
  <si>
    <t>https://drive.google.com/file/d/11S1DNA2mn3YIpfaxxNfHK4WnzSvsjS9u/view?usp=drivesdk</t>
  </si>
  <si>
    <t>Document successfully created; Document successfully merged; PDF created; Emails Sent: [To: rana786536@gmail.com]; Run via form trigger as codectechnologies0@gmail.com; Timestamp: Sep 3, 2026 3:31 PM</t>
  </si>
  <si>
    <t xml:space="preserve">Abhishek Kumar </t>
  </si>
  <si>
    <t>abhisahusnc@gmail.com</t>
  </si>
  <si>
    <t>1ppU-vPFRDcSnoK3M4QyLaXO6Y6QRcVtv</t>
  </si>
  <si>
    <t>https://drive.google.com/file/d/1ppU-vPFRDcSnoK3M4QyLaXO6Y6QRcVtv/view?usp=drivesdk</t>
  </si>
  <si>
    <t>Document successfully created; Document successfully merged; PDF created; Emails Sent: [To: abhisahusnc@gmail.com]; Run via form trigger as codectechnologies0@gmail.com; Timestamp: Sep 3, 2026 5:07 PM</t>
  </si>
  <si>
    <t>Harshal Chavan</t>
  </si>
  <si>
    <t>harshalvikaschavan553@gmail.com</t>
  </si>
  <si>
    <t xml:space="preserve">Finolex academy of management and technology </t>
  </si>
  <si>
    <t>1Ffx2zHTmfr3x-LuFQf7mhym2fnO5U6Ak</t>
  </si>
  <si>
    <t>https://drive.google.com/file/d/1Ffx2zHTmfr3x-LuFQf7mhym2fnO5U6Ak/view?usp=drivesdk</t>
  </si>
  <si>
    <t>Document successfully created; Document successfully merged; PDF created; Emails Sent: [To: harshalvikaschavan553@gmail.com]; Run via form trigger as codectechnologies0@gmail.com; Timestamp: Sep 4, 2026 12:17 AM</t>
  </si>
  <si>
    <t>chandanjais49949@gmail.com</t>
  </si>
  <si>
    <t>Swami Vivekanand Subharti University</t>
  </si>
  <si>
    <t>1YWqpkL-ox4n_uklE1jf_t0FQFli3zyXI</t>
  </si>
  <si>
    <t>https://drive.google.com/file/d/1YWqpkL-ox4n_uklE1jf_t0FQFli3zyXI/view?usp=drivesdk</t>
  </si>
  <si>
    <t>Document successfully created; Document successfully merged; PDF created; Emails Sent: [To: chandanjais49949@gmail.com]; Run via form trigger as codectechnologies0@gmail.com; Timestamp: Sep 4, 2026 1:00 AM</t>
  </si>
  <si>
    <t>Nikita Samantaray</t>
  </si>
  <si>
    <t xml:space="preserve">Centurian University of management and technology </t>
  </si>
  <si>
    <t>1lnHjIi3ywlmDcqfRF5eo8my_QiXtpgS4</t>
  </si>
  <si>
    <t>https://drive.google.com/file/d/1lnHjIi3ywlmDcqfRF5eo8my_QiXtpgS4/view?usp=drivesdk</t>
  </si>
  <si>
    <t>Document successfully created; Document successfully merged; PDF created; Emails Sent: [To: nikitasamantaray5@gmail.com]; Run via form trigger as codectechnologies0@gmail.com; Timestamp: Sep 4, 2026 1:07 AM</t>
  </si>
  <si>
    <t>Centurian university of management and technology</t>
  </si>
  <si>
    <t>11zWF0Rl98tUCVYDhEZU0levjn-_Z3apg</t>
  </si>
  <si>
    <t>https://drive.google.com/file/d/11zWF0Rl98tUCVYDhEZU0levjn-_Z3apg/view?usp=drivesdk</t>
  </si>
  <si>
    <t>Document successfully created; Document successfully merged; PDF created; Emails Sent: [To: nikitasamantaray5@gmail.com]; Run via form trigger as codectechnologies0@gmail.com; Timestamp: Sep 4, 2026 1:11 AM</t>
  </si>
  <si>
    <t>Peddineni Thanmai</t>
  </si>
  <si>
    <t>thanmaipeddineni104@gmail.com</t>
  </si>
  <si>
    <t>1b5aLV94H1TgJ8Y-4RrJPdD5HYApq4AAQ</t>
  </si>
  <si>
    <t>https://drive.google.com/file/d/1b5aLV94H1TgJ8Y-4RrJPdD5HYApq4AAQ/view?usp=drivesdk</t>
  </si>
  <si>
    <t>Document successfully created; Document successfully merged; PDF created; Emails Sent: [To: thanmaipeddineni104@gmail.com]; Run via form trigger as codectechnologies0@gmail.com; Timestamp: Sep 4, 2026 2:26 AM</t>
  </si>
  <si>
    <t>1eOp0Yah4oaQzjszQkJunQJQjrAcgK3RP</t>
  </si>
  <si>
    <t>https://drive.google.com/file/d/1eOp0Yah4oaQzjszQkJunQJQjrAcgK3RP/view?usp=drivesdk</t>
  </si>
  <si>
    <t>Document successfully created; Document successfully merged; PDF created; Emails Sent: [To: pradhansonali016@gmail.com]; Run via form trigger as codectechnologies0@gmail.com; Timestamp: Sep 4, 2026 2:43 AM</t>
  </si>
  <si>
    <t xml:space="preserve">Alaka Priyadarshini Pradhan </t>
  </si>
  <si>
    <t xml:space="preserve">Pradhanalaka04@gmail.com </t>
  </si>
  <si>
    <t xml:space="preserve">Centurion University of Technology management </t>
  </si>
  <si>
    <t>1AyB-aTq560sUlvrnGKEhy3TJRrihfHeR</t>
  </si>
  <si>
    <t>https://drive.google.com/file/d/1AyB-aTq560sUlvrnGKEhy3TJRrihfHeR/view?usp=drivesdk</t>
  </si>
  <si>
    <t>Document successfully created; Document successfully merged; PDF created; Emails Sent: [To: Pradhanalaka04@gmail.com]; Run via form trigger as codectechnologies0@gmail.com; Timestamp: Sep 4, 2026 2:45 AM</t>
  </si>
  <si>
    <t>SHIVAM SRIVASTAVA</t>
  </si>
  <si>
    <t>shivamsrivastava091091@gmail.com</t>
  </si>
  <si>
    <t>J.S.S ACADEMY OF TECHNICAL EDUCATION NOIDA</t>
  </si>
  <si>
    <t>1FGNWZEXDBy54sx9CqfD012OWdO2xK9S0</t>
  </si>
  <si>
    <t>https://drive.google.com/file/d/1FGNWZEXDBy54sx9CqfD012OWdO2xK9S0/view?usp=drivesdk</t>
  </si>
  <si>
    <t>Document successfully created; Document successfully merged; PDF created; Emails Sent: [To: shivamsrivastava091091@gmail.com]; Run via form trigger as codectechnologies0@gmail.com; Timestamp: Sep 4, 2026 3:05 AM</t>
  </si>
  <si>
    <t xml:space="preserve">Mohd Ashab </t>
  </si>
  <si>
    <t>ashab3103470000@gmail.com</t>
  </si>
  <si>
    <t>1Y5p2qNqWjxCHVoH9DKDMbPsgGY5vEM7X</t>
  </si>
  <si>
    <t>https://drive.google.com/file/d/1Y5p2qNqWjxCHVoH9DKDMbPsgGY5vEM7X/view?usp=drivesdk</t>
  </si>
  <si>
    <t>Document successfully created; Document successfully merged; PDF created; Emails Sent: [To: ashab3103470000@gmail.com]; Run via form trigger as codectechnologies0@gmail.com; Timestamp: Sep 4, 2026 3:23 AM</t>
  </si>
  <si>
    <t>Adithya Eramushti</t>
  </si>
  <si>
    <t>adithyaeramushti335@gmail.com</t>
  </si>
  <si>
    <t>1LjR_LQ-klfgdXudSKOcfkZDsYKMN667X</t>
  </si>
  <si>
    <t>https://drive.google.com/file/d/1LjR_LQ-klfgdXudSKOcfkZDsYKMN667X/view?usp=drivesdk</t>
  </si>
  <si>
    <t>Document successfully created; Document successfully merged; PDF created; Emails Sent: [To: adithyaeramushti335@gmail.com]; Run via form trigger as codectechnologies0@gmail.com; Timestamp: Sep 4, 2026 4:08 AM</t>
  </si>
  <si>
    <t>Swasat Parida</t>
  </si>
  <si>
    <t>swasatparida@gmail.com</t>
  </si>
  <si>
    <t>ITER , Siksha 'O' Anusandhan</t>
  </si>
  <si>
    <t>1BA0NJUutw5-HfNLfimkmxxGuB94TD7eN</t>
  </si>
  <si>
    <t>https://drive.google.com/file/d/1BA0NJUutw5-HfNLfimkmxxGuB94TD7eN/view?usp=drivesdk</t>
  </si>
  <si>
    <t>Document successfully created; Document successfully merged; PDF created; Emails Sent: [To: swasatparida@gmail.com]; Run via form trigger as codectechnologies0@gmail.com; Timestamp: Sep 4, 2026 4:50 AM</t>
  </si>
  <si>
    <t>Varshini T</t>
  </si>
  <si>
    <t>varshiniamp2008@gmail.com</t>
  </si>
  <si>
    <t>VSB College of Engineering Technical Campus,Coimbatore</t>
  </si>
  <si>
    <t>1_B6eShe5P5pA88LniJWI1jsha-78TW15</t>
  </si>
  <si>
    <t>https://drive.google.com/file/d/1_B6eShe5P5pA88LniJWI1jsha-78TW15/view?usp=drivesdk</t>
  </si>
  <si>
    <t>Document successfully created; Document successfully merged; PDF created; Emails Sent: [To: varshiniamp2008@gmail.com]; Run via form trigger as codectechnologies0@gmail.com; Timestamp: Sep 4, 2026 5:01 AM</t>
  </si>
  <si>
    <t>1v2T_WQNtgwC9f0SIow_f3m8OhD1I3_7U</t>
  </si>
  <si>
    <t>https://drive.google.com/file/d/1v2T_WQNtgwC9f0SIow_f3m8OhD1I3_7U/view?usp=drivesdk</t>
  </si>
  <si>
    <t>Document successfully created; Document successfully merged; PDF created; Emails Sent: [To: pundirvansh881@gmail.com]; Run via form trigger as codectechnologies0@gmail.com; Timestamp: Sep 4, 2026 6:04 AM</t>
  </si>
  <si>
    <t>Nakul Yadav</t>
  </si>
  <si>
    <t>itsnakulydv@gmail.com</t>
  </si>
  <si>
    <t>09899930677</t>
  </si>
  <si>
    <t>VIT BHOPAL</t>
  </si>
  <si>
    <t>1__Az4JeayGs2lvRqQ8SR25DPKrW9hQcQ</t>
  </si>
  <si>
    <t>https://drive.google.com/file/d/1__Az4JeayGs2lvRqQ8SR25DPKrW9hQcQ/view?usp=drivesdk</t>
  </si>
  <si>
    <t>Document successfully created; Document successfully merged; PDF created; Emails Sent: [To: itsnakulydv@gmail.com]; Run via form trigger as codectechnologies0@gmail.com; Timestamp: Sep 4, 2026 6:07 AM</t>
  </si>
  <si>
    <t>Sudhanshu Ghandhare</t>
  </si>
  <si>
    <t>sudhanshugandhare@gmail.com</t>
  </si>
  <si>
    <t>09699189163</t>
  </si>
  <si>
    <t xml:space="preserve">Yeshwantrao Chavhan college of engineering nagpur </t>
  </si>
  <si>
    <t>1I79ojr1R9pRJjKcIfdyPcA-3IAzqE22T</t>
  </si>
  <si>
    <t>https://drive.google.com/file/d/1I79ojr1R9pRJjKcIfdyPcA-3IAzqE22T/view?usp=drivesdk</t>
  </si>
  <si>
    <t>Document successfully created; Document successfully merged; PDF created; Emails Sent: [To: sudhanshugandhare@gmail.com]; Run via form trigger as codectechnologies0@gmail.com; Timestamp: Sep 4, 2026 6:25 AM</t>
  </si>
  <si>
    <t>SUBHASHREE CHAINI</t>
  </si>
  <si>
    <t>subhashreechaini78@gmail.com</t>
  </si>
  <si>
    <t>Institute Of Technical Education And Research (SOA UNIVERSITY, BHUBANESWAR)</t>
  </si>
  <si>
    <t>1vgOBv4XFo7P8iHsMi1qLLcE5sZTLoMcJ</t>
  </si>
  <si>
    <t>https://drive.google.com/file/d/1vgOBv4XFo7P8iHsMi1qLLcE5sZTLoMcJ/view?usp=drivesdk</t>
  </si>
  <si>
    <t>Document successfully created; Document successfully merged; PDF created; Emails Sent: [To: subhashreechaini78@gmail.com]; Run via form trigger as codectechnologies0@gmail.com; Timestamp: Sep 4, 2026 6:39 AM</t>
  </si>
  <si>
    <t>Akash Thammavarapu</t>
  </si>
  <si>
    <t>thammavarapuakash24@gamil.com</t>
  </si>
  <si>
    <t>1GzFyEyWNlQ6FJVaVT651ADtBpS_aiQZy</t>
  </si>
  <si>
    <t>https://drive.google.com/file/d/1GzFyEyWNlQ6FJVaVT651ADtBpS_aiQZy/view?usp=drivesdk</t>
  </si>
  <si>
    <t>Document successfully created; Document successfully merged; PDF created; Emails Sent: [To: thammavarapuakash24@gamil.com]; Run via form trigger as codectechnologies0@gmail.com; Timestamp: Sep 4, 2026 8:08 AM</t>
  </si>
  <si>
    <t xml:space="preserve">BOKKA NAGA MALLESWARI </t>
  </si>
  <si>
    <t>ammuammulu0507@gmail.com</t>
  </si>
  <si>
    <t xml:space="preserve">Lakireddy Bali Reddy College of Engineering </t>
  </si>
  <si>
    <t>1U4KkpplMTTDZ2HMgqkHuJCw-XBUISfQz</t>
  </si>
  <si>
    <t>https://drive.google.com/file/d/1U4KkpplMTTDZ2HMgqkHuJCw-XBUISfQz/view?usp=drivesdk</t>
  </si>
  <si>
    <t>Document successfully created; Document successfully merged; PDF created; Emails Sent: [To: ammuammulu0507@gmail.com]; Run via form trigger as codectechnologies0@gmail.com; Timestamp: Sep 4, 2026 8:26 AM</t>
  </si>
  <si>
    <t>Akshita Bora</t>
  </si>
  <si>
    <t>boraakshita44@gmail.com</t>
  </si>
  <si>
    <t>Sai vidya institute of technology</t>
  </si>
  <si>
    <t>1Nhiv-uYU_cLPxXcBAYv1yoXO93XVW-hB</t>
  </si>
  <si>
    <t>https://drive.google.com/file/d/1Nhiv-uYU_cLPxXcBAYv1yoXO93XVW-hB/view?usp=drivesdk</t>
  </si>
  <si>
    <t>Document successfully created; Document successfully merged; PDF created; Emails Sent: [To: boraakshita44@gmail.com]; Run via form trigger as codectechnologies0@gmail.com; Timestamp: Sep 4, 2026 8:30 AM</t>
  </si>
  <si>
    <t>nitesh singh</t>
  </si>
  <si>
    <t>kumarnitesh979875@gmail.com</t>
  </si>
  <si>
    <t>08709842630</t>
  </si>
  <si>
    <t>pst</t>
  </si>
  <si>
    <t>LinkedIn, Instagram, Facebook, WhatsApp</t>
  </si>
  <si>
    <t>1SrlInwlmi6Qk7NSYFb4Ee2VsrjUcvfOc</t>
  </si>
  <si>
    <t>https://drive.google.com/file/d/1SrlInwlmi6Qk7NSYFb4Ee2VsrjUcvfOc/view?usp=drivesdk</t>
  </si>
  <si>
    <t>Document successfully created; Document successfully merged; PDF created; Emails Sent: [To: kumarnitesh979875@gmail.com]; Run via form trigger as codectechnologies0@gmail.com; Timestamp: Sep 4, 2026 8:51 AM</t>
  </si>
  <si>
    <t xml:space="preserve">Chekka Madhumithalakshmi </t>
  </si>
  <si>
    <t>1v2VKLsarm71K2fh_GM551vqWdodm7xM5</t>
  </si>
  <si>
    <t>https://drive.google.com/file/d/1v2VKLsarm71K2fh_GM551vqWdodm7xM5/view?usp=drivesdk</t>
  </si>
  <si>
    <t>Document successfully created; Document successfully merged; PDF created; Emails Sent: [To: madhumithalakshmi17@gmail.com]; Run via form trigger as codectechnologies0@gmail.com; Timestamp: Sep 4, 2026 9:43 AM</t>
  </si>
  <si>
    <t>Shivu K C M</t>
  </si>
  <si>
    <t>worksshivu@gmail.com</t>
  </si>
  <si>
    <t>India Institute of Information Technology, Manipur</t>
  </si>
  <si>
    <t>12CZVYSSP7SjwbaMOeAcIGMBXFE9JIAQU</t>
  </si>
  <si>
    <t>https://drive.google.com/file/d/12CZVYSSP7SjwbaMOeAcIGMBXFE9JIAQU/view?usp=drivesdk</t>
  </si>
  <si>
    <t>Document successfully created; Document successfully merged; PDF created; Emails Sent: [To: worksshivu@gmail.com]; Run via form trigger as codectechnologies0@gmail.com; Timestamp: Sep 4, 2026 9:46 AM</t>
  </si>
  <si>
    <t>Sayali Raghunath Karnik</t>
  </si>
  <si>
    <t>sayalikarnik830@gmail.com</t>
  </si>
  <si>
    <t>Dr. D Y Patil Prathishthan's College Of Engineering Salokhenagar</t>
  </si>
  <si>
    <t>1buhkCIwvJ-DLwrA2nJ5XJqdySjPx_kuU</t>
  </si>
  <si>
    <t>https://drive.google.com/file/d/1buhkCIwvJ-DLwrA2nJ5XJqdySjPx_kuU/view?usp=drivesdk</t>
  </si>
  <si>
    <t>Document successfully created; Document successfully merged; PDF created; Emails Sent: [To: sayalikarnik830@gmail.com]; Run via form trigger as codectechnologies0@gmail.com; Timestamp: Sep 4, 2026 10:01 AM</t>
  </si>
  <si>
    <t>Fareesa Nazneen</t>
  </si>
  <si>
    <t>fareesanazneen53@gmail.com</t>
  </si>
  <si>
    <t xml:space="preserve">Nawab Shah Alam Khan College of Engineering and Technology </t>
  </si>
  <si>
    <t>Friend, Internshala</t>
  </si>
  <si>
    <t>1GaH-uGCIu2IFopAfRwIvr-ZbwNnBNu2H</t>
  </si>
  <si>
    <t>https://drive.google.com/file/d/1GaH-uGCIu2IFopAfRwIvr-ZbwNnBNu2H/view?usp=drivesdk</t>
  </si>
  <si>
    <t>Document successfully created; Document successfully merged; PDF created; Emails Sent: [To: fareesanazneen53@gmail.com]; Run via form trigger as codectechnologies0@gmail.com; Timestamp: Sep 4, 2026 10:02 AM</t>
  </si>
  <si>
    <t>Nishita  Mahesh Gaikwad</t>
  </si>
  <si>
    <t>nishitagaikwad883@gmail.com</t>
  </si>
  <si>
    <t>Keystone school of Engineering</t>
  </si>
  <si>
    <t>1aKf_eJ4LDjh4b65H3rmro96Kq5CJ3zsI</t>
  </si>
  <si>
    <t>https://drive.google.com/file/d/1aKf_eJ4LDjh4b65H3rmro96Kq5CJ3zsI/view?usp=drivesdk</t>
  </si>
  <si>
    <t>Document successfully created; Document successfully merged; PDF created; Emails Sent: [To: nishitagaikwad883@gmail.com]; Run via form trigger as codectechnologies0@gmail.com; Timestamp: Sep 4, 2026 10:04 AM</t>
  </si>
  <si>
    <t>Krishna Sharma</t>
  </si>
  <si>
    <t>krishnasharmamznm@gmail.com</t>
  </si>
  <si>
    <t>Coer University`</t>
  </si>
  <si>
    <t>1b9xrszlCW2jiP5bN3rGswjOO2aHOwQ4p</t>
  </si>
  <si>
    <t>https://drive.google.com/file/d/1b9xrszlCW2jiP5bN3rGswjOO2aHOwQ4p/view?usp=drivesdk</t>
  </si>
  <si>
    <t>Document successfully created; Document successfully merged; PDF created; Emails Sent: [To: krishnasharmamznm@gmail.com]; Run via form trigger as codectechnologies0@gmail.com; Timestamp: Sep 4, 2026 10:12 AM</t>
  </si>
  <si>
    <t xml:space="preserve">Komal mahawar </t>
  </si>
  <si>
    <t>komal_m@ch.iitr.ac.in</t>
  </si>
  <si>
    <t xml:space="preserve">Indian institute of technology </t>
  </si>
  <si>
    <t>1gUUzTpEsj34qEeq4VzGIHM5SQx804C_1</t>
  </si>
  <si>
    <t>https://drive.google.com/file/d/1gUUzTpEsj34qEeq4VzGIHM5SQx804C_1/view?usp=drivesdk</t>
  </si>
  <si>
    <t>Document successfully created; Document successfully merged; PDF created; Emails Sent: [To: komal_m@ch.iitr.ac.in]; Run via form trigger as codectechnologies0@gmail.com; Timestamp: Sep 4, 2026 10:20 AM</t>
  </si>
  <si>
    <t>Monisha S</t>
  </si>
  <si>
    <t>monishas823@gmail.com</t>
  </si>
  <si>
    <t xml:space="preserve">93445 64821 </t>
  </si>
  <si>
    <t xml:space="preserve">DWARAKA DOSS GOVERDHAN DOSS VAISHNAV COLLEGE </t>
  </si>
  <si>
    <t>13Pp_Wxao8Ppq4oJBxHb4H-LOAza7YkmT</t>
  </si>
  <si>
    <t>https://drive.google.com/file/d/13Pp_Wxao8Ppq4oJBxHb4H-LOAza7YkmT/view?usp=drivesdk</t>
  </si>
  <si>
    <t>Document successfully created; Document successfully merged; PDF created; Emails Sent: [To: monishas823@gmail.com]; Run via form trigger as codectechnologies0@gmail.com; Timestamp: Sep 4, 2026 10:23 AM</t>
  </si>
  <si>
    <t xml:space="preserve">SUBHASHREE CHAINI </t>
  </si>
  <si>
    <t>INSTITUTE OF TECHNICAL EDUCATION AND RESEARCH (ITER, SOA UNIVERSITY, BHUBANESWAR)</t>
  </si>
  <si>
    <t>1-awmVZJ1lRe_KktpZBlGmHowLcHCBP2k</t>
  </si>
  <si>
    <t>https://drive.google.com/file/d/1-awmVZJ1lRe_KktpZBlGmHowLcHCBP2k/view?usp=drivesdk</t>
  </si>
  <si>
    <t>Document successfully created; Document successfully merged; PDF created; Emails Sent: [To: subhashreechaini78@gmail.com]; Run via form trigger as codectechnologies0@gmail.com; Timestamp: Sep 4, 2026 10:28 AM</t>
  </si>
  <si>
    <t>Arsh Raj</t>
  </si>
  <si>
    <t>arshraj233@gmail.com</t>
  </si>
  <si>
    <t>1ZKNMExG6yg4SUIGafVIzKfUB7yPkoPM6</t>
  </si>
  <si>
    <t>https://drive.google.com/file/d/1ZKNMExG6yg4SUIGafVIzKfUB7yPkoPM6/view?usp=drivesdk</t>
  </si>
  <si>
    <t>Document successfully created; Document successfully merged; PDF created; Emails Sent: [To: arshraj233@gmail.com]; Run via form trigger as codectechnologies0@gmail.com; Timestamp: Sep 4, 2026 11:03 AM</t>
  </si>
  <si>
    <t>Arjun Tarafdar</t>
  </si>
  <si>
    <t>arjuntarafdar07@gmail.com</t>
  </si>
  <si>
    <t>1bpixZTGN1T-GuCBwzTkGks-4ZIkphye_</t>
  </si>
  <si>
    <t>https://drive.google.com/file/d/1bpixZTGN1T-GuCBwzTkGks-4ZIkphye_/view?usp=drivesdk</t>
  </si>
  <si>
    <t>Document successfully created; Document successfully merged; PDF created; Emails Sent: [To: arjuntarafdar07@gmail.com]; Run via form trigger as codectechnologies0@gmail.com; Timestamp: Sep 4, 2026 11:04 AM</t>
  </si>
  <si>
    <t>Aayushmaan Anand</t>
  </si>
  <si>
    <t>aayushmaananand07@gmail.com</t>
  </si>
  <si>
    <t>Quantum university</t>
  </si>
  <si>
    <t>1RoMeFtf-WR2IDlfmoEormddfYfpCeSxw</t>
  </si>
  <si>
    <t>https://drive.google.com/file/d/1RoMeFtf-WR2IDlfmoEormddfYfpCeSxw/view?usp=drivesdk</t>
  </si>
  <si>
    <t>Document successfully created; Document successfully merged; PDF created; Emails Sent: [To: aayushmaananand07@gmail.com]; Run via form trigger as codectechnologies0@gmail.com; Timestamp: Sep 4, 2026 11:07 AM</t>
  </si>
  <si>
    <t>1japk55Yh07kpZVGwJW7M-RPXe-eWeRSn</t>
  </si>
  <si>
    <t>https://drive.google.com/file/d/1japk55Yh07kpZVGwJW7M-RPXe-eWeRSn/view?usp=drivesdk</t>
  </si>
  <si>
    <t>Document successfully created; Document successfully merged; PDF created; Emails Sent: [To: aayushmaananand07@gmail.com]; Run via form trigger as codectechnologies0@gmail.com; Timestamp: Sep 4, 2026 11:09 AM</t>
  </si>
  <si>
    <t xml:space="preserve">Pratiksha Balu Alapure </t>
  </si>
  <si>
    <t>pratikshaalapure596@gmail.com</t>
  </si>
  <si>
    <t xml:space="preserve">School of engineering and technology shivaji University kolhapur </t>
  </si>
  <si>
    <t>1Ic6Opu2X-ydKduXMk4FHXwsp7BR6WXsy</t>
  </si>
  <si>
    <t>https://drive.google.com/file/d/1Ic6Opu2X-ydKduXMk4FHXwsp7BR6WXsy/view?usp=drivesdk</t>
  </si>
  <si>
    <t>Document successfully created; Document successfully merged; PDF created; Emails Sent: [To: pratikshaalapure596@gmail.com]; Run via form trigger as codectechnologies0@gmail.com; Timestamp: Sep 4, 2026 11:11 AM</t>
  </si>
  <si>
    <t>Akash kumar Choudhary</t>
  </si>
  <si>
    <t>akashkrchoudhary007@gmail.com</t>
  </si>
  <si>
    <t>Amity University jharkhand</t>
  </si>
  <si>
    <t>1FDLNzh-NfHYJiOmJlK_gsbXgaVwBzGIm</t>
  </si>
  <si>
    <t>https://drive.google.com/file/d/1FDLNzh-NfHYJiOmJlK_gsbXgaVwBzGIm/view?usp=drivesdk</t>
  </si>
  <si>
    <t>Document successfully created; Document successfully merged; PDF created; Emails Sent: [To: akashkrchoudhary007@gmail.com]; Run via form trigger as codectechnologies0@gmail.com; Timestamp: Sep 4, 2026 11:14 AM</t>
  </si>
  <si>
    <t xml:space="preserve">MOHD REHAAN SIDDIQUE </t>
  </si>
  <si>
    <t>siddiquirehaan27@gmail.com</t>
  </si>
  <si>
    <t>16Ctmmok1Bh2BJDoKAHeGTM_gILtH9xa1</t>
  </si>
  <si>
    <t>https://drive.google.com/file/d/16Ctmmok1Bh2BJDoKAHeGTM_gILtH9xa1/view?usp=drivesdk</t>
  </si>
  <si>
    <t>Document successfully created; Document successfully merged; PDF created; Emails Sent: [To: siddiquirehaan27@gmail.com]; Run via form trigger as codectechnologies0@gmail.com; Timestamp: Sep 4, 2026 11:22 AM</t>
  </si>
  <si>
    <t xml:space="preserve">Government polytechnic Awasari khurd </t>
  </si>
  <si>
    <t>1A90F-TjceikkuQGtYIfrCCkvW8hTyHbt</t>
  </si>
  <si>
    <t>https://drive.google.com/file/d/1A90F-TjceikkuQGtYIfrCCkvW8hTyHbt/view?usp=drivesdk</t>
  </si>
  <si>
    <t>Document successfully created; Document successfully merged; PDF created; Emails Sent: [To: avimaval48@gmail.com]; Run via form trigger as codectechnologies0@gmail.com; Timestamp: Sep 4, 2026 11:25 AM</t>
  </si>
  <si>
    <t>Divya Singh</t>
  </si>
  <si>
    <t>divya.25scs1003003594@iilm.edu</t>
  </si>
  <si>
    <t>1mc9t689f77nTLg_x4-8f3NuInRW7eW79</t>
  </si>
  <si>
    <t>https://drive.google.com/file/d/1mc9t689f77nTLg_x4-8f3NuInRW7eW79/view?usp=drivesdk</t>
  </si>
  <si>
    <t>Document successfully created; Document successfully merged; PDF created; Emails Sent: [To: divya.25scs1003003594@iilm.edu]; Run via form trigger as codectechnologies0@gmail.com; Timestamp: Sep 4, 2026 11:26 AM</t>
  </si>
  <si>
    <t>1w3y-LiYWXtNwWdCosYuJOZarjMm3_ijg</t>
  </si>
  <si>
    <t>https://drive.google.com/file/d/1w3y-LiYWXtNwWdCosYuJOZarjMm3_ijg/view?usp=drivesdk</t>
  </si>
  <si>
    <t>Document successfully created; Document successfully merged; PDF created; Emails Sent: [To: divya.25scs1003003594@iilm.edu]; Run via form trigger as codectechnologies0@gmail.com; Timestamp: Sep 4, 2026 11:30 AM</t>
  </si>
  <si>
    <t>Parvez Mansuri</t>
  </si>
  <si>
    <t>pmansuri854@gmail.com</t>
  </si>
  <si>
    <t xml:space="preserve">Keystone School Of Engineering Pune </t>
  </si>
  <si>
    <t>1vOHm7a5jTrFtsh6czdgp20Qub9E7E9Fm</t>
  </si>
  <si>
    <t>https://drive.google.com/file/d/1vOHm7a5jTrFtsh6czdgp20Qub9E7E9Fm/view?usp=drivesdk</t>
  </si>
  <si>
    <t>Document successfully created; Document successfully merged; PDF created; Emails Sent: [To: pmansuri854@gmail.com]; Run via form trigger as codectechnologies0@gmail.com; Timestamp: Sep 4, 2026 11:44 AM</t>
  </si>
  <si>
    <t>Abhilash Padhy</t>
  </si>
  <si>
    <t>abhilashpadhy04@gmail.com</t>
  </si>
  <si>
    <t>Siksha 'O' Anusandhan,</t>
  </si>
  <si>
    <t>15t0UHe2qY_OhgEeiNelqhL4G5xW0HJUq</t>
  </si>
  <si>
    <t>https://drive.google.com/file/d/15t0UHe2qY_OhgEeiNelqhL4G5xW0HJUq/view?usp=drivesdk</t>
  </si>
  <si>
    <t>Document successfully created; Document successfully merged; PDF created; Emails Sent: [To: abhilashpadhy04@gmail.com]; Run via form trigger as codectechnologies0@gmail.com; Timestamp: Sep 4, 2026 11:48 AM</t>
  </si>
  <si>
    <t>Bhuvaneswari M</t>
  </si>
  <si>
    <t>bhuvana042512@gmail.com</t>
  </si>
  <si>
    <t>P.S.R. Engineering College</t>
  </si>
  <si>
    <t>1mHbWP-D-5StK65G-Y_h_wPtCYL6WhlNL</t>
  </si>
  <si>
    <t>https://drive.google.com/file/d/1mHbWP-D-5StK65G-Y_h_wPtCYL6WhlNL/view?usp=drivesdk</t>
  </si>
  <si>
    <t>Document successfully created; Document successfully merged; PDF created; Emails Sent: [To: bhuvana042512@gmail.com]; Run via form trigger as codectechnologies0@gmail.com; Timestamp: Sep 4, 2026 11:58 AM</t>
  </si>
  <si>
    <t>Kashish Kisan Sawat</t>
  </si>
  <si>
    <t>sawatkashish@gmail.com</t>
  </si>
  <si>
    <t xml:space="preserve">Keystone school of engineering </t>
  </si>
  <si>
    <t>16kPPkvlsyO5ClZi7BslliT0eiDNCIKqt</t>
  </si>
  <si>
    <t>https://drive.google.com/file/d/16kPPkvlsyO5ClZi7BslliT0eiDNCIKqt/view?usp=drivesdk</t>
  </si>
  <si>
    <t>Document successfully created; Document successfully merged; PDF created; Emails Sent: [To: sawatkashish@gmail.com]; Run via form trigger as codectechnologies0@gmail.com; Timestamp: Sep 4, 2026 12:10 PM</t>
  </si>
  <si>
    <t>ayush kumar</t>
  </si>
  <si>
    <t>ayush.25scs1003001398@iilm.edu</t>
  </si>
  <si>
    <t>iilm unversity</t>
  </si>
  <si>
    <t>LinkedIn, Email, Internshala</t>
  </si>
  <si>
    <t>1_af6tGbcOITLWwL9_tUoFT8Hpmyf8vB1</t>
  </si>
  <si>
    <t>https://drive.google.com/file/d/1_af6tGbcOITLWwL9_tUoFT8Hpmyf8vB1/view?usp=drivesdk</t>
  </si>
  <si>
    <t>Document successfully created; Document successfully merged; PDF created; Emails Sent: [To: ayush.25scs1003001398@iilm.edu]; Run via form trigger as codectechnologies0@gmail.com; Timestamp: Sep 4, 2026 12:47 PM</t>
  </si>
  <si>
    <t>Diksha Shukla</t>
  </si>
  <si>
    <t>cutecrystal1530@gmail.com</t>
  </si>
  <si>
    <t>1r2Ao9zQmc8U0GG0Nuoqt12YWQwFEoVOr</t>
  </si>
  <si>
    <t>https://drive.google.com/file/d/1r2Ao9zQmc8U0GG0Nuoqt12YWQwFEoVOr/view?usp=drivesdk</t>
  </si>
  <si>
    <t>Document successfully created; Document successfully merged; PDF created; Emails Sent: [To: cutecrystal1530@gmail.com]; Run via form trigger as codectechnologies0@gmail.com; Timestamp: Sep 4, 2026 1:02 PM</t>
  </si>
  <si>
    <t>Pruthiviraj Ghadai</t>
  </si>
  <si>
    <t>ppruthivirajghadai@gmail.com</t>
  </si>
  <si>
    <t>ITER, Siksha 'O' Anusandhan</t>
  </si>
  <si>
    <t>1ORxzvb1Wdnpdibsl3BZ-WqO6XQEfBES9</t>
  </si>
  <si>
    <t>https://drive.google.com/file/d/1ORxzvb1Wdnpdibsl3BZ-WqO6XQEfBES9/view?usp=drivesdk</t>
  </si>
  <si>
    <t>Document successfully created; Document successfully merged; PDF created; Emails Sent: [To: ppruthivirajghadai@gmail.com]; Run via form trigger as codectechnologies0@gmail.com; Timestamp: Sep 4, 2026 1:12 PM</t>
  </si>
  <si>
    <t>Akshay pratap singh</t>
  </si>
  <si>
    <t>akshay.gurjar.cs28@iilm.edu</t>
  </si>
  <si>
    <t>1xbJWwGqZ7GH1GauXd695QHwVUFQqssUE</t>
  </si>
  <si>
    <t>https://drive.google.com/file/d/1xbJWwGqZ7GH1GauXd695QHwVUFQqssUE/view?usp=drivesdk</t>
  </si>
  <si>
    <t>Document successfully created; Document successfully merged; PDF created; Emails Sent: [To: akshay.gurjar.cs28@iilm.edu]; Run via form trigger as codectechnologies0@gmail.com; Timestamp: Sep 4, 2026 1:28 PM</t>
  </si>
  <si>
    <t>iilm unersity</t>
  </si>
  <si>
    <t>1nc_1nJzdc-nvwHUKpIHdb5o-CX1wSRaI</t>
  </si>
  <si>
    <t>https://drive.google.com/file/d/1nc_1nJzdc-nvwHUKpIHdb5o-CX1wSRaI/view?usp=drivesdk</t>
  </si>
  <si>
    <t>Document successfully created; Document successfully merged; PDF created; Emails Sent: [To: ayush.25scs1003001398@iilm.edu]; Run via form trigger as codectechnologies0@gmail.com; Timestamp: Sep 4, 2026 1:43 PM</t>
  </si>
  <si>
    <t>KATAPALLY ABHINAV</t>
  </si>
  <si>
    <t>abhinavkatapally4242@gmail.com</t>
  </si>
  <si>
    <t>St.Josephs degree &amp; pg college</t>
  </si>
  <si>
    <t>1TccXIOI_-oBvD-8QjLyZquqy5uoDQl8u</t>
  </si>
  <si>
    <t>https://drive.google.com/file/d/1TccXIOI_-oBvD-8QjLyZquqy5uoDQl8u/view?usp=drivesdk</t>
  </si>
  <si>
    <t>Document successfully created; Document successfully merged; PDF created; Emails Sent: [To: abhinavkatapally4242@gmail.com]; Run via form trigger as codectechnologies0@gmail.com; Timestamp: Sep 4, 2026 1:45 PM</t>
  </si>
  <si>
    <t>St.josephs degree &amp; pg college</t>
  </si>
  <si>
    <t>1j2yMx9rIylJRXSEERimNeMfMVpDu0TJw</t>
  </si>
  <si>
    <t>https://drive.google.com/file/d/1j2yMx9rIylJRXSEERimNeMfMVpDu0TJw/view?usp=drivesdk</t>
  </si>
  <si>
    <t>Document successfully created; Document successfully merged; PDF created; Emails Sent: [To: abhinavkatapally4242@gmail.com]; Run via form trigger as codectechnologies0@gmail.com; Timestamp: Sep 4, 2026 1:50 PM</t>
  </si>
  <si>
    <t>Ankit kumar singh</t>
  </si>
  <si>
    <t>ankit.25scs1003004110@iilm.edu</t>
  </si>
  <si>
    <t xml:space="preserve">IILM UNIVEERSITY GREATER NOIDA </t>
  </si>
  <si>
    <t>1EZlLzxPMvK8qUuu4a6C-p6-Vg8L0MA_o</t>
  </si>
  <si>
    <t>https://drive.google.com/file/d/1EZlLzxPMvK8qUuu4a6C-p6-Vg8L0MA_o/view?usp=drivesdk</t>
  </si>
  <si>
    <t>Document successfully created; Document successfully merged; PDF created; Emails Sent: [To: ankit.25scs1003004110@iilm.edu]; Run via form trigger as codectechnologies0@gmail.com; Timestamp: Sep 4, 2026 1:58 PM</t>
  </si>
  <si>
    <t>Shivasai Sekhapuram</t>
  </si>
  <si>
    <t>sshivasai647@gmail.com</t>
  </si>
  <si>
    <t>1i4iP8h1HSL-nVkU92fvoSiEIVIUiNo6P</t>
  </si>
  <si>
    <t>https://drive.google.com/file/d/1i4iP8h1HSL-nVkU92fvoSiEIVIUiNo6P/view?usp=drivesdk</t>
  </si>
  <si>
    <t>Document successfully created; Document successfully merged; PDF created; Emails Sent: [To: sshivasai647@gmail.com]; Run via form trigger as codectechnologies0@gmail.com; Timestamp: Sep 4, 2026 2:15 PM</t>
  </si>
  <si>
    <t xml:space="preserve">DUDEKULA CHAND BASHA </t>
  </si>
  <si>
    <t>chandbashachand360@gmail.com</t>
  </si>
  <si>
    <t>1C_2i1mUYKQjHiy_q70yKHnvsZrpZ6mEd</t>
  </si>
  <si>
    <t>https://drive.google.com/file/d/1C_2i1mUYKQjHiy_q70yKHnvsZrpZ6mEd/view?usp=drivesdk</t>
  </si>
  <si>
    <t>Document successfully created; Document successfully merged; PDF created; Emails Sent: [To: chandbashachand360@gmail.com]; Run via form trigger as codectechnologies0@gmail.com; Timestamp: Sep 4, 2026 2:51 PM</t>
  </si>
  <si>
    <t xml:space="preserve">Gundam Santhosh Kumar </t>
  </si>
  <si>
    <t>gundamsanthoshkumar454@gmail.com</t>
  </si>
  <si>
    <t>1uoYaYmJbAeSRNrMDPdRmMUfzvPMmHTAb</t>
  </si>
  <si>
    <t>https://drive.google.com/file/d/1uoYaYmJbAeSRNrMDPdRmMUfzvPMmHTAb/view?usp=drivesdk</t>
  </si>
  <si>
    <t>Document successfully created; Document successfully merged; PDF created; Emails Sent: [To: gundamsanthoshkumar454@gmail.com]; Run via form trigger as codectechnologies0@gmail.com; Timestamp: Sep 4, 2026 3:17 PM</t>
  </si>
  <si>
    <t>1tyU8eoQ51D9zdNHwzpe1YAzhQlH_UNdV</t>
  </si>
  <si>
    <t>https://drive.google.com/file/d/1tyU8eoQ51D9zdNHwzpe1YAzhQlH_UNdV/view?usp=drivesdk</t>
  </si>
  <si>
    <t>Document successfully created; Document successfully merged; PDF created; Emails Sent: [To: akshay.gurjar.cs28@iilm.edu]; Run via form trigger as codectechnologies0@gmail.com; Timestamp: Sep 4, 2026 3:32 PM</t>
  </si>
  <si>
    <t>Uzair Hussain</t>
  </si>
  <si>
    <t>uzair564hussain@gmail.com</t>
  </si>
  <si>
    <t>12CaZzNdJDS8jAaSX8Z9iRDeLwHTxJ1m_</t>
  </si>
  <si>
    <t>https://drive.google.com/file/d/12CaZzNdJDS8jAaSX8Z9iRDeLwHTxJ1m_/view?usp=drivesdk</t>
  </si>
  <si>
    <t>Document successfully created; Document successfully merged; PDF created; Emails Sent: [To: uzair564hussain@gmail.com]; Run via form trigger as codectechnologies0@gmail.com; Timestamp: Sep 4, 2026 3:53 PM</t>
  </si>
  <si>
    <t>Ajay Chaudhary</t>
  </si>
  <si>
    <t>ajaychaudhary90264@gmail.com</t>
  </si>
  <si>
    <t xml:space="preserve">Rajkiya engineering college, bijnor </t>
  </si>
  <si>
    <t>1NJNc6LkalqOKLOZPhWYwrwQhIkuz6CX6</t>
  </si>
  <si>
    <t>https://drive.google.com/file/d/1NJNc6LkalqOKLOZPhWYwrwQhIkuz6CX6/view?usp=drivesdk</t>
  </si>
  <si>
    <t>Document successfully created; Document successfully merged; PDF created; Emails Sent: [To: ajaychaudhary90264@gmail.com]; Run via form trigger as codectechnologies0@gmail.com; Timestamp: Sep 4, 2026 7:42 PM</t>
  </si>
  <si>
    <t>Shyam ji Mishra</t>
  </si>
  <si>
    <t>AXIS INSTITUTE OF TECHNOLOGY AND MANAGEMENT , KANPUR</t>
  </si>
  <si>
    <t>1JU6kgiN7k8lVXpEm4wuKnTAvzgYs37eY</t>
  </si>
  <si>
    <t>https://drive.google.com/file/d/1JU6kgiN7k8lVXpEm4wuKnTAvzgYs37eY/view?usp=drivesdk</t>
  </si>
  <si>
    <t>Document successfully created; Document successfully merged; PDF created; Emails Sent: [To: shammishra368@gmail.com]; Run via form trigger as codectechnologies0@gmail.com; Timestamp: Sep 4, 2026 11:05 PM</t>
  </si>
  <si>
    <t xml:space="preserve">Najir Miyan </t>
  </si>
  <si>
    <t>najirmiyan60@gmail.com</t>
  </si>
  <si>
    <t xml:space="preserve">Jagannath University Jaipur </t>
  </si>
  <si>
    <t>1IFZ3CzfGa-YDaDnDhThENJjrjx39iJbF</t>
  </si>
  <si>
    <t>https://drive.google.com/file/d/1IFZ3CzfGa-YDaDnDhThENJjrjx39iJbF/view?usp=drivesdk</t>
  </si>
  <si>
    <t>Document successfully created; Document successfully merged; PDF created; Emails Sent: [To: najirmiyan60@gmail.com]; Run via form trigger as codectechnologies0@gmail.com; Timestamp: Sep 5, 2026 12:01 AM</t>
  </si>
  <si>
    <t>1V92ZPkLBatVGpcZeUJsPYYW0Ad3c27ig</t>
  </si>
  <si>
    <t>https://drive.google.com/file/d/1V92ZPkLBatVGpcZeUJsPYYW0Ad3c27ig/view?usp=drivesdk</t>
  </si>
  <si>
    <t>Document successfully created; Document successfully merged; PDF created; Emails Sent: [To: najirmiyan60@gmail.com]; Run via form trigger as codectechnologies0@gmail.com; Timestamp: Sep 5, 2026 12:09 AM</t>
  </si>
  <si>
    <t>Mahima M</t>
  </si>
  <si>
    <t>mahima.mj05@gmail.com</t>
  </si>
  <si>
    <t xml:space="preserve">The Oxford College of Engineering </t>
  </si>
  <si>
    <t>1Lb7rvVp6dp1FtfgvxgHsRnMOJy4KF3xJ</t>
  </si>
  <si>
    <t>https://drive.google.com/file/d/1Lb7rvVp6dp1FtfgvxgHsRnMOJy4KF3xJ/view?usp=drivesdk</t>
  </si>
  <si>
    <t>Document successfully created; Document successfully merged; PDF created; Emails Sent: [To: mahima.mj05@gmail.com]; Run via form trigger as codectechnologies0@gmail.com; Timestamp: Sep 5, 2026 12:43 AM</t>
  </si>
  <si>
    <t>Sanyukt Kumar Rai</t>
  </si>
  <si>
    <t>sanyuktkumarrai2@gmail.com</t>
  </si>
  <si>
    <t>11VO1ElDMFgJSTmjvnn_F5GBOlWf08wln</t>
  </si>
  <si>
    <t>https://drive.google.com/file/d/11VO1ElDMFgJSTmjvnn_F5GBOlWf08wln/view?usp=drivesdk</t>
  </si>
  <si>
    <t>Document successfully created; Document successfully merged; PDF created; Emails Sent: [To: sanyuktkumarrai2@gmail.com]; Run via form trigger as codectechnologies0@gmail.com; Timestamp: Sep 5, 2026 12:55 AM</t>
  </si>
  <si>
    <t>Vishank Rana</t>
  </si>
  <si>
    <t>vishank059@gmail.com</t>
  </si>
  <si>
    <t>ABESIT INSTITUTE OF TECHNOLOGY</t>
  </si>
  <si>
    <t>1UXumU46mvJLKq0Aue-RifVl8EFZpRHmI</t>
  </si>
  <si>
    <t>https://drive.google.com/file/d/1UXumU46mvJLKq0Aue-RifVl8EFZpRHmI/view?usp=drivesdk</t>
  </si>
  <si>
    <t>Document successfully created; Document successfully merged; PDF created; Emails Sent: [To: vishank059@gmail.com]; Run via form trigger as codectechnologies0@gmail.com; Timestamp: Sep 5, 2026 1:03 AM</t>
  </si>
  <si>
    <t xml:space="preserve">Naeela Parveen </t>
  </si>
  <si>
    <t>perveennaeela@gmail.com</t>
  </si>
  <si>
    <t xml:space="preserve">Lakshmi narain College of technology and science </t>
  </si>
  <si>
    <t>AICTE/Indeed, Internshala</t>
  </si>
  <si>
    <t>1NIrOk4SwI0-JXAJu0oUAQu53P0vmu5J0</t>
  </si>
  <si>
    <t>https://drive.google.com/file/d/1NIrOk4SwI0-JXAJu0oUAQu53P0vmu5J0/view?usp=drivesdk</t>
  </si>
  <si>
    <t>Document successfully created; Document successfully merged; PDF created; Emails Sent: [To: perveennaeela@gmail.com]; Run via form trigger as codectechnologies0@gmail.com; Timestamp: Sep 5, 2026 1:04 AM</t>
  </si>
  <si>
    <t>1NiEICHHJ0tZ6J8Vr0dB1EMebWL136uQ5</t>
  </si>
  <si>
    <t>https://drive.google.com/file/d/1NiEICHHJ0tZ6J8Vr0dB1EMebWL136uQ5/view?usp=drivesdk</t>
  </si>
  <si>
    <t>Document successfully created; Document successfully merged; PDF created; Emails Sent: [To: nishantjagtap1411@gmail.com]; Run via form trigger as codectechnologies0@gmail.com; Timestamp: Sep 5, 2026 1:16 AM</t>
  </si>
  <si>
    <t>1oGI1pX9OLq8_VLpNIA9WMMH7TZX13EnH</t>
  </si>
  <si>
    <t>https://drive.google.com/file/d/1oGI1pX9OLq8_VLpNIA9WMMH7TZX13EnH/view?usp=drivesdk</t>
  </si>
  <si>
    <t>Document successfully created; Document successfully merged; PDF created; Emails Sent: [To: ankit47kumar69@gmail.com]; Run via form trigger as codectechnologies0@gmail.com; Timestamp: Sep 5, 2026 1:17 AM</t>
  </si>
  <si>
    <t xml:space="preserve">NAMAN AGRAWAL </t>
  </si>
  <si>
    <t>24agrawaln@rbunagpur.in</t>
  </si>
  <si>
    <t xml:space="preserve">Ramdeobaba University </t>
  </si>
  <si>
    <t>1L3x0bvUeHC_KHF9axN1402pZ5CvOvLr5</t>
  </si>
  <si>
    <t>https://drive.google.com/file/d/1L3x0bvUeHC_KHF9axN1402pZ5CvOvLr5/view?usp=drivesdk</t>
  </si>
  <si>
    <t>Document successfully created; Document successfully merged; PDF created; Emails Sent: [To: 24agrawaln@rbunagpur.in]; Run via form trigger as codectechnologies0@gmail.com; Timestamp: Sep 5, 2026 1:19 AM</t>
  </si>
  <si>
    <t>Manasa MS</t>
  </si>
  <si>
    <t>manasams081@gmail.com</t>
  </si>
  <si>
    <t xml:space="preserve">The Oxford college of engineering </t>
  </si>
  <si>
    <t>1rPseWM490EI5fs2D4C3wdVYbg_6oe_h4</t>
  </si>
  <si>
    <t>https://drive.google.com/file/d/1rPseWM490EI5fs2D4C3wdVYbg_6oe_h4/view?usp=drivesdk</t>
  </si>
  <si>
    <t>Document successfully created; Document successfully merged; PDF created; Emails Sent: [To: manasams081@gmail.com]; Run via form trigger as codectechnologies0@gmail.com; Timestamp: Sep 5, 2026 1:23 AM</t>
  </si>
  <si>
    <t>Mayank Patra</t>
  </si>
  <si>
    <t>mpatra0719@gmail.com</t>
  </si>
  <si>
    <t>SRMist</t>
  </si>
  <si>
    <t>1L1XXG1MBCNrhyD1XRm-Emd3y_YxHCoS7</t>
  </si>
  <si>
    <t>https://drive.google.com/file/d/1L1XXG1MBCNrhyD1XRm-Emd3y_YxHCoS7/view?usp=drivesdk</t>
  </si>
  <si>
    <t>Document successfully created; Document successfully merged; PDF created; Emails Sent: [To: mpatra0719@gmail.com]; Run via form trigger as codectechnologies0@gmail.com; Timestamp: Sep 5, 2026 2:10 AM</t>
  </si>
  <si>
    <t>Aryan</t>
  </si>
  <si>
    <t>santoshkr241178@gmail.com</t>
  </si>
  <si>
    <t>Institute of technology and management,Gidda</t>
  </si>
  <si>
    <t>1hkMOXQJho6ZoZyEQW5tovgMCAr5f_7Qy</t>
  </si>
  <si>
    <t>https://drive.google.com/file/d/1hkMOXQJho6ZoZyEQW5tovgMCAr5f_7Qy/view?usp=drivesdk</t>
  </si>
  <si>
    <t>Document successfully created; Document successfully merged; PDF created; Emails Sent: [To: santoshkr241178@gmail.com]; Run via form trigger as codectechnologies0@gmail.com; Timestamp: Sep 5, 2026 2:12 AM</t>
  </si>
  <si>
    <t>Rajnandini  Daulat Jadhav</t>
  </si>
  <si>
    <t>rajnandinij2006@gmail.com</t>
  </si>
  <si>
    <t>09730500747</t>
  </si>
  <si>
    <t>G H Raisoni College of Engineering &amp; Management, Jalgaon</t>
  </si>
  <si>
    <t>1M9WrB_fvOvL0GHWkBovfpDqbDX8yLYzh</t>
  </si>
  <si>
    <t>https://drive.google.com/file/d/1M9WrB_fvOvL0GHWkBovfpDqbDX8yLYzh/view?usp=drivesdk</t>
  </si>
  <si>
    <t>Document successfully created; Document successfully merged; PDF created; Emails Sent: [To: rajnandinij2006@gmail.com]; Run via form trigger as codectechnologies0@gmail.com; Timestamp: Sep 5, 2026 2:15 AM</t>
  </si>
  <si>
    <t>Nisha Y M</t>
  </si>
  <si>
    <t>nishaym7@gmail.com</t>
  </si>
  <si>
    <t>Sri Sairam College of Engineering</t>
  </si>
  <si>
    <t>1gTF7F5RoELtiiseHSYM5iEEJPcu5pYlf</t>
  </si>
  <si>
    <t>https://drive.google.com/file/d/1gTF7F5RoELtiiseHSYM5iEEJPcu5pYlf/view?usp=drivesdk</t>
  </si>
  <si>
    <t>Document successfully created; Document successfully merged; PDF created; Emails Sent: [To: nishaym7@gmail.com]; Run via form trigger as codectechnologies0@gmail.com; Timestamp: Sep 5, 2026 2:38 AM</t>
  </si>
  <si>
    <t>1KuHfyOybdC2NCs9Up0JZr76ndo8JCMQf</t>
  </si>
  <si>
    <t>https://drive.google.com/file/d/1KuHfyOybdC2NCs9Up0JZr76ndo8JCMQf/view?usp=drivesdk</t>
  </si>
  <si>
    <t>Document successfully created; Document successfully merged; PDF created; Emails Sent: [To: nageshshanbhag2004@gmail.com]; Run via form trigger as codectechnologies0@gmail.com; Timestamp: Sep 5, 2026 2:42 AM</t>
  </si>
  <si>
    <t>Soumya Prakash Nayak</t>
  </si>
  <si>
    <t>eziiwork656@gmail.com</t>
  </si>
  <si>
    <t>ITER,SOA</t>
  </si>
  <si>
    <t>Starting at Sat Sep 05 2026 02:43:32 GMT-0400 (Eastern Daylight Time)</t>
  </si>
  <si>
    <t>Yashraj Shelke</t>
  </si>
  <si>
    <t>yashshelke8787@gmail.com</t>
  </si>
  <si>
    <t>Guru Gobind Singh College Of Engineering and Resarch Centre</t>
  </si>
  <si>
    <t>1pTMLzc4PBC1Mq0rfoh2tnmrXPC5dVp_p</t>
  </si>
  <si>
    <t>https://drive.google.com/file/d/1pTMLzc4PBC1Mq0rfoh2tnmrXPC5dVp_p/view?usp=drivesdk</t>
  </si>
  <si>
    <t>Document successfully created; Document successfully merged; PDF created; Emails Sent: [To: yashshelke8787@gmail.com]; Run via form trigger as codectechnologies0@gmail.com; Timestamp: Sep 5, 2026 3:01 AM</t>
  </si>
  <si>
    <t xml:space="preserve">Yogesh Sharma </t>
  </si>
  <si>
    <t>yogeshsharma17october@gmail.com</t>
  </si>
  <si>
    <t>16RZDAW49J_MgePCOS2MRR6Q0vCIlfeHK</t>
  </si>
  <si>
    <t>https://drive.google.com/file/d/16RZDAW49J_MgePCOS2MRR6Q0vCIlfeHK/view?usp=drivesdk</t>
  </si>
  <si>
    <t>Document successfully created; Document successfully merged; PDF created; Emails Sent: [To: yogeshsharma17october@gmail.com]; Run via form trigger as codectechnologies0@gmail.com; Timestamp: Sep 5, 2026 3:03 AM</t>
  </si>
  <si>
    <t>Ranjeet Maurya</t>
  </si>
  <si>
    <t>ranjeetmaurya4500@gmail.com</t>
  </si>
  <si>
    <t>Kamla Nehru Institute of technology</t>
  </si>
  <si>
    <t>1_0e1sG_IsN1u7JgvZStK2EQoeuvkYViu</t>
  </si>
  <si>
    <t>https://drive.google.com/file/d/1_0e1sG_IsN1u7JgvZStK2EQoeuvkYViu/view?usp=drivesdk</t>
  </si>
  <si>
    <t>Document successfully created; Document successfully merged; PDF created; Emails Sent: [To: ranjeetmaurya4500@gmail.com]; Run via form trigger as codectechnologies0@gmail.com; Timestamp: Sep 5, 2026 3:12 AM</t>
  </si>
  <si>
    <t>Potnuru Raghava</t>
  </si>
  <si>
    <t>raghavapotnuru5@gmail.com</t>
  </si>
  <si>
    <t xml:space="preserve">DHANALAKSHMI SRINIVASAN UNIVERSITY </t>
  </si>
  <si>
    <t>1-MZ-N12oypxnLQfDoZbYrGDEw6wbXjAp</t>
  </si>
  <si>
    <t>https://drive.google.com/file/d/1-MZ-N12oypxnLQfDoZbYrGDEw6wbXjAp/view?usp=drivesdk</t>
  </si>
  <si>
    <t>Document successfully created; Document successfully merged; PDF created; Emails Sent: [To: raghavapotnuru5@gmail.com]; Run via form trigger as codectechnologies0@gmail.com; Timestamp: Sep 5, 2026 3:13 AM</t>
  </si>
  <si>
    <t>Lakshmi MS</t>
  </si>
  <si>
    <t>lakshmimslucky@gmail.com</t>
  </si>
  <si>
    <t>Don Bosco Institute of Technology</t>
  </si>
  <si>
    <t>1coh1n65MTUr87MDEyHfbB09h4YDC-r8x</t>
  </si>
  <si>
    <t>https://drive.google.com/file/d/1coh1n65MTUr87MDEyHfbB09h4YDC-r8x/view?usp=drivesdk</t>
  </si>
  <si>
    <t>Document successfully created; Document successfully merged; PDF created; Emails Sent: [To: lakshmimslucky@gmail.com]; Run via form trigger as codectechnologies0@gmail.com; Timestamp: Sep 5, 2026 3:23 AM</t>
  </si>
  <si>
    <t>GULSHAN KUMAR PARIT</t>
  </si>
  <si>
    <t>panditgulshan784@gamil.com</t>
  </si>
  <si>
    <t xml:space="preserve">Arya college of engineering </t>
  </si>
  <si>
    <t>1RjEVDJWEV8Xxsahs2BjNxUVguatvIA20</t>
  </si>
  <si>
    <t>https://drive.google.com/file/d/1RjEVDJWEV8Xxsahs2BjNxUVguatvIA20/view?usp=drivesdk</t>
  </si>
  <si>
    <t>Document successfully created; Document successfully merged; PDF created; Emails Sent: [To: panditgulshan784@gamil.com]; Run via form trigger as codectechnologies0@gmail.com; Timestamp: Sep 5, 2026 3:38 AM</t>
  </si>
  <si>
    <t xml:space="preserve">Fawwaz Mirzani </t>
  </si>
  <si>
    <t>fawwazmirzani@gmail.com</t>
  </si>
  <si>
    <t xml:space="preserve">ISBR BUSINESS SCHOOL </t>
  </si>
  <si>
    <t>1744XOx8DEsVmmpX_D5LsuVvfoYFHGaW0</t>
  </si>
  <si>
    <t>https://drive.google.com/file/d/1744XOx8DEsVmmpX_D5LsuVvfoYFHGaW0/view?usp=drivesdk</t>
  </si>
  <si>
    <t>Document successfully created; Document successfully merged; PDF created; Emails Sent: [To: fawwazmirzani@gmail.com]; Run via form trigger as codectechnologies0@gmail.com; Timestamp: Sep 5, 2026 4:08 AM</t>
  </si>
  <si>
    <t>ANUSHKA SAHU</t>
  </si>
  <si>
    <t>anuavni.91@gmail.com</t>
  </si>
  <si>
    <t xml:space="preserve">DR. HARISINGH GOUR UNIVERSITY </t>
  </si>
  <si>
    <t>1lHt6LbBA1f3U9xdQdhOGcrzotS8431YM</t>
  </si>
  <si>
    <t>https://drive.google.com/file/d/1lHt6LbBA1f3U9xdQdhOGcrzotS8431YM/view?usp=drivesdk</t>
  </si>
  <si>
    <t>Document successfully created; Document successfully merged; PDF created; Emails Sent: [To: anuavni.91@gmail.com]; Run via form trigger as codectechnologies0@gmail.com; Timestamp: Sep 5, 2026 4:08 AM</t>
  </si>
  <si>
    <t xml:space="preserve">Anish kumar </t>
  </si>
  <si>
    <t>aryaanish8797@gmail.com</t>
  </si>
  <si>
    <t xml:space="preserve"> 91 6263 907 5</t>
  </si>
  <si>
    <t>1c_Hgxfh3NmiJ5PVH115VwciMndVxod6W</t>
  </si>
  <si>
    <t>https://drive.google.com/file/d/1c_Hgxfh3NmiJ5PVH115VwciMndVxod6W/view?usp=drivesdk</t>
  </si>
  <si>
    <t>Document successfully created; Document successfully merged; PDF created; Emails Sent: [To: aryaanish8797@gmail.com]; Run via form trigger as codectechnologies0@gmail.com; Timestamp: Sep 5, 2026 4:14 AM</t>
  </si>
  <si>
    <t>Sharad Kumar</t>
  </si>
  <si>
    <t>skumar04092003@gmail.com</t>
  </si>
  <si>
    <t>BANSAL INSTITUITE OF ENGINEERING AND TECHNOLOGY</t>
  </si>
  <si>
    <t>1y7yGvATdO34uGOpVp9lz0UtbGpjbwgd-</t>
  </si>
  <si>
    <t>https://drive.google.com/file/d/1y7yGvATdO34uGOpVp9lz0UtbGpjbwgd-/view?usp=drivesdk</t>
  </si>
  <si>
    <t>Document successfully created; Document successfully merged; PDF created; Emails Sent: [To: skumar04092003@gmail.com]; Run via form trigger as codectechnologies0@gmail.com; Timestamp: Sep 5, 2026 4:24 AM</t>
  </si>
  <si>
    <t xml:space="preserve">Ayush Raj </t>
  </si>
  <si>
    <t>ayushraj4071@gmail.com</t>
  </si>
  <si>
    <t>1O3_Y4aA8Jv5CR0gWcok1CVEmMqAhPJMT</t>
  </si>
  <si>
    <t>https://drive.google.com/file/d/1O3_Y4aA8Jv5CR0gWcok1CVEmMqAhPJMT/view?usp=drivesdk</t>
  </si>
  <si>
    <t>Document successfully created; Document successfully merged; PDF created; Emails Sent: [To: ayushraj4071@gmail.com]; Run via form trigger as codectechnologies0@gmail.com; Timestamp: Sep 5, 2026 4:26 AM</t>
  </si>
  <si>
    <t>Rohit Kumar</t>
  </si>
  <si>
    <t>rohitbly24@gmail.com</t>
  </si>
  <si>
    <t>Kamla Nehru Institute of Technology</t>
  </si>
  <si>
    <t>1MqPeUPqWSqlHnm3Iq3WU9FB4MmRMvi8k</t>
  </si>
  <si>
    <t>https://drive.google.com/file/d/1MqPeUPqWSqlHnm3Iq3WU9FB4MmRMvi8k/view?usp=drivesdk</t>
  </si>
  <si>
    <t>Document successfully created; Document successfully merged; PDF created; Emails Sent: [To: rohitbly24@gmail.com]; Run via form trigger as codectechnologies0@gmail.com; Timestamp: Sep 5, 2026 4:33 AM</t>
  </si>
  <si>
    <t>Lucky Dixit</t>
  </si>
  <si>
    <t>info.luckydixit26@gmail.com</t>
  </si>
  <si>
    <t>lloyd institute of engineering and technology</t>
  </si>
  <si>
    <t>1vprfTZU-vSE76-1E1mWhG_NmzEPFCOJy</t>
  </si>
  <si>
    <t>https://drive.google.com/file/d/1vprfTZU-vSE76-1E1mWhG_NmzEPFCOJy/view?usp=drivesdk</t>
  </si>
  <si>
    <t>Document successfully created; Document successfully merged; PDF created; Emails Sent: [To: info.luckydixit26@gmail.com]; Run via form trigger as codectechnologies0@gmail.com; Timestamp: Sep 5, 2026 4:43 AM</t>
  </si>
  <si>
    <t>ishaan duggal</t>
  </si>
  <si>
    <t>duggalishaan8@gmail.com</t>
  </si>
  <si>
    <t>1LEcXq_4P1S8O9IjbzlNnBefngoNhqfMZ</t>
  </si>
  <si>
    <t>https://drive.google.com/file/d/1LEcXq_4P1S8O9IjbzlNnBefngoNhqfMZ/view?usp=drivesdk</t>
  </si>
  <si>
    <t>Document successfully created; Document successfully merged; PDF created; Emails Sent: [To: duggalishaan8@gmail.com]; Run via form trigger as codectechnologies0@gmail.com; Timestamp: Sep 5, 2026 4:52 AM</t>
  </si>
  <si>
    <t>Hari bharadwaj Maddela</t>
  </si>
  <si>
    <t>haribharadwaj27@gmail.com</t>
  </si>
  <si>
    <t xml:space="preserve">Sanskaram university </t>
  </si>
  <si>
    <t>1aQbluc8edf6woVSRAjl8DribX9Q1lwMq</t>
  </si>
  <si>
    <t>https://drive.google.com/file/d/1aQbluc8edf6woVSRAjl8DribX9Q1lwMq/view?usp=drivesdk</t>
  </si>
  <si>
    <t>Document successfully created; Document successfully merged; PDF created; Emails Sent: [To: haribharadwaj27@gmail.com]; Run via form trigger as codectechnologies0@gmail.com; Timestamp: Sep 5, 2026 4:54 AM</t>
  </si>
  <si>
    <t>Tejas Gupta</t>
  </si>
  <si>
    <t>tejasgupta5132@gmail.com</t>
  </si>
  <si>
    <t>1ksk_49CDtjy78bBc-5d6Wp94QsDRCPtH</t>
  </si>
  <si>
    <t>https://drive.google.com/file/d/1ksk_49CDtjy78bBc-5d6Wp94QsDRCPtH/view?usp=drivesdk</t>
  </si>
  <si>
    <t>Document successfully created; Document successfully merged; PDF created; Emails Sent: [To: tejasgupta5132@gmail.com]; Run via form trigger as codectechnologies0@gmail.com; Timestamp: Sep 5, 2026 5:06 AM</t>
  </si>
  <si>
    <t>PINNINTI KANITHKAR</t>
  </si>
  <si>
    <t>pinnintikanithkar@gmail.com</t>
  </si>
  <si>
    <t>1ELqy9Qs3HA6JL7r7nEwF7SppUFCjNfuS</t>
  </si>
  <si>
    <t>https://drive.google.com/file/d/1ELqy9Qs3HA6JL7r7nEwF7SppUFCjNfuS/view?usp=drivesdk</t>
  </si>
  <si>
    <t>Document successfully created; Document successfully merged; PDF created; Emails Sent: [To: pinnintikanithkar@gmail.com]; Run via form trigger as codectechnologies0@gmail.com; Timestamp: Sep 5, 2026 5:08 AM</t>
  </si>
  <si>
    <t xml:space="preserve">Institute Of Technical Education and Research </t>
  </si>
  <si>
    <t>1XOuZFs_pNNmR2Pg-VP-NoTjS-l0wwo7z</t>
  </si>
  <si>
    <t>https://drive.google.com/file/d/1XOuZFs_pNNmR2Pg-VP-NoTjS-l0wwo7z/view?usp=drivesdk</t>
  </si>
  <si>
    <t>Document successfully created; Document successfully merged; PDF created; Emails Sent: [To: chiranjibeepanigrahi@gmail.com]; Run via form trigger as codectechnologies0@gmail.com; Timestamp: Sep 5, 2026 5:47 AM</t>
  </si>
  <si>
    <t xml:space="preserve">Sachin Kumar Gupta </t>
  </si>
  <si>
    <t>sachin.25scs1003003494@iilm.edu</t>
  </si>
  <si>
    <t>1lxtfApTxtTN-M53rolUHnD9lQuVCGaLC</t>
  </si>
  <si>
    <t>https://drive.google.com/file/d/1lxtfApTxtTN-M53rolUHnD9lQuVCGaLC/view?usp=drivesdk</t>
  </si>
  <si>
    <t>Document successfully created; Document successfully merged; PDF created; Emails Sent: [To: sachin.25scs1003003494@iilm.edu]; Run via form trigger as codectechnologies0@gmail.com; Timestamp: Sep 5, 2026 5:55 AM</t>
  </si>
  <si>
    <t>Subhransu Sekhar Lenka</t>
  </si>
  <si>
    <t>subhransusekharlenka2005@gmail.com</t>
  </si>
  <si>
    <t xml:space="preserve">Institute of Technical education and Research </t>
  </si>
  <si>
    <t>1Py0OnHcMa9nDvRSxR6iePhzRdZrMaCjJ</t>
  </si>
  <si>
    <t>https://drive.google.com/file/d/1Py0OnHcMa9nDvRSxR6iePhzRdZrMaCjJ/view?usp=drivesdk</t>
  </si>
  <si>
    <t>Document successfully created; Document successfully merged; PDF created; Emails Sent: [To: subhransusekharlenka2005@gmail.com]; Run via form trigger as codectechnologies0@gmail.com; Timestamp: Sep 5, 2026 6:02 AM</t>
  </si>
  <si>
    <t xml:space="preserve">Institute of Technical Education And Research </t>
  </si>
  <si>
    <t>1E314OtBhEMgjIBqvBY8gxwvKk8355qmJ</t>
  </si>
  <si>
    <t>https://drive.google.com/file/d/1E314OtBhEMgjIBqvBY8gxwvKk8355qmJ/view?usp=drivesdk</t>
  </si>
  <si>
    <t>Document successfully created; Document successfully merged; PDF created; Emails Sent: [To: subhransusekharlenka2005@gmail.com]; Run via form trigger as codectechnologies0@gmail.com; Timestamp: Sep 5, 2026 6:04 AM</t>
  </si>
  <si>
    <t>Tejashw Pratap</t>
  </si>
  <si>
    <t>tejashwpratap2@gmail.com</t>
  </si>
  <si>
    <t>1NtzyHxKkLmomHRuMCnfa4jiBriwLkLhO</t>
  </si>
  <si>
    <t>https://drive.google.com/file/d/1NtzyHxKkLmomHRuMCnfa4jiBriwLkLhO/view?usp=drivesdk</t>
  </si>
  <si>
    <t>Document successfully created; Document successfully merged; PDF created; Emails Sent: [To: tejashwpratap2@gmail.com]; Run via form trigger as codectechnologies0@gmail.com; Timestamp: Sep 5, 2026 6:06 AM</t>
  </si>
  <si>
    <t xml:space="preserve">Chaitanya Balaji Adduri </t>
  </si>
  <si>
    <t>chaitanyabalaji.adduri0410@gmail.com</t>
  </si>
  <si>
    <t xml:space="preserve">MOHAN BABU UNIVERSITY </t>
  </si>
  <si>
    <t>1ABGq25Q1ATLLIsqruHNgM7XFYtRLI5XA</t>
  </si>
  <si>
    <t>https://drive.google.com/file/d/1ABGq25Q1ATLLIsqruHNgM7XFYtRLI5XA/view?usp=drivesdk</t>
  </si>
  <si>
    <t>Document successfully created; Document successfully merged; PDF created; Emails Sent: [To: chaitanyabalaji.adduri0410@gmail.com]; Run via form trigger as codectechnologies0@gmail.com; Timestamp: Sep 5, 2026 6:22 AM</t>
  </si>
  <si>
    <t>Paras</t>
  </si>
  <si>
    <t>parasv130725@gmail.com</t>
  </si>
  <si>
    <t xml:space="preserve">Guru Jambeshawar university of science and technology </t>
  </si>
  <si>
    <t>14dCdMq92-f76L2crqEFekILoOlZoLmFN</t>
  </si>
  <si>
    <t>https://drive.google.com/file/d/14dCdMq92-f76L2crqEFekILoOlZoLmFN/view?usp=drivesdk</t>
  </si>
  <si>
    <t>Document successfully created; Document successfully merged; PDF created; Emails Sent: [To: parasv130725@gmail.com]; Run via form trigger as codectechnologies0@gmail.com; Timestamp: Sep 5, 2026 6:44 AM</t>
  </si>
  <si>
    <t xml:space="preserve">Madhur khokhar </t>
  </si>
  <si>
    <t>madhur.25scs1003000930@iilm.edu</t>
  </si>
  <si>
    <t>13u05DXpTGolV-plFtfxuzJ9THR-FzwBm</t>
  </si>
  <si>
    <t>https://drive.google.com/file/d/13u05DXpTGolV-plFtfxuzJ9THR-FzwBm/view?usp=drivesdk</t>
  </si>
  <si>
    <t>Document successfully created; Document successfully merged; PDF created; Emails Sent: [To: madhur.25scs1003000930@iilm.edu]; Run via form trigger as codectechnologies0@gmail.com; Timestamp: Sep 5, 2026 8:03 AM</t>
  </si>
  <si>
    <t>ARYAN DHOUNDIYAL</t>
  </si>
  <si>
    <t>aryandhoundiyal100@gmail.com</t>
  </si>
  <si>
    <t>Maharaja Surajmal Institute Of Technology</t>
  </si>
  <si>
    <t>104GuJ8v6TlHG5v-Y6lMleiTLiIEgMcKX</t>
  </si>
  <si>
    <t>https://drive.google.com/file/d/104GuJ8v6TlHG5v-Y6lMleiTLiIEgMcKX/view?usp=drivesdk</t>
  </si>
  <si>
    <t>Document successfully created; Document successfully merged; PDF created; Emails Sent: [To: aryandhoundiyal100@gmail.com]; Run via form trigger as codectechnologies0@gmail.com; Timestamp: Sep 5, 2026 8:13 AM</t>
  </si>
  <si>
    <t>Suraj Mandal</t>
  </si>
  <si>
    <t>surajmandal724724@gmail.com</t>
  </si>
  <si>
    <t>Ramgarh Engineering College</t>
  </si>
  <si>
    <t>1dyNVe39nobE4tlNuZp-g8SbaB3cVN63F</t>
  </si>
  <si>
    <t>https://drive.google.com/file/d/1dyNVe39nobE4tlNuZp-g8SbaB3cVN63F/view?usp=drivesdk</t>
  </si>
  <si>
    <t>Document successfully created; Document successfully merged; PDF created; Emails Sent: [To: surajmandal724724@gmail.com]; Run via form trigger as codectechnologies0@gmail.com; Timestamp: Sep 5, 2026 8:14 AM</t>
  </si>
  <si>
    <t>SOMAY JAIN</t>
  </si>
  <si>
    <t>jainsomay18@gmail.com</t>
  </si>
  <si>
    <t xml:space="preserve">Maharaja Surajmal Institute of Technology </t>
  </si>
  <si>
    <t>1wNswP_a09T1tCvY--MvamlRTsyan9e-u</t>
  </si>
  <si>
    <t>https://drive.google.com/file/d/1wNswP_a09T1tCvY--MvamlRTsyan9e-u/view?usp=drivesdk</t>
  </si>
  <si>
    <t>Document successfully created; Document successfully merged; PDF created; Emails Sent: [To: jainsomay18@gmail.com]; Run via form trigger as codectechnologies0@gmail.com; Timestamp: Sep 5, 2026 8:15 AM</t>
  </si>
  <si>
    <t>Vishal kumar Pandit</t>
  </si>
  <si>
    <t>vishpandit2004@gmail.com</t>
  </si>
  <si>
    <t>Ramgarh engineering college</t>
  </si>
  <si>
    <t>1Ptumtl9Fm6oMCQGqS2Wn3ux92c21HsZV</t>
  </si>
  <si>
    <t>https://drive.google.com/file/d/1Ptumtl9Fm6oMCQGqS2Wn3ux92c21HsZV/view?usp=drivesdk</t>
  </si>
  <si>
    <t>Document successfully created; Document successfully merged; PDF created; Emails Sent: [To: vishpandit2004@gmail.com]; Run via form trigger as codectechnologies0@gmail.com; Timestamp: Sep 5, 2026 8:31 AM</t>
  </si>
  <si>
    <t xml:space="preserve">Korada Poojitha </t>
  </si>
  <si>
    <t>poojitha2213@gmail.com</t>
  </si>
  <si>
    <t>1DTVxFCO1AzzjkfzYq9YI_oM6-lXQ6oe_</t>
  </si>
  <si>
    <t>https://drive.google.com/file/d/1DTVxFCO1AzzjkfzYq9YI_oM6-lXQ6oe_/view?usp=drivesdk</t>
  </si>
  <si>
    <t>Document successfully created; Document successfully merged; PDF created; Emails Sent: [To: poojitha2213@gmail.com]; Run via form trigger as codectechnologies0@gmail.com; Timestamp: Sep 5, 2026 8:33 AM</t>
  </si>
  <si>
    <t>Palak Panthri</t>
  </si>
  <si>
    <t>palakpanthri111@gmail.com</t>
  </si>
  <si>
    <t>1brJlG8SyOQ-d-mg2Tv0XLDYxYuHKOmVm</t>
  </si>
  <si>
    <t>https://drive.google.com/file/d/1brJlG8SyOQ-d-mg2Tv0XLDYxYuHKOmVm/view?usp=drivesdk</t>
  </si>
  <si>
    <t>Document successfully created; Document successfully merged; PDF created; Emails Sent: [To: palakpanthri111@gmail.com]; Run via form trigger as codectechnologies0@gmail.com; Timestamp: Sep 5, 2026 8:57 AM</t>
  </si>
  <si>
    <t>KIRUTHIGA G J</t>
  </si>
  <si>
    <t>keerthigagj02@gmail.com</t>
  </si>
  <si>
    <t>K L N College Of Engineering</t>
  </si>
  <si>
    <t>1L4pfjPsjjGEn5IVoUSaKjN8kXPDIZMCF</t>
  </si>
  <si>
    <t>https://drive.google.com/file/d/1L4pfjPsjjGEn5IVoUSaKjN8kXPDIZMCF/view?usp=drivesdk</t>
  </si>
  <si>
    <t>Document successfully created; Document successfully merged; PDF created; Emails Sent: [To: keerthigagj02@gmail.com]; Run via form trigger as codectechnologies0@gmail.com; Timestamp: Sep 5, 2026 9:09 AM</t>
  </si>
  <si>
    <t>sahilkumar934682@gmail.com</t>
  </si>
  <si>
    <t>1ZgeItwOe8Rz0fPnG766GUBU23aLeFWGf</t>
  </si>
  <si>
    <t>https://drive.google.com/file/d/1ZgeItwOe8Rz0fPnG766GUBU23aLeFWGf/view?usp=drivesdk</t>
  </si>
  <si>
    <t>Document successfully created; Document successfully merged; PDF created; Emails Sent: [To: sahilkumar934682@gmail.com]; Run via form trigger as codectechnologies0@gmail.com; Timestamp: Sep 5, 2026 10:47 AM</t>
  </si>
  <si>
    <t>Mayank Kumar Rai</t>
  </si>
  <si>
    <t>mayankrai70r@gmail.com</t>
  </si>
  <si>
    <t>1tlY5UCxZT--5sJaeZFdkYET5A0QMA-b3</t>
  </si>
  <si>
    <t>https://drive.google.com/file/d/1tlY5UCxZT--5sJaeZFdkYET5A0QMA-b3/view?usp=drivesdk</t>
  </si>
  <si>
    <t>Document successfully created; Document successfully merged; PDF created; Emails Sent: [To: mayankrai70r@gmail.com]; Run via form trigger as codectechnologies0@gmail.com; Timestamp: Sep 5, 2026 11:00 AM</t>
  </si>
  <si>
    <t>Janhavi Satish Gade</t>
  </si>
  <si>
    <t>gadejanhavi65@gmail.com</t>
  </si>
  <si>
    <t xml:space="preserve">Adarsh Institute of Technology and Research center Vita </t>
  </si>
  <si>
    <t>1CvgVQ_5_DEFmmOtNixnyt_4IvoWPFL0A</t>
  </si>
  <si>
    <t>https://drive.google.com/file/d/1CvgVQ_5_DEFmmOtNixnyt_4IvoWPFL0A/view?usp=drivesdk</t>
  </si>
  <si>
    <t>Document successfully created; Document successfully merged; PDF created; Emails Sent: [To: gadejanhavi65@gmail.com]; Run via form trigger as codectechnologies0@gmail.com; Timestamp: Sep 5, 2026 11:02 AM</t>
  </si>
  <si>
    <t xml:space="preserve">Anshuman Nayak </t>
  </si>
  <si>
    <t>nayakakash256@gmail.com</t>
  </si>
  <si>
    <t xml:space="preserve">Gandhi Engineering College </t>
  </si>
  <si>
    <t>18Gh7fmhUqF5aZwtrTW0DH7H36r8lI3ou</t>
  </si>
  <si>
    <t>https://drive.google.com/file/d/18Gh7fmhUqF5aZwtrTW0DH7H36r8lI3ou/view?usp=drivesdk</t>
  </si>
  <si>
    <t>Document successfully created; Document successfully merged; PDF created; Emails Sent: [To: nayakakash256@gmail.com]; Run via form trigger as codectechnologies0@gmail.com; Timestamp: Sep 5, 2026 11:15 AM</t>
  </si>
  <si>
    <t>Lekisha</t>
  </si>
  <si>
    <t>lekisha.25scs1003001466@iilm.edu</t>
  </si>
  <si>
    <t>1rai-JambBzGtRl1AyIbwm9i9t1VXqrZN</t>
  </si>
  <si>
    <t>https://drive.google.com/file/d/1rai-JambBzGtRl1AyIbwm9i9t1VXqrZN/view?usp=drivesdk</t>
  </si>
  <si>
    <t>Document successfully created; Document successfully merged; PDF created; Emails Sent: [To: lekisha.25scs1003001466@iilm.edu]; Run via form trigger as codectechnologies0@gmail.com; Timestamp: Sep 5, 2026 11:25 AM</t>
  </si>
  <si>
    <t>Anshuman Nayak</t>
  </si>
  <si>
    <t xml:space="preserve">Gandhi engineering college </t>
  </si>
  <si>
    <t>1KP4CNrq0SgbB8fyqOSzOz5tTLi6vcXzV</t>
  </si>
  <si>
    <t>https://drive.google.com/file/d/1KP4CNrq0SgbB8fyqOSzOz5tTLi6vcXzV/view?usp=drivesdk</t>
  </si>
  <si>
    <t>Document successfully created; Document successfully merged; PDF created; Emails Sent: [To: nayakakash256@gmail.com]; Run via form trigger as codectechnologies0@gmail.com; Timestamp: Sep 5, 2026 11:31 AM</t>
  </si>
  <si>
    <t>Vijaya bharath</t>
  </si>
  <si>
    <t>vijaybharat246@gmail.com</t>
  </si>
  <si>
    <t>09080509376</t>
  </si>
  <si>
    <t xml:space="preserve">Vels university </t>
  </si>
  <si>
    <t>1Kl4xrnNzUJfctxJoQ6xAJ72AnkuDUeeQ</t>
  </si>
  <si>
    <t>https://drive.google.com/file/d/1Kl4xrnNzUJfctxJoQ6xAJ72AnkuDUeeQ/view?usp=drivesdk</t>
  </si>
  <si>
    <t>Document successfully created; Document successfully merged; PDF created; Emails Sent: [To: vijaybharat246@gmail.com]; Run via form trigger as codectechnologies0@gmail.com; Timestamp: Sep 5, 2026 11:33 AM</t>
  </si>
  <si>
    <t>Sneha Navnath Sawant</t>
  </si>
  <si>
    <t>sneha29930@gmail.com</t>
  </si>
  <si>
    <t>09552965253</t>
  </si>
  <si>
    <t>A</t>
  </si>
  <si>
    <t>1JGeIY9gM0tOvHij_WbZu2MXv2tSHp0Or</t>
  </si>
  <si>
    <t>https://drive.google.com/file/d/1JGeIY9gM0tOvHij_WbZu2MXv2tSHp0Or/view?usp=drivesdk</t>
  </si>
  <si>
    <t>Document successfully created; Document successfully merged; PDF created; Emails Sent: [To: sneha29930@gmail.com]; Run via form trigger as codectechnologies0@gmail.com; Timestamp: Sep 5, 2026 11:45 AM</t>
  </si>
  <si>
    <t>J.Bhuvaniga</t>
  </si>
  <si>
    <t>bhuvanikavaa@gmail.com</t>
  </si>
  <si>
    <t>P.S.R Engineering College</t>
  </si>
  <si>
    <t>1VA1ncCJMGgRnYYtCxhpjpa4zSflPW1Mr</t>
  </si>
  <si>
    <t>https://drive.google.com/file/d/1VA1ncCJMGgRnYYtCxhpjpa4zSflPW1Mr/view?usp=drivesdk</t>
  </si>
  <si>
    <t>Document successfully created; Document successfully merged; PDF created; Emails Sent: [To: bhuvanikavaa@gmail.com]; Run via form trigger as codectechnologies0@gmail.com; Timestamp: Sep 5, 2026 12:09 PM</t>
  </si>
  <si>
    <t>Jaynish Patel</t>
  </si>
  <si>
    <t>1mw3XaUEHXtMAvgAgLhRVpWEhwztb8zZ-</t>
  </si>
  <si>
    <t>https://drive.google.com/file/d/1mw3XaUEHXtMAvgAgLhRVpWEhwztb8zZ-/view?usp=drivesdk</t>
  </si>
  <si>
    <t>Document successfully created; Document successfully merged; PDF created; Emails Sent: [To: jaynishpatelm@gmail.com]; Run via form trigger as codectechnologies0@gmail.com; Timestamp: Sep 5, 2026 12:38 PM</t>
  </si>
  <si>
    <t>Kandimalla Karthik</t>
  </si>
  <si>
    <t>kandimallakarthik4@gmail.com</t>
  </si>
  <si>
    <t>Tirumala Engineering College</t>
  </si>
  <si>
    <t>1hh-D3GquDP0zciomhuLtrN6fBhnzwP-7</t>
  </si>
  <si>
    <t>https://drive.google.com/file/d/1hh-D3GquDP0zciomhuLtrN6fBhnzwP-7/view?usp=drivesdk</t>
  </si>
  <si>
    <t>Document successfully created; Document successfully merged; PDF created; Emails Sent: [To: kandimallakarthik4@gmail.com]; Run via form trigger as codectechnologies0@gmail.com; Timestamp: Sep 5, 2026 1:01 PM</t>
  </si>
  <si>
    <t xml:space="preserve">Institute of Technical Education and Research </t>
  </si>
  <si>
    <t>1ZOsmkTDtgJ4frYLgAurwCP_7xtjPn8Kk</t>
  </si>
  <si>
    <t>https://drive.google.com/file/d/1ZOsmkTDtgJ4frYLgAurwCP_7xtjPn8Kk/view?usp=drivesdk</t>
  </si>
  <si>
    <t>Document successfully created; Document successfully merged; PDF created; Emails Sent: [To: subhransusekharlenka2005@gmail.com]; Run via form trigger as codectechnologies0@gmail.com; Timestamp: Sep 5, 2026 1:07 PM</t>
  </si>
  <si>
    <t xml:space="preserve">RAJA KUMAR </t>
  </si>
  <si>
    <t>raja535692@gmail.com</t>
  </si>
  <si>
    <t>1xT84P-Y03vqz91gwunBqy_96NE3mLFtn</t>
  </si>
  <si>
    <t>https://drive.google.com/file/d/1xT84P-Y03vqz91gwunBqy_96NE3mLFtn/view?usp=drivesdk</t>
  </si>
  <si>
    <t>Document successfully created; Document successfully merged; PDF created; Emails Sent: [To: raja535692@gmail.com]; Run via form trigger as codectechnologies0@gmail.com; Timestamp: Sep 5, 2026 1:33 PM</t>
  </si>
  <si>
    <t>1szsqdzkjMVxILpvmGcwTCF3zGAPrubKX</t>
  </si>
  <si>
    <t>https://drive.google.com/file/d/1szsqdzkjMVxILpvmGcwTCF3zGAPrubKX/view?usp=drivesdk</t>
  </si>
  <si>
    <t>Document successfully created; Document successfully merged; PDF created; Emails Sent: [To: sakshamsggupta0@gmail.com]; Run via form trigger as codectechnologies0@gmail.com; Timestamp: Sep 5, 2026 1:37 PM</t>
  </si>
  <si>
    <t>Raksha</t>
  </si>
  <si>
    <t>rakshapoojary5129@gmail.com</t>
  </si>
  <si>
    <t>yenepoya institute of technology, moodubiri</t>
  </si>
  <si>
    <t>1_PEuxJh_i1TLcQSRQQ4GA3gvYTgljptP</t>
  </si>
  <si>
    <t>https://drive.google.com/file/d/1_PEuxJh_i1TLcQSRQQ4GA3gvYTgljptP/view?usp=drivesdk</t>
  </si>
  <si>
    <t>Document successfully created; Document successfully merged; PDF created; Emails Sent: [To: rakshapoojary5129@gmail.com]; Run via form trigger as codectechnologies0@gmail.com; Timestamp: Sep 5, 2026 1:42 PM</t>
  </si>
  <si>
    <t>adityakr2048@gmail.com</t>
  </si>
  <si>
    <t xml:space="preserve"> 91626 39075</t>
  </si>
  <si>
    <t>1cBwoJQZadX9Ujfa90my66q5KlDHxKTQZ</t>
  </si>
  <si>
    <t>https://drive.google.com/file/d/1cBwoJQZadX9Ujfa90my66q5KlDHxKTQZ/view?usp=drivesdk</t>
  </si>
  <si>
    <t>Document successfully created; Document successfully merged; PDF created; Emails Sent: [To: adityakr2048@gmail.com]; Run via form trigger as codectechnologies0@gmail.com; Timestamp: Sep 5, 2026 1:45 PM</t>
  </si>
  <si>
    <t>Harsh Vardhan</t>
  </si>
  <si>
    <t>harsh.25scs1003003013@iilm.edu</t>
  </si>
  <si>
    <t>1fgRAAfAaAI_MZgBl0yuiMXL1JcRh_4Tw</t>
  </si>
  <si>
    <t>https://drive.google.com/file/d/1fgRAAfAaAI_MZgBl0yuiMXL1JcRh_4Tw/view?usp=drivesdk</t>
  </si>
  <si>
    <t>Document successfully created; Document successfully merged; PDF created; Emails Sent: [To: harsh.25scs1003003013@iilm.edu]; Run via form trigger as codectechnologies0@gmail.com; Timestamp: Sep 5, 2026 1:48 PM</t>
  </si>
  <si>
    <t>Martha vikas</t>
  </si>
  <si>
    <t>vikasmartha2004@gmail.com</t>
  </si>
  <si>
    <t xml:space="preserve">Methodist college engineering and technology </t>
  </si>
  <si>
    <t>1hkDAazWTn7tcdzlEJk9G860mEbt4AAbw</t>
  </si>
  <si>
    <t>https://drive.google.com/file/d/1hkDAazWTn7tcdzlEJk9G860mEbt4AAbw/view?usp=drivesdk</t>
  </si>
  <si>
    <t>Document successfully created; Document successfully merged; PDF created; Emails Sent: [To: vikasmartha2004@gmail.com]; Run via form trigger as codectechnologies0@gmail.com; Timestamp: Sep 5, 2026 2:26 PM</t>
  </si>
  <si>
    <t xml:space="preserve">Abhishek Kumar Bhagat </t>
  </si>
  <si>
    <t>abhikshekbhagat9106@gmail.com</t>
  </si>
  <si>
    <t>USCT</t>
  </si>
  <si>
    <t>16IUBZztZEH09Chfy7LuEFeX2dwdJiar-</t>
  </si>
  <si>
    <t>https://drive.google.com/file/d/16IUBZztZEH09Chfy7LuEFeX2dwdJiar-/view?usp=drivesdk</t>
  </si>
  <si>
    <t>Document successfully created; Document successfully merged; PDF created; Emails Sent: [To: abhikshekbhagat9106@gmail.com]; Run via form trigger as codectechnologies0@gmail.com; Timestamp: Sep 5, 2026 2:42 PM</t>
  </si>
  <si>
    <t>Ajay kumar</t>
  </si>
  <si>
    <t>ajaykumar02rns@gmail.com</t>
  </si>
  <si>
    <t>1M8dR_hbMkXvEYsgJ2QI_FSU8TtsZWsiz</t>
  </si>
  <si>
    <t>https://drive.google.com/file/d/1M8dR_hbMkXvEYsgJ2QI_FSU8TtsZWsiz/view?usp=drivesdk</t>
  </si>
  <si>
    <t>Document successfully created; Document successfully merged; PDF created; Emails Sent: [To: ajaykumar02rns@gmail.com]; Run via form trigger as codectechnologies0@gmail.com; Timestamp: Sep 5, 2026 3:25 PM</t>
  </si>
  <si>
    <t>1eafqtU5OlZL4Pe7LkXPen392pPvP_K9I</t>
  </si>
  <si>
    <t>https://drive.google.com/file/d/1eafqtU5OlZL4Pe7LkXPen392pPvP_K9I/view?usp=drivesdk</t>
  </si>
  <si>
    <t>Document successfully created; Document successfully merged; PDF created; Emails Sent: [To: vinisharulaniya04@gmail.com]; Run via form trigger as codectechnologies0@gmail.com; Timestamp: Sep 5, 2026 6:50 PM</t>
  </si>
  <si>
    <t>KRISHNA KUMAR V</t>
  </si>
  <si>
    <t>krishnav1695@gmail.com</t>
  </si>
  <si>
    <t>1-eDG7bREQV_gdMQT1yj-Qp-AE54VqbJ9</t>
  </si>
  <si>
    <t>https://drive.google.com/file/d/1-eDG7bREQV_gdMQT1yj-Qp-AE54VqbJ9/view?usp=drivesdk</t>
  </si>
  <si>
    <t>Document successfully created; Document successfully merged; PDF created; Emails Sent: [To: krishnav1695@gmail.com]; Run via form trigger as codectechnologies0@gmail.com; Timestamp: Sep 5, 2026 10:27 PM</t>
  </si>
  <si>
    <t>Atharv Uday Shinde</t>
  </si>
  <si>
    <t>atharvshinde512@gmail.com</t>
  </si>
  <si>
    <t xml:space="preserve">Annasaheb Dange Collage Of Engineering And Technology Ashata </t>
  </si>
  <si>
    <t>1U9pGt2LU4pCTHoqAFcK7MC0a13TFGMIJ</t>
  </si>
  <si>
    <t>https://drive.google.com/file/d/1U9pGt2LU4pCTHoqAFcK7MC0a13TFGMIJ/view?usp=drivesdk</t>
  </si>
  <si>
    <t>Document successfully created; Document successfully merged; PDF created; Emails Sent: [To: atharvshinde512@gmail.com]; Run via form trigger as codectechnologies0@gmail.com; Timestamp: Sep 5, 2026 10:48 PM</t>
  </si>
  <si>
    <t>ANJANA KUMARI</t>
  </si>
  <si>
    <t>anjanakri181402@gmail.com</t>
  </si>
  <si>
    <t>1-wytQ4pTMwpZPqPm8mB7tVGZHTOcPGY8</t>
  </si>
  <si>
    <t>https://drive.google.com/file/d/1-wytQ4pTMwpZPqPm8mB7tVGZHTOcPGY8/view?usp=drivesdk</t>
  </si>
  <si>
    <t>Document successfully created; Document successfully merged; PDF created; Emails Sent: [To: anjanakri181402@gmail.com]; Run via form trigger as codectechnologies0@gmail.com; Timestamp: Sep 5, 2026 11:45 PM</t>
  </si>
  <si>
    <t>Sandeep B</t>
  </si>
  <si>
    <t>Sandysan1531@gmail.com</t>
  </si>
  <si>
    <t xml:space="preserve">Rajalakshmi engineering college </t>
  </si>
  <si>
    <t>1DKrZIOO57WQxNO3NyDb6YrMCKnozUawW</t>
  </si>
  <si>
    <t>https://drive.google.com/file/d/1DKrZIOO57WQxNO3NyDb6YrMCKnozUawW/view?usp=drivesdk</t>
  </si>
  <si>
    <t>Document successfully created; Document successfully merged; PDF created; Emails Sent: [To: Sandysan1531@gmail.com]; Run via form trigger as codectechnologies0@gmail.com; Timestamp: Sep 6, 2026 12:27 AM</t>
  </si>
  <si>
    <t>Shalini s</t>
  </si>
  <si>
    <t>2006shalinis@gmail.com</t>
  </si>
  <si>
    <t xml:space="preserve">Meenakshi college of engineering </t>
  </si>
  <si>
    <t>1c09pjxrxcExMdtOu5wwcWmVe2l0NObXf</t>
  </si>
  <si>
    <t>https://drive.google.com/file/d/1c09pjxrxcExMdtOu5wwcWmVe2l0NObXf/view?usp=drivesdk</t>
  </si>
  <si>
    <t>Document successfully created; Document successfully merged; PDF created; Emails Sent: [To: 2006shalinis@gmail.com]; Run via form trigger as codectechnologies0@gmail.com; Timestamp: Sep 6, 2026 1:03 AM</t>
  </si>
  <si>
    <t>ARULDAVID A</t>
  </si>
  <si>
    <t>aruldavid2006@gmail.com</t>
  </si>
  <si>
    <t xml:space="preserve">PSG College of Arts &amp; Science </t>
  </si>
  <si>
    <t>1nLzTrPHTPc3UKLTfjv2haQ8H9qt3zYfI</t>
  </si>
  <si>
    <t>https://drive.google.com/file/d/1nLzTrPHTPc3UKLTfjv2haQ8H9qt3zYfI/view?usp=drivesdk</t>
  </si>
  <si>
    <t>Document successfully created; Document successfully merged; PDF created; Emails Sent: [To: aruldavid2006@gmail.com]; Run via form trigger as codectechnologies0@gmail.com; Timestamp: Sep 6, 2026 1:43 AM</t>
  </si>
  <si>
    <t>Roorkee Institute of Technology</t>
  </si>
  <si>
    <t>1a-gDJFtlLaMcr9u-4ZNeCGn_gjPleVku</t>
  </si>
  <si>
    <t>https://drive.google.com/file/d/1a-gDJFtlLaMcr9u-4ZNeCGn_gjPleVku/view?usp=drivesdk</t>
  </si>
  <si>
    <t>Document successfully created; Document successfully merged; PDF created; Emails Sent: [To: chandraveerkumar500@gmail.com]; Run via form trigger as codectechnologies0@gmail.com; Timestamp: Sep 6, 2026 1:47 AM</t>
  </si>
  <si>
    <t>Rohit Kurup</t>
  </si>
  <si>
    <t>kuruprohit29@gmail.com</t>
  </si>
  <si>
    <t>1M29cEYmban33WXytCiuVK_-GX8gYmzvj</t>
  </si>
  <si>
    <t>https://drive.google.com/file/d/1M29cEYmban33WXytCiuVK_-GX8gYmzvj/view?usp=drivesdk</t>
  </si>
  <si>
    <t>Document successfully created; Document successfully merged; PDF created; Emails Sent: [To: kuruprohit29@gmail.com]; Run via form trigger as codectechnologies0@gmail.com; Timestamp: Sep 6, 2026 2:15 AM</t>
  </si>
  <si>
    <t xml:space="preserve">Shaswat Jaiswal </t>
  </si>
  <si>
    <t>shaswat2007.jaiswal@gmail.com</t>
  </si>
  <si>
    <t xml:space="preserve">BBD University </t>
  </si>
  <si>
    <t>1B2TlIwf3rgm-k2hCPe562Utm9Yksd9i2</t>
  </si>
  <si>
    <t>https://drive.google.com/file/d/1B2TlIwf3rgm-k2hCPe562Utm9Yksd9i2/view?usp=drivesdk</t>
  </si>
  <si>
    <t>Document successfully created; Document successfully merged; PDF created; Emails Sent: [To: shaswat2007.jaiswal@gmail.com]; Run via form trigger as codectechnologies0@gmail.com; Timestamp: Sep 6, 2026 2:17 AM</t>
  </si>
  <si>
    <t>TEJUS KUMAR VERMA</t>
  </si>
  <si>
    <t>tejusverma032@gmail.com</t>
  </si>
  <si>
    <t>ROORKEE INSTITUTE OF  TECHNOLOGY</t>
  </si>
  <si>
    <t>1zLG4tgK3ptylCLRIrQs24D5Jull-DafD</t>
  </si>
  <si>
    <t>https://drive.google.com/file/d/1zLG4tgK3ptylCLRIrQs24D5Jull-DafD/view?usp=drivesdk</t>
  </si>
  <si>
    <t>Document successfully created; Document successfully merged; PDF created; Emails Sent: [To: tejusverma032@gmail.com]; Run via form trigger as codectechnologies0@gmail.com; Timestamp: Sep 6, 2026 2:29 AM</t>
  </si>
  <si>
    <t>sonit</t>
  </si>
  <si>
    <t>sonitsilk001@gmail.com</t>
  </si>
  <si>
    <t xml:space="preserve">Jind Institute of Engineering and Technology </t>
  </si>
  <si>
    <t>1qkuxV-A9FfqMv-Yn6WA7uN_1HA8MAuBY</t>
  </si>
  <si>
    <t>https://drive.google.com/file/d/1qkuxV-A9FfqMv-Yn6WA7uN_1HA8MAuBY/view?usp=drivesdk</t>
  </si>
  <si>
    <t>Document successfully created; Document successfully merged; PDF created; Emails Sent: [To: sonitsilk001@gmail.com]; Run via form trigger as codectechnologies0@gmail.com; Timestamp: Sep 6, 2026 2:31 AM</t>
  </si>
  <si>
    <t>VARUN KUMAR REDDY</t>
  </si>
  <si>
    <t>varunkumarreddy09@gmail.com</t>
  </si>
  <si>
    <t xml:space="preserve">BGS SCIENCE ACADEMY AND RESEARCH CENTRE </t>
  </si>
  <si>
    <t>1ipV1-yJJrT4EytkKP8qLvSxhUvdR8i0S</t>
  </si>
  <si>
    <t>https://drive.google.com/file/d/1ipV1-yJJrT4EytkKP8qLvSxhUvdR8i0S/view?usp=drivesdk</t>
  </si>
  <si>
    <t>Document successfully created; Document successfully merged; PDF created; Emails Sent: [To: varunkumarreddy09@gmail.com]; Run via form trigger as codectechnologies0@gmail.com; Timestamp: Sep 6, 2026 2:38 AM</t>
  </si>
  <si>
    <t xml:space="preserve"> Kumar Darsi</t>
  </si>
  <si>
    <t>darsikumar2008@gmail.com</t>
  </si>
  <si>
    <t>S-vyasa demeed to be university</t>
  </si>
  <si>
    <t>1LsmAcxtl51tdBIPoUSPGXm_3IouqX1HS</t>
  </si>
  <si>
    <t>https://drive.google.com/file/d/1LsmAcxtl51tdBIPoUSPGXm_3IouqX1HS/view?usp=drivesdk</t>
  </si>
  <si>
    <t>Document successfully created; Document successfully merged; PDF created; Emails Sent: [To: darsikumar2008@gmail.com]; Run via form trigger as codectechnologies0@gmail.com; Timestamp: Sep 6, 2026 2:51 AM</t>
  </si>
  <si>
    <t>Srihari S Nair</t>
  </si>
  <si>
    <t>srinair5078@gmail.com</t>
  </si>
  <si>
    <t>IILM</t>
  </si>
  <si>
    <t>1WJt54ObOxKdwbvxlz5dHEBvmrrBERVO2</t>
  </si>
  <si>
    <t>https://drive.google.com/file/d/1WJt54ObOxKdwbvxlz5dHEBvmrrBERVO2/view?usp=drivesdk</t>
  </si>
  <si>
    <t>Document successfully created; Document successfully merged; PDF created; Emails Sent: [To: srinair5078@gmail.com]; Run via form trigger as codectechnologies0@gmail.com; Timestamp: Sep 6, 2026 3:02 AM</t>
  </si>
  <si>
    <t>sayyed tanzila akbar</t>
  </si>
  <si>
    <t>tanzilasayyed27@gmail.com</t>
  </si>
  <si>
    <t>b k birla college kalyan</t>
  </si>
  <si>
    <t>1piqctq4DyziGVKTAv77tHIqu1sAHWTTk</t>
  </si>
  <si>
    <t>https://drive.google.com/file/d/1piqctq4DyziGVKTAv77tHIqu1sAHWTTk/view?usp=drivesdk</t>
  </si>
  <si>
    <t>Document successfully created; Document successfully merged; PDF created; Emails Sent: [To: tanzilasayyed27@gmail.com]; Run via form trigger as codectechnologies0@gmail.com; Timestamp: Sep 6, 2026 3:07 AM</t>
  </si>
  <si>
    <t>Raghav Aditya Shukla</t>
  </si>
  <si>
    <t>raghav.25scs1003001646@iilm.edu</t>
  </si>
  <si>
    <t>1rSNFK5RXAHn7cAYAHlD7LdDR3jqFtpV0</t>
  </si>
  <si>
    <t>https://drive.google.com/file/d/1rSNFK5RXAHn7cAYAHlD7LdDR3jqFtpV0/view?usp=drivesdk</t>
  </si>
  <si>
    <t>Document successfully created; Document successfully merged; PDF created; Emails Sent: [To: raghav.25scs1003001646@iilm.edu]; Run via form trigger as codectechnologies0@gmail.com; Timestamp: Sep 6, 2026 3:30 AM</t>
  </si>
  <si>
    <t>Bheemavarapu Srihari</t>
  </si>
  <si>
    <t>bhemavarapusrihari@gmail.com</t>
  </si>
  <si>
    <t>Manav Rachana International Institute of research and studies</t>
  </si>
  <si>
    <t>1l-_5HGsduRn8WDNZutEo4LJ4CUchpc05</t>
  </si>
  <si>
    <t>https://drive.google.com/file/d/1l-_5HGsduRn8WDNZutEo4LJ4CUchpc05/view?usp=drivesdk</t>
  </si>
  <si>
    <t>Document successfully created; Document successfully merged; PDF created; Emails Sent: [To: bhemavarapusrihari@gmail.com]; Run via form trigger as codectechnologies0@gmail.com; Timestamp: Sep 6, 2026 4:00 AM</t>
  </si>
  <si>
    <t>Ayush Gupta</t>
  </si>
  <si>
    <t>vishuuucareerincs@gmail.com</t>
  </si>
  <si>
    <t>1_PXzwIPlEMyOTPme53rdq_bAucgDiAM5</t>
  </si>
  <si>
    <t>https://drive.google.com/file/d/1_PXzwIPlEMyOTPme53rdq_bAucgDiAM5/view?usp=drivesdk</t>
  </si>
  <si>
    <t>Document successfully created; Document successfully merged; PDF created; Emails Sent: [To: vishuuucareerincs@gmail.com]; Run via form trigger as codectechnologies0@gmail.com; Timestamp: Sep 6, 2026 4:22 AM</t>
  </si>
  <si>
    <t>Niraj Kumar Das</t>
  </si>
  <si>
    <t>nirajdas1865@gmail.com</t>
  </si>
  <si>
    <t xml:space="preserve">Subharti Institute Of Technology &amp; Engineering </t>
  </si>
  <si>
    <t>1kfWh1p3nbKjxcBOQnERY5IFL82kj_EoR</t>
  </si>
  <si>
    <t>https://drive.google.com/file/d/1kfWh1p3nbKjxcBOQnERY5IFL82kj_EoR/view?usp=drivesdk</t>
  </si>
  <si>
    <t>Document successfully created; Document successfully merged; PDF created; Emails Sent: [To: nirajdas1865@gmail.com]; Run via form trigger as codectechnologies0@gmail.com; Timestamp: Sep 6, 2026 4:31 AM</t>
  </si>
  <si>
    <t>Satish Vishwakarma</t>
  </si>
  <si>
    <t>satishvishwakarma9333@gmail.com</t>
  </si>
  <si>
    <t xml:space="preserve">Buddha Degree College </t>
  </si>
  <si>
    <t>18Q4p8SulZaj9PZEEO_Vk5VNHbyE0Wj6H</t>
  </si>
  <si>
    <t>https://drive.google.com/file/d/18Q4p8SulZaj9PZEEO_Vk5VNHbyE0Wj6H/view?usp=drivesdk</t>
  </si>
  <si>
    <t>Document successfully created; Document successfully merged; PDF created; Emails Sent: [To: satishvishwakarma9333@gmail.com]; Run via form trigger as codectechnologies0@gmail.com; Timestamp: Sep 6, 2026 4:42 AM</t>
  </si>
  <si>
    <t>1vV89eIfkih1tuJVx7FFk6S6APIKtd0c2</t>
  </si>
  <si>
    <t>https://drive.google.com/file/d/1vV89eIfkih1tuJVx7FFk6S6APIKtd0c2/view?usp=drivesdk</t>
  </si>
  <si>
    <t>Document successfully created; Document successfully merged; PDF created; Emails Sent: [To: puneetsingh.amity@gmail.com]; Run via form trigger as codectechnologies0@gmail.com; Timestamp: Sep 6, 2026 4:46 AM</t>
  </si>
  <si>
    <t>Isha Sharma</t>
  </si>
  <si>
    <t>ishas6528@gmail.com</t>
  </si>
  <si>
    <t>PIMR</t>
  </si>
  <si>
    <t>1e6r87PWB2JEOimS8I1biXPypGmVQO_QI</t>
  </si>
  <si>
    <t>https://drive.google.com/file/d/1e6r87PWB2JEOimS8I1biXPypGmVQO_QI/view?usp=drivesdk</t>
  </si>
  <si>
    <t>Document successfully created; Document successfully merged; PDF created; Emails Sent: [To: ishas6528@gmail.com]; Run via form trigger as codectechnologies0@gmail.com; Timestamp: Sep 6, 2026 5:58 AM</t>
  </si>
  <si>
    <t>Vansh Yadav</t>
  </si>
  <si>
    <t>ixjnvknw3@gmail.com</t>
  </si>
  <si>
    <t>IPS ACADEMY INDORE</t>
  </si>
  <si>
    <t>163-y9iKqjVaftTwfl65l7toElsnv_ebL</t>
  </si>
  <si>
    <t>https://drive.google.com/file/d/163-y9iKqjVaftTwfl65l7toElsnv_ebL/view?usp=drivesdk</t>
  </si>
  <si>
    <t>Document successfully created; Document successfully merged; PDF created; Emails Sent: [To: ixjnvknw3@gmail.com]; Run via form trigger as codectechnologies0@gmail.com; Timestamp: Sep 6, 2026 6:40 AM</t>
  </si>
  <si>
    <t>Mohammad Irfan S</t>
  </si>
  <si>
    <t>25ec144@rmkec.ac.in</t>
  </si>
  <si>
    <t xml:space="preserve">R.M.K Engineering College </t>
  </si>
  <si>
    <t>1eYckRM2Yu2Kj5oK04q8ptG2fWqLs7sIG</t>
  </si>
  <si>
    <t>https://drive.google.com/file/d/1eYckRM2Yu2Kj5oK04q8ptG2fWqLs7sIG/view?usp=drivesdk</t>
  </si>
  <si>
    <t>Document successfully created; Document successfully merged; PDF created; Emails Sent: [To: 25ec144@rmkec.ac.in]; Run via form trigger as codectechnologies0@gmail.com; Timestamp: Sep 6, 2026 7:01 AM</t>
  </si>
  <si>
    <t>Pranjali Borkute</t>
  </si>
  <si>
    <t>pranjaliborkute9@gmail.com</t>
  </si>
  <si>
    <t>GH Raisoni college of engineering and Management</t>
  </si>
  <si>
    <t>1urMPGjsNCzzzAHj9Pb8hkGaJPKdaCi-u</t>
  </si>
  <si>
    <t>https://drive.google.com/file/d/1urMPGjsNCzzzAHj9Pb8hkGaJPKdaCi-u/view?usp=drivesdk</t>
  </si>
  <si>
    <t>Document successfully created; Document successfully merged; PDF created; Emails Sent: [To: pranjaliborkute9@gmail.com]; Run via form trigger as codectechnologies0@gmail.com; Timestamp: Sep 6, 2026 7:02 AM</t>
  </si>
  <si>
    <t xml:space="preserve">Simar kukreja </t>
  </si>
  <si>
    <t>simarkukreja10@gmail.com</t>
  </si>
  <si>
    <t>+91 88820 63763</t>
  </si>
  <si>
    <t>1JQl73ZhkjRRuFB8KNt7DJgIoWQHYtGe-</t>
  </si>
  <si>
    <t>https://drive.google.com/file/d/1JQl73ZhkjRRuFB8KNt7DJgIoWQHYtGe-/view?usp=drivesdk</t>
  </si>
  <si>
    <t>Document successfully created; Document successfully merged; PDF created; Emails Sent: [To: simarkukreja10@gmail.com]; Run via form trigger as codectechnologies0@gmail.com; Timestamp: Sep 6, 2026 7:41 AM</t>
  </si>
  <si>
    <t>Kishan C</t>
  </si>
  <si>
    <t>iamkishanc@gmail.com</t>
  </si>
  <si>
    <t xml:space="preserve">AJ INSTITUTE of ENGINEERING AND TECHNOLOGY </t>
  </si>
  <si>
    <t>19oRMQgnY7IoelzsIC0bZBVni8MbWDaaa</t>
  </si>
  <si>
    <t>https://drive.google.com/file/d/19oRMQgnY7IoelzsIC0bZBVni8MbWDaaa/view?usp=drivesdk</t>
  </si>
  <si>
    <t>Document successfully created; Document successfully merged; PDF created; Emails Sent: [To: iamkishanc@gmail.com]; Run via form trigger as codectechnologies0@gmail.com; Timestamp: Sep 6, 2026 7:50 AM</t>
  </si>
  <si>
    <t>SINOJ KV</t>
  </si>
  <si>
    <t>sinojsinu1229@gmail.com</t>
  </si>
  <si>
    <t xml:space="preserve">Aj institute of engineering and technology </t>
  </si>
  <si>
    <t>1xEzOJppSXQ_OfCz7JmThswdO-0NBUH1J</t>
  </si>
  <si>
    <t>https://drive.google.com/file/d/1xEzOJppSXQ_OfCz7JmThswdO-0NBUH1J/view?usp=drivesdk</t>
  </si>
  <si>
    <t>Document successfully created; Document successfully merged; PDF created; Emails Sent: [To: sinojsinu1229@gmail.com]; Run via form trigger as codectechnologies0@gmail.com; Timestamp: Sep 6, 2026 7:54 AM</t>
  </si>
  <si>
    <t xml:space="preserve">Ruth J </t>
  </si>
  <si>
    <t>ruthjohn2630@gmail.com</t>
  </si>
  <si>
    <t>SJCE</t>
  </si>
  <si>
    <t>1eKu4moG3wHVr3i_8gnQ8r_fzp799MwNX</t>
  </si>
  <si>
    <t>https://drive.google.com/file/d/1eKu4moG3wHVr3i_8gnQ8r_fzp799MwNX/view?usp=drivesdk</t>
  </si>
  <si>
    <t>Document successfully created; Document successfully merged; PDF created; Emails Sent: [To: ruthjohn2630@gmail.com]; Run via form trigger as codectechnologies0@gmail.com; Timestamp: Sep 6, 2026 8:08 AM</t>
  </si>
  <si>
    <t>Sunny Kumar</t>
  </si>
  <si>
    <t>sunny28skk@gmail.com</t>
  </si>
  <si>
    <t>Bhai Jaita Subharti Engineering College</t>
  </si>
  <si>
    <t>1YgSEUb4GVhsTyg6RVMTv04FW8__knOBp</t>
  </si>
  <si>
    <t>https://drive.google.com/file/d/1YgSEUb4GVhsTyg6RVMTv04FW8__knOBp/view?usp=drivesdk</t>
  </si>
  <si>
    <t>Document successfully created; Document successfully merged; PDF created; Emails Sent: [To: sunny28skk@gmail.com]; Run via form trigger as codectechnologies0@gmail.com; Timestamp: Sep 6, 2026 8:17 AM</t>
  </si>
  <si>
    <t>Shaan Gangrade</t>
  </si>
  <si>
    <t>shaangangrade14@gmail.com</t>
  </si>
  <si>
    <t>1dvfqLN1f-Yzjz39Pp_jbxzxEoBwH_A2D</t>
  </si>
  <si>
    <t>https://drive.google.com/file/d/1dvfqLN1f-Yzjz39Pp_jbxzxEoBwH_A2D/view?usp=drivesdk</t>
  </si>
  <si>
    <t>Document successfully created; Document successfully merged; PDF created; Emails Sent: [To: shaangangrade14@gmail.com]; Run via form trigger as codectechnologies0@gmail.com; Timestamp: Sep 6, 2026 8:38 AM</t>
  </si>
  <si>
    <t>Lakshya tripathi</t>
  </si>
  <si>
    <t>lakshya.25scs1003001040@iilm.edu</t>
  </si>
  <si>
    <t>1NavCp7qEnNgsV9Bi43_tjalkc7uLIRfA</t>
  </si>
  <si>
    <t>https://drive.google.com/file/d/1NavCp7qEnNgsV9Bi43_tjalkc7uLIRfA/view?usp=drivesdk</t>
  </si>
  <si>
    <t>Document successfully created; Document successfully merged; PDF created; Emails Sent: [To: lakshya.25scs1003001040@iilm.edu]; Run via form trigger as codectechnologies0@gmail.com; Timestamp: Sep 6, 2026 9:20 AM</t>
  </si>
  <si>
    <t xml:space="preserve">Gyanti Kumari </t>
  </si>
  <si>
    <t>tiwaribaba7739@gmail.com</t>
  </si>
  <si>
    <t>Dumka Engineering College, Dumka</t>
  </si>
  <si>
    <t>1FxQurkCHLf4pcA90Mu17qcSbezbf2glt</t>
  </si>
  <si>
    <t>https://drive.google.com/file/d/1FxQurkCHLf4pcA90Mu17qcSbezbf2glt/view?usp=drivesdk</t>
  </si>
  <si>
    <t>Document successfully created; Document successfully merged; PDF created; Emails Sent: [To: tiwaribaba7739@gmail.com]; Run via form trigger as codectechnologies0@gmail.com; Timestamp: Sep 6, 2026 9:44 AM</t>
  </si>
  <si>
    <t>Akshay kumar</t>
  </si>
  <si>
    <t>aksingh95073@gmail.com</t>
  </si>
  <si>
    <t>1H7CRgyE0iT_XyIwiK2lHuSZ5ncZR4r1S</t>
  </si>
  <si>
    <t>https://drive.google.com/file/d/1H7CRgyE0iT_XyIwiK2lHuSZ5ncZR4r1S/view?usp=drivesdk</t>
  </si>
  <si>
    <t>Document successfully created; Document successfully merged; PDF created; Emails Sent: [To: aksingh95073@gmail.com]; Run via form trigger as codectechnologies0@gmail.com; Timestamp: Sep 6, 2026 9:49 AM</t>
  </si>
  <si>
    <t>Ritika</t>
  </si>
  <si>
    <t>ritikajangra308@gmail.com</t>
  </si>
  <si>
    <t>world college ,gurugram</t>
  </si>
  <si>
    <t>1z1Zey5L-cc7ecETTieN8hzVyFk3_RSik</t>
  </si>
  <si>
    <t>https://drive.google.com/file/d/1z1Zey5L-cc7ecETTieN8hzVyFk3_RSik/view?usp=drivesdk</t>
  </si>
  <si>
    <t>Document successfully created; Document successfully merged; PDF created; Emails Sent: [To: ritikajangra308@gmail.com]; Run via form trigger as codectechnologies0@gmail.com; Timestamp: Sep 6, 2026 9:51 AM</t>
  </si>
  <si>
    <t>CHANDANI SINGH</t>
  </si>
  <si>
    <t>chandanisingh9890@gmail.com</t>
  </si>
  <si>
    <t>1q151COqKDuDqNN76cuvCUMaSEVEXodgo</t>
  </si>
  <si>
    <t>https://drive.google.com/file/d/1q151COqKDuDqNN76cuvCUMaSEVEXodgo/view?usp=drivesdk</t>
  </si>
  <si>
    <t>Document successfully created; Document successfully merged; PDF created; Emails Sent: [To: chandanisingh9890@gmail.com]; Run via form trigger as codectechnologies0@gmail.com; Timestamp: Sep 6, 2026 9:52 AM</t>
  </si>
  <si>
    <t>1CuMP8l6TsVIJe90Gj1oF-9PQ78jRaDBg</t>
  </si>
  <si>
    <t>https://drive.google.com/file/d/1CuMP8l6TsVIJe90Gj1oF-9PQ78jRaDBg/view?usp=drivesdk</t>
  </si>
  <si>
    <t>Document successfully created; Document successfully merged; PDF created; Emails Sent: [To: aksingh95073@gmail.com]; Run via form trigger as codectechnologies0@gmail.com; Timestamp: Sep 6, 2026 9:53 AM</t>
  </si>
  <si>
    <t>PRATHAM GOSWAMI</t>
  </si>
  <si>
    <t>prathamgiri2005@gmail.com</t>
  </si>
  <si>
    <t>utranchal institute technology</t>
  </si>
  <si>
    <t>1Wvsh74H6B_T5fauhvBc6O09ZbzEuFChU</t>
  </si>
  <si>
    <t>https://drive.google.com/file/d/1Wvsh74H6B_T5fauhvBc6O09ZbzEuFChU/view?usp=drivesdk</t>
  </si>
  <si>
    <t>Document successfully created; Document successfully merged; PDF created; Emails Sent: [To: prathamgiri2005@gmail.com]; Run via form trigger as codectechnologies0@gmail.com; Timestamp: Sep 6, 2026 9:53 AM</t>
  </si>
  <si>
    <t>Himanshika Gautam</t>
  </si>
  <si>
    <t>himanshikamzn@gmail.com</t>
  </si>
  <si>
    <t>Chhatrapati Shahu Ji Maharaj University</t>
  </si>
  <si>
    <t>1nJcPAznzM_Wk_tkN85zOaecNK5pjV8_-</t>
  </si>
  <si>
    <t>https://drive.google.com/file/d/1nJcPAznzM_Wk_tkN85zOaecNK5pjV8_-/view?usp=drivesdk</t>
  </si>
  <si>
    <t>Document successfully created; Document successfully merged; PDF created; Emails Sent: [To: himanshikamzn@gmail.com]; Run via form trigger as codectechnologies0@gmail.com; Timestamp: Sep 6, 2026 10:06 AM</t>
  </si>
  <si>
    <t>Kingston Y C</t>
  </si>
  <si>
    <t>ycking2019@gmail.com</t>
  </si>
  <si>
    <t>1suUsQCnt1ySR74SbZ359JqT1AE9VGiW-</t>
  </si>
  <si>
    <t>https://drive.google.com/file/d/1suUsQCnt1ySR74SbZ359JqT1AE9VGiW-/view?usp=drivesdk</t>
  </si>
  <si>
    <t>Document successfully created; Document successfully merged; PDF created; Emails Sent: [To: ycking2019@gmail.com]; Run via form trigger as codectechnologies0@gmail.com; Timestamp: Sep 6, 2026 10:08 AM</t>
  </si>
  <si>
    <t>Ram Kanai Paul</t>
  </si>
  <si>
    <t>ramkanai299@gmail.com</t>
  </si>
  <si>
    <t>1BP_HrhDHJVf3Df_PIIhKvQ7kEW0TNos3</t>
  </si>
  <si>
    <t>https://drive.google.com/file/d/1BP_HrhDHJVf3Df_PIIhKvQ7kEW0TNos3/view?usp=drivesdk</t>
  </si>
  <si>
    <t>Document successfully created; Document successfully merged; PDF created; Emails Sent: [To: ramkanai299@gmail.com]; Run via form trigger as codectechnologies0@gmail.com; Timestamp: Sep 6, 2026 10:08 AM</t>
  </si>
  <si>
    <t xml:space="preserve">Thatiparthi Harshitha </t>
  </si>
  <si>
    <t>harshreddytthatiparthi@gmail.com</t>
  </si>
  <si>
    <t>15vLUFVALlCeM7fzKx_KT7gxAaYAQmbLM</t>
  </si>
  <si>
    <t>https://drive.google.com/file/d/15vLUFVALlCeM7fzKx_KT7gxAaYAQmbLM/view?usp=drivesdk</t>
  </si>
  <si>
    <t>Document successfully created; Document successfully merged; PDF created; Emails Sent: [To: harshreddytthatiparthi@gmail.com]; Run via form trigger as codectechnologies0@gmail.com; Timestamp: Sep 6, 2026 10:10 AM</t>
  </si>
  <si>
    <t>Vijendra D</t>
  </si>
  <si>
    <t>vijendraviji22@gmail.com</t>
  </si>
  <si>
    <t>1w4GCptOl0ZGdEvTctS-7U5PSX0SCOM-q</t>
  </si>
  <si>
    <t>https://drive.google.com/file/d/1w4GCptOl0ZGdEvTctS-7U5PSX0SCOM-q/view?usp=drivesdk</t>
  </si>
  <si>
    <t>Document successfully created; Document successfully merged; PDF created; Emails Sent: [To: vijendraviji22@gmail.com]; Run via form trigger as codectechnologies0@gmail.com; Timestamp: Sep 6, 2026 10:16 AM</t>
  </si>
  <si>
    <t>Kurukshetra university</t>
  </si>
  <si>
    <t>1wAsoR5NGGg6TRzLJt_2xzwjqXhnu3h6p</t>
  </si>
  <si>
    <t>https://drive.google.com/file/d/1wAsoR5NGGg6TRzLJt_2xzwjqXhnu3h6p/view?usp=drivesdk</t>
  </si>
  <si>
    <t>Document successfully created; Document successfully merged; PDF created; Emails Sent: [To: sonitsilk001@gmail.com]; Run via form trigger as codectechnologies0@gmail.com; Timestamp: Sep 6, 2026 10:23 AM</t>
  </si>
  <si>
    <t>A. Ronald</t>
  </si>
  <si>
    <t>26f1001466@ds.study.iitm.ac.in</t>
  </si>
  <si>
    <t>Indian Institute of Technology Madras</t>
  </si>
  <si>
    <t>1NGyZoOsWCBt_xFoxBzjoxAdXTTuE2Foy</t>
  </si>
  <si>
    <t>https://drive.google.com/file/d/1NGyZoOsWCBt_xFoxBzjoxAdXTTuE2Foy/view?usp=drivesdk</t>
  </si>
  <si>
    <t>Document successfully created; Document successfully merged; PDF created; Emails Sent: [To: 26f1001466@ds.study.iitm.ac.in]; Run via form trigger as codectechnologies0@gmail.com; Timestamp: Sep 6, 2026 10:47 AM</t>
  </si>
  <si>
    <t>Sidhant Kumar</t>
  </si>
  <si>
    <t>1wBTUqwOwbcnOH-AHzAHW7Wb-OoSxbnVX</t>
  </si>
  <si>
    <t>https://drive.google.com/file/d/1wBTUqwOwbcnOH-AHzAHW7Wb-OoSxbnVX/view?usp=drivesdk</t>
  </si>
  <si>
    <t>Document successfully created; Document successfully merged; PDF created; Emails Sent: [To: sakshamsggupta0@gmail.com]; Run via form trigger as codectechnologies0@gmail.com; Timestamp: Sep 6, 2026 10:54 AM</t>
  </si>
  <si>
    <t>Yuvraj Chauhan</t>
  </si>
  <si>
    <t>1z6D-WxbaTEBJ29I46WtQ5TMrsvHOo4yJ</t>
  </si>
  <si>
    <t>https://drive.google.com/file/d/1z6D-WxbaTEBJ29I46WtQ5TMrsvHOo4yJ/view?usp=drivesdk</t>
  </si>
  <si>
    <t>Document successfully created; Document successfully merged; PDF created; Emails Sent: [To: sakshamsggupta0@gmail.com]; Run via form trigger as codectechnologies0@gmail.com; Timestamp: Sep 6, 2026 10:57 AM</t>
  </si>
  <si>
    <t>A. Ronald Oliver</t>
  </si>
  <si>
    <t>1kaIfi7RFeJi7p7VeKqYbT2RVpbRHmggz</t>
  </si>
  <si>
    <t>https://drive.google.com/file/d/1kaIfi7RFeJi7p7VeKqYbT2RVpbRHmggz/view?usp=drivesdk</t>
  </si>
  <si>
    <t>Document successfully created; Document successfully merged; PDF created; Emails Sent: [To: 26f1001466@ds.study.iitm.ac.in]; Run via form trigger as codectechnologies0@gmail.com; Timestamp: Sep 6, 2026 11:08 AM</t>
  </si>
  <si>
    <t>Md Shakil</t>
  </si>
  <si>
    <t>sunniji61@gmail.com</t>
  </si>
  <si>
    <t>1L1H3-mQyKa5-6Q0cS6enl5cb7iErxxte</t>
  </si>
  <si>
    <t>https://drive.google.com/file/d/1L1H3-mQyKa5-6Q0cS6enl5cb7iErxxte/view?usp=drivesdk</t>
  </si>
  <si>
    <t>Document successfully created; Document successfully merged; PDF created; Emails Sent: [To: sunniji61@gmail.com]; Run via form trigger as codectechnologies0@gmail.com; Timestamp: Sep 6, 2026 11:21 AM</t>
  </si>
  <si>
    <t>sunnykumar342006@gmail.com</t>
  </si>
  <si>
    <t>1BQTWSUgfL9pJy9t05qP7es-3CRzkpdXZ</t>
  </si>
  <si>
    <t>https://drive.google.com/file/d/1BQTWSUgfL9pJy9t05qP7es-3CRzkpdXZ/view?usp=drivesdk</t>
  </si>
  <si>
    <t>Document successfully created; Document successfully merged; PDF created; Emails Sent: [To: sunnykumar342006@gmail.com]; Run via form trigger as codectechnologies0@gmail.com; Timestamp: Sep 6, 2026 11:44 AM</t>
  </si>
  <si>
    <t>Krishan KM</t>
  </si>
  <si>
    <t>krishankrishankm76@gmail.com</t>
  </si>
  <si>
    <t xml:space="preserve">Aj Institute of Engineering and Technology </t>
  </si>
  <si>
    <t>1UjlalwBy0HESOaf9ZgE7Rq_WP__m4CCR</t>
  </si>
  <si>
    <t>https://drive.google.com/file/d/1UjlalwBy0HESOaf9ZgE7Rq_WP__m4CCR/view?usp=drivesdk</t>
  </si>
  <si>
    <t>Document successfully created; Document successfully merged; PDF created; Emails Sent: [To: krishankrishankm76@gmail.com]; Run via form trigger as codectechnologies0@gmail.com; Timestamp: Sep 6, 2026 11:45 AM</t>
  </si>
  <si>
    <t>AZAD SINGH</t>
  </si>
  <si>
    <t>azad.25scs1003005280@iilm.edu</t>
  </si>
  <si>
    <t>IILM UNIVERITY</t>
  </si>
  <si>
    <t>1AzLPoWs54y5naGGydhQSRrwKe5AOmrs1</t>
  </si>
  <si>
    <t>https://drive.google.com/file/d/1AzLPoWs54y5naGGydhQSRrwKe5AOmrs1/view?usp=drivesdk</t>
  </si>
  <si>
    <t>Document successfully created; Document successfully merged; PDF created; Emails Sent: [To: azad.25scs1003005280@iilm.edu]; Run via form trigger as codectechnologies0@gmail.com; Timestamp: Sep 6, 2026 11:47 AM</t>
  </si>
  <si>
    <t xml:space="preserve"> Mohammed Abrar R</t>
  </si>
  <si>
    <t>abrar2008abrar@gmail.com</t>
  </si>
  <si>
    <t>Sri shakthi institute of engineering and technology</t>
  </si>
  <si>
    <t>1OR8Mlny_LUfYyL_Bsu-W9KA-ZKunvtzv</t>
  </si>
  <si>
    <t>https://drive.google.com/file/d/1OR8Mlny_LUfYyL_Bsu-W9KA-ZKunvtzv/view?usp=drivesdk</t>
  </si>
  <si>
    <t>Document successfully created; Document successfully merged; PDF created; Emails Sent: [To: abrar2008abrar@gmail.com]; Run via form trigger as codectechnologies0@gmail.com; Timestamp: Sep 6, 2026 11:50 AM</t>
  </si>
  <si>
    <t>Manjunath H S</t>
  </si>
  <si>
    <t>manjuhs586@gmail.com</t>
  </si>
  <si>
    <t>A J Institute of engineering and technology</t>
  </si>
  <si>
    <t>1P2nhdqhFGabqUzip1tlIYkwl9wsHeqIt</t>
  </si>
  <si>
    <t>https://drive.google.com/file/d/1P2nhdqhFGabqUzip1tlIYkwl9wsHeqIt/view?usp=drivesdk</t>
  </si>
  <si>
    <t>Document successfully created; Document successfully merged; PDF created; Emails Sent: [To: manjuhs586@gmail.com]; Run via form trigger as codectechnologies0@gmail.com; Timestamp: Sep 6, 2026 11:51 AM</t>
  </si>
  <si>
    <t>1pouE9CwmrBxhvCkF4fr4zRH9gw5wwyTV</t>
  </si>
  <si>
    <t>https://drive.google.com/file/d/1pouE9CwmrBxhvCkF4fr4zRH9gw5wwyTV/view?usp=drivesdk</t>
  </si>
  <si>
    <t>Document successfully created; Document successfully merged; PDF created; Emails Sent: [To: azad.25scs1003005280@iilm.edu]; Run via form trigger as codectechnologies0@gmail.com; Timestamp: Sep 6, 2026 11:51 AM</t>
  </si>
  <si>
    <t>Raj Ratan</t>
  </si>
  <si>
    <t>princesingh31987@gmail.com</t>
  </si>
  <si>
    <t>11N_3qps3r7SAwSX4UXzgDU6tNLY_ashZ</t>
  </si>
  <si>
    <t>https://drive.google.com/file/d/11N_3qps3r7SAwSX4UXzgDU6tNLY_ashZ/view?usp=drivesdk</t>
  </si>
  <si>
    <t>Document successfully created; Document successfully merged; PDF created; Emails Sent: [To: princesingh31987@gmail.com]; Run via form trigger as codectechnologies0@gmail.com; Timestamp: Sep 6, 2026 11:53 AM</t>
  </si>
  <si>
    <t xml:space="preserve">AMAN KUMAR </t>
  </si>
  <si>
    <t>111850muskan@gmail.com</t>
  </si>
  <si>
    <t>1bZYmVPsKDLHc5MM9F9jRRO177HMl0LGN</t>
  </si>
  <si>
    <t>https://drive.google.com/file/d/1bZYmVPsKDLHc5MM9F9jRRO177HMl0LGN/view?usp=drivesdk</t>
  </si>
  <si>
    <t>Document successfully created; Document successfully merged; PDF created; Emails Sent: [To: 111850muskan@gmail.com]; Run via form trigger as codectechnologies0@gmail.com; Timestamp: Sep 6, 2026 12:01 PM</t>
  </si>
  <si>
    <t>Divyanshu Kumar</t>
  </si>
  <si>
    <t>divyanshusinghs7992@gmail.com</t>
  </si>
  <si>
    <t>179xDF8jK-N0eYvYR0PoG-SUBe7vjNQed</t>
  </si>
  <si>
    <t>https://drive.google.com/file/d/179xDF8jK-N0eYvYR0PoG-SUBe7vjNQed/view?usp=drivesdk</t>
  </si>
  <si>
    <t>Document successfully created; Document successfully merged; PDF created; Emails Sent: [To: divyanshusinghs7992@gmail.com]; Run via form trigger as codectechnologies0@gmail.com; Timestamp: Sep 6, 2026 12:05 PM</t>
  </si>
  <si>
    <t xml:space="preserve">varunkumar reddy </t>
  </si>
  <si>
    <t>95350 70782</t>
  </si>
  <si>
    <t>bgs science academy and research center</t>
  </si>
  <si>
    <t>1OwMIKn1WqmNt3jvZ218NdTMf8ASXvB9L</t>
  </si>
  <si>
    <t>https://drive.google.com/file/d/1OwMIKn1WqmNt3jvZ218NdTMf8ASXvB9L/view?usp=drivesdk</t>
  </si>
  <si>
    <t>Document successfully created; Document successfully merged; PDF created; Emails Sent: [To: varunkumarreddy09@gmail.com]; Run via form trigger as codectechnologies0@gmail.com; Timestamp: Sep 6, 2026 12:09 PM</t>
  </si>
  <si>
    <t>25tec2csml279@vgu.ac.in</t>
  </si>
  <si>
    <t>Vivekanada Global University</t>
  </si>
  <si>
    <t>1f6AhT77E_tWCMIltSkMXqqZOLQmGPIB2</t>
  </si>
  <si>
    <t>https://drive.google.com/file/d/1f6AhT77E_tWCMIltSkMXqqZOLQmGPIB2/view?usp=drivesdk</t>
  </si>
  <si>
    <t>Document successfully created; Document successfully merged; PDF created; Emails Sent: [To: 25tec2csml279@vgu.ac.in]; Run via form trigger as codectechnologies0@gmail.com; Timestamp: Sep 6, 2026 12:34 PM</t>
  </si>
  <si>
    <t>Bhawesh Badhani</t>
  </si>
  <si>
    <t>bhaveshbadhani53@gmail.com</t>
  </si>
  <si>
    <t>1fNJrz5n7ZJ9JTDks7JScM-9Fc7vfkyoh</t>
  </si>
  <si>
    <t>https://drive.google.com/file/d/1fNJrz5n7ZJ9JTDks7JScM-9Fc7vfkyoh/view?usp=drivesdk</t>
  </si>
  <si>
    <t>Document successfully created; Document successfully merged; PDF created; Emails Sent: [To: bhaveshbadhani53@gmail.com]; Run via form trigger as codectechnologies0@gmail.com; Timestamp: Sep 6, 2026 12:39 PM</t>
  </si>
  <si>
    <t>Laxmi Vitthal Chavan</t>
  </si>
  <si>
    <t>chavanlaxmi133@gmail.com</t>
  </si>
  <si>
    <t>CSMSS.Chh. Shahu College of Engineering</t>
  </si>
  <si>
    <t>17JOcBPETRzaPBe69YWuliJpyODFnP8WO</t>
  </si>
  <si>
    <t>https://drive.google.com/file/d/17JOcBPETRzaPBe69YWuliJpyODFnP8WO/view?usp=drivesdk</t>
  </si>
  <si>
    <t>Document successfully created; Document successfully merged; PDF created; Emails Sent: [To: chavanlaxmi133@gmail.com]; Run via form trigger as codectechnologies0@gmail.com; Timestamp: Sep 6, 2026 12:47 PM</t>
  </si>
  <si>
    <t>Simran Pandey</t>
  </si>
  <si>
    <t>simranpandey2609@gmail.com</t>
  </si>
  <si>
    <t xml:space="preserve">K.J Somaiya College of Engineering </t>
  </si>
  <si>
    <t>1suWSA0WHkM89sx2TyrOArT48kKopAadg</t>
  </si>
  <si>
    <t>https://drive.google.com/file/d/1suWSA0WHkM89sx2TyrOArT48kKopAadg/view?usp=drivesdk</t>
  </si>
  <si>
    <t>Document successfully created; Document successfully merged; PDF created; Emails Sent: [To: simranpandey2609@gmail.com]; Run via form trigger as codectechnologies0@gmail.com; Timestamp: Sep 6, 2026 12:48 PM</t>
  </si>
  <si>
    <t>Kundan Kumar</t>
  </si>
  <si>
    <t>kk8548964@gmail.com</t>
  </si>
  <si>
    <t>Vivekanada Global university</t>
  </si>
  <si>
    <t>1ySLV_NMQjWtDVGi0h9tvaczAvsT2-8RP</t>
  </si>
  <si>
    <t>https://drive.google.com/file/d/1ySLV_NMQjWtDVGi0h9tvaczAvsT2-8RP/view?usp=drivesdk</t>
  </si>
  <si>
    <t>Document successfully created; Document successfully merged; PDF created; Emails Sent: [To: kk8548964@gmail.com]; Run via form trigger as codectechnologies0@gmail.com; Timestamp: Sep 6, 2026 12:59 PM</t>
  </si>
  <si>
    <t>Yash Baghel</t>
  </si>
  <si>
    <t xml:space="preserve">yashbaghel342@gmail.com </t>
  </si>
  <si>
    <t>1CQwlqdM84d5ejZO5l7_wA4iDcO8jnn6I</t>
  </si>
  <si>
    <t>https://drive.google.com/file/d/1CQwlqdM84d5ejZO5l7_wA4iDcO8jnn6I/view?usp=drivesdk</t>
  </si>
  <si>
    <t>Document successfully created; Document successfully merged; PDF created; Emails Sent: [To: yashbaghel342@gmail.com]; Run via form trigger as codectechnologies0@gmail.com; Timestamp: Sep 6, 2026 1:04 PM</t>
  </si>
  <si>
    <t>Tirtha Hemchandra Salunkhe</t>
  </si>
  <si>
    <t>salunkhetirtha7@gmail.com</t>
  </si>
  <si>
    <t>Guru Gobind Singh College of Engineering and Research Center.</t>
  </si>
  <si>
    <t>1G4KW9bCWV4_9_dsi9DefhT7KytkDuJWc</t>
  </si>
  <si>
    <t>https://drive.google.com/file/d/1G4KW9bCWV4_9_dsi9DefhT7KytkDuJWc/view?usp=drivesdk</t>
  </si>
  <si>
    <t>Document successfully created; Document successfully merged; PDF created; Emails Sent: [To: salunkhetirtha7@gmail.com]; Run via form trigger as codectechnologies0@gmail.com; Timestamp: Sep 6, 2026 1:08 PM</t>
  </si>
  <si>
    <t>Prakash Dhakal</t>
  </si>
  <si>
    <t>pllvdhakal@gmail.com</t>
  </si>
  <si>
    <t>C.V. Raman Global University</t>
  </si>
  <si>
    <t>1kvLV3eWwNvhEIfRQtk6JBoQh0k7Xud0F</t>
  </si>
  <si>
    <t>https://drive.google.com/file/d/1kvLV3eWwNvhEIfRQtk6JBoQh0k7Xud0F/view?usp=drivesdk</t>
  </si>
  <si>
    <t>Document successfully created; Document successfully merged; PDF created; Emails Sent: [To: pllvdhakal@gmail.com]; Run via form trigger as codectechnologies0@gmail.com; Timestamp: Sep 6, 2026 1:58 PM</t>
  </si>
  <si>
    <t>Kartik Gangwar</t>
  </si>
  <si>
    <t>kartikgangwar04@gmail.com</t>
  </si>
  <si>
    <t>Rajshree Institute of Management &amp; Technology</t>
  </si>
  <si>
    <t>1SX717wG6ZWjYmvnFxgWiRkI-M1qY3EV2</t>
  </si>
  <si>
    <t>https://drive.google.com/file/d/1SX717wG6ZWjYmvnFxgWiRkI-M1qY3EV2/view?usp=drivesdk</t>
  </si>
  <si>
    <t>Document successfully created; Document successfully merged; PDF created; Emails Sent: [To: kartikgangwar04@gmail.com]; Run via form trigger as codectechnologies0@gmail.com; Timestamp: Sep 6, 2026 2:06 PM</t>
  </si>
  <si>
    <t>Amul shandilya</t>
  </si>
  <si>
    <t>amulshandilya@gmail.com</t>
  </si>
  <si>
    <t>Nit patna</t>
  </si>
  <si>
    <t>1VyjxwHvG8SUZQTG6hc-0q4R8IZuCP93W</t>
  </si>
  <si>
    <t>https://drive.google.com/file/d/1VyjxwHvG8SUZQTG6hc-0q4R8IZuCP93W/view?usp=drivesdk</t>
  </si>
  <si>
    <t>Document successfully created; Document successfully merged; PDF created; Emails Sent: [To: amulshandilya@gmail.com]; Run via form trigger as codectechnologies0@gmail.com; Timestamp: Sep 6, 2026 2:19 PM</t>
  </si>
  <si>
    <t>Suman Sahu</t>
  </si>
  <si>
    <t>sumansahu98615@gmail.com</t>
  </si>
  <si>
    <t>ITER , SOA UNIVERSITY, BHUBANESWAR</t>
  </si>
  <si>
    <t>157094q5BPQgVoATcTzlhA5p_rwlMwbC2</t>
  </si>
  <si>
    <t>https://drive.google.com/file/d/157094q5BPQgVoATcTzlhA5p_rwlMwbC2/view?usp=drivesdk</t>
  </si>
  <si>
    <t>Document successfully created; Document successfully merged; PDF created; Emails Sent: [To: sumansahu98615@gmail.com]; Run via form trigger as codectechnologies0@gmail.com; Timestamp: Sep 6, 2026 2:24 PM</t>
  </si>
  <si>
    <t>S Prabin</t>
  </si>
  <si>
    <t>prabinselvaraj12@gmail.com</t>
  </si>
  <si>
    <t>+91 89557 01228</t>
  </si>
  <si>
    <t>1Vo_Kc82tgJEqmIDYGNux3rxJpNjLG8an</t>
  </si>
  <si>
    <t>https://drive.google.com/file/d/1Vo_Kc82tgJEqmIDYGNux3rxJpNjLG8an/view?usp=drivesdk</t>
  </si>
  <si>
    <t>Document successfully created; Document successfully merged; PDF created; Emails Sent: [To: prabinselvaraj12@gmail.com]; Run via form trigger as codectechnologies0@gmail.com; Timestamp: Sep 6, 2026 2:34 PM</t>
  </si>
  <si>
    <t>Sandesh Gautam</t>
  </si>
  <si>
    <t>sandeshmpgautam.in@gmail.com</t>
  </si>
  <si>
    <t>Ramniranjan Jhunjhunwala College of Arts. Science &amp; Commerce (Empowered Autonomous Status)</t>
  </si>
  <si>
    <t>1fYGBrN3byXjUWRdHH8H34NIBqyvM08FE</t>
  </si>
  <si>
    <t>https://drive.google.com/file/d/1fYGBrN3byXjUWRdHH8H34NIBqyvM08FE/view?usp=drivesdk</t>
  </si>
  <si>
    <t>Document successfully created; Document successfully merged; PDF created; Emails Sent: [To: sandeshmpgautam.in@gmail.com]; Run via form trigger as codectechnologies0@gmail.com; Timestamp: Sep 6, 2026 2:49 PM</t>
  </si>
  <si>
    <t>Harini E</t>
  </si>
  <si>
    <t>isharini3127@gmail.com</t>
  </si>
  <si>
    <t>Instagram, Google</t>
  </si>
  <si>
    <t>154poXiPoyjKWfq9tKHQMbSzaYYvOcvy3</t>
  </si>
  <si>
    <t>https://drive.google.com/file/d/154poXiPoyjKWfq9tKHQMbSzaYYvOcvy3/view?usp=drivesdk</t>
  </si>
  <si>
    <t>Document successfully created; Document successfully merged; PDF created; Emails Sent: [To: isharini3127@gmail.com]; Run via form trigger as codectechnologies0@gmail.com; Timestamp: Sep 6, 2026 2:52 PM</t>
  </si>
  <si>
    <t>1QTmQb-hU-hIyfW5Tc83zichqqSz2LwG9</t>
  </si>
  <si>
    <t>https://drive.google.com/file/d/1QTmQb-hU-hIyfW5Tc83zichqqSz2LwG9/view?usp=drivesdk</t>
  </si>
  <si>
    <t>Document successfully created; Document successfully merged; PDF created; Emails Sent: [To: chandanjais49949@gmail.com]; Run via form trigger as codectechnologies0@gmail.com; Timestamp: Sep 6, 2026 4:31 PM</t>
  </si>
  <si>
    <t>Vishal N</t>
  </si>
  <si>
    <t>vishalnesamani@gmail.com</t>
  </si>
  <si>
    <t>12nkXKo0JOJAiKCHly8IWH7A-dCpN1fFs</t>
  </si>
  <si>
    <t>https://drive.google.com/file/d/12nkXKo0JOJAiKCHly8IWH7A-dCpN1fFs/view?usp=drivesdk</t>
  </si>
  <si>
    <t>Document successfully created; Document successfully merged; PDF created; Emails Sent: [To: vishalnesamani@gmail.com]; Run via form trigger as codectechnologies0@gmail.com; Timestamp: Sep 6, 2026 11:00 PM</t>
  </si>
  <si>
    <t>Pulkit Acharya</t>
  </si>
  <si>
    <t>acharyapulkit65@gmail.com</t>
  </si>
  <si>
    <t>1bz7QScbCt91crJS1J-eLAmHxtodhxLQC</t>
  </si>
  <si>
    <t>https://drive.google.com/file/d/1bz7QScbCt91crJS1J-eLAmHxtodhxLQC/view?usp=drivesdk</t>
  </si>
  <si>
    <t>Document successfully created; Document successfully merged; PDF created; Emails Sent: [To: acharyapulkit65@gmail.com]; Run via form trigger as codectechnologies0@gmail.com; Timestamp: Sep 6, 2026 11:38 PM</t>
  </si>
  <si>
    <t>GANESH CHOUHAN</t>
  </si>
  <si>
    <t>ganesh79093@gmail.com</t>
  </si>
  <si>
    <t xml:space="preserve">IES IPS ACADEMY </t>
  </si>
  <si>
    <t>1vz1nRUaXxYTgkyQQ_5bq87vvycGZVwCr</t>
  </si>
  <si>
    <t>https://drive.google.com/file/d/1vz1nRUaXxYTgkyQQ_5bq87vvycGZVwCr/view?usp=drivesdk</t>
  </si>
  <si>
    <t>Document successfully created; Document successfully merged; PDF created; Emails Sent: [To: ganesh79093@gmail.com]; Run via form trigger as codectechnologies0@gmail.com; Timestamp: Sep 6, 2026 11:48 PM</t>
  </si>
  <si>
    <t>Aastha Bhalse</t>
  </si>
  <si>
    <t xml:space="preserve">bhalseaastha4106@gmail.com </t>
  </si>
  <si>
    <t>1h3Y05z9HLP_OruMPGsR61WtTrJaklixR</t>
  </si>
  <si>
    <t>https://drive.google.com/file/d/1h3Y05z9HLP_OruMPGsR61WtTrJaklixR/view?usp=drivesdk</t>
  </si>
  <si>
    <t>Document successfully created; Document successfully merged; PDF created; Emails Sent: [To: bhalseaastha4106@gmail.com]; Run via form trigger as codectechnologies0@gmail.com; Timestamp: Sep 7, 2026 12:27 AM</t>
  </si>
  <si>
    <t>Preshnev Navanith R</t>
  </si>
  <si>
    <t>preshnevr@gmail.com</t>
  </si>
  <si>
    <t>ST JOSEPH'S COLLEGE OF ENGINEERING</t>
  </si>
  <si>
    <t>1M4T0GJOvzEbzFsJHYN9CZoWQOuhFTrzF</t>
  </si>
  <si>
    <t>https://drive.google.com/file/d/1M4T0GJOvzEbzFsJHYN9CZoWQOuhFTrzF/view?usp=drivesdk</t>
  </si>
  <si>
    <t>Document successfully created; Document successfully merged; PDF created; Emails Sent: [To: preshnevr@gmail.com]; Run via form trigger as codectechnologies0@gmail.com; Timestamp: Sep 7, 2026 12:29 AM</t>
  </si>
  <si>
    <t>Nikhil Yadav</t>
  </si>
  <si>
    <t>nikhilyadavkakas55555@gmail.com</t>
  </si>
  <si>
    <t xml:space="preserve">Guru jambheshwar university of science and technology, Hisar </t>
  </si>
  <si>
    <t>1Z-IOjGr-gA_Tsx4IzVby-T8HWk8UdUQP</t>
  </si>
  <si>
    <t>https://drive.google.com/file/d/1Z-IOjGr-gA_Tsx4IzVby-T8HWk8UdUQP/view?usp=drivesdk</t>
  </si>
  <si>
    <t>Document successfully created; Document successfully merged; PDF created; Emails Sent: [To: nikhilyadavkakas55555@gmail.com]; Run via form trigger as codectechnologies0@gmail.com; Timestamp: Sep 7, 2026 12:47 AM</t>
  </si>
  <si>
    <t>MACHAVARAPU KRUPA SWAROOP</t>
  </si>
  <si>
    <t>1gd4UhGR0DTY6WrsChyh64KU7-Juk-Y_t</t>
  </si>
  <si>
    <t>https://drive.google.com/file/d/1gd4UhGR0DTY6WrsChyh64KU7-Juk-Y_t/view?usp=drivesdk</t>
  </si>
  <si>
    <t>Document successfully created; Document successfully merged; PDF created; Emails Sent: [To: swaroopmachavarapu7@gmail.com]; Run via form trigger as codectechnologies0@gmail.com; Timestamp: Sep 7, 2026 1:01 AM</t>
  </si>
  <si>
    <t>Neeraj Kumar</t>
  </si>
  <si>
    <t>neerajpalwaliya@gmail.com</t>
  </si>
  <si>
    <t>Echelon Institute of Technology faridabad</t>
  </si>
  <si>
    <t>1jKgYv9nGepfSdXDnfWlH6nmb2lKSY9BD</t>
  </si>
  <si>
    <t>https://drive.google.com/file/d/1jKgYv9nGepfSdXDnfWlH6nmb2lKSY9BD/view?usp=drivesdk</t>
  </si>
  <si>
    <t>Document successfully created; Document successfully merged; PDF created; Emails Sent: [To: neerajpalwaliya@gmail.com]; Run via form trigger as codectechnologies0@gmail.com; Timestamp: Sep 7, 2026 1:06 AM</t>
  </si>
  <si>
    <t xml:space="preserve">Chaudhari Sagar Babulal </t>
  </si>
  <si>
    <t>sagar44131@gmail.com</t>
  </si>
  <si>
    <t>Pravara Rural Engineering College Loni</t>
  </si>
  <si>
    <t>1aI533H9BRtA2qK3GAmMQSDlklRBdPfET</t>
  </si>
  <si>
    <t>https://drive.google.com/file/d/1aI533H9BRtA2qK3GAmMQSDlklRBdPfET/view?usp=drivesdk</t>
  </si>
  <si>
    <t>Document successfully created; Document successfully merged; PDF created; Emails Sent: [To: sagar44131@gmail.com]; Run via form trigger as codectechnologies0@gmail.com; Timestamp: Sep 7, 2026 1:15 AM</t>
  </si>
  <si>
    <t>Shreyash Chaurasia</t>
  </si>
  <si>
    <t>aman.790364@gmail.com</t>
  </si>
  <si>
    <t>BBDU</t>
  </si>
  <si>
    <t>1Mj8kKnSDdPryZ2YOg96tCt43BA0ODIP4</t>
  </si>
  <si>
    <t>https://drive.google.com/file/d/1Mj8kKnSDdPryZ2YOg96tCt43BA0ODIP4/view?usp=drivesdk</t>
  </si>
  <si>
    <t>Document successfully created; Document successfully merged; PDF created; Emails Sent: [To: aman.790364@gmail.com]; Run via form trigger as codectechnologies0@gmail.com; Timestamp: Sep 7, 2026 1:21 AM</t>
  </si>
  <si>
    <t>Siddhi Singh</t>
  </si>
  <si>
    <t>siddhisky07@gmail.com</t>
  </si>
  <si>
    <t>Babu Banarasi Das University Lucknow</t>
  </si>
  <si>
    <t>1BnVZ-FMxu_AhD40Q2HhuO3KiQpCdiFpU</t>
  </si>
  <si>
    <t>https://drive.google.com/file/d/1BnVZ-FMxu_AhD40Q2HhuO3KiQpCdiFpU/view?usp=drivesdk</t>
  </si>
  <si>
    <t>Document successfully created; Document successfully merged; PDF created; Emails Sent: [To: siddhisky07@gmail.com]; Run via form trigger as codectechnologies0@gmail.com; Timestamp: Sep 7, 2026 1:22 AM</t>
  </si>
  <si>
    <t>Om Wadkar</t>
  </si>
  <si>
    <t>omyawadkar123@gmail.com</t>
  </si>
  <si>
    <t>Skncoe</t>
  </si>
  <si>
    <t>105J8G1dD68yhIm7horbf53r16F-qu-59</t>
  </si>
  <si>
    <t>https://drive.google.com/file/d/105J8G1dD68yhIm7horbf53r16F-qu-59/view?usp=drivesdk</t>
  </si>
  <si>
    <t>Document successfully created; Document successfully merged; PDF created; Emails Sent: [To: omyawadkar123@gmail.com]; Run via form trigger as codectechnologies0@gmail.com; Timestamp: Sep 7, 2026 1:23 AM</t>
  </si>
  <si>
    <t>MOHOMMAD RIYAN</t>
  </si>
  <si>
    <t>mohommadriyan333@gmail.com</t>
  </si>
  <si>
    <t xml:space="preserve">Vr Siddardha Engineering college </t>
  </si>
  <si>
    <t>18NZMAm7zWg0q_ojqc72q-EQFwk5KMTx7</t>
  </si>
  <si>
    <t>https://drive.google.com/file/d/18NZMAm7zWg0q_ojqc72q-EQFwk5KMTx7/view?usp=drivesdk</t>
  </si>
  <si>
    <t>Document successfully created; Document successfully merged; PDF created; Emails Sent: [To: mohommadriyan333@gmail.com]; Run via form trigger as codectechnologies0@gmail.com; Timestamp: Sep 7, 2026 1:24 AM</t>
  </si>
  <si>
    <t>Ashwini Kumar Jha</t>
  </si>
  <si>
    <t>ashwanikumarjha2311@gmail.com</t>
  </si>
  <si>
    <t xml:space="preserve">Indian institute of technology patna </t>
  </si>
  <si>
    <t>1Zhr2qmj7kKesKekz7u9U8iOPLGmf-HCX</t>
  </si>
  <si>
    <t>https://drive.google.com/file/d/1Zhr2qmj7kKesKekz7u9U8iOPLGmf-HCX/view?usp=drivesdk</t>
  </si>
  <si>
    <t>Document successfully created; Document successfully merged; PDF created; Emails Sent: [To: ashwanikumarjha2311@gmail.com]; Run via form trigger as codectechnologies0@gmail.com; Timestamp: Sep 7, 2026 1:25 AM</t>
  </si>
  <si>
    <t>Dheeraj D</t>
  </si>
  <si>
    <t>dheerajmd1223@gmail.com</t>
  </si>
  <si>
    <t>1QQLkD4MXndSF2VDT5oYWXFCcqqe2m5IC</t>
  </si>
  <si>
    <t>https://drive.google.com/file/d/1QQLkD4MXndSF2VDT5oYWXFCcqqe2m5IC/view?usp=drivesdk</t>
  </si>
  <si>
    <t>Document successfully created; Document successfully merged; PDF created; Emails Sent: [To: dheerajmd1223@gmail.com]; Run via form trigger as codectechnologies0@gmail.com; Timestamp: Sep 7, 2026 1:35 AM</t>
  </si>
  <si>
    <t>Sanskriti Puri</t>
  </si>
  <si>
    <t>sanskritipuri403@gmail.com</t>
  </si>
  <si>
    <t>1_qZzV3lyCrFGEpQA9_VStkpB9q0ArbOs</t>
  </si>
  <si>
    <t>https://drive.google.com/file/d/1_qZzV3lyCrFGEpQA9_VStkpB9q0ArbOs/view?usp=drivesdk</t>
  </si>
  <si>
    <t>Document successfully created; Document successfully merged; PDF created; Emails Sent: [To: sanskritipuri403@gmail.com]; Run via form trigger as codectechnologies0@gmail.com; Timestamp: Sep 7, 2026 1:36 AM</t>
  </si>
  <si>
    <t>sauravgusain184@gmail.com</t>
  </si>
  <si>
    <t>Indira Gandhi National Open University</t>
  </si>
  <si>
    <t>1MrFpqnVjg0J892OHuCSx8JuGOA4-8Dnn</t>
  </si>
  <si>
    <t>https://drive.google.com/file/d/1MrFpqnVjg0J892OHuCSx8JuGOA4-8Dnn/view?usp=drivesdk</t>
  </si>
  <si>
    <t>Document successfully created; Document successfully merged; PDF created; Emails Sent: [To: sauravgusain184@gmail.com]; Run via form trigger as codectechnologies0@gmail.com; Timestamp: Sep 7, 2026 1:42 AM</t>
  </si>
  <si>
    <t xml:space="preserve">Sahil Kant </t>
  </si>
  <si>
    <t>sahil.25scs1003005471@iilm.edu</t>
  </si>
  <si>
    <t>1rZQyzCLT81hAWkCG9QT5i58UkXvR8Wld</t>
  </si>
  <si>
    <t>https://drive.google.com/file/d/1rZQyzCLT81hAWkCG9QT5i58UkXvR8Wld/view?usp=drivesdk</t>
  </si>
  <si>
    <t>Document successfully created; Document successfully merged; PDF created; Emails Sent: [To: sahil.25scs1003005471@iilm.edu]; Run via form trigger as codectechnologies0@gmail.com; Timestamp: Sep 7, 2026 1:51 AM</t>
  </si>
  <si>
    <t>Neeraja Balaji</t>
  </si>
  <si>
    <t>neerajab.iyer@gmail.com</t>
  </si>
  <si>
    <t>Dr. B. R. Ambedkar National Institute of Technology (NIT Jalandhar)</t>
  </si>
  <si>
    <t>1ne_bCvqjK-6OKOFRbDWaGVj5nngdn7-F</t>
  </si>
  <si>
    <t>https://drive.google.com/file/d/1ne_bCvqjK-6OKOFRbDWaGVj5nngdn7-F/view?usp=drivesdk</t>
  </si>
  <si>
    <t>Document successfully created; Document successfully merged; PDF created; Emails Sent: [To: neerajab.iyer@gmail.com]; Run via form trigger as codectechnologies0@gmail.com; Timestamp: Sep 7, 2026 1:53 AM</t>
  </si>
  <si>
    <t>Arjun sharma</t>
  </si>
  <si>
    <t>arjunsharm1999@gmail.com</t>
  </si>
  <si>
    <t>1ceRkc1SDjS45a4ZFz_FOirc1jensVdf4</t>
  </si>
  <si>
    <t>https://drive.google.com/file/d/1ceRkc1SDjS45a4ZFz_FOirc1jensVdf4/view?usp=drivesdk</t>
  </si>
  <si>
    <t>Document successfully created; Document successfully merged; PDF created; Emails Sent: [To: arjunsharm1999@gmail.com]; Run via form trigger as codectechnologies0@gmail.com; Timestamp: Sep 7, 2026 2:09 AM</t>
  </si>
  <si>
    <t xml:space="preserve">Tarun Kumar Yadav </t>
  </si>
  <si>
    <t>tarun.25scs1003003532@iilm.edu</t>
  </si>
  <si>
    <t>16yx5reQKuEXnH1Ev5Snj27omb92CZMhl</t>
  </si>
  <si>
    <t>https://drive.google.com/file/d/16yx5reQKuEXnH1Ev5Snj27omb92CZMhl/view?usp=drivesdk</t>
  </si>
  <si>
    <t>Document successfully created; Document successfully merged; PDF created; Emails Sent: [To: tarun.25scs1003003532@iilm.edu]; Run via form trigger as codectechnologies0@gmail.com; Timestamp: Sep 7, 2026 2:32 AM</t>
  </si>
  <si>
    <t>SAKTHI GAYATHRI M</t>
  </si>
  <si>
    <t>sakthigayathri@karunya.edu.in</t>
  </si>
  <si>
    <t>1RxqoBumC2mnhpFn2DBBM7sGwk8zY0yy8</t>
  </si>
  <si>
    <t>https://drive.google.com/file/d/1RxqoBumC2mnhpFn2DBBM7sGwk8zY0yy8/view?usp=drivesdk</t>
  </si>
  <si>
    <t>Document successfully created; Document successfully merged; PDF created; Emails Sent: [To: sakthigayathri@karunya.edu.in]; Run via form trigger as codectechnologies0@gmail.com; Timestamp: Sep 7, 2026 2:33 AM</t>
  </si>
  <si>
    <t xml:space="preserve">Aryan ranjan </t>
  </si>
  <si>
    <t>ranjanaryan297@gmail.com</t>
  </si>
  <si>
    <t>1XkTSza2gWjrMSriJyWN6XlN9vPQtWSv4</t>
  </si>
  <si>
    <t>https://drive.google.com/file/d/1XkTSza2gWjrMSriJyWN6XlN9vPQtWSv4/view?usp=drivesdk</t>
  </si>
  <si>
    <t>Document successfully created; Document successfully merged; PDF created; Emails Sent: [To: ranjanaryan297@gmail.com]; Run via form trigger as codectechnologies0@gmail.com; Timestamp: Sep 7, 2026 3:03 AM</t>
  </si>
  <si>
    <t xml:space="preserve">Sruthitiwari </t>
  </si>
  <si>
    <t>Sruthitiwari17@gmail.com</t>
  </si>
  <si>
    <t>Pragnya women’s Degree college</t>
  </si>
  <si>
    <t>1GoRvzEYuIJeIPmkFzZpPwWf3qEl4EKvH</t>
  </si>
  <si>
    <t>https://drive.google.com/file/d/1GoRvzEYuIJeIPmkFzZpPwWf3qEl4EKvH/view?usp=drivesdk</t>
  </si>
  <si>
    <t>Document successfully created; Document successfully merged; PDF created; Emails Sent: [To: Sruthitiwari17@gmail.com]; Run via form trigger as codectechnologies0@gmail.com; Timestamp: Sep 7, 2026 3:08 AM</t>
  </si>
  <si>
    <t>Vicky Sah</t>
  </si>
  <si>
    <t>shausaab2003@gmail.com</t>
  </si>
  <si>
    <t xml:space="preserve">DPG COLLEGE </t>
  </si>
  <si>
    <t>1VSUSY0Dd-VOMAq0a7KCzrC4_73voXbSM</t>
  </si>
  <si>
    <t>https://drive.google.com/file/d/1VSUSY0Dd-VOMAq0a7KCzrC4_73voXbSM/view?usp=drivesdk</t>
  </si>
  <si>
    <t>Document successfully created; Document successfully merged; PDF created; Emails Sent: [To: shausaab2003@gmail.com]; Run via form trigger as codectechnologies0@gmail.com; Timestamp: Sep 7, 2026 3:29 AM</t>
  </si>
  <si>
    <t xml:space="preserve">Bandi sai kiran </t>
  </si>
  <si>
    <t>bandikiran309@gmail.com</t>
  </si>
  <si>
    <t xml:space="preserve">Kamala institute of technology and  science </t>
  </si>
  <si>
    <t>1lrG1PPaRcVAmTUd_3Y2krveacC7M3XqE</t>
  </si>
  <si>
    <t>https://drive.google.com/file/d/1lrG1PPaRcVAmTUd_3Y2krveacC7M3XqE/view?usp=drivesdk</t>
  </si>
  <si>
    <t>Document successfully created; Document successfully merged; PDF created; Emails Sent: [To: bandikiran309@gmail.com]; Run via form trigger as codectechnologies0@gmail.com; Timestamp: Sep 7, 2026 3:32 AM</t>
  </si>
  <si>
    <t>Sadik</t>
  </si>
  <si>
    <t>sk1072416@gmail.com</t>
  </si>
  <si>
    <t>Teerthankar Mahaveer University In Moradabad</t>
  </si>
  <si>
    <t>1agu7s7BM77EeH7LOb6dEwiLFZ3JDAyI5</t>
  </si>
  <si>
    <t>https://drive.google.com/file/d/1agu7s7BM77EeH7LOb6dEwiLFZ3JDAyI5/view?usp=drivesdk</t>
  </si>
  <si>
    <t>Document successfully created; Document successfully merged; PDF created; Emails Sent: [To: sk1072416@gmail.com]; Run via form trigger as codectechnologies0@gmail.com; Timestamp: Sep 7, 2026 3:38 AM</t>
  </si>
  <si>
    <t>Gedela Surya</t>
  </si>
  <si>
    <t>gedelasurya09@gmail.com</t>
  </si>
  <si>
    <t>MVGR College of Engineering</t>
  </si>
  <si>
    <t>14CKhYl-8kavbh9jZVSxKhN_BtrCqX0OE</t>
  </si>
  <si>
    <t>https://drive.google.com/file/d/14CKhYl-8kavbh9jZVSxKhN_BtrCqX0OE/view?usp=drivesdk</t>
  </si>
  <si>
    <t>Document successfully created; Document successfully merged; PDF created; Emails Sent: [To: gedelasurya09@gmail.com]; Run via form trigger as codectechnologies0@gmail.com; Timestamp: Sep 7, 2026 3:59 AM</t>
  </si>
  <si>
    <t xml:space="preserve">Suraj Singh </t>
  </si>
  <si>
    <t>frustratedsuraj@gmail.com</t>
  </si>
  <si>
    <t xml:space="preserve">Hansaba College of engineering and technology </t>
  </si>
  <si>
    <t>1tEQmvDCgcfc6j6_MLMe2nU_2Z5x6y2YE</t>
  </si>
  <si>
    <t>https://drive.google.com/file/d/1tEQmvDCgcfc6j6_MLMe2nU_2Z5x6y2YE/view?usp=drivesdk</t>
  </si>
  <si>
    <t>Document successfully created; Document successfully merged; PDF created; Emails Sent: [To: frustratedsuraj@gmail.com]; Run via form trigger as codectechnologies0@gmail.com; Timestamp: Sep 7, 2026 4:00 AM</t>
  </si>
  <si>
    <t xml:space="preserve">M Dhanush </t>
  </si>
  <si>
    <t>dhanushmuthukumar1111@gmail.com</t>
  </si>
  <si>
    <t xml:space="preserve">Rajalakshmi Engineering College </t>
  </si>
  <si>
    <t>1VduYksvgK0uPpQwtg09_fS9nWhEZxB-o</t>
  </si>
  <si>
    <t>https://drive.google.com/file/d/1VduYksvgK0uPpQwtg09_fS9nWhEZxB-o/view?usp=drivesdk</t>
  </si>
  <si>
    <t>Document successfully created; Document successfully merged; PDF created; Emails Sent: [To: dhanushmuthukumar1111@gmail.com]; Run via form trigger as codectechnologies0@gmail.com; Timestamp: Sep 7, 2026 4:11 AM</t>
  </si>
  <si>
    <t>Kumari Aditi</t>
  </si>
  <si>
    <t>k.aditi.2407@gmail.com</t>
  </si>
  <si>
    <t>Manipal University</t>
  </si>
  <si>
    <t>10u5JT-N6QZyz7qYCVHUd7_FK8Jqx-Xsw</t>
  </si>
  <si>
    <t>https://drive.google.com/file/d/10u5JT-N6QZyz7qYCVHUd7_FK8Jqx-Xsw/view?usp=drivesdk</t>
  </si>
  <si>
    <t>Document successfully created; Document successfully merged; PDF created; Emails Sent: [To: k.aditi.2407@gmail.com]; Run via form trigger as codectechnologies0@gmail.com; Timestamp: Sep 7, 2026 4:13 AM</t>
  </si>
  <si>
    <t>Aditya Mishra</t>
  </si>
  <si>
    <t>am5055579@gmail.com</t>
  </si>
  <si>
    <t>1qu8-bAXoi4PFLQpu9sHTmv1lrtQoFchI</t>
  </si>
  <si>
    <t>https://drive.google.com/file/d/1qu8-bAXoi4PFLQpu9sHTmv1lrtQoFchI/view?usp=drivesdk</t>
  </si>
  <si>
    <t>Document successfully created; Document successfully merged; PDF created; Emails Sent: [To: am5055579@gmail.com]; Run via form trigger as codectechnologies0@gmail.com; Timestamp: Sep 7, 2026 4:18 AM</t>
  </si>
  <si>
    <t>Ajay Kumar</t>
  </si>
  <si>
    <t>ajay.kumar2.cs28@iilm.edu</t>
  </si>
  <si>
    <t>1xcT0SyTW3hIdn_9w7C1xTjLpE0eTKUgF</t>
  </si>
  <si>
    <t>https://drive.google.com/file/d/1xcT0SyTW3hIdn_9w7C1xTjLpE0eTKUgF/view?usp=drivesdk</t>
  </si>
  <si>
    <t>Document successfully created; Document successfully merged; PDF created; Emails Sent: [To: ajay.kumar2.cs28@iilm.edu]; Run via form trigger as codectechnologies0@gmail.com; Timestamp: Sep 7, 2026 4:20 AM</t>
  </si>
  <si>
    <t xml:space="preserve">Ayush Singh </t>
  </si>
  <si>
    <t>ayushsinghvns0444@gmail.com</t>
  </si>
  <si>
    <t>1JYTgjnhtrHBn9vfnBMwHPcF1hoBzjXlX</t>
  </si>
  <si>
    <t>https://drive.google.com/file/d/1JYTgjnhtrHBn9vfnBMwHPcF1hoBzjXlX/view?usp=drivesdk</t>
  </si>
  <si>
    <t>Document successfully created; Document successfully merged; PDF created; Emails Sent: [To: ayushsinghvns0444@gmail.com]; Run via form trigger as codectechnologies0@gmail.com; Timestamp: Sep 7, 2026 4:31 AM</t>
  </si>
  <si>
    <t xml:space="preserve">Chinthanippu Narendranadh Tagur </t>
  </si>
  <si>
    <t>tagurchinthanippu@gmail.com</t>
  </si>
  <si>
    <t xml:space="preserve">Mahatma Gandhi institute of technology </t>
  </si>
  <si>
    <t>1XO9czq_K97dSK3lupPkZPZXAuoWEFL6g</t>
  </si>
  <si>
    <t>https://drive.google.com/file/d/1XO9czq_K97dSK3lupPkZPZXAuoWEFL6g/view?usp=drivesdk</t>
  </si>
  <si>
    <t>Document successfully created; Document successfully merged; PDF created; Emails Sent: [To: tagurchinthanippu@gmail.com]; Run via form trigger as codectechnologies0@gmail.com; Timestamp: Sep 7, 2026 4:32 AM</t>
  </si>
  <si>
    <t>Carol Shekinah P</t>
  </si>
  <si>
    <t>carolshekinah08@gmail.com</t>
  </si>
  <si>
    <t>+91 8248359037</t>
  </si>
  <si>
    <t xml:space="preserve">Madras University </t>
  </si>
  <si>
    <t>1j5THMMhoiv1q1PoxQiLbhhro_Dr_aKP2</t>
  </si>
  <si>
    <t>https://drive.google.com/file/d/1j5THMMhoiv1q1PoxQiLbhhro_Dr_aKP2/view?usp=drivesdk</t>
  </si>
  <si>
    <t>Document successfully created; Document successfully merged; PDF created; Emails Sent: [To: carolshekinah08@gmail.com]; Run via form trigger as codectechnologies0@gmail.com; Timestamp: Sep 7, 2026 4:35 AM</t>
  </si>
  <si>
    <t>Soumava Ghoshal</t>
  </si>
  <si>
    <t>soumavaghoshal2005@gmail.com</t>
  </si>
  <si>
    <t xml:space="preserve">Guru Nanak Institute of Technology </t>
  </si>
  <si>
    <t>17m2J_f4DS7fXwa3Vld5_RYCA-ey1KRBL</t>
  </si>
  <si>
    <t>https://drive.google.com/file/d/17m2J_f4DS7fXwa3Vld5_RYCA-ey1KRBL/view?usp=drivesdk</t>
  </si>
  <si>
    <t>Document successfully created; Document successfully merged; PDF created; Emails Sent: [To: soumavaghoshal2005@gmail.com]; Run via form trigger as codectechnologies0@gmail.com; Timestamp: Sep 7, 2026 4:35 AM</t>
  </si>
  <si>
    <t>Sandip Gayen</t>
  </si>
  <si>
    <t>sandipgayen209@gmail.com</t>
  </si>
  <si>
    <t>1Zk1n9fm6uOf6RZMiUKZyblfr3qO6jzJ9</t>
  </si>
  <si>
    <t>https://drive.google.com/file/d/1Zk1n9fm6uOf6RZMiUKZyblfr3qO6jzJ9/view?usp=drivesdk</t>
  </si>
  <si>
    <t>Document successfully created; Document successfully merged; PDF created; Emails Sent: [To: sandipgayen209@gmail.com]; Run via form trigger as codectechnologies0@gmail.com; Timestamp: Sep 7, 2026 4:36 AM</t>
  </si>
  <si>
    <t>Bolisetty Padamatamma talli</t>
  </si>
  <si>
    <t>bpadamatammatalli@gmail.com</t>
  </si>
  <si>
    <t xml:space="preserve">Avanthi institute of technology and engineering </t>
  </si>
  <si>
    <t>1MzVACrzf_VDaTL3Z3Id3dmIjW1z4ql2T</t>
  </si>
  <si>
    <t>https://drive.google.com/file/d/1MzVACrzf_VDaTL3Z3Id3dmIjW1z4ql2T/view?usp=drivesdk</t>
  </si>
  <si>
    <t>Document successfully created; Document successfully merged; PDF created; Emails Sent: [To: bpadamatammatalli@gmail.com]; Run via form trigger as codectechnologies0@gmail.com; Timestamp: Sep 7, 2026 4:39 AM</t>
  </si>
  <si>
    <t>Dipali Nivrutti Bhangale</t>
  </si>
  <si>
    <t>dipali.bhangale2005@gmail.com</t>
  </si>
  <si>
    <t>Maharashtra Institute Of Technology, Chhatrapati Sambhajinagar</t>
  </si>
  <si>
    <t>1qv_Ekhd3SRqJ3fwfmQhuNlI-KSPNKurW</t>
  </si>
  <si>
    <t>https://drive.google.com/file/d/1qv_Ekhd3SRqJ3fwfmQhuNlI-KSPNKurW/view?usp=drivesdk</t>
  </si>
  <si>
    <t>Document successfully created; Document successfully merged; PDF created; Emails Sent: [To: dipali.bhangale2005@gmail.com]; Run via form trigger as codectechnologies0@gmail.com; Timestamp: Sep 7, 2026 4:39 AM</t>
  </si>
  <si>
    <t xml:space="preserve">Shriya Dwivedi </t>
  </si>
  <si>
    <t>Shriya.25scs1003003926@iilm.edu</t>
  </si>
  <si>
    <t xml:space="preserve">Iilm university greater noida </t>
  </si>
  <si>
    <t>1YDfXO1-hIZOMs6P2Z_p5GHdndzaHJWvO</t>
  </si>
  <si>
    <t>https://drive.google.com/file/d/1YDfXO1-hIZOMs6P2Z_p5GHdndzaHJWvO/view?usp=drivesdk</t>
  </si>
  <si>
    <t>Document successfully created; Document successfully merged; PDF created; Emails Sent: [To: Shriya.25scs1003003926@iilm.edu]; Run via form trigger as codectechnologies0@gmail.com; Timestamp: Sep 7, 2026 4:39 AM</t>
  </si>
  <si>
    <t>Lucky Lilawat</t>
  </si>
  <si>
    <t>lilawatlucky@gmail.com</t>
  </si>
  <si>
    <t>VIT BHOPAL UNIVERSITY</t>
  </si>
  <si>
    <t>1XjfPAXgzHEGqloA1A9AK7ZY0RyJvEQ7Y</t>
  </si>
  <si>
    <t>https://drive.google.com/file/d/1XjfPAXgzHEGqloA1A9AK7ZY0RyJvEQ7Y/view?usp=drivesdk</t>
  </si>
  <si>
    <t>Document successfully created; Document successfully merged; PDF created; Emails Sent: [To: lilawatlucky@gmail.com]; Run via form trigger as codectechnologies0@gmail.com; Timestamp: Sep 7, 2026 4:40 AM</t>
  </si>
  <si>
    <t xml:space="preserve">Manohar Vishal patil </t>
  </si>
  <si>
    <t>mvpatil7984@gmail.com</t>
  </si>
  <si>
    <t xml:space="preserve">Kit's college of engineering kolhapur </t>
  </si>
  <si>
    <t>1WosQ-jlx1yXvogg1cLxN-ci7WWRFBS4d</t>
  </si>
  <si>
    <t>https://drive.google.com/file/d/1WosQ-jlx1yXvogg1cLxN-ci7WWRFBS4d/view?usp=drivesdk</t>
  </si>
  <si>
    <t>Document successfully created; Document successfully merged; PDF created; Emails Sent: [To: mvpatil7984@gmail.com]; Run via form trigger as codectechnologies0@gmail.com; Timestamp: Sep 7, 2026 4:40 AM</t>
  </si>
  <si>
    <t xml:space="preserve">Uppari shiva prasad </t>
  </si>
  <si>
    <t>shivaprasad8964@gmail.com</t>
  </si>
  <si>
    <t>1C3B8MXLB3hKm64roPAIRy7zVhKzyQoaW</t>
  </si>
  <si>
    <t>https://drive.google.com/file/d/1C3B8MXLB3hKm64roPAIRy7zVhKzyQoaW/view?usp=drivesdk</t>
  </si>
  <si>
    <t>Document successfully created; Document successfully merged; PDF created; Emails Sent: [To: shivaprasad8964@gmail.com]; Run via form trigger as codectechnologies0@gmail.com; Timestamp: Sep 7, 2026 4:41 AM</t>
  </si>
  <si>
    <t>Anugya Singh</t>
  </si>
  <si>
    <t>anugyasinghrajput@gmail.com</t>
  </si>
  <si>
    <t>Durgapur Institute of polytechnic, Rajbandh</t>
  </si>
  <si>
    <t>1VYEXSSkUnJlVJQjA804KMKZQm84lEx_D</t>
  </si>
  <si>
    <t>https://drive.google.com/file/d/1VYEXSSkUnJlVJQjA804KMKZQm84lEx_D/view?usp=drivesdk</t>
  </si>
  <si>
    <t>Document successfully created; Document successfully merged; PDF created; Emails Sent: [To: anugyasinghrajput@gmail.com]; Run via form trigger as codectechnologies0@gmail.com; Timestamp: Sep 7, 2026 4:43 AM</t>
  </si>
  <si>
    <t>V N S L Yashwin Sannidhi</t>
  </si>
  <si>
    <t>yashwin.sv@gmail.com</t>
  </si>
  <si>
    <t xml:space="preserve">Gokaraju Rangaraju Institute of Engineering and Technology </t>
  </si>
  <si>
    <t>1Uc6G8KW9_nQq8N8CcXLgPIKQbzft0VsT</t>
  </si>
  <si>
    <t>https://drive.google.com/file/d/1Uc6G8KW9_nQq8N8CcXLgPIKQbzft0VsT/view?usp=drivesdk</t>
  </si>
  <si>
    <t>Document successfully created; Document successfully merged; PDF created; Emails Sent: [To: yashwin.sv@gmail.com]; Run via form trigger as codectechnologies0@gmail.com; Timestamp: Sep 7, 2026 4:45 AM</t>
  </si>
  <si>
    <t>Pragati Shinde</t>
  </si>
  <si>
    <t>pragatilaxmanshinde4268@gmail.com</t>
  </si>
  <si>
    <t xml:space="preserve">Savitribai Phule university pune </t>
  </si>
  <si>
    <t>1J5iGAILEObhCz7fOkx1w-TkLRAKs9fGi</t>
  </si>
  <si>
    <t>https://drive.google.com/file/d/1J5iGAILEObhCz7fOkx1w-TkLRAKs9fGi/view?usp=drivesdk</t>
  </si>
  <si>
    <t>Document successfully created; Document successfully merged; PDF created; Emails Sent: [To: pragatilaxmanshinde4268@gmail.com]; Run via form trigger as codectechnologies0@gmail.com; Timestamp: Sep 7, 2026 4:48 AM</t>
  </si>
  <si>
    <t>Kumar Gowdnor</t>
  </si>
  <si>
    <t>kumargowdnor@gmail.com</t>
  </si>
  <si>
    <t xml:space="preserve">Abasaheb Garware college </t>
  </si>
  <si>
    <t>18Rc0IoWYDaVyqrEWRCyF3pnukrXyfUhR</t>
  </si>
  <si>
    <t>https://drive.google.com/file/d/18Rc0IoWYDaVyqrEWRCyF3pnukrXyfUhR/view?usp=drivesdk</t>
  </si>
  <si>
    <t>Document successfully created; Document successfully merged; PDF created; Emails Sent: [To: kumargowdnor@gmail.com]; Run via form trigger as codectechnologies0@gmail.com; Timestamp: Sep 7, 2026 4:49 AM</t>
  </si>
  <si>
    <t xml:space="preserve">Gnaneswara Sai Manikanta </t>
  </si>
  <si>
    <t>chmanikanta98666@gmail.com</t>
  </si>
  <si>
    <t xml:space="preserve">Andhra University college of engineering </t>
  </si>
  <si>
    <t>1KvNIGmIhJrxdF_k5R83Bx3I2EE1Ax7Qp</t>
  </si>
  <si>
    <t>https://drive.google.com/file/d/1KvNIGmIhJrxdF_k5R83Bx3I2EE1Ax7Qp/view?usp=drivesdk</t>
  </si>
  <si>
    <t>Document successfully created; Document successfully merged; PDF created; Emails Sent: [To: chmanikanta98666@gmail.com]; Run via form trigger as codectechnologies0@gmail.com; Timestamp: Sep 7, 2026 4:51 AM</t>
  </si>
  <si>
    <t xml:space="preserve">KOTHAVANDLA SHASHANK REDDY </t>
  </si>
  <si>
    <t>samyukthalakshmi7777@gmail.com</t>
  </si>
  <si>
    <t>15h7kJrtErFUNovOm6zaQ8yfcT91utjFS</t>
  </si>
  <si>
    <t>https://drive.google.com/file/d/15h7kJrtErFUNovOm6zaQ8yfcT91utjFS/view?usp=drivesdk</t>
  </si>
  <si>
    <t>Document successfully created; Document successfully merged; PDF created; Emails Sent: [To: samyukthalakshmi7777@gmail.com]; Run via form trigger as codectechnologies0@gmail.com; Timestamp: Sep 7, 2026 4:51 AM</t>
  </si>
  <si>
    <t>Snehal Sachin Ranade</t>
  </si>
  <si>
    <t>ranadesnehal2@gmail.com</t>
  </si>
  <si>
    <t>Sanjivani University</t>
  </si>
  <si>
    <t>1ENdjvMov-FHNXzhQDRkg1L3-F73zBCx-</t>
  </si>
  <si>
    <t>https://drive.google.com/file/d/1ENdjvMov-FHNXzhQDRkg1L3-F73zBCx-/view?usp=drivesdk</t>
  </si>
  <si>
    <t>Document successfully created; Document successfully merged; PDF created; Emails Sent: [To: ranadesnehal2@gmail.com]; Run via form trigger as codectechnologies0@gmail.com; Timestamp: Sep 7, 2026 4:53 AM</t>
  </si>
  <si>
    <t xml:space="preserve">Ishita Shrivastava </t>
  </si>
  <si>
    <t>ishita.25scs1003003017@iilm.edu</t>
  </si>
  <si>
    <t>1D31RWS7MPCRWHwqJvTD6oBk9Bd6rg1vA</t>
  </si>
  <si>
    <t>https://drive.google.com/file/d/1D31RWS7MPCRWHwqJvTD6oBk9Bd6rg1vA/view?usp=drivesdk</t>
  </si>
  <si>
    <t>Document successfully created; Document successfully merged; PDF created; Emails Sent: [To: ishita.25scs1003003017@iilm.edu]; Run via form trigger as codectechnologies0@gmail.com; Timestamp: Sep 7, 2026 4:53 AM</t>
  </si>
  <si>
    <t>Chikati Gnaneswara Sai Manikanta</t>
  </si>
  <si>
    <t>Andhra University College of Engineering</t>
  </si>
  <si>
    <t>1wnWV0A_onROgLtqNLP5B2FR3hZ161KyD</t>
  </si>
  <si>
    <t>https://drive.google.com/file/d/1wnWV0A_onROgLtqNLP5B2FR3hZ161KyD/view?usp=drivesdk</t>
  </si>
  <si>
    <t>Document successfully created; Document successfully merged; PDF created; Emails Sent: [To: chmanikanta98666@gmail.com]; Run via form trigger as codectechnologies0@gmail.com; Timestamp: Sep 7, 2026 4:55 AM</t>
  </si>
  <si>
    <t>Kundan kumar</t>
  </si>
  <si>
    <t>skundankumar308@gmail.com</t>
  </si>
  <si>
    <t>07033141090</t>
  </si>
  <si>
    <t>R.N college hajipur</t>
  </si>
  <si>
    <t>1cgPH_-3MJEt_XACyE_VNRQQ09QIt8_r1</t>
  </si>
  <si>
    <t>https://drive.google.com/file/d/1cgPH_-3MJEt_XACyE_VNRQQ09QIt8_r1/view?usp=drivesdk</t>
  </si>
  <si>
    <t>Document successfully created; Document successfully merged; PDF created; Emails Sent: [To: skundankumar308@gmail.com]; Run via form trigger as codectechnologies0@gmail.com; Timestamp: Sep 7, 2026 4:57 AM</t>
  </si>
  <si>
    <t>Kirti Dhananjay Dethe</t>
  </si>
  <si>
    <t>kirtidethe0@gmail.com</t>
  </si>
  <si>
    <t xml:space="preserve">Dr. D. Y. Patil Technical Campus Varale </t>
  </si>
  <si>
    <t>1P2w0DGLgLJadDOppBbSHbVsB2XWlLxVV</t>
  </si>
  <si>
    <t>https://drive.google.com/file/d/1P2w0DGLgLJadDOppBbSHbVsB2XWlLxVV/view?usp=drivesdk</t>
  </si>
  <si>
    <t>Document successfully created; Document successfully merged; PDF created; Emails Sent: [To: kirtidethe0@gmail.com]; Run via form trigger as codectechnologies0@gmail.com; Timestamp: Sep 7, 2026 4:58 AM</t>
  </si>
  <si>
    <t xml:space="preserve">Biswajit Debata </t>
  </si>
  <si>
    <t>amandebata940@gmail.com</t>
  </si>
  <si>
    <t xml:space="preserve">C.V.Raman Global University </t>
  </si>
  <si>
    <t>1MQclG_iiWOlD4iFD9leAqpxCMPgMncG5</t>
  </si>
  <si>
    <t>https://drive.google.com/file/d/1MQclG_iiWOlD4iFD9leAqpxCMPgMncG5/view?usp=drivesdk</t>
  </si>
  <si>
    <t>Document successfully created; Document successfully merged; PDF created; Emails Sent: [To: amandebata940@gmail.com]; Run via form trigger as codectechnologies0@gmail.com; Timestamp: Sep 7, 2026 4:58 AM</t>
  </si>
  <si>
    <t>Mohammed Rihan P</t>
  </si>
  <si>
    <t>mohammedrihan369@gmail.com</t>
  </si>
  <si>
    <t>School of Engineering</t>
  </si>
  <si>
    <t>15mZOa7y6WiTqu0b35LZAy9zgmGRsOT1S</t>
  </si>
  <si>
    <t>https://drive.google.com/file/d/15mZOa7y6WiTqu0b35LZAy9zgmGRsOT1S/view?usp=drivesdk</t>
  </si>
  <si>
    <t>Document successfully created; Document successfully merged; PDF created; Emails Sent: [To: mohammedrihan369@gmail.com]; Run via form trigger as codectechnologies0@gmail.com; Timestamp: Sep 7, 2026 4:58 AM</t>
  </si>
  <si>
    <t>Vaibhav Maurya</t>
  </si>
  <si>
    <t>vaibhavmaurya2025@gmail.com</t>
  </si>
  <si>
    <t xml:space="preserve">Sanskriti University </t>
  </si>
  <si>
    <t>1zon_YcbD2vj5Rb2TN4F1ut5JizAnDVxO</t>
  </si>
  <si>
    <t>https://drive.google.com/file/d/1zon_YcbD2vj5Rb2TN4F1ut5JizAnDVxO/view?usp=drivesdk</t>
  </si>
  <si>
    <t>Document successfully created; Document successfully merged; PDF created; Emails Sent: [To: vaibhavmaurya2025@gmail.com]; Run via form trigger as codectechnologies0@gmail.com; Timestamp: Sep 7, 2026 4:59 AM</t>
  </si>
  <si>
    <t>Narla Vamshi</t>
  </si>
  <si>
    <t>narlavamshi799@gmail.com</t>
  </si>
  <si>
    <t>Manav Rachna University</t>
  </si>
  <si>
    <t>1qDroFHqxxJu1aqkkIo9_nSeC47B0_ySB</t>
  </si>
  <si>
    <t>https://drive.google.com/file/d/1qDroFHqxxJu1aqkkIo9_nSeC47B0_ySB/view?usp=drivesdk</t>
  </si>
  <si>
    <t>Document successfully created; Document successfully merged; PDF created; Emails Sent: [To: narlavamshi799@gmail.com]; Run via form trigger as codectechnologies0@gmail.com; Timestamp: Sep 7, 2026 5:00 AM</t>
  </si>
  <si>
    <t>Nikhil Diwakar</t>
  </si>
  <si>
    <t>nikhildiwakar666@gmail.com</t>
  </si>
  <si>
    <t>Allenhouse institute of technology kanpur</t>
  </si>
  <si>
    <t>1jlRTiiNywqwOW4Ts2awkrGwNCkTv1XBI</t>
  </si>
  <si>
    <t>https://drive.google.com/file/d/1jlRTiiNywqwOW4Ts2awkrGwNCkTv1XBI/view?usp=drivesdk</t>
  </si>
  <si>
    <t>Document successfully created; Document successfully merged; PDF created; Emails Sent: [To: nikhildiwakar666@gmail.com]; Run via form trigger as codectechnologies0@gmail.com; Timestamp: Sep 7, 2026 5:04 AM</t>
  </si>
  <si>
    <t>Lakshya Kurup</t>
  </si>
  <si>
    <t>lakshyakurup@gmail.com</t>
  </si>
  <si>
    <t>St Xavier’s College, Mumbai</t>
  </si>
  <si>
    <t>10yYfWgN1j0Hjm1cc5w5k40l_LvcvPp33</t>
  </si>
  <si>
    <t>https://drive.google.com/file/d/10yYfWgN1j0Hjm1cc5w5k40l_LvcvPp33/view?usp=drivesdk</t>
  </si>
  <si>
    <t>Document successfully created; Document successfully merged; PDF created; Emails Sent: [To: lakshyakurup@gmail.com]; Run via form trigger as codectechnologies0@gmail.com; Timestamp: Sep 7, 2026 5:14 AM</t>
  </si>
  <si>
    <t>Abdullah Khan</t>
  </si>
  <si>
    <t>abdullahkhan9311533@gmail.com</t>
  </si>
  <si>
    <t>1O6cvn3JWN_O3zfvRd28QycfQ7UhTeNqy</t>
  </si>
  <si>
    <t>https://drive.google.com/file/d/1O6cvn3JWN_O3zfvRd28QycfQ7UhTeNqy/view?usp=drivesdk</t>
  </si>
  <si>
    <t>Document successfully created; Document successfully merged; PDF created; Emails Sent: [To: abdullahkhan9311533@gmail.com]; Run via form trigger as codectechnologies0@gmail.com; Timestamp: Sep 7, 2026 5:14 AM</t>
  </si>
  <si>
    <t>Dilpreet Singh</t>
  </si>
  <si>
    <t>dilpreetsinghsasia806431@gmail.com</t>
  </si>
  <si>
    <t>Punjabi University Patiala</t>
  </si>
  <si>
    <t>1F2_cM6rJ6H3CBgqVaSTwpzOe-ADC3W04</t>
  </si>
  <si>
    <t>https://drive.google.com/file/d/1F2_cM6rJ6H3CBgqVaSTwpzOe-ADC3W04/view?usp=drivesdk</t>
  </si>
  <si>
    <t>Document successfully created; Document successfully merged; PDF created; !!Error Sending Emails: Service invoked too many times for one day: email.; Run via form trigger as codectechnologies0@gmail.com; Timestamp: Sep 7, 2026 5:16 AM</t>
  </si>
  <si>
    <t>Aayushi Thakur</t>
  </si>
  <si>
    <t>aayushithakur1312@gmail.com</t>
  </si>
  <si>
    <t xml:space="preserve">Ambalika institute of management and technology </t>
  </si>
  <si>
    <t>1yhR0jCP7doXCckS9GnMhbkbrnb-ZqHui</t>
  </si>
  <si>
    <t>https://drive.google.com/file/d/1yhR0jCP7doXCckS9GnMhbkbrnb-ZqHui/view?usp=drivesdk</t>
  </si>
  <si>
    <t>Document successfully created; Document successfully merged; PDF created; Emails Sent: [To: aayushithakur1312@gmail.com]; Run via form trigger as codectechnologies0@gmail.com; Timestamp: Sep 7, 2026 5:18 AM</t>
  </si>
  <si>
    <t>Abhinay Ugale</t>
  </si>
  <si>
    <t>abhinayugale06@gmail.com</t>
  </si>
  <si>
    <t xml:space="preserve">K.S.K.W. College Nashik </t>
  </si>
  <si>
    <t>1Tnvh5Q07IQHxQCCCVGWDCmsZA0knssAp</t>
  </si>
  <si>
    <t>https://drive.google.com/file/d/1Tnvh5Q07IQHxQCCCVGWDCmsZA0knssAp/view?usp=drivesdk</t>
  </si>
  <si>
    <t>Document successfully created; Document successfully merged; PDF created; Emails Sent: [To: abhinayugale06@gmail.com]; Run via form trigger as codectechnologies0@gmail.com; Timestamp: Sep 7, 2026 5:18 AM</t>
  </si>
  <si>
    <t>Sweta Verma</t>
  </si>
  <si>
    <t>swetasv9@gmail.com</t>
  </si>
  <si>
    <t>1NldESGzAG8hqow8kEhfN_s7w_qol9_6I</t>
  </si>
  <si>
    <t>https://drive.google.com/file/d/1NldESGzAG8hqow8kEhfN_s7w_qol9_6I/view?usp=drivesdk</t>
  </si>
  <si>
    <t>Document successfully created; Document successfully merged; PDF created; Emails Sent: [To: swetasv9@gmail.com]; Run via form trigger as codectechnologies0@gmail.com; Timestamp: Sep 7, 2026 5:21 AM</t>
  </si>
  <si>
    <t>Pujari Shiva Kumar</t>
  </si>
  <si>
    <t>1TxwRVOf4s4jBULPqErKvHzSTTPGmA-S0</t>
  </si>
  <si>
    <t>https://drive.google.com/file/d/1TxwRVOf4s4jBULPqErKvHzSTTPGmA-S0/view?usp=drivesdk</t>
  </si>
  <si>
    <t>Document successfully created; Document successfully merged; PDF created; Emails Sent: [To: narlavamshi799@gmail.com]; Run via form trigger as codectechnologies0@gmail.com; Timestamp: Sep 7, 2026 5:22 AM</t>
  </si>
  <si>
    <t>Hitesh choudhary</t>
  </si>
  <si>
    <t>hitography97@gmail.com</t>
  </si>
  <si>
    <t xml:space="preserve">Modern Ganeshkhind college pune </t>
  </si>
  <si>
    <t>1E-hRDzIWVC_bqx-9kX_7JMhZiVy51yic</t>
  </si>
  <si>
    <t>https://drive.google.com/file/d/1E-hRDzIWVC_bqx-9kX_7JMhZiVy51yic/view?usp=drivesdk</t>
  </si>
  <si>
    <t>Document successfully created; Document successfully merged; PDF created; !!Error Sending Emails: Service invoked too many times for one day: email.; Run via form trigger as codectechnologies0@gmail.com; Timestamp: Sep 7, 2026 5:24 AM</t>
  </si>
  <si>
    <t xml:space="preserve">Mukkara Naveen Kumar Reddy </t>
  </si>
  <si>
    <t>naveenkumarreddy2005@gmail.com</t>
  </si>
  <si>
    <t>1JimTJsjh5nG94-e2jwrLImMDgmxyw_VS</t>
  </si>
  <si>
    <t>https://drive.google.com/file/d/1JimTJsjh5nG94-e2jwrLImMDgmxyw_VS/view?usp=drivesdk</t>
  </si>
  <si>
    <t>Document successfully created; Document successfully merged; PDF created; Emails Sent: [To: naveenkumarreddy2005@gmail.com]; Run via form trigger as codectechnologies0@gmail.com; Timestamp: Sep 7, 2026 5:25 AM</t>
  </si>
  <si>
    <t xml:space="preserve">Faiyaz Hussain </t>
  </si>
  <si>
    <t>faiyaz.25scs1003003284@iilm.edu</t>
  </si>
  <si>
    <t>14X4Aq6ybwdn3bu1xoPw29RV_YFWc6EXS</t>
  </si>
  <si>
    <t>https://drive.google.com/file/d/14X4Aq6ybwdn3bu1xoPw29RV_YFWc6EXS/view?usp=drivesdk</t>
  </si>
  <si>
    <t>Document successfully created; Document successfully merged; PDF created; !!Error Sending Emails: Service invoked too many times for one day: email.; Run via form trigger as codectechnologies0@gmail.com; Timestamp: Sep 7, 2026 5:26 AM</t>
  </si>
  <si>
    <t>Gaderu Krishna Nanda</t>
  </si>
  <si>
    <t>13BZvWKlZKTrOXBL8EBtSNb2yTRS4Nr-b</t>
  </si>
  <si>
    <t>https://drive.google.com/file/d/13BZvWKlZKTrOXBL8EBtSNb2yTRS4Nr-b/view?usp=drivesdk</t>
  </si>
  <si>
    <t>Document successfully created; Document successfully merged; PDF created; Emails Sent: [To: narlavamshi799@gmail.com]; Run via form trigger as codectechnologies0@gmail.com; Timestamp: Sep 7, 2026 5:26 AM</t>
  </si>
  <si>
    <t>Bishnupriya Nayak</t>
  </si>
  <si>
    <t>bishnupriyanayak8457@gmail.com</t>
  </si>
  <si>
    <t xml:space="preserve">C. V. Raman Global University, Bhubaneswar </t>
  </si>
  <si>
    <t>16OdxpczRwsKQuC2AYYj1KFcX6up_QVWx</t>
  </si>
  <si>
    <t>https://drive.google.com/file/d/16OdxpczRwsKQuC2AYYj1KFcX6up_QVWx/view?usp=drivesdk</t>
  </si>
  <si>
    <t>Document successfully created; Document successfully merged; PDF created; Emails Sent: [To: bishnupriyanayak8457@gmail.com]; Run via form trigger as codectechnologies0@gmail.com; Timestamp: Sep 7, 2026 5:27 AM</t>
  </si>
  <si>
    <t xml:space="preserve">Arun </t>
  </si>
  <si>
    <t>ay6154979@gmail.com</t>
  </si>
  <si>
    <t>1SONFeIbAexw75CjHoupTcrlmWUDfJJTS</t>
  </si>
  <si>
    <t>https://drive.google.com/file/d/1SONFeIbAexw75CjHoupTcrlmWUDfJJTS/view?usp=drivesdk</t>
  </si>
  <si>
    <t>Document successfully created; Document successfully merged; PDF created; Emails Sent: [To: ay6154979@gmail.com]; Run via form trigger as codectechnologies0@gmail.com; Timestamp: Sep 7, 2026 5:34 AM</t>
  </si>
  <si>
    <t>adityarajonline0@gmail.com</t>
  </si>
  <si>
    <t>Parul Collage of Engineering at Parul University</t>
  </si>
  <si>
    <t>1APYrqjB2vFmvbL89uALihogAAj0VyB4s</t>
  </si>
  <si>
    <t>https://drive.google.com/file/d/1APYrqjB2vFmvbL89uALihogAAj0VyB4s/view?usp=drivesdk</t>
  </si>
  <si>
    <t>Document successfully created; Document successfully merged; PDF created; Emails Sent: [To: adityarajonline0@gmail.com]; Run via form trigger as codectechnologies0@gmail.com; Timestamp: Sep 7, 2026 5:41 AM</t>
  </si>
  <si>
    <t>Rachel Rajarathnam</t>
  </si>
  <si>
    <t>rajarathnamrachel@karunya.edu.in</t>
  </si>
  <si>
    <t>1LOMl6twziFeLV6POsy_kEJNNei_sNyMS</t>
  </si>
  <si>
    <t>https://drive.google.com/file/d/1LOMl6twziFeLV6POsy_kEJNNei_sNyMS/view?usp=drivesdk</t>
  </si>
  <si>
    <t>Document successfully created; Document successfully merged; PDF created; Emails Sent: [To: rajarathnamrachel@karunya.edu.in]; Run via form trigger as codectechnologies0@gmail.com; Timestamp: Sep 7, 2026 5:41 AM</t>
  </si>
  <si>
    <t>Abhimanyu Yadav</t>
  </si>
  <si>
    <t>abhimanyu.yadav.cs28@iilm.edu</t>
  </si>
  <si>
    <t>1v1UakKNPiFZrz3xZOV2xXbJa6m2362M9</t>
  </si>
  <si>
    <t>https://drive.google.com/file/d/1v1UakKNPiFZrz3xZOV2xXbJa6m2362M9/view?usp=drivesdk</t>
  </si>
  <si>
    <t>Document successfully created; Document successfully merged; PDF created; Emails Sent: [To: abhimanyu.yadav.cs28@iilm.edu]; Run via form trigger as codectechnologies0@gmail.com; Timestamp: Sep 7, 2026 5:46 AM</t>
  </si>
  <si>
    <t>Ayush dongre</t>
  </si>
  <si>
    <t>attudongre2006@gmail.com</t>
  </si>
  <si>
    <t xml:space="preserve">Annie institute of technology technology centre </t>
  </si>
  <si>
    <t>1GuW6VtqWofL812yjmZTnigD6SQlrWvCF</t>
  </si>
  <si>
    <t>https://drive.google.com/file/d/1GuW6VtqWofL812yjmZTnigD6SQlrWvCF/view?usp=drivesdk</t>
  </si>
  <si>
    <t>Document successfully created; Document successfully merged; PDF created; Emails Sent: [To: attudongre2006@gmail.com]; Run via form trigger as codectechnologies0@gmail.com; Timestamp: Sep 7, 2026 5:56 AM</t>
  </si>
  <si>
    <t>Soyam Ingale</t>
  </si>
  <si>
    <t>ingalesoyam@gmail.com</t>
  </si>
  <si>
    <t>Prof Ram Meghe College of Engineering and Management, Badnera</t>
  </si>
  <si>
    <t>13EUnU2ydteZP9n9pmSX86pi3F-Q6Xnga</t>
  </si>
  <si>
    <t>https://drive.google.com/file/d/13EUnU2ydteZP9n9pmSX86pi3F-Q6Xnga/view?usp=drivesdk</t>
  </si>
  <si>
    <t>Document successfully created; Document successfully merged; PDF created; Emails Sent: [To: ingalesoyam@gmail.com]; Run via form trigger as codectechnologies0@gmail.com; Timestamp: Sep 7, 2026 5:59 AM</t>
  </si>
  <si>
    <t xml:space="preserve">RAVI VARMA CHINTAPALLI </t>
  </si>
  <si>
    <t>raviabhi272827@gmail.com</t>
  </si>
  <si>
    <t>13GI86MW5-ZIQ9sHY4adIRaIFv44mdYTZ</t>
  </si>
  <si>
    <t>https://drive.google.com/file/d/13GI86MW5-ZIQ9sHY4adIRaIFv44mdYTZ/view?usp=drivesdk</t>
  </si>
  <si>
    <t>Document successfully created; Document successfully merged; PDF created; Emails Sent: [To: raviabhi272827@gmail.com]; Run via form trigger as codectechnologies0@gmail.com; Timestamp: Sep 7, 2026 5:59 AM</t>
  </si>
  <si>
    <t xml:space="preserve">S Reddy Umesh </t>
  </si>
  <si>
    <t>reddyumesh342@gmail.com</t>
  </si>
  <si>
    <t xml:space="preserve">Mother Theresa Institute of Engineering and Technology </t>
  </si>
  <si>
    <t>1yoMayU5VsaXtvvpz2SLjlJ13RkWE6XA2</t>
  </si>
  <si>
    <t>https://drive.google.com/file/d/1yoMayU5VsaXtvvpz2SLjlJ13RkWE6XA2/view?usp=drivesdk</t>
  </si>
  <si>
    <t>Document successfully created; Document successfully merged; PDF created; Emails Sent: [To: reddyumesh342@gmail.com]; Run via form trigger as codectechnologies0@gmail.com; Timestamp: Sep 7, 2026 6:04 AM</t>
  </si>
  <si>
    <t>Snehal Pradhan</t>
  </si>
  <si>
    <t>awscloudsnehal@gmail.com</t>
  </si>
  <si>
    <t>Odisha University of Technology and Research</t>
  </si>
  <si>
    <t>19rZzmpxy2yJqPG_5xRNenMeSIOqYagLS</t>
  </si>
  <si>
    <t>https://drive.google.com/file/d/19rZzmpxy2yJqPG_5xRNenMeSIOqYagLS/view?usp=drivesdk</t>
  </si>
  <si>
    <t>Document successfully created; Document successfully merged; PDF created; Emails Sent: [To: awscloudsnehal@gmail.com]; Run via form trigger as codectechnologies0@gmail.com; Timestamp: Sep 7, 2026 6:07 AM</t>
  </si>
  <si>
    <t xml:space="preserve">Obaidullah </t>
  </si>
  <si>
    <t>obaidullahkhan9838@gmail.com</t>
  </si>
  <si>
    <t xml:space="preserve">Central University of kashmir </t>
  </si>
  <si>
    <t>1MXwDHGypTd_uEs4fj78Y8aJU-SLN9zY3</t>
  </si>
  <si>
    <t>https://drive.google.com/file/d/1MXwDHGypTd_uEs4fj78Y8aJU-SLN9zY3/view?usp=drivesdk</t>
  </si>
  <si>
    <t>Document successfully created; Document successfully merged; PDF created; Emails Sent: [To: obaidullahkhan9838@gmail.com]; Run via form trigger as codectechnologies0@gmail.com; Timestamp: Sep 7, 2026 6:08 AM</t>
  </si>
  <si>
    <t xml:space="preserve">Satyam Kumar </t>
  </si>
  <si>
    <t>satyam.mce@gmail.com</t>
  </si>
  <si>
    <t xml:space="preserve">Motihari College of Engineering </t>
  </si>
  <si>
    <t>1LI6cVJVji9DppsTrKidVBMugLwrPGhXL</t>
  </si>
  <si>
    <t>https://drive.google.com/file/d/1LI6cVJVji9DppsTrKidVBMugLwrPGhXL/view?usp=drivesdk</t>
  </si>
  <si>
    <t>Document successfully created; Document successfully merged; PDF created; Emails Sent: [To: satyam.mce@gmail.com]; Run via form trigger as codectechnologies0@gmail.com; Timestamp: Sep 7, 2026 6:19 AM</t>
  </si>
  <si>
    <t xml:space="preserve">Syed sameera </t>
  </si>
  <si>
    <t>sameera22230@gmail.com</t>
  </si>
  <si>
    <t xml:space="preserve">Zenex vision degree college </t>
  </si>
  <si>
    <t>1SPUGxPiPf_wcY56l18r4glBiEFIwGkZN</t>
  </si>
  <si>
    <t>https://drive.google.com/file/d/1SPUGxPiPf_wcY56l18r4glBiEFIwGkZN/view?usp=drivesdk</t>
  </si>
  <si>
    <t>Document successfully created; Document successfully merged; PDF created; !!Error Sending Emails: Service invoked too many times for one day: email.; Run via form trigger as codectechnologies0@gmail.com; Timestamp: Sep 7, 2026 6:20 AM</t>
  </si>
  <si>
    <t xml:space="preserve">Vaishnavi Dattatray Mude </t>
  </si>
  <si>
    <t>vaishnavimude2005@gmail.com</t>
  </si>
  <si>
    <t xml:space="preserve">MIT College Of Railway Engineering and Research </t>
  </si>
  <si>
    <t>13wNHgVxWBWBm4bAkW8Wig8y0GBpp6dTB</t>
  </si>
  <si>
    <t>https://drive.google.com/file/d/13wNHgVxWBWBm4bAkW8Wig8y0GBpp6dTB/view?usp=drivesdk</t>
  </si>
  <si>
    <t>Document successfully created; Document successfully merged; PDF created; Emails Sent: [To: vaishnavimude2005@gmail.com]; Run via form trigger as codectechnologies0@gmail.com; Timestamp: Sep 7, 2026 6:24 AM</t>
  </si>
  <si>
    <t xml:space="preserve">Ankit Gautam </t>
  </si>
  <si>
    <t>Ankitgauta1805@gmail.com</t>
  </si>
  <si>
    <t xml:space="preserve">Smrat ashok rajkiya engineering college mirzapur </t>
  </si>
  <si>
    <t>1BVGA35EvAsrSz9WHMQpjzk11zJmCn6Mh</t>
  </si>
  <si>
    <t>https://drive.google.com/file/d/1BVGA35EvAsrSz9WHMQpjzk11zJmCn6Mh/view?usp=drivesdk</t>
  </si>
  <si>
    <t>Document successfully created; Document successfully merged; PDF created; !!Error Sending Emails: Service invoked too many times for one day: email.; Run via form trigger as codectechnologies0@gmail.com; Timestamp: Sep 7, 2026 6:26 AM</t>
  </si>
  <si>
    <t xml:space="preserve">Honnushree S </t>
  </si>
  <si>
    <t xml:space="preserve">honnushree.s07@gmail.com </t>
  </si>
  <si>
    <t xml:space="preserve">Dr Ambedkar Institute of Technology </t>
  </si>
  <si>
    <t>15Nm0dVN75g266_u7gs3P4_92dSpNdLiE</t>
  </si>
  <si>
    <t>https://drive.google.com/file/d/15Nm0dVN75g266_u7gs3P4_92dSpNdLiE/view?usp=drivesdk</t>
  </si>
  <si>
    <t>Document successfully created; Document successfully merged; PDF created; Emails Sent: [To: honnushree.s07@gmail.com]; Run via form trigger as codectechnologies0@gmail.com; Timestamp: Sep 7, 2026 6:33 AM</t>
  </si>
  <si>
    <t>Dnyaneshwari Anil Kachare</t>
  </si>
  <si>
    <t>dnyaneshwarikachare9285@gmail.com</t>
  </si>
  <si>
    <t>Jspm Jscoe,Hadapasar</t>
  </si>
  <si>
    <t>1SnVw_0UP1ZCVbGHJxT5_GrlreXY2shWw</t>
  </si>
  <si>
    <t>https://drive.google.com/file/d/1SnVw_0UP1ZCVbGHJxT5_GrlreXY2shWw/view?usp=drivesdk</t>
  </si>
  <si>
    <t>Document successfully created; Document successfully merged; PDF created; Emails Sent: [To: dnyaneshwarikachare9285@gmail.com]; Run via form trigger as codectechnologies0@gmail.com; Timestamp: Sep 7, 2026 6:33 AM</t>
  </si>
  <si>
    <t>Vishu Goyal</t>
  </si>
  <si>
    <t>vishugoyal561@gmail.com</t>
  </si>
  <si>
    <t xml:space="preserve">Kiet group of institutions </t>
  </si>
  <si>
    <t>10X-FaHJ9vSH1tzmZNODMhoOvxXSTlT2q</t>
  </si>
  <si>
    <t>https://drive.google.com/file/d/10X-FaHJ9vSH1tzmZNODMhoOvxXSTlT2q/view?usp=drivesdk</t>
  </si>
  <si>
    <t>Document successfully created; Document successfully merged; PDF created; !!Error Sending Emails: Service invoked too many times for one day: email.; Run via form trigger as codectechnologies0@gmail.com; Timestamp: Sep 7, 2026 6:36 AM</t>
  </si>
  <si>
    <t>Nishat khan</t>
  </si>
  <si>
    <t>itsnishatkhan@gmail.com</t>
  </si>
  <si>
    <t>Lloyd institute of engineering and technology</t>
  </si>
  <si>
    <t>1idV993Ywu9fM2HrLI9vtmICd_htjbt0u</t>
  </si>
  <si>
    <t>https://drive.google.com/file/d/1idV993Ywu9fM2HrLI9vtmICd_htjbt0u/view?usp=drivesdk</t>
  </si>
  <si>
    <t xml:space="preserve">DURVE DILIP GHOLAP </t>
  </si>
  <si>
    <t>dhruvgholap08@gmail.com</t>
  </si>
  <si>
    <t xml:space="preserve">G v acharya institute of engineering technology </t>
  </si>
  <si>
    <t>1AoOZkEGTe3r3LhRB8x6xsTSL1AyL8olC</t>
  </si>
  <si>
    <t>https://drive.google.com/file/d/1AoOZkEGTe3r3LhRB8x6xsTSL1AyL8olC/view?usp=drivesdk</t>
  </si>
  <si>
    <t>Document successfully created; Document successfully merged; PDF created; !!Error Sending Emails: Service invoked too many times for one day: email.; Run via form trigger as codectechnologies0@gmail.com; Timestamp: Sep 7, 2026 6:37 AM</t>
  </si>
  <si>
    <t xml:space="preserve">Ranjan Kumar </t>
  </si>
  <si>
    <t>s.ranjan993110@gmail.com</t>
  </si>
  <si>
    <t xml:space="preserve">Dr. C.V. Raman University </t>
  </si>
  <si>
    <t>LinkedIn, Instagram, Google, Other</t>
  </si>
  <si>
    <t>1XsctkvmKB49fpEEts3DK9lPAJG0m8oZf</t>
  </si>
  <si>
    <t>https://drive.google.com/file/d/1XsctkvmKB49fpEEts3DK9lPAJG0m8oZf/view?usp=drivesdk</t>
  </si>
  <si>
    <t>Document successfully created; Document successfully merged; PDF created; !!Error Sending Emails: Service invoked too many times for one day: email.; Run via form trigger as codectechnologies0@gmail.com; Timestamp: Sep 7, 2026 6:43 AM</t>
  </si>
  <si>
    <t xml:space="preserve">Dr. C.V. Raman University, Vaishali, Bihar </t>
  </si>
  <si>
    <t>1xVvc9APMV7Biq022Na7BuAzg0tO1XWhr</t>
  </si>
  <si>
    <t>https://drive.google.com/file/d/1xVvc9APMV7Biq022Na7BuAzg0tO1XWhr/view?usp=drivesdk</t>
  </si>
  <si>
    <t>Document successfully created; Document successfully merged; PDF created; !!Error Sending Emails: Service invoked too many times for one day: email.; Run via form trigger as codectechnologies0@gmail.com; Timestamp: Sep 7, 2026 6:47 AM</t>
  </si>
  <si>
    <t>ankitgauta1805@gmail.com</t>
  </si>
  <si>
    <t xml:space="preserve">Samrat Ashok rajkiya engineering college mirzapur </t>
  </si>
  <si>
    <t>1OhIqI4L5wQlbLv9VfxphyLNKqNZkbwNQ</t>
  </si>
  <si>
    <t>https://drive.google.com/file/d/1OhIqI4L5wQlbLv9VfxphyLNKqNZkbwNQ/view?usp=drivesdk</t>
  </si>
  <si>
    <t>Khilesh Kant Kolhey</t>
  </si>
  <si>
    <t>kolheyk@gmail.com</t>
  </si>
  <si>
    <t>Annie Institute of Technology &amp; Research Centre, Chhindwara</t>
  </si>
  <si>
    <t>1fU8R-QwKXuNvBdqH_x42b9bgKsMzRS8l</t>
  </si>
  <si>
    <t>https://drive.google.com/file/d/1fU8R-QwKXuNvBdqH_x42b9bgKsMzRS8l/view?usp=drivesdk</t>
  </si>
  <si>
    <t>abhay.25scs2040003103@iilm.edu</t>
  </si>
  <si>
    <t>Iilm University , Greater Noida</t>
  </si>
  <si>
    <t>1I2H3XqaWUILuJdkBn8T74OjzpZIjniMQ</t>
  </si>
  <si>
    <t>https://drive.google.com/file/d/1I2H3XqaWUILuJdkBn8T74OjzpZIjniMQ/view?usp=drivesdk</t>
  </si>
  <si>
    <t>Document successfully created; Document successfully merged; PDF created; !!Error Sending Emails: Service invoked too many times for one day: email.; Run via form trigger as codectechnologies0@gmail.com; Timestamp: Sep 7, 2026 6:50 AM</t>
  </si>
  <si>
    <t>Rutuja Vitthal Mane</t>
  </si>
  <si>
    <t>manerutuja047@gmail.com</t>
  </si>
  <si>
    <t xml:space="preserve">Dr.DY Patil Technical campus varale Talegaon </t>
  </si>
  <si>
    <t>1c56zrq3MXXoHUr6qZVrvgmeeElLQ95oY</t>
  </si>
  <si>
    <t>https://drive.google.com/file/d/1c56zrq3MXXoHUr6qZVrvgmeeElLQ95oY/view?usp=drivesdk</t>
  </si>
  <si>
    <t>Document successfully created; Document successfully merged; PDF created; Emails Sent: [To: manerutuja047@gmail.com]; Run via form trigger as codectechnologies0@gmail.com; Timestamp: Sep 7, 2026 7:01 AM</t>
  </si>
  <si>
    <t xml:space="preserve">Himanshu Kumar </t>
  </si>
  <si>
    <t>himanshukrhjp785@gmail.com</t>
  </si>
  <si>
    <t xml:space="preserve">Dr. C.V. Raman University, vaishali, Bihar </t>
  </si>
  <si>
    <t>19sJsNx607R36uxZURDH2-OeZrkkI4zc8</t>
  </si>
  <si>
    <t>https://drive.google.com/file/d/19sJsNx607R36uxZURDH2-OeZrkkI4zc8/view?usp=drivesdk</t>
  </si>
  <si>
    <t>Document successfully created; Document successfully merged; PDF created; Emails Sent: [To: himanshukrhjp785@gmail.com]; Run via form trigger as codectechnologies0@gmail.com; Timestamp: Sep 7, 2026 7:02 AM</t>
  </si>
  <si>
    <t>Nishanth Pasunoori</t>
  </si>
  <si>
    <t>nishanthpasunuri28007@gmail.com</t>
  </si>
  <si>
    <t xml:space="preserve">TKR COLLEGE OF ENGINEERING AND TECHNOLOGY </t>
  </si>
  <si>
    <t>1QZIH-5iNNNb2oSFy5gb-MJSXFilZ7iSx</t>
  </si>
  <si>
    <t>https://drive.google.com/file/d/1QZIH-5iNNNb2oSFy5gb-MJSXFilZ7iSx/view?usp=drivesdk</t>
  </si>
  <si>
    <t>Document successfully created; Document successfully merged; PDF created; !!Error Sending Emails: Service invoked too many times for one day: email.; Run via form trigger as codectechnologies0@gmail.com; Timestamp: Sep 7, 2026 7:03 AM</t>
  </si>
  <si>
    <t xml:space="preserve">DORE B R </t>
  </si>
  <si>
    <t>doregowda08@gmail.com</t>
  </si>
  <si>
    <t xml:space="preserve">SBRR MAHAJANA FIRST GRADE COLLEGE MYSURU </t>
  </si>
  <si>
    <t>1VsstF3Tc__7agMSzOb4iqntvT2N5M3ZD</t>
  </si>
  <si>
    <t>https://drive.google.com/file/d/1VsstF3Tc__7agMSzOb4iqntvT2N5M3ZD/view?usp=drivesdk</t>
  </si>
  <si>
    <t>Document successfully created; Document successfully merged; PDF created; !!Error Sending Emails: Service invoked too many times for one day: email.; Run via form trigger as codectechnologies0@gmail.com; Timestamp: Sep 7, 2026 7:06 AM</t>
  </si>
  <si>
    <t>Ashutosh Tiwari</t>
  </si>
  <si>
    <t>tiwarishrey2005@gmail.com</t>
  </si>
  <si>
    <t xml:space="preserve">Raj Kumar goel institute of technology </t>
  </si>
  <si>
    <t>1-yT_Tzc9JiR_kIfDziW33jrgSEF6lEhG</t>
  </si>
  <si>
    <t>https://drive.google.com/file/d/1-yT_Tzc9JiR_kIfDziW33jrgSEF6lEhG/view?usp=drivesdk</t>
  </si>
  <si>
    <t>Document successfully created; Document successfully merged; PDF created; !!Error Sending Emails: Service invoked too many times for one day: email.; Run via form trigger as codectechnologies0@gmail.com; Timestamp: Sep 7, 2026 7:09 AM</t>
  </si>
  <si>
    <t>Awantika Gautam</t>
  </si>
  <si>
    <t>5430205awantikagautam@gmail.com</t>
  </si>
  <si>
    <t>1YWaX-l-RgLMc2KhRSJpj-jN8L2BdCbl7</t>
  </si>
  <si>
    <t>https://drive.google.com/file/d/1YWaX-l-RgLMc2KhRSJpj-jN8L2BdCbl7/view?usp=drivesdk</t>
  </si>
  <si>
    <t>Document successfully created; Document successfully merged; PDF created; Emails Sent: [To: 5430205awantikagautam@gmail.com]; Run via form trigger as codectechnologies0@gmail.com; Timestamp: Sep 7, 2026 7:10 AM</t>
  </si>
  <si>
    <t>Jayanta Dey</t>
  </si>
  <si>
    <t>jdey5405@gmail.com</t>
  </si>
  <si>
    <t>Brainware University</t>
  </si>
  <si>
    <t>1NAou-3GHHwM4pQsD2GU3-CngZ-KLAHer</t>
  </si>
  <si>
    <t>https://drive.google.com/file/d/1NAou-3GHHwM4pQsD2GU3-CngZ-KLAHer/view?usp=drivesdk</t>
  </si>
  <si>
    <t>Document successfully created; Document successfully merged; PDF created; !!Error Sending Emails: Service invoked too many times for one day: email.; Run via form trigger as codectechnologies0@gmail.com; Timestamp: Sep 7, 2026 7:13 AM</t>
  </si>
  <si>
    <t xml:space="preserve">Akash Kumar </t>
  </si>
  <si>
    <t>akashkrchk689@gmail.com</t>
  </si>
  <si>
    <t xml:space="preserve">Dr. C.V Raman University, Vaishali, Bihar </t>
  </si>
  <si>
    <t>LinkedIn, WhatsApp, Google, Other</t>
  </si>
  <si>
    <t>1Nmx6WQnoBJoL9FXwxLHwm9WFy99t5uR1</t>
  </si>
  <si>
    <t>https://drive.google.com/file/d/1Nmx6WQnoBJoL9FXwxLHwm9WFy99t5uR1/view?usp=drivesdk</t>
  </si>
  <si>
    <t>Astitiv Vasudev</t>
  </si>
  <si>
    <t>astitiv.25scs1003004942@iilm.edu</t>
  </si>
  <si>
    <t>1nvolYUjYeitEtEj8A6MjBkXzouw-m6Ll</t>
  </si>
  <si>
    <t>https://drive.google.com/file/d/1nvolYUjYeitEtEj8A6MjBkXzouw-m6Ll/view?usp=drivesdk</t>
  </si>
  <si>
    <t>Document successfully created; Document successfully merged; PDF created; Emails Sent: [To: astitiv.25scs1003004942@iilm.edu]; Run via form trigger as codectechnologies0@gmail.com; Timestamp: Sep 7, 2026 7:26 AM</t>
  </si>
  <si>
    <t>DORE B R</t>
  </si>
  <si>
    <t>SBRR MAHAJANA FIRST GRADE COLLEGE MYSURU</t>
  </si>
  <si>
    <t>10RsxH3XNXLmLE-IRSnODzTdb6HFOU2cq</t>
  </si>
  <si>
    <t>https://drive.google.com/file/d/10RsxH3XNXLmLE-IRSnODzTdb6HFOU2cq/view?usp=drivesdk</t>
  </si>
  <si>
    <t>Document successfully created; Document successfully merged; PDF created; !!Error Sending Emails: Service invoked too many times for one day: email.; Run via form trigger as codectechnologies0@gmail.com; Timestamp: Sep 7, 2026 7:31 AM</t>
  </si>
  <si>
    <t>Shria P S</t>
  </si>
  <si>
    <t>shriawsunil@gmail.com</t>
  </si>
  <si>
    <t xml:space="preserve">Rajarajeshwari College of Engineering ngineering </t>
  </si>
  <si>
    <t>1XIvjq9KpCup2ZIdhvW_cvadiGb4e_M0l</t>
  </si>
  <si>
    <t>https://drive.google.com/file/d/1XIvjq9KpCup2ZIdhvW_cvadiGb4e_M0l/view?usp=drivesdk</t>
  </si>
  <si>
    <t xml:space="preserve">Shivam Dwivedi </t>
  </si>
  <si>
    <t>shivamdwi607@gmail.com</t>
  </si>
  <si>
    <t>1dWZy4Ew5PHdZkJiBfyepYIhveALjc3RR</t>
  </si>
  <si>
    <t>https://drive.google.com/file/d/1dWZy4Ew5PHdZkJiBfyepYIhveALjc3RR/view?usp=drivesdk</t>
  </si>
  <si>
    <t>Document successfully created; Document successfully merged; PDF created; Emails Sent: [To: shivamdwi607@gmail.com]; Run via form trigger as codectechnologies0@gmail.com; Timestamp: Sep 7, 2026 7:39 AM</t>
  </si>
  <si>
    <t>NAVNEET KUMAR</t>
  </si>
  <si>
    <t>navneetdhiman279@gmail.com</t>
  </si>
  <si>
    <t>Maharishi Markandeshwar University, Mullana</t>
  </si>
  <si>
    <t>11pzyb5sd6zlYnNCALfpQyNx4Is_TVT0P</t>
  </si>
  <si>
    <t>https://drive.google.com/file/d/11pzyb5sd6zlYnNCALfpQyNx4Is_TVT0P/view?usp=drivesdk</t>
  </si>
  <si>
    <t>Document successfully created; Document successfully merged; PDF created; !!Error Sending Emails: Service invoked too many times for one day: email.; Run via form trigger as codectechnologies0@gmail.com; Timestamp: Sep 7, 2026 7:43 AM</t>
  </si>
  <si>
    <t xml:space="preserve">Vishal Dwivedi </t>
  </si>
  <si>
    <t>vishaldubey6184628@gmail.com</t>
  </si>
  <si>
    <t xml:space="preserve">Maharana Pratap Group Of Institute </t>
  </si>
  <si>
    <t>1P3FPB8IBqTd8txHaYUagO9e0YJyrrJk1</t>
  </si>
  <si>
    <t>https://drive.google.com/file/d/1P3FPB8IBqTd8txHaYUagO9e0YJyrrJk1/view?usp=drivesdk</t>
  </si>
  <si>
    <t>Document successfully created; Document successfully merged; PDF created; Emails Sent: [To: vishaldubey6184628@gmail.com]; Run via form trigger as codectechnologies0@gmail.com; Timestamp: Sep 7, 2026 7:43 AM</t>
  </si>
  <si>
    <t xml:space="preserve">Arpita A. Bhattacharya </t>
  </si>
  <si>
    <t>arpitabhattacharya579@gmail.com</t>
  </si>
  <si>
    <t xml:space="preserve">Rajiv Gandhi College of Engineering Research and Technology Chandrapur </t>
  </si>
  <si>
    <t>157Vwlyb13EBJSwWL9I0AcFN2dYz71kUE</t>
  </si>
  <si>
    <t>https://drive.google.com/file/d/157Vwlyb13EBJSwWL9I0AcFN2dYz71kUE/view?usp=drivesdk</t>
  </si>
  <si>
    <t>Gopi Vemuri</t>
  </si>
  <si>
    <t>gopivemuri4464@gmail.com</t>
  </si>
  <si>
    <t xml:space="preserve">SRK INSTITUTE OF TECHNOLOGY </t>
  </si>
  <si>
    <t>1Q0kZUKMeTbBQ1jIqw3_FdxnPUHfE1d-d</t>
  </si>
  <si>
    <t>https://drive.google.com/file/d/1Q0kZUKMeTbBQ1jIqw3_FdxnPUHfE1d-d/view?usp=drivesdk</t>
  </si>
  <si>
    <t>Document successfully created; Document successfully merged; PDF created; !!Error Sending Emails: Service invoked too many times for one day: email.; Run via form trigger as codectechnologies0@gmail.com; Timestamp: Sep 7, 2026 7:44 AM</t>
  </si>
  <si>
    <t>Nayan Asati</t>
  </si>
  <si>
    <t>nayanasati2001@gmail.com</t>
  </si>
  <si>
    <t>Gurukul Kangri Vishwavidhyalaya</t>
  </si>
  <si>
    <t>1vfY-MgX8uB_VZytRl4FP1MMzWSwDiTGf</t>
  </si>
  <si>
    <t>https://drive.google.com/file/d/1vfY-MgX8uB_VZytRl4FP1MMzWSwDiTGf/view?usp=drivesdk</t>
  </si>
  <si>
    <t>Document successfully created; Document successfully merged; PDF created; !!Error Sending Emails: Service invoked too many times for one day: email.; Run via form trigger as codectechnologies0@gmail.com; Timestamp: Sep 7, 2026 7:50 AM</t>
  </si>
  <si>
    <t xml:space="preserve">Gangavarapu Kishore Babu </t>
  </si>
  <si>
    <t>kishoregangavarapu01@gmail.com</t>
  </si>
  <si>
    <t xml:space="preserve">RK college of engineering </t>
  </si>
  <si>
    <t>1fmJpyGMP-RQhX-3shaczKCNhcoL9jRpR</t>
  </si>
  <si>
    <t>https://drive.google.com/file/d/1fmJpyGMP-RQhX-3shaczKCNhcoL9jRpR/view?usp=drivesdk</t>
  </si>
  <si>
    <t>Document successfully created; Document successfully merged; PDF created; Emails Sent: [To: kishoregangavarapu01@gmail.com]; Run via form trigger as codectechnologies0@gmail.com; Timestamp: Sep 7, 2026 7:52 AM</t>
  </si>
  <si>
    <t>Monika</t>
  </si>
  <si>
    <t>monikamani2910@gmail.com</t>
  </si>
  <si>
    <t xml:space="preserve">Sasurie college of engineering </t>
  </si>
  <si>
    <t>1rUX3X-j6hMTePgM1S84AuHsshAuA3b2Y</t>
  </si>
  <si>
    <t>https://drive.google.com/file/d/1rUX3X-j6hMTePgM1S84AuHsshAuA3b2Y/view?usp=drivesdk</t>
  </si>
  <si>
    <t>Document successfully created; Document successfully merged; PDF created; !!Error Sending Emails: Service invoked too many times for one day: email.; Run via form trigger as codectechnologies0@gmail.com; Timestamp: Sep 7, 2026 8:05 AM</t>
  </si>
  <si>
    <t>S.Reddy Umesh</t>
  </si>
  <si>
    <t xml:space="preserve">Mother Theresa Institute of engineering and technology </t>
  </si>
  <si>
    <t>1mmMBK-h2zHplIcTwGuz_36qf_TGkr1Uz</t>
  </si>
  <si>
    <t>https://drive.google.com/file/d/1mmMBK-h2zHplIcTwGuz_36qf_TGkr1Uz/view?usp=drivesdk</t>
  </si>
  <si>
    <t>Document successfully created; Document successfully merged; PDF created; !!Error Sending Emails: Service invoked too many times for one day: email.; Run via form trigger as codectechnologies0@gmail.com; Timestamp: Sep 7, 2026 8:06 AM</t>
  </si>
  <si>
    <t>Nunna Venkata Sai Manikanta</t>
  </si>
  <si>
    <t>nunnamanikanta122@gmail.com</t>
  </si>
  <si>
    <t>16rFPW33_Y0hi8O2C1Kiy2wCWyNdw1fwr</t>
  </si>
  <si>
    <t>https://drive.google.com/file/d/16rFPW33_Y0hi8O2C1Kiy2wCWyNdw1fwr/view?usp=drivesdk</t>
  </si>
  <si>
    <t>Document successfully created; Document successfully merged; PDF created; !!Error Sending Emails: Service invoked too many times for one day: email.; Run via form trigger as codectechnologies0@gmail.com; Timestamp: Sep 7, 2026 8:12 AM</t>
  </si>
  <si>
    <t xml:space="preserve">V. Sri Madhurima </t>
  </si>
  <si>
    <t>vsrimadhuri09@gmail.com</t>
  </si>
  <si>
    <t xml:space="preserve">Anurag university </t>
  </si>
  <si>
    <t>1KJtHHcYCQ4rHNwWtzONi2Y6B2kHENJ5G</t>
  </si>
  <si>
    <t>https://drive.google.com/file/d/1KJtHHcYCQ4rHNwWtzONi2Y6B2kHENJ5G/view?usp=drivesdk</t>
  </si>
  <si>
    <t>Document successfully created; Document successfully merged; PDF created; !!Error Sending Emails: Service invoked too many times for one day: email.; Run via form trigger as codectechnologies0@gmail.com; Timestamp: Sep 7, 2026 8:18 AM</t>
  </si>
  <si>
    <t>Reshma Mylapalli</t>
  </si>
  <si>
    <t>reshmamylapalli@gmail.com</t>
  </si>
  <si>
    <t xml:space="preserve">Vignan's institute of engineering for women </t>
  </si>
  <si>
    <t>1a0KUA3NbUx3IHLnoJS4PNryEdbFkkieW</t>
  </si>
  <si>
    <t>https://drive.google.com/file/d/1a0KUA3NbUx3IHLnoJS4PNryEdbFkkieW/view?usp=drivesdk</t>
  </si>
  <si>
    <t>Document successfully created; Document successfully merged; PDF created; !!Error Sending Emails: Service invoked too many times for one day: email.; Run via form trigger as codectechnologies0@gmail.com; Timestamp: Sep 7, 2026 8:20 AM</t>
  </si>
  <si>
    <t>1MNHHmYLaShXC0bn84zc2p33qqdUIuE-p</t>
  </si>
  <si>
    <t>https://drive.google.com/file/d/1MNHHmYLaShXC0bn84zc2p33qqdUIuE-p/view?usp=drivesdk</t>
  </si>
  <si>
    <t>Document successfully created; Document successfully merged; PDF created; !!Error Sending Emails: Service invoked too many times for one day: email.; Run via form trigger as codectechnologies0@gmail.com; Timestamp: Sep 7, 2026 8:23 AM</t>
  </si>
  <si>
    <t xml:space="preserve">Anshuman chaurasiya </t>
  </si>
  <si>
    <t>chaurasiyaanshuman21@gmail.com</t>
  </si>
  <si>
    <t>1Pef1A31f3_YleKdQ2PMODRul_uAbEzQi</t>
  </si>
  <si>
    <t>https://drive.google.com/file/d/1Pef1A31f3_YleKdQ2PMODRul_uAbEzQi/view?usp=drivesdk</t>
  </si>
  <si>
    <t>Document successfully created; Document successfully merged; PDF created; !!Error Sending Emails: Service invoked too many times for one day: email.; Run via form trigger as codectechnologies0@gmail.com; Timestamp: Sep 7, 2026 8:25 AM</t>
  </si>
  <si>
    <t>Ayush Maurya</t>
  </si>
  <si>
    <t>ayushmau34555@gmail.com</t>
  </si>
  <si>
    <t xml:space="preserve">Rama university </t>
  </si>
  <si>
    <t>1gtSELl-ax-cf2bifrcs3BU9OA3GGcAOQ</t>
  </si>
  <si>
    <t>https://drive.google.com/file/d/1gtSELl-ax-cf2bifrcs3BU9OA3GGcAOQ/view?usp=drivesdk</t>
  </si>
  <si>
    <t>Document successfully created; Document successfully merged; PDF created; !!Error Sending Emails: Service invoked too many times for one day: email.; Run via form trigger as codectechnologies0@gmail.com; Timestamp: Sep 7, 2026 8:26 AM</t>
  </si>
  <si>
    <t>1Ex-Su82t0HSa_FCcBwJz0378uD-Woq4M</t>
  </si>
  <si>
    <t>https://drive.google.com/file/d/1Ex-Su82t0HSa_FCcBwJz0378uD-Woq4M/view?usp=drivesdk</t>
  </si>
  <si>
    <t>Document successfully created; Document successfully merged; PDF created; !!Error Sending Emails: Service invoked too many times for one day: email.; Run via form trigger as codectechnologies0@gmail.com; Timestamp: Sep 7, 2026 8:27 AM</t>
  </si>
  <si>
    <t>Suvojit Pal</t>
  </si>
  <si>
    <t>palsuvojit205@gmail.com</t>
  </si>
  <si>
    <t xml:space="preserve">Brainware University </t>
  </si>
  <si>
    <t>1H_rHTAa72Pt4L__YPm7cY3YQY-QCKEMb</t>
  </si>
  <si>
    <t>https://drive.google.com/file/d/1H_rHTAa72Pt4L__YPm7cY3YQY-QCKEMb/view?usp=drivesdk</t>
  </si>
  <si>
    <t>Document successfully created; Document successfully merged; PDF created; !!Error Sending Emails: Service invoked too many times for one day: email.; Run via form trigger as codectechnologies0@gmail.com; Timestamp: Sep 7, 2026 8:28 AM</t>
  </si>
  <si>
    <t>Sharad Jain</t>
  </si>
  <si>
    <t>sharadjain766@gmail.com</t>
  </si>
  <si>
    <t>1qnNV-fxBUiMsFxeZAVvhIHRAjiRGdgMC</t>
  </si>
  <si>
    <t>https://drive.google.com/file/d/1qnNV-fxBUiMsFxeZAVvhIHRAjiRGdgMC/view?usp=drivesdk</t>
  </si>
  <si>
    <t>Document successfully created; Document successfully merged; PDF created; !!Error Sending Emails: Service invoked too many times for one day: email.; Run via form trigger as codectechnologies0@gmail.com; Timestamp: Sep 7, 2026 8:29 AM</t>
  </si>
  <si>
    <t>S Reddy Umesh</t>
  </si>
  <si>
    <t>07842267278</t>
  </si>
  <si>
    <t xml:space="preserve">Mother Theresa institute of engineering and technology </t>
  </si>
  <si>
    <t>1c5rcQrcUXt7kWx5K3S0z1qWL0u05aXJe</t>
  </si>
  <si>
    <t>https://drive.google.com/file/d/1c5rcQrcUXt7kWx5K3S0z1qWL0u05aXJe/view?usp=drivesdk</t>
  </si>
  <si>
    <t xml:space="preserve">Thota B S V V N Manikanta </t>
  </si>
  <si>
    <t>manikantathota000@gmail.com</t>
  </si>
  <si>
    <t xml:space="preserve">Swarnandhra college of engineering and technology </t>
  </si>
  <si>
    <t>1cJ0N0CtGcWC_NbUPVsPja61ojH9HiXRl</t>
  </si>
  <si>
    <t>https://drive.google.com/file/d/1cJ0N0CtGcWC_NbUPVsPja61ojH9HiXRl/view?usp=drivesdk</t>
  </si>
  <si>
    <t>Document successfully created; Document successfully merged; PDF created; !!Error Sending Emails: Service invoked too many times for one day: email.; Run via form trigger as codectechnologies0@gmail.com; Timestamp: Sep 7, 2026 8:31 AM</t>
  </si>
  <si>
    <t xml:space="preserve">Upendhra Chary Mora </t>
  </si>
  <si>
    <t>upendhrachary2005@gmail.com</t>
  </si>
  <si>
    <t xml:space="preserve">Teegala Krishna Reddy Engineering College </t>
  </si>
  <si>
    <t>1ZR9N1MFQTMUcZtzr5YSFW9C0c7Q8XVYJ</t>
  </si>
  <si>
    <t>https://drive.google.com/file/d/1ZR9N1MFQTMUcZtzr5YSFW9C0c7Q8XVYJ/view?usp=drivesdk</t>
  </si>
  <si>
    <t>Document successfully created; Document successfully merged; PDF created; !!Error Sending Emails: Service invoked too many times for one day: email.; Run via form trigger as codectechnologies0@gmail.com; Timestamp: Sep 7, 2026 8:32 AM</t>
  </si>
  <si>
    <t>S Reddy umesh</t>
  </si>
  <si>
    <t>1DA2DXQv0GKajwW6mTQpGqPOTltXZsYYF</t>
  </si>
  <si>
    <t>https://drive.google.com/file/d/1DA2DXQv0GKajwW6mTQpGqPOTltXZsYYF/view?usp=drivesdk</t>
  </si>
  <si>
    <t>Document successfully created; Document successfully merged; PDF created; !!Error Sending Emails: Service invoked too many times for one day: email.; Run via form trigger as codectechnologies0@gmail.com; Timestamp: Sep 7, 2026 8:34 AM</t>
  </si>
  <si>
    <t xml:space="preserve">Abhay singh </t>
  </si>
  <si>
    <t>syhddbkk@gmail.com</t>
  </si>
  <si>
    <t>1Ouwktawa7wn6jqPifXKsPrJBZx_ljh5-</t>
  </si>
  <si>
    <t>https://drive.google.com/file/d/1Ouwktawa7wn6jqPifXKsPrJBZx_ljh5-/view?usp=drivesdk</t>
  </si>
  <si>
    <t>Document successfully created; Document successfully merged; PDF created; !!Error Sending Emails: Service invoked too many times for one day: email.; Run via form trigger as codectechnologies0@gmail.com; Timestamp: Sep 7, 2026 8:35 AM</t>
  </si>
  <si>
    <t xml:space="preserve">Ranjith Kumar N M </t>
  </si>
  <si>
    <t>rknm0105@gmail.com</t>
  </si>
  <si>
    <t xml:space="preserve">Mysore University School Of Engineering </t>
  </si>
  <si>
    <t>1jrgGQ4_oB9Mq_0OhfeHJFopFxbgrJ-_U</t>
  </si>
  <si>
    <t>https://drive.google.com/file/d/1jrgGQ4_oB9Mq_0OhfeHJFopFxbgrJ-_U/view?usp=drivesdk</t>
  </si>
  <si>
    <t>Document successfully created; Document successfully merged; PDF created; Emails Sent: [To: rknm0105@gmail.com]; Run via form trigger as codectechnologies0@gmail.com; Timestamp: Sep 7, 2026 8:36 AM</t>
  </si>
  <si>
    <t>Mohammad Afzal</t>
  </si>
  <si>
    <t>mohammadafzal3703@gmail.com</t>
  </si>
  <si>
    <t>1yu2HembaeXDHQeAaRMORNxB54f7SqnD3</t>
  </si>
  <si>
    <t>https://drive.google.com/file/d/1yu2HembaeXDHQeAaRMORNxB54f7SqnD3/view?usp=drivesdk</t>
  </si>
  <si>
    <t>Document successfully created; Document successfully merged; PDF created; !!Error Sending Emails: Service invoked too many times for one day: email.; Run via form trigger as codectechnologies0@gmail.com; Timestamp: Sep 7, 2026 8:36 AM</t>
  </si>
  <si>
    <t>Kalashree</t>
  </si>
  <si>
    <t>snchy71@gmail.com</t>
  </si>
  <si>
    <t>Chaibasa Engineering College, Jharkhand</t>
  </si>
  <si>
    <t>1qNUiq6-3lZNyrQ9uy2E8jtAU5rZP4rP-</t>
  </si>
  <si>
    <t>https://drive.google.com/file/d/1qNUiq6-3lZNyrQ9uy2E8jtAU5rZP4rP-/view?usp=drivesdk</t>
  </si>
  <si>
    <t>Document successfully created; Document successfully merged; PDF created; !!Error Sending Emails: Service invoked too many times for one day: email.; Run via form trigger as codectechnologies0@gmail.com; Timestamp: Sep 7, 2026 8:37 AM</t>
  </si>
  <si>
    <t>Deb Bhattacharjee</t>
  </si>
  <si>
    <t>bhattacharjeeruma22a@gmail.com</t>
  </si>
  <si>
    <t xml:space="preserve">Raniganj Institute of Information Technology </t>
  </si>
  <si>
    <t>1jqNgV4SmPec0_aVT2okuIn-9McpqzoHg</t>
  </si>
  <si>
    <t>https://drive.google.com/file/d/1jqNgV4SmPec0_aVT2okuIn-9McpqzoHg/view?usp=drivesdk</t>
  </si>
  <si>
    <t>Document successfully created; Document successfully merged; PDF created; !!Error Sending Emails: Service invoked too many times for one day: email.; Run via form trigger as codectechnologies0@gmail.com; Timestamp: Sep 7, 2026 8:38 AM</t>
  </si>
  <si>
    <t>khushi chaudhari</t>
  </si>
  <si>
    <t>khushichaudhari625@gmail.com</t>
  </si>
  <si>
    <t xml:space="preserve">SSBT COLLEGE OF ENGINEERING JALGAON BHAMBORI </t>
  </si>
  <si>
    <t>1W_O3086KmqGT6E3rYJurMAuX5qGCzFLW</t>
  </si>
  <si>
    <t>https://drive.google.com/file/d/1W_O3086KmqGT6E3rYJurMAuX5qGCzFLW/view?usp=drivesdk</t>
  </si>
  <si>
    <t>1PFBkwP4c_a6ztRjJ8UEqmbeSkEvCjDTk</t>
  </si>
  <si>
    <t>https://drive.google.com/file/d/1PFBkwP4c_a6ztRjJ8UEqmbeSkEvCjDTk/view?usp=drivesdk</t>
  </si>
  <si>
    <t>Document successfully created; Document successfully merged; PDF created; !!Error Sending Emails: Service invoked too many times for one day: email.; Run via form trigger as codectechnologies0@gmail.com; Timestamp: Sep 7, 2026 8:39 AM</t>
  </si>
  <si>
    <t>RAVI VARMA CHINTAPALLI</t>
  </si>
  <si>
    <t xml:space="preserve">malla reddy deemed university </t>
  </si>
  <si>
    <t>1jMdvVJpsjtgWq5BLJktKz_JJpVc6mDBJ</t>
  </si>
  <si>
    <t>https://drive.google.com/file/d/1jMdvVJpsjtgWq5BLJktKz_JJpVc6mDBJ/view?usp=drivesdk</t>
  </si>
  <si>
    <t>Sayyad Mohd Hasan</t>
  </si>
  <si>
    <t>Sayyad.25scs1003004200@iilm.edu</t>
  </si>
  <si>
    <t>14GwsJpOnrcne2DHRq5SlBd-b03cirDDy</t>
  </si>
  <si>
    <t>https://drive.google.com/file/d/14GwsJpOnrcne2DHRq5SlBd-b03cirDDy/view?usp=drivesdk</t>
  </si>
  <si>
    <t>Document successfully created; Document successfully merged; PDF created; !!Error Sending Emails: Service invoked too many times for one day: email.; Run via form trigger as codectechnologies0@gmail.com; Timestamp: Sep 7, 2026 8:43 AM</t>
  </si>
  <si>
    <t xml:space="preserve">Hasini Tappakana </t>
  </si>
  <si>
    <t>9/13/0026</t>
  </si>
  <si>
    <t>10/13/0026</t>
  </si>
  <si>
    <t>hasinitappakana08@gmail.com</t>
  </si>
  <si>
    <t xml:space="preserve">Mallareddy Engineering college for women </t>
  </si>
  <si>
    <t>1qgbGfoPe-ZUTq1QtslK8rIvlBkjHIXl8</t>
  </si>
  <si>
    <t>https://drive.google.com/file/d/1qgbGfoPe-ZUTq1QtslK8rIvlBkjHIXl8/view?usp=drivesdk</t>
  </si>
  <si>
    <t>Document successfully created; Document successfully merged; PDF created; !!Error Sending Emails: Service invoked too many times for one day: email.; Run via form trigger as codectechnologies0@gmail.com; Timestamp: Sep 7, 2026 8:45 AM</t>
  </si>
  <si>
    <t>Lucky Talari</t>
  </si>
  <si>
    <t>luckyt4686@gmail.com</t>
  </si>
  <si>
    <t xml:space="preserve">Malla Reddy engeneering college for women </t>
  </si>
  <si>
    <t>1W6p_6i6i1U4l1Qwm_m9DvB7KdzVpa0ck</t>
  </si>
  <si>
    <t>https://drive.google.com/file/d/1W6p_6i6i1U4l1Qwm_m9DvB7KdzVpa0ck/view?usp=drivesdk</t>
  </si>
  <si>
    <t>Rajeshwari Santagol</t>
  </si>
  <si>
    <t>rajeshwarisantagol2@gmail.com</t>
  </si>
  <si>
    <t xml:space="preserve">S G balekundri institute of technology Belagavi </t>
  </si>
  <si>
    <t>1Q4vvBcqNYjkJESJmh2qABtA0mASE4XYX</t>
  </si>
  <si>
    <t>https://drive.google.com/file/d/1Q4vvBcqNYjkJESJmh2qABtA0mASE4XYX/view?usp=drivesdk</t>
  </si>
  <si>
    <t>Document successfully created; Document successfully merged; PDF created; !!Error Sending Emails: Service invoked too many times for one day: email.; Run via form trigger as codectechnologies0@gmail.com; Timestamp: Sep 7, 2026 8:46 AM</t>
  </si>
  <si>
    <t xml:space="preserve">Swathi BR </t>
  </si>
  <si>
    <t>swathibr642@gmail.com</t>
  </si>
  <si>
    <t xml:space="preserve">CIT Gubbi, Tumakuru </t>
  </si>
  <si>
    <t>1Jxkz6GXAMvYdSlobGgjWJLeWxIOZhQEP</t>
  </si>
  <si>
    <t>https://drive.google.com/file/d/1Jxkz6GXAMvYdSlobGgjWJLeWxIOZhQEP/view?usp=drivesdk</t>
  </si>
  <si>
    <t>Document successfully created; Document successfully merged; PDF created; Emails Sent: [To: swathibr642@gmail.com]; Run via form trigger as codectechnologies0@gmail.com; Timestamp: Sep 7, 2026 8:47 AM</t>
  </si>
  <si>
    <t>Aryan Gupta</t>
  </si>
  <si>
    <t>guptaryan564@gmail.com</t>
  </si>
  <si>
    <t xml:space="preserve">Feroze Gandhi Institute of engineering and technology </t>
  </si>
  <si>
    <t>1VT8qMH9VVrWAd1k6bfpWPe9HA_diZBMQ</t>
  </si>
  <si>
    <t>https://drive.google.com/file/d/1VT8qMH9VVrWAd1k6bfpWPe9HA_diZBMQ/view?usp=drivesdk</t>
  </si>
  <si>
    <t>Document successfully created; Document successfully merged; PDF created; !!Error Sending Emails: Service invoked too many times for one day: email.; Run via form trigger as codectechnologies0@gmail.com; Timestamp: Sep 7, 2026 8:48 AM</t>
  </si>
  <si>
    <t>Vibin Akash T</t>
  </si>
  <si>
    <t>vibinakash174@gmail.com</t>
  </si>
  <si>
    <t xml:space="preserve">SRM Valliammai Engineering College </t>
  </si>
  <si>
    <t>1uEq9iXJQJsrVHLKlDbE_kofmljz60OgF</t>
  </si>
  <si>
    <t>https://drive.google.com/file/d/1uEq9iXJQJsrVHLKlDbE_kofmljz60OgF/view?usp=drivesdk</t>
  </si>
  <si>
    <t>Document successfully created; Document successfully merged; PDF created; !!Error Sending Emails: Service invoked too many times for one day: email.; Run via form trigger as codectechnologies0@gmail.com; Timestamp: Sep 7, 2026 8:49 AM</t>
  </si>
  <si>
    <t xml:space="preserve">Payal Eknath Gawade </t>
  </si>
  <si>
    <t>payalgawade5253@gmail.com</t>
  </si>
  <si>
    <t xml:space="preserve">D.Y.Patil College of engineering Akurdi pune </t>
  </si>
  <si>
    <t>18ccLM6aXaPZnWIQ1MCoxb6tmXG06yclg</t>
  </si>
  <si>
    <t>https://drive.google.com/file/d/18ccLM6aXaPZnWIQ1MCoxb6tmXG06yclg/view?usp=drivesdk</t>
  </si>
  <si>
    <t>Document successfully created; Document successfully merged; PDF created; !!Error Sending Emails: Service invoked too many times for one day: email.; Run via form trigger as codectechnologies0@gmail.com; Timestamp: Sep 7, 2026 8:51 AM</t>
  </si>
  <si>
    <t>sindhuja Kayyala</t>
  </si>
  <si>
    <t>sindhujakayyala25@gmail.com</t>
  </si>
  <si>
    <t xml:space="preserve">Malla Reddy College of Engineering For Women </t>
  </si>
  <si>
    <t>1MIdxthX2Dizi5I_LrkNBAYdMoxFKLSZO</t>
  </si>
  <si>
    <t>https://drive.google.com/file/d/1MIdxthX2Dizi5I_LrkNBAYdMoxFKLSZO/view?usp=drivesdk</t>
  </si>
  <si>
    <t>Document successfully created; Document successfully merged; PDF created; !!Error Sending Emails: Service invoked too many times for one day: email.; Run via form trigger as codectechnologies0@gmail.com; Timestamp: Sep 7, 2026 8:52 AM</t>
  </si>
  <si>
    <t xml:space="preserve">V GOVINDAN </t>
  </si>
  <si>
    <t>govitharun20@gmail.com</t>
  </si>
  <si>
    <t>7397458606pan</t>
  </si>
  <si>
    <t xml:space="preserve">Panimalar engineering college </t>
  </si>
  <si>
    <t>120AZR4dKX0TLqqcOt_yKcPtWBxpvCSPS</t>
  </si>
  <si>
    <t>https://drive.google.com/file/d/120AZR4dKX0TLqqcOt_yKcPtWBxpvCSPS/view?usp=drivesdk</t>
  </si>
  <si>
    <t>1bVKdRmLccSDPxyx5hHiIAWxKYlSomPS2</t>
  </si>
  <si>
    <t>https://drive.google.com/file/d/1bVKdRmLccSDPxyx5hHiIAWxKYlSomPS2/view?usp=drivesdk</t>
  </si>
  <si>
    <t>Document successfully created; Document successfully merged; PDF created; !!Error Sending Emails: Service invoked too many times for one day: email.; Run via form trigger as codectechnologies0@gmail.com; Timestamp: Sep 7, 2026 8:55 AM</t>
  </si>
  <si>
    <t>Amrit Priya Rai</t>
  </si>
  <si>
    <t>vibhudhan@gmail.com</t>
  </si>
  <si>
    <t xml:space="preserve">Mangalmay institute of management and technology </t>
  </si>
  <si>
    <t>1lNb2a3L024eJtGo4fSWhom9BboRfwKYo</t>
  </si>
  <si>
    <t>https://drive.google.com/file/d/1lNb2a3L024eJtGo4fSWhom9BboRfwKYo/view?usp=drivesdk</t>
  </si>
  <si>
    <t>Document successfully created; Document successfully merged; PDF created; !!Error Sending Emails: Service invoked too many times for one day: email.; Run via form trigger as codectechnologies0@gmail.com; Timestamp: Sep 7, 2026 8:56 AM</t>
  </si>
  <si>
    <t>Kaniha T</t>
  </si>
  <si>
    <t>kaniha.thiru@gmail.com</t>
  </si>
  <si>
    <t>1GbqxJTcRZmx1aBXlL1HH-xxdKncZ11i3</t>
  </si>
  <si>
    <t>https://drive.google.com/file/d/1GbqxJTcRZmx1aBXlL1HH-xxdKncZ11i3/view?usp=drivesdk</t>
  </si>
  <si>
    <t>Document successfully created; Document successfully merged; PDF created; !!Error Sending Emails: Service invoked too many times for one day: email.; Run via form trigger as codectechnologies0@gmail.com; Timestamp: Sep 7, 2026 9:07 AM</t>
  </si>
  <si>
    <t>Shiva Bhavani Kondabathula</t>
  </si>
  <si>
    <t>shivabhavanikondabathula@gmail.com</t>
  </si>
  <si>
    <t>09392098071</t>
  </si>
  <si>
    <t>JNTUH Sultanpur.</t>
  </si>
  <si>
    <t>1w40Jf5oDjixMh6ymB0eJZ6y0wFqHv-NN</t>
  </si>
  <si>
    <t>https://drive.google.com/file/d/1w40Jf5oDjixMh6ymB0eJZ6y0wFqHv-NN/view?usp=drivesdk</t>
  </si>
  <si>
    <t>Bhargavi Vivaka</t>
  </si>
  <si>
    <t>bhargavivivaka25@gmail.com</t>
  </si>
  <si>
    <t xml:space="preserve">Sree Vahini institute of science and technology </t>
  </si>
  <si>
    <t>161t9COSRW54qTGVJlUkhbFoEojUXeDZj</t>
  </si>
  <si>
    <t>https://drive.google.com/file/d/161t9COSRW54qTGVJlUkhbFoEojUXeDZj/view?usp=drivesdk</t>
  </si>
  <si>
    <t>Document successfully created; Document successfully merged; PDF created; !!Error Sending Emails: Service invoked too many times for one day: email.; Run via form trigger as codectechnologies0@gmail.com; Timestamp: Sep 7, 2026 9:10 AM</t>
  </si>
  <si>
    <t>Smita Maroti Populwad</t>
  </si>
  <si>
    <t>2024bcs029@sggs.ac.in</t>
  </si>
  <si>
    <t>SGGSIE&amp;T Nanded Vishnupuri</t>
  </si>
  <si>
    <t>1D29tX7bT7bXYZn5HLrDq5qMtSNDKrq3s</t>
  </si>
  <si>
    <t>https://drive.google.com/file/d/1D29tX7bT7bXYZn5HLrDq5qMtSNDKrq3s/view?usp=drivesdk</t>
  </si>
  <si>
    <t>Document successfully created; Document successfully merged; PDF created; !!Error Sending Emails: Service invoked too many times for one day: email.; Run via form trigger as codectechnologies0@gmail.com; Timestamp: Sep 7, 2026 9:17 AM</t>
  </si>
  <si>
    <t>Bharat Sharma</t>
  </si>
  <si>
    <t>bharat.sharma.81200@gmail.com</t>
  </si>
  <si>
    <t xml:space="preserve">Advance college </t>
  </si>
  <si>
    <t>1NZc-ZnP24AZ8wDgJ6jGAa68t2bpaGjxX</t>
  </si>
  <si>
    <t>https://drive.google.com/file/d/1NZc-ZnP24AZ8wDgJ6jGAa68t2bpaGjxX/view?usp=drivesdk</t>
  </si>
  <si>
    <t>Document successfully created; Document successfully merged; PDF created; !!Error Sending Emails: Service invoked too many times for one day: email.; Run via form trigger as codectechnologies0@gmail.com; Timestamp: Sep 7, 2026 9:23 AM</t>
  </si>
  <si>
    <t>Rohit Sandeep Pawar</t>
  </si>
  <si>
    <t>rohitpawar2293@gmail.com</t>
  </si>
  <si>
    <t>1fsvFh139u-CH-ilBH-U9nUDkHrD_D753</t>
  </si>
  <si>
    <t>https://drive.google.com/file/d/1fsvFh139u-CH-ilBH-U9nUDkHrD_D753/view?usp=drivesdk</t>
  </si>
  <si>
    <t>Document successfully created; Document successfully merged; PDF created; !!Error Sending Emails: Service invoked too many times for one day: email.; Run via form trigger as codectechnologies0@gmail.com; Timestamp: Sep 7, 2026 9:27 AM</t>
  </si>
  <si>
    <t xml:space="preserve">Mayur Vinayak Kharat </t>
  </si>
  <si>
    <t>mayurkharat23432@gmail.com</t>
  </si>
  <si>
    <t xml:space="preserve">Bakliwal foundation college vashi navi mumbai </t>
  </si>
  <si>
    <t>LinkedIn, Instagram, Email</t>
  </si>
  <si>
    <t>1T_AMxwoa93gU1vQThGkUqWtGmXvdm9wf</t>
  </si>
  <si>
    <t>https://drive.google.com/file/d/1T_AMxwoa93gU1vQThGkUqWtGmXvdm9wf/view?usp=drivesdk</t>
  </si>
  <si>
    <t>Document successfully created; Document successfully merged; PDF created; !!Error Sending Emails: Service invoked too many times for one day: email.; Run via form trigger as codectechnologies0@gmail.com; Timestamp: Sep 7, 2026 9:30 AM</t>
  </si>
  <si>
    <t xml:space="preserve">HOTHA LASYA SAI SRI NAGA RATNA MANOHARI </t>
  </si>
  <si>
    <t>236n1a0543@sriniet.edu.in</t>
  </si>
  <si>
    <t>SRINIVASA INSTITUTE OF ENGINEERING AND TECHNOLOGY JNTUK CHEYYERU</t>
  </si>
  <si>
    <t>1WIPgANq72U3qDr0QEdPivkrwzzWPlkVe</t>
  </si>
  <si>
    <t>https://drive.google.com/file/d/1WIPgANq72U3qDr0QEdPivkrwzzWPlkVe/view?usp=drivesdk</t>
  </si>
  <si>
    <t>Document successfully created; Document successfully merged; PDF created; !!Error Sending Emails: Service invoked too many times for one day: email.; Run via form trigger as codectechnologies0@gmail.com; Timestamp: Sep 7, 2026 9:39 AM</t>
  </si>
  <si>
    <t xml:space="preserve">Mohammed suhaib </t>
  </si>
  <si>
    <t>10/10/0026</t>
  </si>
  <si>
    <t>mdsuhaib348@gmail.com</t>
  </si>
  <si>
    <t xml:space="preserve">Muffakham Jah college of engineering and technology </t>
  </si>
  <si>
    <t>1RI1No1alXL9Gphg7USMgOhWckR56QpAo</t>
  </si>
  <si>
    <t>https://drive.google.com/file/d/1RI1No1alXL9Gphg7USMgOhWckR56QpAo/view?usp=drivesdk</t>
  </si>
  <si>
    <t>Document successfully created; Document successfully merged; PDF created; !!Error Sending Emails: Service invoked too many times for one day: email.; Run via form trigger as codectechnologies0@gmail.com; Timestamp: Sep 7, 2026 9:42 AM</t>
  </si>
  <si>
    <t xml:space="preserve">Khushi Pawar </t>
  </si>
  <si>
    <t>khushiipawar2713@gmail.com</t>
  </si>
  <si>
    <t xml:space="preserve">SAGE University </t>
  </si>
  <si>
    <t>1X49M2BiIVPqhr5pjWMrNv2V5NtjqdY1R</t>
  </si>
  <si>
    <t>https://drive.google.com/file/d/1X49M2BiIVPqhr5pjWMrNv2V5NtjqdY1R/view?usp=drivesdk</t>
  </si>
  <si>
    <t>Document successfully created; Document successfully merged; PDF created; !!Error Sending Emails: Service invoked too many times for one day: email.; Run via form trigger as codectechnologies0@gmail.com; Timestamp: Sep 7, 2026 9:43 AM</t>
  </si>
  <si>
    <t>mayankrateria456@gmail.com</t>
  </si>
  <si>
    <t>J.C. Bose University of Science and Technology, YMCA, Faridabad</t>
  </si>
  <si>
    <t>1KAnFmsOJe9Q8s4IQXUmNzwlhbetv89NV</t>
  </si>
  <si>
    <t>https://drive.google.com/file/d/1KAnFmsOJe9Q8s4IQXUmNzwlhbetv89NV/view?usp=drivesdk</t>
  </si>
  <si>
    <t>Document successfully created; Document successfully merged; PDF created; !!Error Sending Emails: Service invoked too many times for one day: email.; Run via form trigger as codectechnologies0@gmail.com; Timestamp: Sep 7, 2026 9:44 AM</t>
  </si>
  <si>
    <t>Manish Purushottam Patil</t>
  </si>
  <si>
    <t>mp2475560@gmail.com</t>
  </si>
  <si>
    <t>SVKM IOT DHULE</t>
  </si>
  <si>
    <t>14f3Ng3JTz_JUlKcDrFLz3t6OutFjqV8_</t>
  </si>
  <si>
    <t>https://drive.google.com/file/d/14f3Ng3JTz_JUlKcDrFLz3t6OutFjqV8_/view?usp=drivesdk</t>
  </si>
  <si>
    <t>Document successfully created; Document successfully merged; PDF created; !!Error Sending Emails: Service invoked too many times for one day: email.; Run via form trigger as codectechnologies0@gmail.com; Timestamp: Sep 7, 2026 9:52 AM</t>
  </si>
  <si>
    <t>KOYYA UDAY PHANINDRA VAMSI</t>
  </si>
  <si>
    <t>udayphanindravamsikoyya@gmail.com</t>
  </si>
  <si>
    <t>1u7R0kLnbVrIFrFAqbGT2GWNZ9OueVk_d</t>
  </si>
  <si>
    <t>https://drive.google.com/file/d/1u7R0kLnbVrIFrFAqbGT2GWNZ9OueVk_d/view?usp=drivesdk</t>
  </si>
  <si>
    <t>Document successfully created; Document successfully merged; PDF created; !!Error Sending Emails: Service invoked too many times for one day: email.; Run via form trigger as codectechnologies0@gmail.com; Timestamp: Sep 7, 2026 9:53 AM</t>
  </si>
  <si>
    <t>K.Deepak Raagav</t>
  </si>
  <si>
    <t>raagavkdeepak@gmail.com</t>
  </si>
  <si>
    <t>Sri krishna college of engineeeing and technology</t>
  </si>
  <si>
    <t>1Lheo7MuT0_0bjgkbZx3qW-AIAlrrdXHm</t>
  </si>
  <si>
    <t>https://drive.google.com/file/d/1Lheo7MuT0_0bjgkbZx3qW-AIAlrrdXHm/view?usp=drivesdk</t>
  </si>
  <si>
    <t>Document successfully created; Document successfully merged; PDF created; !!Error Sending Emails: Service invoked too many times for one day: email.; Run via form trigger as codectechnologies0@gmail.com; Timestamp: Sep 7, 2026 10:01 AM</t>
  </si>
  <si>
    <t>as77singh22@gmail.com</t>
  </si>
  <si>
    <t xml:space="preserve">Kalinga University Raipur Chhattisgarh </t>
  </si>
  <si>
    <t>1shba9lToyd30r3zU1Xxq3YeIOwQZeLWM</t>
  </si>
  <si>
    <t>https://drive.google.com/file/d/1shba9lToyd30r3zU1Xxq3YeIOwQZeLWM/view?usp=drivesdk</t>
  </si>
  <si>
    <t>Document successfully created; Document successfully merged; PDF created; Emails Sent: [To: as77singh22@gmail.com]; Run via form trigger as codectechnologies0@gmail.com; Timestamp: Sep 7, 2026 10:04 AM</t>
  </si>
  <si>
    <t>Sri krishna college of enginnering</t>
  </si>
  <si>
    <t>1DXVDpUTXMlpOfi7kgWTnk0LjeatmmYWW</t>
  </si>
  <si>
    <t>https://drive.google.com/file/d/1DXVDpUTXMlpOfi7kgWTnk0LjeatmmYWW/view?usp=drivesdk</t>
  </si>
  <si>
    <t>Document successfully created; Document successfully merged; PDF created; !!Error Sending Emails: Service invoked too many times for one day: email.; Run via form trigger as codectechnologies0@gmail.com; Timestamp: Sep 7, 2026 10:04 AM</t>
  </si>
  <si>
    <t xml:space="preserve">NALIKALA CHITRATH </t>
  </si>
  <si>
    <t>nalikalachitrath@gmail.com</t>
  </si>
  <si>
    <t xml:space="preserve">Malla Reddy (MR) deemed to be university </t>
  </si>
  <si>
    <t>15cjnzZ6g3_NSwPKEZ-b9V2YdbFqPpxvY</t>
  </si>
  <si>
    <t>https://drive.google.com/file/d/15cjnzZ6g3_NSwPKEZ-b9V2YdbFqPpxvY/view?usp=drivesdk</t>
  </si>
  <si>
    <t>Document successfully created; Document successfully merged; PDF created; !!Error Sending Emails: Service invoked too many times for one day: email.; Run via form trigger as codectechnologies0@gmail.com; Timestamp: Sep 7, 2026 10:05 AM</t>
  </si>
  <si>
    <t>Mahak Mokhalgay</t>
  </si>
  <si>
    <t>mahakmokhalgay@gmail.com</t>
  </si>
  <si>
    <t xml:space="preserve">Yeshwantrao Chavan College of Engineering </t>
  </si>
  <si>
    <t>1oCkx2r9J3HfNq8zEPj3clxtZhbKGMyEa</t>
  </si>
  <si>
    <t>https://drive.google.com/file/d/1oCkx2r9J3HfNq8zEPj3clxtZhbKGMyEa/view?usp=drivesdk</t>
  </si>
  <si>
    <t>Document successfully created; Document successfully merged; PDF created; !!Error Sending Emails: Service invoked too many times for one day: email.; Run via form trigger as codectechnologies0@gmail.com; Timestamp: Sep 7, 2026 10:07 AM</t>
  </si>
  <si>
    <t xml:space="preserve">Tasmiya Anjum </t>
  </si>
  <si>
    <t>anjumtasmiya245@gmail.com</t>
  </si>
  <si>
    <t xml:space="preserve">Shri madhwa Vadiraja Institute of Technology and Management </t>
  </si>
  <si>
    <t>1A3bR92yTWpSmdQ8j3WoPCWbL89ufOoEd</t>
  </si>
  <si>
    <t>https://drive.google.com/file/d/1A3bR92yTWpSmdQ8j3WoPCWbL89ufOoEd/view?usp=drivesdk</t>
  </si>
  <si>
    <t>Document successfully created; Document successfully merged; PDF created; !!Error Sending Emails: Service invoked too many times for one day: email.; Run via form trigger as codectechnologies0@gmail.com; Timestamp: Sep 7, 2026 10:14 AM</t>
  </si>
  <si>
    <t xml:space="preserve">Nisha Saini </t>
  </si>
  <si>
    <t>saininisha15429@gmail.com</t>
  </si>
  <si>
    <t>18qJZ1YAOzwr5e4knP8cL5qaOEBLCvk98</t>
  </si>
  <si>
    <t>https://drive.google.com/file/d/18qJZ1YAOzwr5e4knP8cL5qaOEBLCvk98/view?usp=drivesdk</t>
  </si>
  <si>
    <t>Document successfully created; Document successfully merged; PDF created; !!Error Sending Emails: Service invoked too many times for one day: email.; Run via form trigger as codectechnologies0@gmail.com; Timestamp: Sep 7, 2026 10:16 AM</t>
  </si>
  <si>
    <t>Ravi Chandra Bose A</t>
  </si>
  <si>
    <t>ravichandrabosea@gmail.com</t>
  </si>
  <si>
    <t>unnamalai institute of technology , kovilpatti</t>
  </si>
  <si>
    <t>1IJP0kbTr7_i0iVesiRokM2_hmcRVXZIw</t>
  </si>
  <si>
    <t>https://drive.google.com/file/d/1IJP0kbTr7_i0iVesiRokM2_hmcRVXZIw/view?usp=drivesdk</t>
  </si>
  <si>
    <t>akhila palla</t>
  </si>
  <si>
    <t>akhilavarmapalla@gmail.com</t>
  </si>
  <si>
    <t>anurag engineering college</t>
  </si>
  <si>
    <t>1fkt3W_-cQL93-aLRN1HWW8QIo-l-6nlV</t>
  </si>
  <si>
    <t>https://drive.google.com/file/d/1fkt3W_-cQL93-aLRN1HWW8QIo-l-6nlV/view?usp=drivesdk</t>
  </si>
  <si>
    <t>Mohammad Arif</t>
  </si>
  <si>
    <t>arifamethi80@gmail.com</t>
  </si>
  <si>
    <t>08081054378</t>
  </si>
  <si>
    <t>NIET Gr.Noida</t>
  </si>
  <si>
    <t>13JxSr8DhnUda36WKwHMFnfYco7oUlN-s</t>
  </si>
  <si>
    <t>https://drive.google.com/file/d/13JxSr8DhnUda36WKwHMFnfYco7oUlN-s/view?usp=drivesdk</t>
  </si>
  <si>
    <t>Document successfully created; Document successfully merged; PDF created; !!Error Sending Emails: Service invoked too many times for one day: email.; Run via form trigger as codectechnologies0@gmail.com; Timestamp: Sep 7, 2026 10:17 AM</t>
  </si>
  <si>
    <t>1jNTCSISsU_c2G_gEhEAzzwivh7iEdolz</t>
  </si>
  <si>
    <t>https://drive.google.com/file/d/1jNTCSISsU_c2G_gEhEAzzwivh7iEdolz/view?usp=drivesdk</t>
  </si>
  <si>
    <t>Document successfully created; Document successfully merged; PDF created; !!Error Sending Emails: Service invoked too many times for one day: email.; Run via form trigger as codectechnologies0@gmail.com; Timestamp: Sep 7, 2026 10:18 AM</t>
  </si>
  <si>
    <t>Sri krishna college of engineering and technology</t>
  </si>
  <si>
    <t>1ylO62nEUGEkk4_P-yFFKvmjl1cGUfklv</t>
  </si>
  <si>
    <t>https://drive.google.com/file/d/1ylO62nEUGEkk4_P-yFFKvmjl1cGUfklv/view?usp=drivesdk</t>
  </si>
  <si>
    <t>Document successfully created; Document successfully merged; PDF created; !!Error Sending Emails: Service invoked too many times for one day: email.; Run via form trigger as codectechnologies0@gmail.com; Timestamp: Sep 7, 2026 10:21 AM</t>
  </si>
  <si>
    <t>A.Naseema Parveen</t>
  </si>
  <si>
    <t>naseemaparveen17307@gmail.com</t>
  </si>
  <si>
    <t>C.K College Of Engineering And Technology</t>
  </si>
  <si>
    <t>1HpHjMkE1GZilZJmWmOFjGgGfUvxlAJRd</t>
  </si>
  <si>
    <t>https://drive.google.com/file/d/1HpHjMkE1GZilZJmWmOFjGgGfUvxlAJRd/view?usp=drivesdk</t>
  </si>
  <si>
    <t>Document successfully created; Document successfully merged; PDF created; !!Error Sending Emails: Service invoked too many times for one day: email.; Run via form trigger as codectechnologies0@gmail.com; Timestamp: Sep 7, 2026 10:24 AM</t>
  </si>
  <si>
    <t>Pranav Modi</t>
  </si>
  <si>
    <t>pranav.25scs1003002600@iilm.edu</t>
  </si>
  <si>
    <t>1rFYBwFAH-gIBgaBHktKSpCVt0k_Qs7xN</t>
  </si>
  <si>
    <t>https://drive.google.com/file/d/1rFYBwFAH-gIBgaBHktKSpCVt0k_Qs7xN/view?usp=drivesdk</t>
  </si>
  <si>
    <t xml:space="preserve">Manjeet </t>
  </si>
  <si>
    <t>sdevi854334@gmail.com</t>
  </si>
  <si>
    <t xml:space="preserve">Dewan vs institution of engineering &amp; technology </t>
  </si>
  <si>
    <t>1YHtvpXF9jLA3F9RLKYM87kYd87vJu02F</t>
  </si>
  <si>
    <t>https://drive.google.com/file/d/1YHtvpXF9jLA3F9RLKYM87kYd87vJu02F/view?usp=drivesdk</t>
  </si>
  <si>
    <t>Document successfully created; Document successfully merged; PDF created; !!Error Sending Emails: Service invoked too many times for one day: email.; Run via form trigger as codectechnologies0@gmail.com; Timestamp: Sep 7, 2026 10:27 AM</t>
  </si>
  <si>
    <t xml:space="preserve">K UPENDAR REDDY </t>
  </si>
  <si>
    <t>kupendarreddy2921@gmail.com</t>
  </si>
  <si>
    <t xml:space="preserve">Malla Reddy (MR) Deemed to be university </t>
  </si>
  <si>
    <t>1mqVXF5gt9ggIThiReDW2cPtx76yc4PrM</t>
  </si>
  <si>
    <t>https://drive.google.com/file/d/1mqVXF5gt9ggIThiReDW2cPtx76yc4PrM/view?usp=drivesdk</t>
  </si>
  <si>
    <t>Document successfully created; Document successfully merged; PDF created; !!Error Sending Emails: Service invoked too many times for one day: email.; Run via form trigger as codectechnologies0@gmail.com; Timestamp: Sep 7, 2026 10:28 AM</t>
  </si>
  <si>
    <t xml:space="preserve">KOYYALA RITHVIK </t>
  </si>
  <si>
    <t>rithvikkoyyala386@gmail.com</t>
  </si>
  <si>
    <t xml:space="preserve">Narsimha reddy engineering college </t>
  </si>
  <si>
    <t>1dJgjR3Wk7LL-SQmWcHlteHapCgIFOTMm</t>
  </si>
  <si>
    <t>https://drive.google.com/file/d/1dJgjR3Wk7LL-SQmWcHlteHapCgIFOTMm/view?usp=drivesdk</t>
  </si>
  <si>
    <t>Document successfully created; Document successfully merged; PDF created; !!Error Sending Emails: Service invoked too many times for one day: email.; Run via form trigger as codectechnologies0@gmail.com; Timestamp: Sep 7, 2026 10:29 AM</t>
  </si>
  <si>
    <t xml:space="preserve">Sahil Gupta </t>
  </si>
  <si>
    <t>sahil416gupta@gmail.com</t>
  </si>
  <si>
    <t xml:space="preserve"> 82871 39434</t>
  </si>
  <si>
    <t>11J_7fgB-3xAPs2-v84GwiNEE1hgKgJy-</t>
  </si>
  <si>
    <t>https://drive.google.com/file/d/11J_7fgB-3xAPs2-v84GwiNEE1hgKgJy-/view?usp=drivesdk</t>
  </si>
  <si>
    <t>Document successfully created; Document successfully merged; PDF created; !!Error Sending Emails: Service invoked too many times for one day: email.; Run via form trigger as codectechnologies0@gmail.com; Timestamp: Sep 7, 2026 10:33 AM</t>
  </si>
  <si>
    <t xml:space="preserve">Arpit Sharma </t>
  </si>
  <si>
    <t xml:space="preserve"> Regional College Of Professional Studies &amp; Research</t>
  </si>
  <si>
    <t>1I5OoQ7Fvm6jtvN0gAclWCtEo8C2Wccpy</t>
  </si>
  <si>
    <t>https://drive.google.com/file/d/1I5OoQ7Fvm6jtvN0gAclWCtEo8C2Wccpy/view?usp=drivesdk</t>
  </si>
  <si>
    <t>Document successfully created; Document successfully merged; PDF created; !!Error Sending Emails: Invalid email: Arpit Sharma; Run via form trigger as codectechnologies0@gmail.com; Timestamp: Sep 7, 2026 10:34 AM</t>
  </si>
  <si>
    <t xml:space="preserve">Krishna pant </t>
  </si>
  <si>
    <t>krishanpant598@gmail.com</t>
  </si>
  <si>
    <t>Regional College Of Professional Studies &amp; Research</t>
  </si>
  <si>
    <t>1vahTrh0E7IgTTXLKE58-SVofBDy2YeN1</t>
  </si>
  <si>
    <t>https://drive.google.com/file/d/1vahTrh0E7IgTTXLKE58-SVofBDy2YeN1/view?usp=drivesdk</t>
  </si>
  <si>
    <t>Document successfully created; Document successfully merged; PDF created; !!Error Sending Emails: Service invoked too many times for one day: email.; Run via form trigger as codectechnologies0@gmail.com; Timestamp: Sep 7, 2026 10:35 AM</t>
  </si>
  <si>
    <t>Dewansh Gupta</t>
  </si>
  <si>
    <t>dewanshgupta23@gmail.com</t>
  </si>
  <si>
    <t>Institute of Engineering &amp; Science, IPS Academy</t>
  </si>
  <si>
    <t>1nmXSQ5s_HyAPaRS7OyRrT9rnhyE78kyk</t>
  </si>
  <si>
    <t>https://drive.google.com/file/d/1nmXSQ5s_HyAPaRS7OyRrT9rnhyE78kyk/view?usp=drivesdk</t>
  </si>
  <si>
    <t>BIBHUPRASAD DALEI</t>
  </si>
  <si>
    <t>bibhuprasaddalei63@gmail.com</t>
  </si>
  <si>
    <t>1OeI5EH5PvvAPV_KlfmYI9IFpgys2H0ax</t>
  </si>
  <si>
    <t>https://drive.google.com/file/d/1OeI5EH5PvvAPV_KlfmYI9IFpgys2H0ax/view?usp=drivesdk</t>
  </si>
  <si>
    <t xml:space="preserve">K PAVAN </t>
  </si>
  <si>
    <t>kpavanvishwakarmapavan@gmail.com</t>
  </si>
  <si>
    <t xml:space="preserve">National college Basavanagudi, Bangalore </t>
  </si>
  <si>
    <t>1tWE-gTAeijCesS4Vjo8xK2X19m-Iebll</t>
  </si>
  <si>
    <t>https://drive.google.com/file/d/1tWE-gTAeijCesS4Vjo8xK2X19m-Iebll/view?usp=drivesdk</t>
  </si>
  <si>
    <t>Document successfully created; Document successfully merged; PDF created; Emails Sent: [To: kpavanvishwakarmapavan@gmail.com]; Run via form trigger as codectechnologies0@gmail.com; Timestamp: Sep 7, 2026 10:44 AM</t>
  </si>
  <si>
    <t>Krishna Prasad K G</t>
  </si>
  <si>
    <t>gopalagopala595@gmail.com</t>
  </si>
  <si>
    <t xml:space="preserve">Vivekananda institute of technology </t>
  </si>
  <si>
    <t>1RjlijtX-NZ99qqawTK2zsXZHPR5Y_bMq</t>
  </si>
  <si>
    <t>https://drive.google.com/file/d/1RjlijtX-NZ99qqawTK2zsXZHPR5Y_bMq/view?usp=drivesdk</t>
  </si>
  <si>
    <t>Document successfully created; Document successfully merged; PDF created; Emails Sent: [To: gopalagopala595@gmail.com]; Run via form trigger as codectechnologies0@gmail.com; Timestamp: Sep 7, 2026 10:46 AM</t>
  </si>
  <si>
    <t>Abir Ekansh</t>
  </si>
  <si>
    <t>abir.anamika2623@gmail.com</t>
  </si>
  <si>
    <t>12ZhO_se2h0Fh8FzEgVC0EQDsArGBL1pz</t>
  </si>
  <si>
    <t>https://drive.google.com/file/d/12ZhO_se2h0Fh8FzEgVC0EQDsArGBL1pz/view?usp=drivesdk</t>
  </si>
  <si>
    <t>Document successfully created; Document successfully merged; PDF created; Emails Sent: [To: abir.anamika2623@gmail.com]; Run via form trigger as codectechnologies0@gmail.com; Timestamp: Sep 7, 2026 10:53 AM</t>
  </si>
  <si>
    <t>1MUjy3lHLAsxPk0tyH4o5fs7zBsC7ZyGZ</t>
  </si>
  <si>
    <t>https://drive.google.com/file/d/1MUjy3lHLAsxPk0tyH4o5fs7zBsC7ZyGZ/view?usp=drivesdk</t>
  </si>
  <si>
    <t>Document successfully created; Document successfully merged; PDF created; Emails Sent: [To: khushiipawar2713@gmail.com]; Run via form trigger as codectechnologies0@gmail.com; Timestamp: Sep 7, 2026 10:53 AM</t>
  </si>
  <si>
    <t>Yuvan Sundar J</t>
  </si>
  <si>
    <t>jyuvansundar2814@gmail.com</t>
  </si>
  <si>
    <t>SRM Valliammai Engineering College</t>
  </si>
  <si>
    <t>19SXVBgqqJN4ul3Nl1SCFoGQgqudJIDvR</t>
  </si>
  <si>
    <t>https://drive.google.com/file/d/19SXVBgqqJN4ul3Nl1SCFoGQgqudJIDvR/view?usp=drivesdk</t>
  </si>
  <si>
    <t>Document successfully created; Document successfully merged; PDF created; Emails Sent: [To: jyuvansundar2814@gmail.com]; Run via form trigger as codectechnologies0@gmail.com; Timestamp: Sep 7, 2026 10:54 AM</t>
  </si>
  <si>
    <t>1WQDayBcZ38gL__EnajVLb-TVEXgS1bSW</t>
  </si>
  <si>
    <t>https://drive.google.com/file/d/1WQDayBcZ38gL__EnajVLb-TVEXgS1bSW/view?usp=drivesdk</t>
  </si>
  <si>
    <t>Document successfully created; Document successfully merged; PDF created; Emails Sent: [To: vishugoyal561@gmail.com]; Run via form trigger as codectechnologies0@gmail.com; Timestamp: Sep 7, 2026 10:56 AM</t>
  </si>
  <si>
    <t>Alok Yadav</t>
  </si>
  <si>
    <t>opalok1947@gmail.com</t>
  </si>
  <si>
    <t>1ZbiysKDJGltbizADziFT8unMEeZAkKsL</t>
  </si>
  <si>
    <t>https://drive.google.com/file/d/1ZbiysKDJGltbizADziFT8unMEeZAkKsL/view?usp=drivesdk</t>
  </si>
  <si>
    <t>Document successfully created; Document successfully merged; PDF created; Emails Sent: [To: opalok1947@gmail.com]; Run via form trigger as codectechnologies0@gmail.com; Timestamp: Sep 7, 2026 10:57 AM</t>
  </si>
  <si>
    <t xml:space="preserve">Bhagyashree Golasangi </t>
  </si>
  <si>
    <t>golasangibhagyashree@gmail.com</t>
  </si>
  <si>
    <t xml:space="preserve">B.L.D.E.A V.P Dr. P.G Halakatti College of Engineering and Technology, Vijayapura </t>
  </si>
  <si>
    <t>1xzkvDELFCUEcBkv3frz_LpwFejNAJc8K</t>
  </si>
  <si>
    <t>https://drive.google.com/file/d/1xzkvDELFCUEcBkv3frz_LpwFejNAJc8K/view?usp=drivesdk</t>
  </si>
  <si>
    <t>Document successfully created; Document successfully merged; PDF created; Emails Sent: [To: golasangibhagyashree@gmail.com]; Run via form trigger as codectechnologies0@gmail.com; Timestamp: Sep 7, 2026 10:57 AM</t>
  </si>
  <si>
    <t>Mackenzie Analee Fernandes</t>
  </si>
  <si>
    <t>mackenzieferdes08@gmail.com</t>
  </si>
  <si>
    <t xml:space="preserve">Carmel </t>
  </si>
  <si>
    <t>1P9epGFIKM2uEhUJL9AR2X9-onF0k1Qec</t>
  </si>
  <si>
    <t>https://drive.google.com/file/d/1P9epGFIKM2uEhUJL9AR2X9-onF0k1Qec/view?usp=drivesdk</t>
  </si>
  <si>
    <t>Document successfully created; Document successfully merged; PDF created; Emails Sent: [To: mackenzieferdes08@gmail.com]; Run via form trigger as codectechnologies0@gmail.com; Timestamp: Sep 7, 2026 10:57 AM</t>
  </si>
  <si>
    <t>ROHITH Y P</t>
  </si>
  <si>
    <t>rohithyp2006@gmail.com</t>
  </si>
  <si>
    <t xml:space="preserve">vievkananda Institute of technology </t>
  </si>
  <si>
    <t>1SdxNevDkyaCCikLjyx6NfNagMDHwjxBi</t>
  </si>
  <si>
    <t>https://drive.google.com/file/d/1SdxNevDkyaCCikLjyx6NfNagMDHwjxBi/view?usp=drivesdk</t>
  </si>
  <si>
    <t>Document successfully created; Document successfully merged; PDF created; Emails Sent: [To: rohithyp2006@gmail.com]; Run via form trigger as codectechnologies0@gmail.com; Timestamp: Sep 7, 2026 10:59 AM</t>
  </si>
  <si>
    <t xml:space="preserve">ANKITA KASWAN </t>
  </si>
  <si>
    <t>ankitakaswan2004@gmail.com</t>
  </si>
  <si>
    <t xml:space="preserve">SHEKHAWATI INSTITUTE OF ENGINEERING AND TECHNOLOGY SIKAR </t>
  </si>
  <si>
    <t>1wriH3p8FsGOpP2s2unefaIk4m30_trZ9</t>
  </si>
  <si>
    <t>https://drive.google.com/file/d/1wriH3p8FsGOpP2s2unefaIk4m30_trZ9/view?usp=drivesdk</t>
  </si>
  <si>
    <t>Document successfully created; Document successfully merged; PDF created; Emails Sent: [To: ankitakaswan2004@gmail.com]; Run via form trigger as codectechnologies0@gmail.com; Timestamp: Sep 7, 2026 11:00 AM</t>
  </si>
  <si>
    <t xml:space="preserve">PRANAV BAIS </t>
  </si>
  <si>
    <t>pranavbais86900@gmail.com</t>
  </si>
  <si>
    <t xml:space="preserve">IES IPS ACADEMY INDORE </t>
  </si>
  <si>
    <t>1MZt5feSkGO81WwPWFF7oLdUeF2Q1XKED</t>
  </si>
  <si>
    <t>https://drive.google.com/file/d/1MZt5feSkGO81WwPWFF7oLdUeF2Q1XKED/view?usp=drivesdk</t>
  </si>
  <si>
    <t>Document successfully created; Document successfully merged; PDF created; Emails Sent: [To: pranavbais86900@gmail.com]; Run via form trigger as codectechnologies0@gmail.com; Timestamp: Sep 7, 2026 11:06 AM</t>
  </si>
  <si>
    <t>SUJAL MODANWAL</t>
  </si>
  <si>
    <t>sujalmodanwal2024@gmail.com</t>
  </si>
  <si>
    <t>CSJM UNIVERSITY KANPUR</t>
  </si>
  <si>
    <t>1Nni6RRQZwuXl2_QOsBOFnP0RF4rR1FfH</t>
  </si>
  <si>
    <t>https://drive.google.com/file/d/1Nni6RRQZwuXl2_QOsBOFnP0RF4rR1FfH/view?usp=drivesdk</t>
  </si>
  <si>
    <t>Document successfully created; Document successfully merged; PDF created; Emails Sent: [To: sujalmodanwal2024@gmail.com]; Run via form trigger as codectechnologies0@gmail.com; Timestamp: Sep 7, 2026 11:08 AM</t>
  </si>
  <si>
    <t xml:space="preserve">Aarohi Yadav </t>
  </si>
  <si>
    <t>And3636aarohiyadav@gmail.com</t>
  </si>
  <si>
    <t>Itm</t>
  </si>
  <si>
    <t>1te9a2WKd5X1vZuHKDwY4MVB8T0s43zyY</t>
  </si>
  <si>
    <t>https://drive.google.com/file/d/1te9a2WKd5X1vZuHKDwY4MVB8T0s43zyY/view?usp=drivesdk</t>
  </si>
  <si>
    <t>Document successfully created; Document successfully merged; PDF created; Emails Sent: [To: And3636aarohiyadav@gmail.com]; Run via form trigger as codectechnologies0@gmail.com; Timestamp: Sep 7, 2026 11:09 AM</t>
  </si>
  <si>
    <t xml:space="preserve">RITWIK ROMMEL JANA </t>
  </si>
  <si>
    <t>ritwikrommel@karunya.edu.in</t>
  </si>
  <si>
    <t>1sqf55YG7L2JVuDhPQDvtpR3lct9B8ybI</t>
  </si>
  <si>
    <t>https://drive.google.com/file/d/1sqf55YG7L2JVuDhPQDvtpR3lct9B8ybI/view?usp=drivesdk</t>
  </si>
  <si>
    <t>Document successfully created; Document successfully merged; PDF created; Emails Sent: [To: ritwikrommel@karunya.edu.in]; Run via form trigger as codectechnologies0@gmail.com; Timestamp: Sep 7, 2026 11:12 AM</t>
  </si>
  <si>
    <t>18q4YWkvPO5PiXbOgEingnmVZe4-iwVFN</t>
  </si>
  <si>
    <t>https://drive.google.com/file/d/18q4YWkvPO5PiXbOgEingnmVZe4-iwVFN/view?usp=drivesdk</t>
  </si>
  <si>
    <t>Document successfully created; Document successfully merged; PDF created; Emails Sent: [To: satyam.mce@gmail.com]; Run via form trigger as codectechnologies0@gmail.com; Timestamp: Sep 7, 2026 11:15 AM</t>
  </si>
  <si>
    <t>1rudh87R2d9XFDC3C3YahcWSKTXvn3PMR</t>
  </si>
  <si>
    <t>https://drive.google.com/file/d/1rudh87R2d9XFDC3C3YahcWSKTXvn3PMR/view?usp=drivesdk</t>
  </si>
  <si>
    <t>Document successfully created; Document successfully merged; PDF created; Emails Sent: [To: ankitakaswan2004@gmail.com]; Run via form trigger as codectechnologies0@gmail.com; Timestamp: Sep 7, 2026 11:23 AM</t>
  </si>
  <si>
    <t>Braj Mohan kumar</t>
  </si>
  <si>
    <t>brajlal7079@gmail.com</t>
  </si>
  <si>
    <t>ramgarh engineering college</t>
  </si>
  <si>
    <t>1YlQBT5wuPPXRALWG9H0kjaIds1kbMAA7</t>
  </si>
  <si>
    <t>https://drive.google.com/file/d/1YlQBT5wuPPXRALWG9H0kjaIds1kbMAA7/view?usp=drivesdk</t>
  </si>
  <si>
    <t>Document successfully created; Document successfully merged; PDF created; Emails Sent: [To: brajlal7079@gmail.com]; Run via form trigger as codectechnologies0@gmail.com; Timestamp: Sep 7, 2026 11:25 AM</t>
  </si>
  <si>
    <t>Ghanashyam Munda</t>
  </si>
  <si>
    <t>ghanshyammunda2021@gmail.com</t>
  </si>
  <si>
    <t xml:space="preserve">Konarak institute of science and technology bhubaneswar </t>
  </si>
  <si>
    <t>1c_J5BOOL-nz5nohEdHjE_YAq-YYKrk2C</t>
  </si>
  <si>
    <t>https://drive.google.com/file/d/1c_J5BOOL-nz5nohEdHjE_YAq-YYKrk2C/view?usp=drivesdk</t>
  </si>
  <si>
    <t>Document successfully created; Document successfully merged; PDF created; Emails Sent: [To: ghanshyammunda2021@gmail.com]; Run via form trigger as codectechnologies0@gmail.com; Timestamp: Sep 7, 2026 11:30 AM</t>
  </si>
  <si>
    <t>1uDVgLg3v97beKsc21HHaXSpxu9fL-5XQ</t>
  </si>
  <si>
    <t>https://drive.google.com/file/d/1uDVgLg3v97beKsc21HHaXSpxu9fL-5XQ/view?usp=drivesdk</t>
  </si>
  <si>
    <t>Document successfully created; Document successfully merged; PDF created; Emails Sent: [To: sakshamsggupta0@gmail.com]; Run via form trigger as codectechnologies0@gmail.com; Timestamp: Sep 7, 2026 11:43 AM</t>
  </si>
  <si>
    <t xml:space="preserve">Jitendra Kumar Nishad </t>
  </si>
  <si>
    <t>jitendranishad347@gmail.com</t>
  </si>
  <si>
    <t xml:space="preserve">Raipur institute of technology Raipur </t>
  </si>
  <si>
    <t>1xZgew0ZhNyqEJlhvh22qM6qvwOSKWctW</t>
  </si>
  <si>
    <t>https://drive.google.com/file/d/1xZgew0ZhNyqEJlhvh22qM6qvwOSKWctW/view?usp=drivesdk</t>
  </si>
  <si>
    <t>Document successfully created; Document successfully merged; PDF created; Emails Sent: [To: jitendranishad347@gmail.com]; Run via form trigger as codectechnologies0@gmail.com; Timestamp: Sep 7, 2026 11:49 AM</t>
  </si>
  <si>
    <t>Lakshmi sai ram Sigireddy</t>
  </si>
  <si>
    <t>lakshmisairamsigireddy@gmail.com</t>
  </si>
  <si>
    <t xml:space="preserve">Gitam University </t>
  </si>
  <si>
    <t>1anLKulS4TLjIIBMR-qmRK1uW-KTHb_5B</t>
  </si>
  <si>
    <t>https://drive.google.com/file/d/1anLKulS4TLjIIBMR-qmRK1uW-KTHb_5B/view?usp=drivesdk</t>
  </si>
  <si>
    <t>Document successfully created; Document successfully merged; PDF created; Emails Sent: [To: lakshmisairamsigireddy@gmail.com]; Run via form trigger as codectechnologies0@gmail.com; Timestamp: Sep 7, 2026 11:51 AM</t>
  </si>
  <si>
    <t xml:space="preserve">Swarna gowri k m </t>
  </si>
  <si>
    <t>swarna2005gowri@gmail.com</t>
  </si>
  <si>
    <t xml:space="preserve">Karavali institute of technology </t>
  </si>
  <si>
    <t>1uquulGY3Ope9E5z8k4vFgDdzszR12Te2</t>
  </si>
  <si>
    <t>https://drive.google.com/file/d/1uquulGY3Ope9E5z8k4vFgDdzszR12Te2/view?usp=drivesdk</t>
  </si>
  <si>
    <t>Document successfully created; Document successfully merged; PDF created; Emails Sent: [To: swarna2005gowri@gmail.com]; Run via form trigger as codectechnologies0@gmail.com; Timestamp: Sep 7, 2026 11:52 AM</t>
  </si>
  <si>
    <t>sujalsinghpro@gmail.com</t>
  </si>
  <si>
    <t>1yEcT9OdHOTog4-qQ-BJQknoW8P_412V7</t>
  </si>
  <si>
    <t>https://drive.google.com/file/d/1yEcT9OdHOTog4-qQ-BJQknoW8P_412V7/view?usp=drivesdk</t>
  </si>
  <si>
    <t>Document successfully created; Document successfully merged; PDF created; Emails Sent: [To: sujalsinghpro@gmail.com]; Run via form trigger as codectechnologies0@gmail.com; Timestamp: Sep 7, 2026 12:03 PM</t>
  </si>
  <si>
    <t>Raunak Yadav</t>
  </si>
  <si>
    <t>raunakyadav843@gmail.com</t>
  </si>
  <si>
    <t xml:space="preserve">Samrat ashok Rajkiya Engineering college Mirzapur </t>
  </si>
  <si>
    <t>17y0M3yGVDvrQ_3keCVI-wA5YaIcA7BFp</t>
  </si>
  <si>
    <t>https://drive.google.com/file/d/17y0M3yGVDvrQ_3keCVI-wA5YaIcA7BFp/view?usp=drivesdk</t>
  </si>
  <si>
    <t>Document successfully created; Document successfully merged; PDF created; Emails Sent: [To: raunakyadav843@gmail.com]; Run via form trigger as codectechnologies0@gmail.com; Timestamp: Sep 7, 2026 12:13 PM</t>
  </si>
  <si>
    <t>Garima Shukla</t>
  </si>
  <si>
    <t>18QrZXjMFWGTkPOkQ8BpXkMoiMXX-mZUV</t>
  </si>
  <si>
    <t>https://drive.google.com/file/d/18QrZXjMFWGTkPOkQ8BpXkMoiMXX-mZUV/view?usp=drivesdk</t>
  </si>
  <si>
    <t>Document successfully created; Document successfully merged; PDF created; Emails Sent: [To: sakshamsggupta0@gmail.com]; Run via form trigger as codectechnologies0@gmail.com; Timestamp: Sep 7, 2026 12:15 PM</t>
  </si>
  <si>
    <t>sunny748839@gmail.com</t>
  </si>
  <si>
    <t>1ttiyMPZkxVo4Uq70dJlLBdAFT4CEkqVa</t>
  </si>
  <si>
    <t>https://drive.google.com/file/d/1ttiyMPZkxVo4Uq70dJlLBdAFT4CEkqVa/view?usp=drivesdk</t>
  </si>
  <si>
    <t>Document successfully created; Document successfully merged; PDF created; Emails Sent: [To: sunny748839@gmail.com]; Run via form trigger as codectechnologies0@gmail.com; Timestamp: Sep 7, 2026 12:16 PM</t>
  </si>
  <si>
    <t>adityakumar2k31810@gmail.com</t>
  </si>
  <si>
    <t xml:space="preserve">NIT PATNA </t>
  </si>
  <si>
    <t>1ZkR5eiW1RaBiGXD4dBvXfHyJb3yzd96o</t>
  </si>
  <si>
    <t>https://drive.google.com/file/d/1ZkR5eiW1RaBiGXD4dBvXfHyJb3yzd96o/view?usp=drivesdk</t>
  </si>
  <si>
    <t>Document successfully created; Document successfully merged; PDF created; Emails Sent: [To: adityakumar2k31810@gmail.com]; Run via form trigger as codectechnologies0@gmail.com; Timestamp: Sep 7, 2026 12:19 PM</t>
  </si>
  <si>
    <t>Pranav Kumar Verma</t>
  </si>
  <si>
    <t>pranavkumarverma26@gmail.com</t>
  </si>
  <si>
    <t>1yCy4YGzbRB1-bOHy8m_dMN1V0toaWZ94</t>
  </si>
  <si>
    <t>https://drive.google.com/file/d/1yCy4YGzbRB1-bOHy8m_dMN1V0toaWZ94/view?usp=drivesdk</t>
  </si>
  <si>
    <t>Document successfully created; Document successfully merged; PDF created; Emails Sent: [To: pranavkumarverma26@gmail.com]; Run via form trigger as codectechnologies0@gmail.com; Timestamp: Sep 7, 2026 12:22 PM</t>
  </si>
  <si>
    <t>Vikash Kumar</t>
  </si>
  <si>
    <t>eklavyaperson@gmail.com</t>
  </si>
  <si>
    <t>1CT2D0JmbMsknNC1wo-LP7eyVbEDUNyn4</t>
  </si>
  <si>
    <t>https://drive.google.com/file/d/1CT2D0JmbMsknNC1wo-LP7eyVbEDUNyn4/view?usp=drivesdk</t>
  </si>
  <si>
    <t>Document successfully created; Document successfully merged; PDF created; Emails Sent: [To: eklavyaperson@gmail.com]; Run via form trigger as codectechnologies0@gmail.com; Timestamp: Sep 7, 2026 12:23 PM</t>
  </si>
  <si>
    <t>Ashirwad Parashar</t>
  </si>
  <si>
    <t>ashirwadparashar@gmail.com</t>
  </si>
  <si>
    <t>1qBzC3MjH1-BmrwVTEAwNk7sdRt8qze3O</t>
  </si>
  <si>
    <t>https://drive.google.com/file/d/1qBzC3MjH1-BmrwVTEAwNk7sdRt8qze3O/view?usp=drivesdk</t>
  </si>
  <si>
    <t>Document successfully created; Document successfully merged; PDF created; Emails Sent: [To: ashirwadparashar@gmail.com]; Run via form trigger as codectechnologies0@gmail.com; Timestamp: Sep 7, 2026 12:24 PM</t>
  </si>
  <si>
    <t>Piyush Singh Bisht</t>
  </si>
  <si>
    <t>singhpiyush3010@gmail.com</t>
  </si>
  <si>
    <t>1e_EsE8NvwAVgmravWU0l7DmN18XmqVx0</t>
  </si>
  <si>
    <t>https://drive.google.com/file/d/1e_EsE8NvwAVgmravWU0l7DmN18XmqVx0/view?usp=drivesdk</t>
  </si>
  <si>
    <t>Document successfully created; Document successfully merged; PDF created; Emails Sent: [To: singhpiyush3010@gmail.com]; Run via form trigger as codectechnologies0@gmail.com; Timestamp: Sep 7, 2026 12:27 PM</t>
  </si>
  <si>
    <t>Dharshan K URK24CS5057</t>
  </si>
  <si>
    <t>dharshank24@karunya.edu.in</t>
  </si>
  <si>
    <t>1_eKWBU1avuaY57bGWTe5yJnGuUQBTfBU</t>
  </si>
  <si>
    <t>https://drive.google.com/file/d/1_eKWBU1avuaY57bGWTe5yJnGuUQBTfBU/view?usp=drivesdk</t>
  </si>
  <si>
    <t>Document successfully created; Document successfully merged; PDF created; Emails Sent: [To: dharshank24@karunya.edu.in]; Run via form trigger as codectechnologies0@gmail.com; Timestamp: Sep 7, 2026 12:29 PM</t>
  </si>
  <si>
    <t>SRIDHARALA YASWANTH KUMAR</t>
  </si>
  <si>
    <t>sridharalay@gmail.com</t>
  </si>
  <si>
    <t>NXT WAVE INSTITUTE OF ADVANCED TECHNOLOGY (NIAT)</t>
  </si>
  <si>
    <t>1I9F4NaeVuZP7I7BfSBNt13H6hwA7Ydy1</t>
  </si>
  <si>
    <t>https://drive.google.com/file/d/1I9F4NaeVuZP7I7BfSBNt13H6hwA7Ydy1/view?usp=drivesdk</t>
  </si>
  <si>
    <t>Document successfully created; Document successfully merged; PDF created; Emails Sent: [To: sridharalay@gmail.com]; Run via form trigger as codectechnologies0@gmail.com; Timestamp: Sep 7, 2026 12:30 PM</t>
  </si>
  <si>
    <t>Vidyanshu Kumar</t>
  </si>
  <si>
    <t>vidyanshu.25scs1003003200@iilm.edu</t>
  </si>
  <si>
    <t>IILM UNIVERSITY GREATOR NOIDA</t>
  </si>
  <si>
    <t>1n5qYmrc9K0kPrH-dFr2G7EyjQys251ak</t>
  </si>
  <si>
    <t>https://drive.google.com/file/d/1n5qYmrc9K0kPrH-dFr2G7EyjQys251ak/view?usp=drivesdk</t>
  </si>
  <si>
    <t>Document successfully created; Document successfully merged; PDF created; Emails Sent: [To: vidyanshu.25scs1003003200@iilm.edu]; Run via form trigger as codectechnologies0@gmail.com; Timestamp: Sep 7, 2026 12:38 PM</t>
  </si>
  <si>
    <t xml:space="preserve">Aakula Ganesh Yadav </t>
  </si>
  <si>
    <t>ganeshyadav3628@gmail.com</t>
  </si>
  <si>
    <t xml:space="preserve">Aditya university </t>
  </si>
  <si>
    <t>1hL-WSWqbljGBrAZZM2omXV8g789m1c2Q</t>
  </si>
  <si>
    <t>https://drive.google.com/file/d/1hL-WSWqbljGBrAZZM2omXV8g789m1c2Q/view?usp=drivesdk</t>
  </si>
  <si>
    <t>Document successfully created; Document successfully merged; PDF created; Emails Sent: [To: ganeshyadav3628@gmail.com]; Run via form trigger as codectechnologies0@gmail.com; Timestamp: Sep 7, 2026 12:39 PM</t>
  </si>
  <si>
    <t>Sushmita Vishwakarma</t>
  </si>
  <si>
    <t>sushmitavishwa99@gmail.com</t>
  </si>
  <si>
    <t xml:space="preserve">Ballari institute of technology and management </t>
  </si>
  <si>
    <t>1hsjvhLlp-eoR15x7QwzJs4v9xNIRnpvx</t>
  </si>
  <si>
    <t>https://drive.google.com/file/d/1hsjvhLlp-eoR15x7QwzJs4v9xNIRnpvx/view?usp=drivesdk</t>
  </si>
  <si>
    <t>Document successfully created; Document successfully merged; PDF created; Emails Sent: [To: sushmitavishwa99@gmail.com]; Run via form trigger as codectechnologies0@gmail.com; Timestamp: Sep 7, 2026 12:43 PM</t>
  </si>
  <si>
    <t>1vTA9d1RuR0hYK2lt6UuHxcxleedtlp8n</t>
  </si>
  <si>
    <t>https://drive.google.com/file/d/1vTA9d1RuR0hYK2lt6UuHxcxleedtlp8n/view?usp=drivesdk</t>
  </si>
  <si>
    <t>Document successfully created; Document successfully merged; PDF created; Emails Sent: [To: ashirwadparashar@gmail.com]; Run via form trigger as codectechnologies0@gmail.com; Timestamp: Sep 7, 2026 12:46 PM</t>
  </si>
  <si>
    <t>Vaishnavi Vasantrao Kharate</t>
  </si>
  <si>
    <t>vaishnavikharate21@gmail.com</t>
  </si>
  <si>
    <t xml:space="preserve">Gramin technical and management campus vishnupuri Nanded </t>
  </si>
  <si>
    <t>11ehgDjQ0nBCUb09goUbAiK8xtVVQMtzT</t>
  </si>
  <si>
    <t>https://drive.google.com/file/d/11ehgDjQ0nBCUb09goUbAiK8xtVVQMtzT/view?usp=drivesdk</t>
  </si>
  <si>
    <t>Document successfully created; Document successfully merged; PDF created; Emails Sent: [To: vaishnavikharate21@gmail.com]; Run via form trigger as codectechnologies0@gmail.com; Timestamp: Sep 7, 2026 12:47 PM</t>
  </si>
  <si>
    <t>Derwin ULK24CS7002</t>
  </si>
  <si>
    <t>15fYT8UBEwMTlyygA70SMgvVbvEEucPee</t>
  </si>
  <si>
    <t>https://drive.google.com/file/d/15fYT8UBEwMTlyygA70SMgvVbvEEucPee/view?usp=drivesdk</t>
  </si>
  <si>
    <t>Document successfully created; Document successfully merged; PDF created; Emails Sent: [To: dharshank24@karunya.edu.in]; Run via form trigger as codectechnologies0@gmail.com; Timestamp: Sep 7, 2026 12:49 PM</t>
  </si>
  <si>
    <t>Reetesh Pal</t>
  </si>
  <si>
    <t>devibosso84@gmail.com</t>
  </si>
  <si>
    <t xml:space="preserve">IIlm university greater Noida </t>
  </si>
  <si>
    <t>1dgM-xhVU1RTQYXCOcAihTmhlUBdZcDlx</t>
  </si>
  <si>
    <t>https://drive.google.com/file/d/1dgM-xhVU1RTQYXCOcAihTmhlUBdZcDlx/view?usp=drivesdk</t>
  </si>
  <si>
    <t>Document successfully created; Document successfully merged; PDF created; Emails Sent: [To: devibosso84@gmail.com]; Run via form trigger as codectechnologies0@gmail.com; Timestamp: Sep 7, 2026 12:51 PM</t>
  </si>
  <si>
    <t>Hemant</t>
  </si>
  <si>
    <t>jangrahemant572@gmail.com</t>
  </si>
  <si>
    <t>UIET KURUKSHETRA</t>
  </si>
  <si>
    <t>1ozHlaZEScBrBQg5P3tG2SRXIMHNEBrF6</t>
  </si>
  <si>
    <t>https://drive.google.com/file/d/1ozHlaZEScBrBQg5P3tG2SRXIMHNEBrF6/view?usp=drivesdk</t>
  </si>
  <si>
    <t>Document successfully created; Document successfully merged; PDF created; Emails Sent: [To: jangrahemant572@gmail.com]; Run via form trigger as codectechnologies0@gmail.com; Timestamp: Sep 7, 2026 12:53 PM</t>
  </si>
  <si>
    <t>Bhagyashri Laxmikant Gunaga</t>
  </si>
  <si>
    <t>bhagyashrigunaga@gmail.com</t>
  </si>
  <si>
    <t>RV UNIVERSITY</t>
  </si>
  <si>
    <t>1rQI5zto07dXZAzVG1cH6XAewr1jiFm7u</t>
  </si>
  <si>
    <t>https://drive.google.com/file/d/1rQI5zto07dXZAzVG1cH6XAewr1jiFm7u/view?usp=drivesdk</t>
  </si>
  <si>
    <t>Document successfully created; Document successfully merged; PDF created; Emails Sent: [To: bhagyashrigunaga@gmail.com]; Run via form trigger as codectechnologies0@gmail.com; Timestamp: Sep 7, 2026 12:55 PM</t>
  </si>
  <si>
    <t>Riya Bhagat</t>
  </si>
  <si>
    <t>riyabhagat00911@gmail.com</t>
  </si>
  <si>
    <t xml:space="preserve">DAV college Amritsar </t>
  </si>
  <si>
    <t>1slN-4beQ5NktRd0RgqEXPNBdXjfyGA3T</t>
  </si>
  <si>
    <t>https://drive.google.com/file/d/1slN-4beQ5NktRd0RgqEXPNBdXjfyGA3T/view?usp=drivesdk</t>
  </si>
  <si>
    <t>Document successfully created; Document successfully merged; PDF created; Emails Sent: [To: riyabhagat00911@gmail.com]; Run via form trigger as codectechnologies0@gmail.com; Timestamp: Sep 7, 2026 12:56 PM</t>
  </si>
  <si>
    <t>Prathama J URK24CS7112</t>
  </si>
  <si>
    <t>prathamaj@karunya.edu.in</t>
  </si>
  <si>
    <t>1ACjVDYxGX_a_fQoJQyoCLkiUOloflW3d</t>
  </si>
  <si>
    <t>https://drive.google.com/file/d/1ACjVDYxGX_a_fQoJQyoCLkiUOloflW3d/view?usp=drivesdk</t>
  </si>
  <si>
    <t>Document successfully created; Document successfully merged; PDF created; Emails Sent: [To: prathamaj@karunya.edu.in]; Run via form trigger as codectechnologies0@gmail.com; Timestamp: Sep 7, 2026 12:58 PM</t>
  </si>
  <si>
    <t>Kushal Shukla</t>
  </si>
  <si>
    <t>Kushal.shukla272007@gmail.com</t>
  </si>
  <si>
    <t>172EJ-REyhkaxHl3jJcC_EUQRuHQ3t0xA</t>
  </si>
  <si>
    <t>https://drive.google.com/file/d/172EJ-REyhkaxHl3jJcC_EUQRuHQ3t0xA/view?usp=drivesdk</t>
  </si>
  <si>
    <t>Document successfully created; Document successfully merged; PDF created; Emails Sent: [To: Kushal.shukla272007@gmail.com]; Run via form trigger as codectechnologies0@gmail.com; Timestamp: Sep 7, 2026 1:06 PM</t>
  </si>
  <si>
    <t>Mohammed  Sameer ahmed</t>
  </si>
  <si>
    <t>sameertwist0315@gmail.com</t>
  </si>
  <si>
    <t>panimalar engginerring college</t>
  </si>
  <si>
    <t>174IIocGfirwhprApyjEyy-Y9hCfBlD4j</t>
  </si>
  <si>
    <t>https://drive.google.com/file/d/174IIocGfirwhprApyjEyy-Y9hCfBlD4j/view?usp=drivesdk</t>
  </si>
  <si>
    <t>Document successfully created; Document successfully merged; PDF created; Emails Sent: [To: sameertwist0315@gmail.com]; Run via form trigger as codectechnologies0@gmail.com; Timestamp: Sep 7, 2026 1:11 PM</t>
  </si>
  <si>
    <t>Pusala Rajesh</t>
  </si>
  <si>
    <t>prajesh12545@gmail.com</t>
  </si>
  <si>
    <t xml:space="preserve">Nehru Institute of Engineering and Technology </t>
  </si>
  <si>
    <t>1aZo4pPJbkYdSZxceB_qcIUILzSSvTQ39</t>
  </si>
  <si>
    <t>https://drive.google.com/file/d/1aZo4pPJbkYdSZxceB_qcIUILzSSvTQ39/view?usp=drivesdk</t>
  </si>
  <si>
    <t>Document successfully created; Document successfully merged; PDF created; Emails Sent: [To: prajesh12545@gmail.com]; Run via form trigger as codectechnologies0@gmail.com; Timestamp: Sep 7, 2026 1:16 PM</t>
  </si>
  <si>
    <t>Dhanendra Ch</t>
  </si>
  <si>
    <t>dhanendrachavakula38@gmail.com</t>
  </si>
  <si>
    <t>Aditya University</t>
  </si>
  <si>
    <t>1PiIULGAAC6H_rdpbMUpWqbf-dpAkhJCh</t>
  </si>
  <si>
    <t>https://drive.google.com/file/d/1PiIULGAAC6H_rdpbMUpWqbf-dpAkhJCh/view?usp=drivesdk</t>
  </si>
  <si>
    <t>Document successfully created; Document successfully merged; PDF created; Emails Sent: [To: dhanendrachavakula38@gmail.com]; Run via form trigger as codectechnologies0@gmail.com; Timestamp: Sep 7, 2026 1:24 PM</t>
  </si>
  <si>
    <t>Aditya badoni</t>
  </si>
  <si>
    <t>adityabadoni03@gmail.com</t>
  </si>
  <si>
    <t>1gvEjeKPN4MWpuWAhZ0TkaRB59xD-if57</t>
  </si>
  <si>
    <t>https://drive.google.com/file/d/1gvEjeKPN4MWpuWAhZ0TkaRB59xD-if57/view?usp=drivesdk</t>
  </si>
  <si>
    <t>Document successfully created; Document successfully merged; PDF created; Emails Sent: [To: adityabadoni03@gmail.com]; Run via form trigger as codectechnologies0@gmail.com; Timestamp: Sep 7, 2026 1:36 PM</t>
  </si>
  <si>
    <t>AYAN PAL</t>
  </si>
  <si>
    <t>ayanpal562006@gmail.com</t>
  </si>
  <si>
    <t>Meghnad Saha Institute of Technology</t>
  </si>
  <si>
    <t>1GI6_gwStWipmEqKLhUQZNMksx6ojJvKX</t>
  </si>
  <si>
    <t>https://drive.google.com/file/d/1GI6_gwStWipmEqKLhUQZNMksx6ojJvKX/view?usp=drivesdk</t>
  </si>
  <si>
    <t>Document successfully created; Document successfully merged; PDF created; Emails Sent: [To: ayanpal562006@gmail.com]; Run via form trigger as codectechnologies0@gmail.com; Timestamp: Sep 7, 2026 1:36 PM</t>
  </si>
  <si>
    <t>Harsh Pandey</t>
  </si>
  <si>
    <t>harsh.25scs1003002396@iilm.edu</t>
  </si>
  <si>
    <t>+91 7052004520</t>
  </si>
  <si>
    <t>1OcV99fUyPMuKOfw2yo-QF2FXu314HC23</t>
  </si>
  <si>
    <t>https://drive.google.com/file/d/1OcV99fUyPMuKOfw2yo-QF2FXu314HC23/view?usp=drivesdk</t>
  </si>
  <si>
    <t>Document successfully created; Document successfully merged; PDF created; Emails Sent: [To: harsh.25scs1003002396@iilm.edu]; Run via form trigger as codectechnologies0@gmail.com; Timestamp: Sep 7, 2026 1:41 PM</t>
  </si>
  <si>
    <t>Soujanya S Hiremath</t>
  </si>
  <si>
    <t>soujanyashivanandhiremath.24ds@saividya.ac.in</t>
  </si>
  <si>
    <t>Sai Vidya Institute of Technology Rajanukunte Bangalore</t>
  </si>
  <si>
    <t>1vWIzcXRcykmgQUH84d7B887GCapULRAd</t>
  </si>
  <si>
    <t>https://drive.google.com/file/d/1vWIzcXRcykmgQUH84d7B887GCapULRAd/view?usp=drivesdk</t>
  </si>
  <si>
    <t>Document successfully created; Document successfully merged; PDF created; Emails Sent: [To: soujanyashivanandhiremath.24ds@saividya.ac.in]; Run via form trigger as codectechnologies0@gmail.com; Timestamp: Sep 7, 2026 1:41 PM</t>
  </si>
  <si>
    <t>ayush8895942@gmail.com</t>
  </si>
  <si>
    <t>1WLye-b-PbJcBIxpnxLN4fm2wtpsFwtZK</t>
  </si>
  <si>
    <t>https://drive.google.com/file/d/1WLye-b-PbJcBIxpnxLN4fm2wtpsFwtZK/view?usp=drivesdk</t>
  </si>
  <si>
    <t>Document successfully created; Document successfully merged; PDF created; Emails Sent: [To: ayush8895942@gmail.com]; Run via form trigger as codectechnologies0@gmail.com; Timestamp: Sep 7, 2026 1:48 PM</t>
  </si>
  <si>
    <t xml:space="preserve">Vaishnavi Vishnu Deole </t>
  </si>
  <si>
    <t>vaishudeole@gmail.com</t>
  </si>
  <si>
    <t xml:space="preserve">GH Raisoni College Of Engineering and Management , Nagpur </t>
  </si>
  <si>
    <t>1ZHpCNlAilsAuraaCHdhNzD4OHkDkng7p</t>
  </si>
  <si>
    <t>https://drive.google.com/file/d/1ZHpCNlAilsAuraaCHdhNzD4OHkDkng7p/view?usp=drivesdk</t>
  </si>
  <si>
    <t>Document successfully created; Document successfully merged; PDF created; Emails Sent: [To: vaishudeole@gmail.com]; Run via form trigger as codectechnologies0@gmail.com; Timestamp: Sep 7, 2026 1:51 PM</t>
  </si>
  <si>
    <t xml:space="preserve">Md reyaz </t>
  </si>
  <si>
    <t>mdreyaz6659@gmail.com</t>
  </si>
  <si>
    <t xml:space="preserve">Uttranchal university dehradun </t>
  </si>
  <si>
    <t>1XFgRDWsbYakMJTAi2LcuZvTgIfu94eOS</t>
  </si>
  <si>
    <t>https://drive.google.com/file/d/1XFgRDWsbYakMJTAi2LcuZvTgIfu94eOS/view?usp=drivesdk</t>
  </si>
  <si>
    <t>Document successfully created; Document successfully merged; PDF created; Emails Sent: [To: mdreyaz6659@gmail.com]; Run via form trigger as codectechnologies0@gmail.com; Timestamp: Sep 7, 2026 1:51 PM</t>
  </si>
  <si>
    <t>Md Reyaz</t>
  </si>
  <si>
    <t xml:space="preserve">Uttranchal university online </t>
  </si>
  <si>
    <t>1FnhpTsYRiS0ju4EmBp5tSgkCtgy7xLFF</t>
  </si>
  <si>
    <t>https://drive.google.com/file/d/1FnhpTsYRiS0ju4EmBp5tSgkCtgy7xLFF/view?usp=drivesdk</t>
  </si>
  <si>
    <t>Document successfully created; Document successfully merged; PDF created; Emails Sent: [To: mdreyaz6659@gmail.com]; Run via form trigger as codectechnologies0@gmail.com; Timestamp: Sep 7, 2026 1:53 PM</t>
  </si>
  <si>
    <t xml:space="preserve">Trisha Tanvi </t>
  </si>
  <si>
    <t>trishtanvi1@gmail.com</t>
  </si>
  <si>
    <t>+91 87092 11022</t>
  </si>
  <si>
    <t>1Ce-EVPFXAswptjmri-jjbx4v-sUu2VO3</t>
  </si>
  <si>
    <t>https://drive.google.com/file/d/1Ce-EVPFXAswptjmri-jjbx4v-sUu2VO3/view?usp=drivesdk</t>
  </si>
  <si>
    <t>Document successfully created; Document successfully merged; PDF created; Emails Sent: [To: trishtanvi1@gmail.com]; Run via form trigger as codectechnologies0@gmail.com; Timestamp: Sep 7, 2026 1:58 PM</t>
  </si>
  <si>
    <t>1LNJNFuNUx4WVG9K4p6wX815W40F63LB2</t>
  </si>
  <si>
    <t>https://drive.google.com/file/d/1LNJNFuNUx4WVG9K4p6wX815W40F63LB2/view?usp=drivesdk</t>
  </si>
  <si>
    <t>Document successfully created; Document successfully merged; PDF created; Emails Sent: [To: ankitakaswan2004@gmail.com]; Run via form trigger as codectechnologies0@gmail.com; Timestamp: Sep 7, 2026 2:07 PM</t>
  </si>
  <si>
    <t xml:space="preserve">GOVERNMENT POLYTECHNIC COLLEGE CHURU </t>
  </si>
  <si>
    <t>1s4JG5eASxBJA5cazcwoWKBHespICowIn</t>
  </si>
  <si>
    <t>https://drive.google.com/file/d/1s4JG5eASxBJA5cazcwoWKBHespICowIn/view?usp=drivesdk</t>
  </si>
  <si>
    <t>Document successfully created; Document successfully merged; PDF created; Emails Sent: [To: ankitakaswan2004@gmail.com]; Run via form trigger as codectechnologies0@gmail.com; Timestamp: Sep 7, 2026 2:12 PM</t>
  </si>
  <si>
    <t>Ashish Kumar Sinha</t>
  </si>
  <si>
    <t>ashish.25scs1003000519@iilm.edu</t>
  </si>
  <si>
    <t>1-3D_DOCf5Cvh08P5UKNfVASObRQDf3l9</t>
  </si>
  <si>
    <t>https://drive.google.com/file/d/1-3D_DOCf5Cvh08P5UKNfVASObRQDf3l9/view?usp=drivesdk</t>
  </si>
  <si>
    <t>Document successfully created; Document successfully merged; PDF created; Emails Sent: [To: ashish.25scs1003000519@iilm.edu]; Run via form trigger as codectechnologies0@gmail.com; Timestamp: Sep 7, 2026 2:16 PM</t>
  </si>
  <si>
    <t>Mohd Monis Khan</t>
  </si>
  <si>
    <t>monis.25scs1003003251@iilm.edu</t>
  </si>
  <si>
    <t>1PrRoXD1QqeUjsXpTV5DS6x2La4u78j94</t>
  </si>
  <si>
    <t>https://drive.google.com/file/d/1PrRoXD1QqeUjsXpTV5DS6x2La4u78j94/view?usp=drivesdk</t>
  </si>
  <si>
    <t>Document successfully created; Document successfully merged; PDF created; Emails Sent: [To: monis.25scs1003003251@iilm.edu]; Run via form trigger as codectechnologies0@gmail.com; Timestamp: Sep 7, 2026 2:18 PM</t>
  </si>
  <si>
    <t>ARYAN RAWAL</t>
  </si>
  <si>
    <t xml:space="preserve">aryanoncam123@gmail.com </t>
  </si>
  <si>
    <t>1YFVZWzGhU366njPaldFb3qFgJDwIkw2_</t>
  </si>
  <si>
    <t>https://drive.google.com/file/d/1YFVZWzGhU366njPaldFb3qFgJDwIkw2_/view?usp=drivesdk</t>
  </si>
  <si>
    <t>Document successfully created; Document successfully merged; PDF created; Emails Sent: [To: aryanoncam123@gmail.com]; Run via form trigger as codectechnologies0@gmail.com; Timestamp: Sep 7, 2026 2:19 PM</t>
  </si>
  <si>
    <t>ayush957090@gmail.com</t>
  </si>
  <si>
    <t>1fxzvWni9uSjZeSOCz1CV0XT8e0cuMJ-9</t>
  </si>
  <si>
    <t>https://drive.google.com/file/d/1fxzvWni9uSjZeSOCz1CV0XT8e0cuMJ-9/view?usp=drivesdk</t>
  </si>
  <si>
    <t>Document successfully created; Document successfully merged; PDF created; Emails Sent: [To: ayush957090@gmail.com]; Run via form trigger as codectechnologies0@gmail.com; Timestamp: Sep 7, 2026 2:19 PM</t>
  </si>
  <si>
    <t>17PUkrXKnuCPSQnCob6WQfJVubZVpVBSL</t>
  </si>
  <si>
    <t>https://drive.google.com/file/d/17PUkrXKnuCPSQnCob6WQfJVubZVpVBSL/view?usp=drivesdk</t>
  </si>
  <si>
    <t>Document successfully created; Document successfully merged; PDF created; Emails Sent: [To: ankitakaswan2004@gmail.com]; Run via form trigger as codectechnologies0@gmail.com; Timestamp: Sep 7, 2026 2:20 PM</t>
  </si>
  <si>
    <t>Parshant</t>
  </si>
  <si>
    <t>Parshant.25soe1004000914@iilm.edu</t>
  </si>
  <si>
    <t>1L6OWjyKXoNGBFcS0aBIXMJpQfqsxOFbx</t>
  </si>
  <si>
    <t>https://drive.google.com/file/d/1L6OWjyKXoNGBFcS0aBIXMJpQfqsxOFbx/view?usp=drivesdk</t>
  </si>
  <si>
    <t>Document successfully created; Document successfully merged; PDF created; Emails Sent: [To: Parshant.25soe1004000914@iilm.edu]; Run via form trigger as codectechnologies0@gmail.com; Timestamp: Sep 7, 2026 2:45 PM</t>
  </si>
  <si>
    <t>Aryamann Sisodiya</t>
  </si>
  <si>
    <t>sisodiyaaryamann2003@gmail.com</t>
  </si>
  <si>
    <t>Galgotias College of Engineering and Technology</t>
  </si>
  <si>
    <t>1xFArVIreaUakhYyWD23XVHsAfzRbckqC</t>
  </si>
  <si>
    <t>https://drive.google.com/file/d/1xFArVIreaUakhYyWD23XVHsAfzRbckqC/view?usp=drivesdk</t>
  </si>
  <si>
    <t>Document successfully created; Document successfully merged; PDF created; Emails Sent: [To: sisodiyaaryamann2003@gmail.com]; Run via form trigger as codectechnologies0@gmail.com; Timestamp: Sep 7, 2026 2:45 PM</t>
  </si>
  <si>
    <t>PATEL HARSHIL</t>
  </si>
  <si>
    <t>patelharshil0237@gmail.com</t>
  </si>
  <si>
    <t xml:space="preserve">Government Engineering College Valsad </t>
  </si>
  <si>
    <t>1Iuf0yae-AP_Se5OQfAPK3qSgSk7BiNlw</t>
  </si>
  <si>
    <t>https://drive.google.com/file/d/1Iuf0yae-AP_Se5OQfAPK3qSgSk7BiNlw/view?usp=drivesdk</t>
  </si>
  <si>
    <t>Document successfully created; Document successfully merged; PDF created; Emails Sent: [To: patelharshil0237@gmail.com]; Run via form trigger as codectechnologies0@gmail.com; Timestamp: Sep 7, 2026 2:48 PM</t>
  </si>
  <si>
    <t xml:space="preserve">Swet Kumar </t>
  </si>
  <si>
    <t>swet.25scs1003003199@iilm.edu</t>
  </si>
  <si>
    <t>1-QRbUhYInekm4EgUvV1gsYQ-AJwNV0v9</t>
  </si>
  <si>
    <t>https://drive.google.com/file/d/1-QRbUhYInekm4EgUvV1gsYQ-AJwNV0v9/view?usp=drivesdk</t>
  </si>
  <si>
    <t>Document successfully created; Document successfully merged; PDF created; Emails Sent: [To: swet.25scs1003003199@iilm.edu]; Run via form trigger as codectechnologies0@gmail.com; Timestamp: Sep 7, 2026 3:13 PM</t>
  </si>
  <si>
    <t>Arindam Chatterjee</t>
  </si>
  <si>
    <t>arindamchatterjee1898@gmail.com</t>
  </si>
  <si>
    <t>Galgotias College Of Engineering &amp; Technology</t>
  </si>
  <si>
    <t>1sw0njREOqHBPjO6L6Jy5V9CbRmtdS2dW</t>
  </si>
  <si>
    <t>https://drive.google.com/file/d/1sw0njREOqHBPjO6L6Jy5V9CbRmtdS2dW/view?usp=drivesdk</t>
  </si>
  <si>
    <t>Document successfully created; Document successfully merged; PDF created; Emails Sent: [To: arindamchatterjee1898@gmail.com]; Run via form trigger as codectechnologies0@gmail.com; Timestamp: Sep 7, 2026 3:28 PM</t>
  </si>
  <si>
    <t>Devashish Kumar Poddar</t>
  </si>
  <si>
    <t>devashish.25scs1003003192@iilm.edu</t>
  </si>
  <si>
    <t>1PQ1S-bQMEJdYr1Qgt8sqGZbGQeLtH4K4</t>
  </si>
  <si>
    <t>https://drive.google.com/file/d/1PQ1S-bQMEJdYr1Qgt8sqGZbGQeLtH4K4/view?usp=drivesdk</t>
  </si>
  <si>
    <t>Document successfully created; Document successfully merged; PDF created; Emails Sent: [To: devashish.25scs1003003192@iilm.edu]; Run via form trigger as codectechnologies0@gmail.com; Timestamp: Sep 7, 2026 3:48 PM</t>
  </si>
  <si>
    <t xml:space="preserve">SAGAR SUNIL THAKARE </t>
  </si>
  <si>
    <t>sagar841200@gmail.com</t>
  </si>
  <si>
    <t xml:space="preserve">GHRCEMN Nagpur </t>
  </si>
  <si>
    <t>1o_hhbhvj68xJhpN0BSBsWsEgF59vpOUn</t>
  </si>
  <si>
    <t>https://drive.google.com/file/d/1o_hhbhvj68xJhpN0BSBsWsEgF59vpOUn/view?usp=drivesdk</t>
  </si>
  <si>
    <t>Document successfully created; Document successfully merged; PDF created; Emails Sent: [To: sagar841200@gmail.com]; Run via form trigger as codectechnologies0@gmail.com; Timestamp: Sep 7, 2026 5:26 PM</t>
  </si>
  <si>
    <t>Ritesh Kumar Singh</t>
  </si>
  <si>
    <t>riteshggps62026@gmail.com</t>
  </si>
  <si>
    <t>NIET</t>
  </si>
  <si>
    <t>19VeP13bvdnkhpDBH8kTV54qyk2LYNtTG</t>
  </si>
  <si>
    <t>https://drive.google.com/file/d/19VeP13bvdnkhpDBH8kTV54qyk2LYNtTG/view?usp=drivesdk</t>
  </si>
  <si>
    <t>Document successfully created; Document successfully merged; PDF created; Emails Sent: [To: riteshggps62026@gmail.com]; Run via form trigger as codectechnologies0@gmail.com; Timestamp: Sep 7, 2026 5:42 PM</t>
  </si>
  <si>
    <t>Diksha Gagde</t>
  </si>
  <si>
    <t>dikshagagde09@gmail.com</t>
  </si>
  <si>
    <t xml:space="preserve">Annie Institute of Technology and Research Centre Chhindwara </t>
  </si>
  <si>
    <t>1pevJnC1Pqku9lSwlCmxomqtOZFuqnkkr</t>
  </si>
  <si>
    <t>https://drive.google.com/file/d/1pevJnC1Pqku9lSwlCmxomqtOZFuqnkkr/view?usp=drivesdk</t>
  </si>
  <si>
    <t>Document successfully created; Document successfully merged; PDF created; Emails Sent: [To: dikshagagde09@gmail.com]; Run via form trigger as codectechnologies0@gmail.com; Timestamp: Sep 7, 2026 6:29 PM</t>
  </si>
  <si>
    <t xml:space="preserve">YASH GUPTA </t>
  </si>
  <si>
    <t>yash04438@gmail.com</t>
  </si>
  <si>
    <t xml:space="preserve">CGC LANDRAN </t>
  </si>
  <si>
    <t>1rZxsXn7wtvHZ8RaF8ifJH-GVb7CGlp95</t>
  </si>
  <si>
    <t>https://drive.google.com/file/d/1rZxsXn7wtvHZ8RaF8ifJH-GVb7CGlp95/view?usp=drivesdk</t>
  </si>
  <si>
    <t>Document successfully created; Document successfully merged; PDF created; Emails Sent: [To: yash04438@gmail.com]; Run via form trigger as codectechnologies0@gmail.com; Timestamp: Sep 7, 2026 8:10 PM</t>
  </si>
  <si>
    <t>Ruthwik A U</t>
  </si>
  <si>
    <t>auruthwik541@gmail.com</t>
  </si>
  <si>
    <t xml:space="preserve">Atria Institute of Technology </t>
  </si>
  <si>
    <t>1ahDYVIUnElJXxlsTp9cyGRJnshyJIQo2</t>
  </si>
  <si>
    <t>https://drive.google.com/file/d/1ahDYVIUnElJXxlsTp9cyGRJnshyJIQo2/view?usp=drivesdk</t>
  </si>
  <si>
    <t>Document successfully created; Document successfully merged; PDF created; Emails Sent: [To: auruthwik541@gmail.com]; Run via form trigger as codectechnologies0@gmail.com; Timestamp: Sep 7, 2026 9:10 PM</t>
  </si>
  <si>
    <t>Aman Sahani</t>
  </si>
  <si>
    <t>aman555sahani@gmail.com</t>
  </si>
  <si>
    <t>Dr.A.P.J.Abdul Kalam Technical University</t>
  </si>
  <si>
    <t>13JfaX5R27ae-vR6l92qflEsQg_zNqa46</t>
  </si>
  <si>
    <t>https://drive.google.com/file/d/13JfaX5R27ae-vR6l92qflEsQg_zNqa46/view?usp=drivesdk</t>
  </si>
  <si>
    <t>Document successfully created; Document successfully merged; PDF created; Emails Sent: [To: aman555sahani@gmail.com]; Run via form trigger as codectechnologies0@gmail.com; Timestamp: Sep 7, 2026 9:24 PM</t>
  </si>
  <si>
    <t>1pIDPUSkAJVDy8RxEbIBenhFRvIPM7709</t>
  </si>
  <si>
    <t>https://drive.google.com/file/d/1pIDPUSkAJVDy8RxEbIBenhFRvIPM7709/view?usp=drivesdk</t>
  </si>
  <si>
    <t>Document successfully created; Document successfully merged; PDF created; Emails Sent: [To: aman555sahani@gmail.com]; Run via form trigger as codectechnologies0@gmail.com; Timestamp: Sep 7, 2026 9:28 PM</t>
  </si>
  <si>
    <t>1E2oatSGHtKMaanT63Q_UYp3aWsq-E94m</t>
  </si>
  <si>
    <t>https://drive.google.com/file/d/1E2oatSGHtKMaanT63Q_UYp3aWsq-E94m/view?usp=drivesdk</t>
  </si>
  <si>
    <t>Document successfully created; Document successfully merged; PDF created; Emails Sent: [To: aman555sahani@gmail.com]; Run via form trigger as codectechnologies0@gmail.com; Timestamp: Sep 7, 2026 9:32 PM</t>
  </si>
  <si>
    <t>1N_3sfmHk0GPQh8-IGJgdpT7xETGhYypR</t>
  </si>
  <si>
    <t>https://drive.google.com/file/d/1N_3sfmHk0GPQh8-IGJgdpT7xETGhYypR/view?usp=drivesdk</t>
  </si>
  <si>
    <t>Document successfully created; Document successfully merged; PDF created; Emails Sent: [To: aman555sahani@gmail.com]; Run via form trigger as codectechnologies0@gmail.com; Timestamp: Sep 7, 2026 9:38 PM</t>
  </si>
  <si>
    <t>Om Shukla</t>
  </si>
  <si>
    <t>shuklaom735@gmail.com</t>
  </si>
  <si>
    <t>1-ieXsXpfYg3aT-U83iPiP5k5HfmGlTQ4</t>
  </si>
  <si>
    <t>https://drive.google.com/file/d/1-ieXsXpfYg3aT-U83iPiP5k5HfmGlTQ4/view?usp=drivesdk</t>
  </si>
  <si>
    <t>Document successfully created; Document successfully merged; PDF created; Emails Sent: [To: shuklaom735@gmail.com]; Run via form trigger as codectechnologies0@gmail.com; Timestamp: Sep 7, 2026 10:27 PM</t>
  </si>
  <si>
    <t>Abhishek Singh</t>
  </si>
  <si>
    <t>abhishek.13012006@gmail.com</t>
  </si>
  <si>
    <t>1lTdOb3HnaSow4q4qujaTwpPqAgM_ZLiw</t>
  </si>
  <si>
    <t>https://drive.google.com/file/d/1lTdOb3HnaSow4q4qujaTwpPqAgM_ZLiw/view?usp=drivesdk</t>
  </si>
  <si>
    <t>Document successfully created; Document successfully merged; PDF created; Emails Sent: [To: abhishek.13012006@gmail.com]; Run via form trigger as codectechnologies0@gmail.com; Timestamp: Sep 7, 2026 11:23 PM</t>
  </si>
  <si>
    <t>Anoopkumar</t>
  </si>
  <si>
    <t>anoopkumarpshetty@gmail.com</t>
  </si>
  <si>
    <t>09964434353</t>
  </si>
  <si>
    <t xml:space="preserve">Sai Vidya Institute of Technology </t>
  </si>
  <si>
    <t>15dyl6BVziB429M43FqhXEb2hBMM0Ylxk</t>
  </si>
  <si>
    <t>https://drive.google.com/file/d/15dyl6BVziB429M43FqhXEb2hBMM0Ylxk/view?usp=drivesdk</t>
  </si>
  <si>
    <t>Document successfully created; Document successfully merged; PDF created; Emails Sent: [To: anoopkumarpshetty@gmail.com]; Run via form trigger as codectechnologies0@gmail.com; Timestamp: Sep 7, 2026 11:39 PM</t>
  </si>
  <si>
    <t>Gullala Vedaanga varma</t>
  </si>
  <si>
    <t>vedaangavarma7@gmail.com</t>
  </si>
  <si>
    <t>1zbUfrM-k8CQzvDXq228RjC5C6yQRxMUv</t>
  </si>
  <si>
    <t>https://drive.google.com/file/d/1zbUfrM-k8CQzvDXq228RjC5C6yQRxMUv/view?usp=drivesdk</t>
  </si>
  <si>
    <t>Document successfully created; Document successfully merged; PDF created; Emails Sent: [To: vedaangavarma7@gmail.com]; Run via form trigger as codectechnologies0@gmail.com; Timestamp: Sep 7, 2026 11:46 PM</t>
  </si>
  <si>
    <t>Ansh Yadav</t>
  </si>
  <si>
    <t>251837@kit.ac.in</t>
  </si>
  <si>
    <t xml:space="preserve">Kanpur Institute Of Technology </t>
  </si>
  <si>
    <t>1W6VV1HC0neiHQGJVvYwBAYmmvBek6m06</t>
  </si>
  <si>
    <t>https://drive.google.com/file/d/1W6VV1HC0neiHQGJVvYwBAYmmvBek6m06/view?usp=drivesdk</t>
  </si>
  <si>
    <t>Document successfully created; Document successfully merged; PDF created; Emails Sent: [To: 251837@kit.ac.in]; Run via form trigger as codectechnologies0@gmail.com; Timestamp: Sep 8, 2026 12:05 AM</t>
  </si>
  <si>
    <t>Varsha Jana</t>
  </si>
  <si>
    <t>varshajana618@gmail.com</t>
  </si>
  <si>
    <t xml:space="preserve">Swift college </t>
  </si>
  <si>
    <t>1hSQz8bMJfeMjlIuqKKFeMoQ_NnBoDTa-</t>
  </si>
  <si>
    <t>https://drive.google.com/file/d/1hSQz8bMJfeMjlIuqKKFeMoQ_NnBoDTa-/view?usp=drivesdk</t>
  </si>
  <si>
    <t>Document successfully created; Document successfully merged; PDF created; Emails Sent: [To: varshajana618@gmail.com]; Run via form trigger as codectechnologies0@gmail.com; Timestamp: Sep 8, 2026 12:08 AM</t>
  </si>
  <si>
    <t xml:space="preserve">Haritha Pamarthi </t>
  </si>
  <si>
    <t>harithagowdapamarthi@gmail.com</t>
  </si>
  <si>
    <t xml:space="preserve">Sagi Rama krishnam Raju Engineering college </t>
  </si>
  <si>
    <t>1VfRDq8ix5TLEA_0fFfELmZBCKl0GtFPj</t>
  </si>
  <si>
    <t>https://drive.google.com/file/d/1VfRDq8ix5TLEA_0fFfELmZBCKl0GtFPj/view?usp=drivesdk</t>
  </si>
  <si>
    <t>Document successfully created; Document successfully merged; PDF created; Emails Sent: [To: harithagowdapamarthi@gmail.com]; Run via form trigger as codectechnologies0@gmail.com; Timestamp: Sep 8, 2026 12:17 AM</t>
  </si>
  <si>
    <t>Reddy  Hasini durga</t>
  </si>
  <si>
    <t>reddy.hasinidurga2307@gmail.com</t>
  </si>
  <si>
    <t xml:space="preserve">Sagi rama krishnam raju college(SRKR) </t>
  </si>
  <si>
    <t>14K0rDrkF15LFtEGhPgi_8AbdWDM7Ty7v</t>
  </si>
  <si>
    <t>https://drive.google.com/file/d/14K0rDrkF15LFtEGhPgi_8AbdWDM7Ty7v/view?usp=drivesdk</t>
  </si>
  <si>
    <t>Document successfully created; Document successfully merged; PDF created; Emails Sent: [To: reddy.hasinidurga2307@gmail.com]; Run via form trigger as codectechnologies0@gmail.com; Timestamp: Sep 8, 2026 12:17 AM</t>
  </si>
  <si>
    <t xml:space="preserve">Anurag Kumar </t>
  </si>
  <si>
    <t>vermaanurag58210@gmail.com</t>
  </si>
  <si>
    <t>07456075005</t>
  </si>
  <si>
    <t xml:space="preserve">Arya College of Engineering and It </t>
  </si>
  <si>
    <t>1oAl7rC3JFwzu5ibHPh1eOv6AvopABle-</t>
  </si>
  <si>
    <t>https://drive.google.com/file/d/1oAl7rC3JFwzu5ibHPh1eOv6AvopABle-/view?usp=drivesdk</t>
  </si>
  <si>
    <t>Document successfully created; Document successfully merged; PDF created; Emails Sent: [To: vermaanurag58210@gmail.com]; Run via form trigger as codectechnologies0@gmail.com; Timestamp: Sep 8, 2026 12:34 AM</t>
  </si>
  <si>
    <t>anuragp07070@gmail.com</t>
  </si>
  <si>
    <t>1ga5HP_cWLENbKOjKn7B6kGtASrjsq72E</t>
  </si>
  <si>
    <t>https://drive.google.com/file/d/1ga5HP_cWLENbKOjKn7B6kGtASrjsq72E/view?usp=drivesdk</t>
  </si>
  <si>
    <t>Document successfully created; Document successfully merged; PDF created; Emails Sent: [To: anuragp07070@gmail.com]; Run via form trigger as codectechnologies0@gmail.com; Timestamp: Sep 8, 2026 12:39 AM</t>
  </si>
  <si>
    <t>Potla Teja sri</t>
  </si>
  <si>
    <t>potlatejasri@gmail.com</t>
  </si>
  <si>
    <t>1PlRuT2-ZBXLFTAwSfAdDTMa_nAAOFZ_e</t>
  </si>
  <si>
    <t>https://drive.google.com/file/d/1PlRuT2-ZBXLFTAwSfAdDTMa_nAAOFZ_e/view?usp=drivesdk</t>
  </si>
  <si>
    <t>Document successfully created; Document successfully merged; PDF created; Emails Sent: [To: potlatejasri@gmail.com]; Run via form trigger as codectechnologies0@gmail.com; Timestamp: Sep 8, 2026 12:41 AM</t>
  </si>
  <si>
    <t>1G0_3Q3GqauhHDqKk-y0EkTl9UjDFqs7F</t>
  </si>
  <si>
    <t>https://drive.google.com/file/d/1G0_3Q3GqauhHDqKk-y0EkTl9UjDFqs7F/view?usp=drivesdk</t>
  </si>
  <si>
    <t>Document successfully created; Document successfully merged; PDF created; Emails Sent: [To: anuragp07070@gmail.com]; Run via form trigger as codectechnologies0@gmail.com; Timestamp: Sep 8, 2026 12:47 AM</t>
  </si>
  <si>
    <t>Aniket Dasharath Jadhav</t>
  </si>
  <si>
    <t>aniketjadhav1229@gmail.com</t>
  </si>
  <si>
    <t>University of Mumbai</t>
  </si>
  <si>
    <t>17o1Snjn0xY9Dl7VtSfJpfdpTxcrl9aFc</t>
  </si>
  <si>
    <t>https://drive.google.com/file/d/17o1Snjn0xY9Dl7VtSfJpfdpTxcrl9aFc/view?usp=drivesdk</t>
  </si>
  <si>
    <t>Document successfully created; Document successfully merged; PDF created; Emails Sent: [To: aniketjadhav1229@gmail.com]; Run via form trigger as codectechnologies0@gmail.com; Timestamp: Sep 8, 2026 12:50 AM</t>
  </si>
  <si>
    <t>Mohit Gangwar</t>
  </si>
  <si>
    <t>mohitgangwar623@gmail.com</t>
  </si>
  <si>
    <t>Regional college of professional studies and Research Bareilly</t>
  </si>
  <si>
    <t>1xMFBN2cuhayCKA3EHaW8ILOKVsmkFZ1R</t>
  </si>
  <si>
    <t>https://drive.google.com/file/d/1xMFBN2cuhayCKA3EHaW8ILOKVsmkFZ1R/view?usp=drivesdk</t>
  </si>
  <si>
    <t>Document successfully created; Document successfully merged; PDF created; Emails Sent: [To: mohitgangwar623@gmail.com]; Run via form trigger as codectechnologies0@gmail.com; Timestamp: Sep 8, 2026 12:57 AM</t>
  </si>
  <si>
    <t xml:space="preserve">Priyanshu Priya </t>
  </si>
  <si>
    <t>priyanshupriya371@gmail.com</t>
  </si>
  <si>
    <t>1ni28tGgGur4RsFrbOJDLDUYhtgxRa8i5</t>
  </si>
  <si>
    <t>https://drive.google.com/file/d/1ni28tGgGur4RsFrbOJDLDUYhtgxRa8i5/view?usp=drivesdk</t>
  </si>
  <si>
    <t>Document successfully created; Document successfully merged; PDF created; Emails Sent: [To: priyanshupriya371@gmail.com]; Run via form trigger as codectechnologies0@gmail.com; Timestamp: Sep 8, 2026 12:58 AM</t>
  </si>
  <si>
    <t>SHERJIN S</t>
  </si>
  <si>
    <t>sherjins2024@gmail.com</t>
  </si>
  <si>
    <t>07540051482</t>
  </si>
  <si>
    <t>karunya Institute of Technology and Sciences</t>
  </si>
  <si>
    <t>1Q213-u9fv0lvNn07HHZ5FTQtWJgXvEiD</t>
  </si>
  <si>
    <t>https://drive.google.com/file/d/1Q213-u9fv0lvNn07HHZ5FTQtWJgXvEiD/view?usp=drivesdk</t>
  </si>
  <si>
    <t>Document successfully created; Document successfully merged; PDF created; Emails Sent: [To: sherjins2024@gmail.com]; Run via form trigger as codectechnologies0@gmail.com; Timestamp: Sep 8, 2026 1:06 AM</t>
  </si>
  <si>
    <t>Pruthiraj Samal</t>
  </si>
  <si>
    <t>pruthirajsamal8802@gmail.com</t>
  </si>
  <si>
    <t xml:space="preserve">Bhadak Institute of Engineering and Technology </t>
  </si>
  <si>
    <t>1Btjmgxu3wDKX7FtNXzEbbRhozEvQPnOC</t>
  </si>
  <si>
    <t>https://drive.google.com/file/d/1Btjmgxu3wDKX7FtNXzEbbRhozEvQPnOC/view?usp=drivesdk</t>
  </si>
  <si>
    <t>Document successfully created; Document successfully merged; PDF created; Emails Sent: [To: pruthirajsamal8802@gmail.com]; Run via form trigger as codectechnologies0@gmail.com; Timestamp: Sep 8, 2026 1:07 AM</t>
  </si>
  <si>
    <t xml:space="preserve">Abhay Kumar Singh </t>
  </si>
  <si>
    <t>1MgeRku2ORW7LnsJ_OK6mWoKww2MDPNkS</t>
  </si>
  <si>
    <t>https://drive.google.com/file/d/1MgeRku2ORW7LnsJ_OK6mWoKww2MDPNkS/view?usp=drivesdk</t>
  </si>
  <si>
    <t>Document successfully created; Document successfully merged; PDF created; Emails Sent: [To: syhddbkk@gmail.com]; Run via form trigger as codectechnologies0@gmail.com; Timestamp: Sep 8, 2026 1:22 AM</t>
  </si>
  <si>
    <t xml:space="preserve">Ram Prakash </t>
  </si>
  <si>
    <t>ramaprakashpandey@gmail.com</t>
  </si>
  <si>
    <t xml:space="preserve">Samrat Ashok Rajkiya engineering College Mirzapur </t>
  </si>
  <si>
    <t>1bsIbr6A6FF3I5QqGOpXLGpOQiH4YuyfB</t>
  </si>
  <si>
    <t>https://drive.google.com/file/d/1bsIbr6A6FF3I5QqGOpXLGpOQiH4YuyfB/view?usp=drivesdk</t>
  </si>
  <si>
    <t>Document successfully created; Document successfully merged; PDF created; Emails Sent: [To: ramaprakashpandey@gmail.com]; Run via form trigger as codectechnologies0@gmail.com; Timestamp: Sep 8, 2026 1:24 AM</t>
  </si>
  <si>
    <t>Anjali Chamoli</t>
  </si>
  <si>
    <t>anjalichamoli42@gmail.com</t>
  </si>
  <si>
    <t xml:space="preserve">Veer Madho Singh Bhandari Uttarakhand Technical University </t>
  </si>
  <si>
    <t>1uTaRK-Rcq2bikEf_Z3bNz9ZhH3BcLU9v</t>
  </si>
  <si>
    <t>https://drive.google.com/file/d/1uTaRK-Rcq2bikEf_Z3bNz9ZhH3BcLU9v/view?usp=drivesdk</t>
  </si>
  <si>
    <t>Document successfully created; Document successfully merged; PDF created; Emails Sent: [To: anjalichamoli42@gmail.com]; Run via form trigger as codectechnologies0@gmail.com; Timestamp: Sep 8, 2026 1:29 AM</t>
  </si>
  <si>
    <t>Ravikant kumar giri</t>
  </si>
  <si>
    <t>ravikantkumar84626@gmail.com</t>
  </si>
  <si>
    <t>1ShjqEqjSAriZqHB_FtJiHGyDwaKqYj_X</t>
  </si>
  <si>
    <t>https://drive.google.com/file/d/1ShjqEqjSAriZqHB_FtJiHGyDwaKqYj_X/view?usp=drivesdk</t>
  </si>
  <si>
    <t>Document successfully created; Document successfully merged; PDF created; Emails Sent: [To: ravikantkumar84626@gmail.com]; Run via form trigger as codectechnologies0@gmail.com; Timestamp: Sep 8, 2026 1:32 AM</t>
  </si>
  <si>
    <t>piyushbaghel8755062819@gmail.com</t>
  </si>
  <si>
    <t>1HqjtG5sAd2ypR5n7f4BbER-F0PDq8A3z</t>
  </si>
  <si>
    <t>https://drive.google.com/file/d/1HqjtG5sAd2ypR5n7f4BbER-F0PDq8A3z/view?usp=drivesdk</t>
  </si>
  <si>
    <t>Document successfully created; Document successfully merged; PDF created; Emails Sent: [To: piyushbaghel8755062819@gmail.com]; Run via form trigger as codectechnologies0@gmail.com; Timestamp: Sep 8, 2026 1:38 AM</t>
  </si>
  <si>
    <t>1GBvdIsEl8X0dWfanmZN02oDx9wxrmmRp</t>
  </si>
  <si>
    <t>https://drive.google.com/file/d/1GBvdIsEl8X0dWfanmZN02oDx9wxrmmRp/view?usp=drivesdk</t>
  </si>
  <si>
    <t>Document successfully created; Document successfully merged; PDF created; Emails Sent: [To: ravikantkumar84626@gmail.com]; Run via form trigger as codectechnologies0@gmail.com; Timestamp: Sep 8, 2026 1:40 AM</t>
  </si>
  <si>
    <t>Bapi Kumar Das</t>
  </si>
  <si>
    <t>bapaikumardass@gmail.com</t>
  </si>
  <si>
    <t>Amity University Kolkata</t>
  </si>
  <si>
    <t>1Tcs-ykKCC2vPWEcBp4Q7MB3IEQYEw4Pn</t>
  </si>
  <si>
    <t>https://drive.google.com/file/d/1Tcs-ykKCC2vPWEcBp4Q7MB3IEQYEw4Pn/view?usp=drivesdk</t>
  </si>
  <si>
    <t>Document successfully created; Document successfully merged; PDF created; Emails Sent: [To: bapaikumardass@gmail.com]; Run via form trigger as codectechnologies0@gmail.com; Timestamp: Sep 8, 2026 1:52 AM</t>
  </si>
  <si>
    <t>Suprajit Maity</t>
  </si>
  <si>
    <t>suprajitmaity77@gmail.com</t>
  </si>
  <si>
    <t>Swami Vivekananda University</t>
  </si>
  <si>
    <t>1X8IZXZpB1chmDhnAiHyvs9ntHOFm6V94</t>
  </si>
  <si>
    <t>https://drive.google.com/file/d/1X8IZXZpB1chmDhnAiHyvs9ntHOFm6V94/view?usp=drivesdk</t>
  </si>
  <si>
    <t>Document successfully created; Document successfully merged; PDF created; Emails Sent: [To: suprajitmaity77@gmail.com]; Run via form trigger as codectechnologies0@gmail.com; Timestamp: Sep 8, 2026 1:59 AM</t>
  </si>
  <si>
    <t>09883870936</t>
  </si>
  <si>
    <t>1mW0tJ2ZpKuq7YlsRNb8YVVIyWCvdNpVl</t>
  </si>
  <si>
    <t>https://drive.google.com/file/d/1mW0tJ2ZpKuq7YlsRNb8YVVIyWCvdNpVl/view?usp=drivesdk</t>
  </si>
  <si>
    <t>Document successfully created; Document successfully merged; PDF created; !!Error Sending Emails: Service invoked too many times for one day: email.; Run via form trigger as codectechnologies0@gmail.com; Timestamp: Sep 8, 2026 2:10 AM</t>
  </si>
  <si>
    <t>ANURAG MISHRA</t>
  </si>
  <si>
    <t>fasting9696@gmail.com</t>
  </si>
  <si>
    <t>09696365440</t>
  </si>
  <si>
    <t xml:space="preserve">Abes Engineering College </t>
  </si>
  <si>
    <t>1NaFaPkFxb1G7WrVzN2Bvu_Wf8j2VWyKg</t>
  </si>
  <si>
    <t>https://drive.google.com/file/d/1NaFaPkFxb1G7WrVzN2Bvu_Wf8j2VWyKg/view?usp=drivesdk</t>
  </si>
  <si>
    <t>Document successfully created; Document successfully merged; PDF created; Emails Sent: [To: fasting9696@gmail.com]; Run via form trigger as codectechnologies0@gmail.com; Timestamp: Sep 8, 2026 2:13 AM</t>
  </si>
  <si>
    <t xml:space="preserve">HARSH MEHTA </t>
  </si>
  <si>
    <t>harsh2193m@gmail.com</t>
  </si>
  <si>
    <t xml:space="preserve">fairfield institute of management and technology </t>
  </si>
  <si>
    <t>1uEB6b8WtKbbSa-L1TZwVyhTdpsrY2Qzk</t>
  </si>
  <si>
    <t>https://drive.google.com/file/d/1uEB6b8WtKbbSa-L1TZwVyhTdpsrY2Qzk/view?usp=drivesdk</t>
  </si>
  <si>
    <t>Document successfully created; Document successfully merged; PDF created; Emails Sent: [To: harsh2193m@gmail.com]; Run via form trigger as codectechnologies0@gmail.com; Timestamp: Sep 8, 2026 2:20 AM</t>
  </si>
  <si>
    <t xml:space="preserve">Shashi kumar Prasad </t>
  </si>
  <si>
    <t>shashikumar06771@gmail.com</t>
  </si>
  <si>
    <t>1wFBF26SYENIiOihN5Fu-xIJNbgtKfqm8</t>
  </si>
  <si>
    <t>https://drive.google.com/file/d/1wFBF26SYENIiOihN5Fu-xIJNbgtKfqm8/view?usp=drivesdk</t>
  </si>
  <si>
    <t>Document successfully created; Document successfully merged; PDF created; !!Error Sending Emails: Service invoked too many times for one day: email.; Run via form trigger as codectechnologies0@gmail.com; Timestamp: Sep 8, 2026 2:22 AM</t>
  </si>
  <si>
    <t>1VENm5dv3BQ2hmUhntiBJnlW0nsqPAqQg</t>
  </si>
  <si>
    <t>https://drive.google.com/file/d/1VENm5dv3BQ2hmUhntiBJnlW0nsqPAqQg/view?usp=drivesdk</t>
  </si>
  <si>
    <t>Document successfully created; Document successfully merged; PDF created; Emails Sent: [To: shashikumar06771@gmail.com]; Run via form trigger as codectechnologies0@gmail.com; Timestamp: Sep 8, 2026 2:26 AM</t>
  </si>
  <si>
    <t xml:space="preserve">shashi kumar Prasad </t>
  </si>
  <si>
    <t>1S4HV7_qtlcyqV0sddg5ebzKyowUrakpk</t>
  </si>
  <si>
    <t>https://drive.google.com/file/d/1S4HV7_qtlcyqV0sddg5ebzKyowUrakpk/view?usp=drivesdk</t>
  </si>
  <si>
    <t>Document successfully created; Document successfully merged; PDF created; !!Error Sending Emails: Service invoked too many times for one day: email.; Run via form trigger as codectechnologies0@gmail.com; Timestamp: Sep 8, 2026 2:29 AM</t>
  </si>
  <si>
    <t>1Oc8UyTopirmKMgM00AA68-8dshwJ12Xt</t>
  </si>
  <si>
    <t>https://drive.google.com/file/d/1Oc8UyTopirmKMgM00AA68-8dshwJ12Xt/view?usp=drivesdk</t>
  </si>
  <si>
    <t>Document successfully created; Document successfully merged; PDF created; Emails Sent: [To: shashikumar06771@gmail.com]; Run via form trigger as codectechnologies0@gmail.com; Timestamp: Sep 8, 2026 2:31 AM</t>
  </si>
  <si>
    <t xml:space="preserve">Saurabh Kumar Singh </t>
  </si>
  <si>
    <t>sauravcpr36@gmail.com</t>
  </si>
  <si>
    <t>1YiA_H-6XEep7SUeMGQxSHjuIHkLMqaU0</t>
  </si>
  <si>
    <t>https://drive.google.com/file/d/1YiA_H-6XEep7SUeMGQxSHjuIHkLMqaU0/view?usp=drivesdk</t>
  </si>
  <si>
    <t>Document successfully created; Document successfully merged; PDF created; Emails Sent: [To: sauravcpr36@gmail.com]; Run via form trigger as codectechnologies0@gmail.com; Timestamp: Sep 8, 2026 2:42 AM</t>
  </si>
  <si>
    <t>Harshit bhalla</t>
  </si>
  <si>
    <t>harshit.25scs1003001347@iilm.edu</t>
  </si>
  <si>
    <t>99586 14450</t>
  </si>
  <si>
    <t>1mrfXDGZ0o30xtwxbCUHyEUXVRkov1tb4</t>
  </si>
  <si>
    <t>https://drive.google.com/file/d/1mrfXDGZ0o30xtwxbCUHyEUXVRkov1tb4/view?usp=drivesdk</t>
  </si>
  <si>
    <t>Document successfully created; Document successfully merged; PDF created; Emails Sent: [To: harshit.25scs1003001347@iilm.edu]; Run via form trigger as codectechnologies0@gmail.com; Timestamp: Sep 8, 2026 2:50 AM</t>
  </si>
  <si>
    <t>YASH VILAS CHINCHOLE</t>
  </si>
  <si>
    <t>yashchinchole44@gmail.com</t>
  </si>
  <si>
    <t>Indira College Of Commerce And Science</t>
  </si>
  <si>
    <t>1DQCKrvWpXTZ2MqH2_FG8hObWzNX6z75n</t>
  </si>
  <si>
    <t>https://drive.google.com/file/d/1DQCKrvWpXTZ2MqH2_FG8hObWzNX6z75n/view?usp=drivesdk</t>
  </si>
  <si>
    <t>Document successfully created; Document successfully merged; PDF created; !!Error Sending Emails: Service invoked too many times for one day: email.; Run via form trigger as codectechnologies0@gmail.com; Timestamp: Sep 8, 2026 2:58 AM</t>
  </si>
  <si>
    <t>Angad Singh</t>
  </si>
  <si>
    <t>mr.angadsingh2905@gmail.com</t>
  </si>
  <si>
    <t>1j43u4ex-GAQwy85KWKL8ubWZVkHlgWCp</t>
  </si>
  <si>
    <t>https://drive.google.com/file/d/1j43u4ex-GAQwy85KWKL8ubWZVkHlgWCp/view?usp=drivesdk</t>
  </si>
  <si>
    <t>Document successfully created; Document successfully merged; PDF created; Emails Sent: [To: mr.angadsingh2905@gmail.com]; Run via form trigger as codectechnologies0@gmail.com; Timestamp: Sep 8, 2026 3:21 AM</t>
  </si>
  <si>
    <t>Dinesh G</t>
  </si>
  <si>
    <t>dineshgdx@gmail.com</t>
  </si>
  <si>
    <t>St Joseph's College of Engineering</t>
  </si>
  <si>
    <t>1q9s2ZIlKuaAriQeYe33JjlStUSTH8_xg</t>
  </si>
  <si>
    <t>https://drive.google.com/file/d/1q9s2ZIlKuaAriQeYe33JjlStUSTH8_xg/view?usp=drivesdk</t>
  </si>
  <si>
    <t>Document successfully created; Document successfully merged; PDF created; !!Error Sending Emails: Service invoked too many times for one day: email.; Run via form trigger as codectechnologies0@gmail.com; Timestamp: Sep 8, 2026 3:24 AM</t>
  </si>
  <si>
    <t>Yash Gorde</t>
  </si>
  <si>
    <t>yashgorde6562gmail.com</t>
  </si>
  <si>
    <t>1bLGOQSlfAo34TM0BDeUiXsYc01AyJwkc</t>
  </si>
  <si>
    <t>https://drive.google.com/file/d/1bLGOQSlfAo34TM0BDeUiXsYc01AyJwkc/view?usp=drivesdk</t>
  </si>
  <si>
    <t>Document successfully created; Document successfully merged; PDF created; !!Error Sending Emails: Invalid email: yashgorde6562gmail.com; Run via form trigger as codectechnologies0@gmail.com; Timestamp: Sep 8, 2026 3:27 AM</t>
  </si>
  <si>
    <t xml:space="preserve">Vijay Lonare </t>
  </si>
  <si>
    <t>vijlonare110@gmail.com</t>
  </si>
  <si>
    <t xml:space="preserve">Pimpri Chinchwad university </t>
  </si>
  <si>
    <t>1Y_iN-NvJaCPHTN9p54Dmx8jDRDHThBOt</t>
  </si>
  <si>
    <t>https://drive.google.com/file/d/1Y_iN-NvJaCPHTN9p54Dmx8jDRDHThBOt/view?usp=drivesdk</t>
  </si>
  <si>
    <t>Document successfully created; Document successfully merged; PDF created; Emails Sent: [To: vijlonare110@gmail.com]; Run via form trigger as codectechnologies0@gmail.com; Timestamp: Sep 8, 2026 3:31 AM</t>
  </si>
  <si>
    <t>Shivam Mishra</t>
  </si>
  <si>
    <t>78shiva.com@gmail.com</t>
  </si>
  <si>
    <t>1uksuw3asTVoIKauxHm-iNaT4fltoDqPp</t>
  </si>
  <si>
    <t>https://drive.google.com/file/d/1uksuw3asTVoIKauxHm-iNaT4fltoDqPp/view?usp=drivesdk</t>
  </si>
  <si>
    <t>Document successfully created; Document successfully merged; PDF created; !!Error Sending Emails: Service invoked too many times for one day: email.; Run via form trigger as codectechnologies0@gmail.com; Timestamp: Sep 8, 2026 3:31 AM</t>
  </si>
  <si>
    <t xml:space="preserve">Shivam Mishra </t>
  </si>
  <si>
    <t>Kaelrik.og@gmail.com</t>
  </si>
  <si>
    <t>1-BB5Vwlnu_5N8R42G1SlMe-C_8GzvO7E</t>
  </si>
  <si>
    <t>https://drive.google.com/file/d/1-BB5Vwlnu_5N8R42G1SlMe-C_8GzvO7E/view?usp=drivesdk</t>
  </si>
  <si>
    <t>Document successfully created; Document successfully merged; PDF created; Emails Sent: [To: Kaelrik.og@gmail.com]; Run via form trigger as codectechnologies0@gmail.com; Timestamp: Sep 8, 2026 3:33 AM</t>
  </si>
  <si>
    <t>DEVIKA ANANT TALEKAR</t>
  </si>
  <si>
    <t>devikatalekar2659@gmail.com</t>
  </si>
  <si>
    <t>DR. D. Y. PATIL PRATISHTHAN COLLEGE OF ENGINEERING SALOKHE-NAGAR KOLHAPUR</t>
  </si>
  <si>
    <t>1XCP5L7XcFFtM4o-Ls5c8VqTzewUbLzeZ</t>
  </si>
  <si>
    <t>https://drive.google.com/file/d/1XCP5L7XcFFtM4o-Ls5c8VqTzewUbLzeZ/view?usp=drivesdk</t>
  </si>
  <si>
    <t>Document successfully created; Document successfully merged; PDF created; !!Error Sending Emails: Service invoked too many times for one day: email.; Run via form trigger as codectechnologies0@gmail.com; Timestamp: Sep 8, 2026 3:35 AM</t>
  </si>
  <si>
    <t>Mihir Chettiar</t>
  </si>
  <si>
    <t>mihirchettiar@gmail.com</t>
  </si>
  <si>
    <t xml:space="preserve">Thakur College of engineering and technology </t>
  </si>
  <si>
    <t>1ZUTSmFG5DICPyCjRKDXc0tHp2oL2V9PH</t>
  </si>
  <si>
    <t>https://drive.google.com/file/d/1ZUTSmFG5DICPyCjRKDXc0tHp2oL2V9PH/view?usp=drivesdk</t>
  </si>
  <si>
    <t>Document successfully created; Document successfully merged; PDF created; Emails Sent: [To: mihirchettiar@gmail.com]; Run via form trigger as codectechnologies0@gmail.com; Timestamp: Sep 8, 2026 3:35 AM</t>
  </si>
  <si>
    <t xml:space="preserve">Sejal Devi </t>
  </si>
  <si>
    <t>itzsej9@gmail.com</t>
  </si>
  <si>
    <t xml:space="preserve">Pimpri Chinchwad University </t>
  </si>
  <si>
    <t>1toOUdGRC5M6ZXJj-AO15-3bkxMBLrqZk</t>
  </si>
  <si>
    <t>https://drive.google.com/file/d/1toOUdGRC5M6ZXJj-AO15-3bkxMBLrqZk/view?usp=drivesdk</t>
  </si>
  <si>
    <t>Document successfully created; Document successfully merged; PDF created; !!Error Sending Emails: Service invoked too many times for one day: email.; Run via form trigger as codectechnologies0@gmail.com; Timestamp: Sep 8, 2026 3:37 AM</t>
  </si>
  <si>
    <t>Raghavendra G Y</t>
  </si>
  <si>
    <t>raghugy15@gmail.com</t>
  </si>
  <si>
    <t xml:space="preserve">Karavali institute of technology mangalore </t>
  </si>
  <si>
    <t>1DNAftmZ32MB6ezdcMaw1pW_syZhQw2lM</t>
  </si>
  <si>
    <t>https://drive.google.com/file/d/1DNAftmZ32MB6ezdcMaw1pW_syZhQw2lM/view?usp=drivesdk</t>
  </si>
  <si>
    <t xml:space="preserve">Mayuresh Joshi </t>
  </si>
  <si>
    <t>joshimayuresh4@gmail.com</t>
  </si>
  <si>
    <t>Pimpri Chinchwad university mohitewadi</t>
  </si>
  <si>
    <t>1RIaj-QwyG6ILxB41DB0e07zkTYityHwV</t>
  </si>
  <si>
    <t>https://drive.google.com/file/d/1RIaj-QwyG6ILxB41DB0e07zkTYityHwV/view?usp=drivesdk</t>
  </si>
  <si>
    <t>Document successfully created; Document successfully merged; PDF created; !!Error Sending Emails: Service invoked too many times for one day: email.; Run via form trigger as codectechnologies0@gmail.com; Timestamp: Sep 8, 2026 3:38 AM</t>
  </si>
  <si>
    <t>Vishal Pawar</t>
  </si>
  <si>
    <t>vishalpawar.dev1128@gmail.com</t>
  </si>
  <si>
    <t xml:space="preserve">Genba Sopanrao Moze Arts, Commerce, Science Collage </t>
  </si>
  <si>
    <t>1WW6pd2MkFlURXQEeBQfeHh8PNFfO-6th</t>
  </si>
  <si>
    <t>https://drive.google.com/file/d/1WW6pd2MkFlURXQEeBQfeHh8PNFfO-6th/view?usp=drivesdk</t>
  </si>
  <si>
    <t>Document successfully created; Document successfully merged; PDF created; Emails Sent: [To: vishalpawar.dev1128@gmail.com]; Run via form trigger as codectechnologies0@gmail.com; Timestamp: Sep 8, 2026 3:42 AM</t>
  </si>
  <si>
    <t>akshubhamkumar098@gmail.com</t>
  </si>
  <si>
    <t>1CpVBE3N0lztFAdWAU8zPNo1av-KvlWs3</t>
  </si>
  <si>
    <t>https://drive.google.com/file/d/1CpVBE3N0lztFAdWAU8zPNo1av-KvlWs3/view?usp=drivesdk</t>
  </si>
  <si>
    <t>Document successfully created; Document successfully merged; PDF created; !!Error Sending Emails: Service invoked too many times for one day: email.; Run via form trigger as codectechnologies0@gmail.com; Timestamp: Sep 8, 2026 3:44 AM</t>
  </si>
  <si>
    <t>Sudhanshu Kumar</t>
  </si>
  <si>
    <t>sudhanshukumarme70@gmail.com</t>
  </si>
  <si>
    <t xml:space="preserve">Deshbhagt University </t>
  </si>
  <si>
    <t>1KRZKQ0I1zmQS3B9v-zST782WsgFzMbll</t>
  </si>
  <si>
    <t>https://drive.google.com/file/d/1KRZKQ0I1zmQS3B9v-zST782WsgFzMbll/view?usp=drivesdk</t>
  </si>
  <si>
    <t xml:space="preserve">Sakshi Dnyaneshwar Borse </t>
  </si>
  <si>
    <t>borsesakshi2003@gmail.com</t>
  </si>
  <si>
    <t xml:space="preserve">Government College Of Engineering Kolhapur </t>
  </si>
  <si>
    <t>1FsWV4RxMx7KnRC83t58fo3hRcWcpix4c</t>
  </si>
  <si>
    <t>https://drive.google.com/file/d/1FsWV4RxMx7KnRC83t58fo3hRcWcpix4c/view?usp=drivesdk</t>
  </si>
  <si>
    <t>Document successfully created; Document successfully merged; PDF created; Emails Sent: [To: borsesakshi2003@gmail.com]; Run via form trigger as codectechnologies0@gmail.com; Timestamp: Sep 8, 2026 3:47 AM</t>
  </si>
  <si>
    <t>Prateek Ahlawat</t>
  </si>
  <si>
    <t>prateekahlawat30@gmail.com</t>
  </si>
  <si>
    <t>1zG0KXtZgQxstU3ri3Burii8YBybCC4WW</t>
  </si>
  <si>
    <t>https://drive.google.com/file/d/1zG0KXtZgQxstU3ri3Burii8YBybCC4WW/view?usp=drivesdk</t>
  </si>
  <si>
    <t>Document successfully created; Document successfully merged; PDF created; !!Error Sending Emails: Service invoked too many times for one day: email.; Run via form trigger as codectechnologies0@gmail.com; Timestamp: Sep 8, 2026 3:47 AM</t>
  </si>
  <si>
    <t>Gaurav Dangi</t>
  </si>
  <si>
    <t>gauravdangi577@gmail.com</t>
  </si>
  <si>
    <t>IPS Academy, Indore</t>
  </si>
  <si>
    <t>Friend, Email, Google</t>
  </si>
  <si>
    <t>1TKvgu-mH1_2p-cj7OAUo0VMB6twxg61g</t>
  </si>
  <si>
    <t>https://drive.google.com/file/d/1TKvgu-mH1_2p-cj7OAUo0VMB6twxg61g/view?usp=drivesdk</t>
  </si>
  <si>
    <t>Document successfully created; Document successfully merged; PDF created; Emails Sent: [To: gauravdangi577@gmail.com]; Run via form trigger as codectechnologies0@gmail.com; Timestamp: Sep 8, 2026 3:49 AM</t>
  </si>
  <si>
    <t>Kavinesh T</t>
  </si>
  <si>
    <t>kavineshthirumal@gmail.com</t>
  </si>
  <si>
    <t>Dayanandha sagar university</t>
  </si>
  <si>
    <t>1QX8iNfEG0orF7_tQEYDJ4IuY59Ym288A</t>
  </si>
  <si>
    <t>https://drive.google.com/file/d/1QX8iNfEG0orF7_tQEYDJ4IuY59Ym288A/view?usp=drivesdk</t>
  </si>
  <si>
    <t>Document successfully created; Document successfully merged; PDF created; !!Error Sending Emails: Service invoked too many times for one day: email.; Run via form trigger as codectechnologies0@gmail.com; Timestamp: Sep 8, 2026 3:58 AM</t>
  </si>
  <si>
    <t>Nitin</t>
  </si>
  <si>
    <t>nitinjangir77269@gmail.com</t>
  </si>
  <si>
    <t>Arya college of Engineering And IT</t>
  </si>
  <si>
    <t>1_uHFvoTVO4K0j2JPbd5gwmKixq4MQUur</t>
  </si>
  <si>
    <t>https://drive.google.com/file/d/1_uHFvoTVO4K0j2JPbd5gwmKixq4MQUur/view?usp=drivesdk</t>
  </si>
  <si>
    <t>Document successfully created; Document successfully merged; PDF created; Emails Sent: [To: nitinjangir77269@gmail.com]; Run via form trigger as codectechnologies0@gmail.com; Timestamp: Sep 8, 2026 3:59 AM</t>
  </si>
  <si>
    <t>Bhavishya Kaushik</t>
  </si>
  <si>
    <t>bhavishyakaushik3288@gmail.com</t>
  </si>
  <si>
    <t>1tRBw3LmVpjDatpiur1xnBG0Dj2Q7fagA</t>
  </si>
  <si>
    <t>https://drive.google.com/file/d/1tRBw3LmVpjDatpiur1xnBG0Dj2Q7fagA/view?usp=drivesdk</t>
  </si>
  <si>
    <t>Document successfully created; Document successfully merged; PDF created; !!Error Sending Emails: Service invoked too many times for one day: email.; Run via form trigger as codectechnologies0@gmail.com; Timestamp: Sep 8, 2026 4:01 AM</t>
  </si>
  <si>
    <t xml:space="preserve">Namami Sharma </t>
  </si>
  <si>
    <t>sharmanamami4@gmail.com</t>
  </si>
  <si>
    <t xml:space="preserve">Samrat Ashoka technological Institute, Vidisha </t>
  </si>
  <si>
    <t>1UAr77iwZcR-3vPTfhsg5pQYG0Ej40tlQ</t>
  </si>
  <si>
    <t>https://drive.google.com/file/d/1UAr77iwZcR-3vPTfhsg5pQYG0Ej40tlQ/view?usp=drivesdk</t>
  </si>
  <si>
    <t>Document successfully created; Document successfully merged; PDF created; !!Error Sending Emails: Service invoked too many times for one day: email.; Run via form trigger as codectechnologies0@gmail.com; Timestamp: Sep 8, 2026 4:02 AM</t>
  </si>
  <si>
    <t>Gourav bamaniya</t>
  </si>
  <si>
    <t>gouravbamaniya456@gmail.com</t>
  </si>
  <si>
    <t>IPS Academy</t>
  </si>
  <si>
    <t>1sGwjugpA2ftpsbWuyY_rd9dqyL9Xftj-</t>
  </si>
  <si>
    <t>https://drive.google.com/file/d/1sGwjugpA2ftpsbWuyY_rd9dqyL9Xftj-/view?usp=drivesdk</t>
  </si>
  <si>
    <t>1RNb5nv4TDytM5hiXOWvYdhmCAMhaiCIa</t>
  </si>
  <si>
    <t>https://drive.google.com/file/d/1RNb5nv4TDytM5hiXOWvYdhmCAMhaiCIa/view?usp=drivesdk</t>
  </si>
  <si>
    <t>Document successfully created; Document successfully merged; PDF created; !!Error Sending Emails: Service invoked too many times for one day: email.; Run via form trigger as codectechnologies0@gmail.com; Timestamp: Sep 8, 2026 4:07 AM</t>
  </si>
  <si>
    <t>Harshit solanki</t>
  </si>
  <si>
    <t>harshitsolanki884@gmail.com</t>
  </si>
  <si>
    <t>IPS college indore</t>
  </si>
  <si>
    <t>1W8Sw-2bHg1tNmiFKqbeZk7AyDduOg63_</t>
  </si>
  <si>
    <t>https://drive.google.com/file/d/1W8Sw-2bHg1tNmiFKqbeZk7AyDduOg63_/view?usp=drivesdk</t>
  </si>
  <si>
    <t>Document successfully created; Document successfully merged; PDF created; !!Error Sending Emails: Service invoked too many times for one day: email.; Run via form trigger as codectechnologies0@gmail.com; Timestamp: Sep 8, 2026 4:19 AM</t>
  </si>
  <si>
    <t xml:space="preserve">JUDHAGIRI VAMSI </t>
  </si>
  <si>
    <t>judhagirivamsi2007@gmail.com</t>
  </si>
  <si>
    <t xml:space="preserve">SIDDHARTH INSTITUTE OF ENGINEERING AND TECHNOLOGY </t>
  </si>
  <si>
    <t>LinkedIn, Instagram, Facebook, WhatsApp, Friend, Email, Google, AICTE/Indeed, Internshala, Other</t>
  </si>
  <si>
    <t>1IbS9BF8ygtdBTpOzcdxzsBqwyEqoBOaJ</t>
  </si>
  <si>
    <t>https://drive.google.com/file/d/1IbS9BF8ygtdBTpOzcdxzsBqwyEqoBOaJ/view?usp=drivesdk</t>
  </si>
  <si>
    <t>Document successfully created; Document successfully merged; PDF created; !!Error Sending Emails: Service invoked too many times for one day: email.; Run via form trigger as codectechnologies0@gmail.com; Timestamp: Sep 8, 2026 4:21 AM</t>
  </si>
  <si>
    <t>Abhishek Kumar Yadav</t>
  </si>
  <si>
    <t>abhishekyadavcoolstar07@gmail.com</t>
  </si>
  <si>
    <t xml:space="preserve">Dr Ambedkar Institute of technology for Divyangjan </t>
  </si>
  <si>
    <t>1M8voMT_SHA2dfpkLeCJ2SvTLBNfUcb3p</t>
  </si>
  <si>
    <t>https://drive.google.com/file/d/1M8voMT_SHA2dfpkLeCJ2SvTLBNfUcb3p/view?usp=drivesdk</t>
  </si>
  <si>
    <t>Document successfully created; Document successfully merged; PDF created; !!Error Sending Emails: Service invoked too many times for one day: email.; Run via form trigger as codectechnologies0@gmail.com; Timestamp: Sep 8, 2026 4:22 AM</t>
  </si>
  <si>
    <t>Dhruv Ladwa</t>
  </si>
  <si>
    <t>dhruvladwa07@gmail.com</t>
  </si>
  <si>
    <t xml:space="preserve">IPS Academy, Indore </t>
  </si>
  <si>
    <t>1glW5jAbaFnpovSCfgZy9iGvrmrjBpEWb</t>
  </si>
  <si>
    <t>https://drive.google.com/file/d/1glW5jAbaFnpovSCfgZy9iGvrmrjBpEWb/view?usp=drivesdk</t>
  </si>
  <si>
    <t>Document successfully created; Document successfully merged; PDF created; !!Error Sending Emails: Service invoked too many times for one day: email.; Run via form trigger as codectechnologies0@gmail.com; Timestamp: Sep 8, 2026 4:27 AM</t>
  </si>
  <si>
    <t>Abhishek Patel</t>
  </si>
  <si>
    <t>abhishek.patel712006@gmail.com</t>
  </si>
  <si>
    <t>1_Z5YjnebjyphSRYe4gCdf9_OiVR9cvZs</t>
  </si>
  <si>
    <t>https://drive.google.com/file/d/1_Z5YjnebjyphSRYe4gCdf9_OiVR9cvZs/view?usp=drivesdk</t>
  </si>
  <si>
    <t>Document successfully created; Document successfully merged; PDF created; !!Error Sending Emails: Service invoked too many times for one day: email.; Run via form trigger as codectechnologies0@gmail.com; Timestamp: Sep 8, 2026 4:29 AM</t>
  </si>
  <si>
    <t xml:space="preserve">Sahil Atul Shende </t>
  </si>
  <si>
    <t>shendesahil033@gmail.com</t>
  </si>
  <si>
    <t xml:space="preserve">Tulsiramji Gaikwad Patil College of engineering and technology </t>
  </si>
  <si>
    <t>1APtowPs944huktOyBURr8Jl7y7pI6oxX</t>
  </si>
  <si>
    <t>https://drive.google.com/file/d/1APtowPs944huktOyBURr8Jl7y7pI6oxX/view?usp=drivesdk</t>
  </si>
  <si>
    <t>Document successfully created; Document successfully merged; PDF created; Emails Sent: [To: shendesahil033@gmail.com]; Run via form trigger as codectechnologies0@gmail.com; Timestamp: Sep 8, 2026 4:30 AM</t>
  </si>
  <si>
    <t>Kausthub D Gowda</t>
  </si>
  <si>
    <t>kausthubkldn@gmail.com</t>
  </si>
  <si>
    <t>Presidency University</t>
  </si>
  <si>
    <t>11nfOGrKuUqE8fjJ-EoheJTZ-RXsTxiyY</t>
  </si>
  <si>
    <t>https://drive.google.com/file/d/11nfOGrKuUqE8fjJ-EoheJTZ-RXsTxiyY/view?usp=drivesdk</t>
  </si>
  <si>
    <t>Document successfully created; Document successfully merged; PDF created; !!Error Sending Emails: Service invoked too many times for one day: email.; Run via form trigger as codectechnologies0@gmail.com; Timestamp: Sep 8, 2026 4:31 AM</t>
  </si>
  <si>
    <t>DINESH KUMAR B</t>
  </si>
  <si>
    <t>dineshkumarbabu04@gmail.com</t>
  </si>
  <si>
    <t>1BCdOiX63yrCmil6Lcc3cjf4sHJv3xUr-</t>
  </si>
  <si>
    <t>https://drive.google.com/file/d/1BCdOiX63yrCmil6Lcc3cjf4sHJv3xUr-/view?usp=drivesdk</t>
  </si>
  <si>
    <t>Document successfully created; Document successfully merged; PDF created; !!Error Sending Emails: Service invoked too many times for one day: email.; Run via form trigger as codectechnologies0@gmail.com; Timestamp: Sep 8, 2026 4:33 AM</t>
  </si>
  <si>
    <t xml:space="preserve">Aleti Srivani </t>
  </si>
  <si>
    <t>srivanialeti2109@gmail.com</t>
  </si>
  <si>
    <t xml:space="preserve">Kakatiya university </t>
  </si>
  <si>
    <t>1el83Jpb0JJUliwE29AIOHwkcphgKgunb</t>
  </si>
  <si>
    <t>https://drive.google.com/file/d/1el83Jpb0JJUliwE29AIOHwkcphgKgunb/view?usp=drivesdk</t>
  </si>
  <si>
    <t>Document successfully created; Document successfully merged; PDF created; !!Error Sending Emails: Service invoked too many times for one day: email.; Run via form trigger as codectechnologies0@gmail.com; Timestamp: Sep 8, 2026 4:34 AM</t>
  </si>
  <si>
    <t>Saurabh Tiwari</t>
  </si>
  <si>
    <t>st5455396@gmail.com</t>
  </si>
  <si>
    <t>1VG04MLcC13XgUN8s4XXUNfqrgTVAs9Cl</t>
  </si>
  <si>
    <t>https://drive.google.com/file/d/1VG04MLcC13XgUN8s4XXUNfqrgTVAs9Cl/view?usp=drivesdk</t>
  </si>
  <si>
    <t>Document successfully created; Document successfully merged; PDF created; !!Error Sending Emails: Service invoked too many times for one day: email.; Run via form trigger as codectechnologies0@gmail.com; Timestamp: Sep 8, 2026 4:35 AM</t>
  </si>
  <si>
    <t>Nitin Yadav</t>
  </si>
  <si>
    <t>nitinyadav929219@gmail.com</t>
  </si>
  <si>
    <t>1Hu37Cg4t9xMlUSa1eVcLB8wtgirmlcgy</t>
  </si>
  <si>
    <t>https://drive.google.com/file/d/1Hu37Cg4t9xMlUSa1eVcLB8wtgirmlcgy/view?usp=drivesdk</t>
  </si>
  <si>
    <t>Document successfully created; Document successfully merged; PDF created; !!Error Sending Emails: Service invoked too many times for one day: email.; Run via form trigger as codectechnologies0@gmail.com; Timestamp: Sep 8, 2026 4:40 AM</t>
  </si>
  <si>
    <t>Jeevesh Prabhu</t>
  </si>
  <si>
    <t>jeeveshprabhu2006@gmail.com</t>
  </si>
  <si>
    <t>1-i0MSi7nOGwzZbg5oTLKsTP_8iKvA8rD</t>
  </si>
  <si>
    <t>https://drive.google.com/file/d/1-i0MSi7nOGwzZbg5oTLKsTP_8iKvA8rD/view?usp=drivesdk</t>
  </si>
  <si>
    <t>Document successfully created; Document successfully merged; PDF created; !!Error Sending Emails: Service invoked too many times for one day: email.; Run via form trigger as codectechnologies0@gmail.com; Timestamp: Sep 8, 2026 4:49 AM</t>
  </si>
  <si>
    <t>1EFp0n6-j4TY_mq-DKrECGR0KkRXfCjQp</t>
  </si>
  <si>
    <t>https://drive.google.com/file/d/1EFp0n6-j4TY_mq-DKrECGR0KkRXfCjQp/view?usp=drivesdk</t>
  </si>
  <si>
    <t>Document successfully created; Document successfully merged; PDF created; !!Error Sending Emails: Service invoked too many times for one day: email.; Run via form trigger as codectechnologies0@gmail.com; Timestamp: Sep 8, 2026 4:52 AM</t>
  </si>
  <si>
    <t>Tejas Kamde</t>
  </si>
  <si>
    <t>kamdetejas7@gmail.com</t>
  </si>
  <si>
    <t xml:space="preserve">Annie institute of technology and research centre </t>
  </si>
  <si>
    <t>1L1Zo19YRpS47D6NHnG1q8WNSixuSUbRo</t>
  </si>
  <si>
    <t>https://drive.google.com/file/d/1L1Zo19YRpS47D6NHnG1q8WNSixuSUbRo/view?usp=drivesdk</t>
  </si>
  <si>
    <t>Document successfully created; Document successfully merged; PDF created; !!Error Sending Emails: Service invoked too many times for one day: email.; Run via form trigger as codectechnologies0@gmail.com; Timestamp: Sep 8, 2026 4:54 AM</t>
  </si>
  <si>
    <t>P.S.Chaitanya Sree</t>
  </si>
  <si>
    <t>pschaitanyasree@gmail.com</t>
  </si>
  <si>
    <t>1doKOTa8wHcGrqxnG9WgYBMFTVZ3nVVN1</t>
  </si>
  <si>
    <t>https://drive.google.com/file/d/1doKOTa8wHcGrqxnG9WgYBMFTVZ3nVVN1/view?usp=drivesdk</t>
  </si>
  <si>
    <t>Document successfully created; Document successfully merged; PDF created; !!Error Sending Emails: Service invoked too many times for one day: email.; Run via form trigger as codectechnologies0@gmail.com; Timestamp: Sep 8, 2026 4:56 AM</t>
  </si>
  <si>
    <t>Harshit Solanki</t>
  </si>
  <si>
    <t>IPS college Indore</t>
  </si>
  <si>
    <t>1MgJLDGxpTJvCPxt2rNLs_IUUm1vsoF1c</t>
  </si>
  <si>
    <t>https://drive.google.com/file/d/1MgJLDGxpTJvCPxt2rNLs_IUUm1vsoF1c/view?usp=drivesdk</t>
  </si>
  <si>
    <t>Document successfully created; Document successfully merged; PDF created; !!Error Sending Emails: Service invoked too many times for one day: email.; Run via form trigger as codectechnologies0@gmail.com; Timestamp: Sep 8, 2026 4:58 AM</t>
  </si>
  <si>
    <t xml:space="preserve">Pranay kumar singh </t>
  </si>
  <si>
    <t>pranaysingh111323@gmail.com</t>
  </si>
  <si>
    <t xml:space="preserve">Iilm University, Greater Noida </t>
  </si>
  <si>
    <t>11zyoz-VbHrJMVeJbiuD3WB6GMVmEDevT</t>
  </si>
  <si>
    <t>https://drive.google.com/file/d/11zyoz-VbHrJMVeJbiuD3WB6GMVmEDevT/view?usp=drivesdk</t>
  </si>
  <si>
    <t>Document successfully created; Document successfully merged; PDF created; !!Error Sending Emails: Service invoked too many times for one day: email.; Run via form trigger as codectechnologies0@gmail.com; Timestamp: Sep 8, 2026 4:59 AM</t>
  </si>
  <si>
    <t>Ameen Basith K</t>
  </si>
  <si>
    <t>ameenbasith2005@gmail.com</t>
  </si>
  <si>
    <t>1Pg2iglmPAZH8T6E12GwMympR1DcWTGUi</t>
  </si>
  <si>
    <t>https://drive.google.com/file/d/1Pg2iglmPAZH8T6E12GwMympR1DcWTGUi/view?usp=drivesdk</t>
  </si>
  <si>
    <t>Document successfully created; Document successfully merged; PDF created; !!Error Sending Emails: Service invoked too many times for one day: email.; Run via form trigger as codectechnologies0@gmail.com; Timestamp: Sep 8, 2026 5:04 AM</t>
  </si>
  <si>
    <t>1GYX1aKEQfAlxdH4-mj6nacDGx40YQNDP</t>
  </si>
  <si>
    <t>https://drive.google.com/file/d/1GYX1aKEQfAlxdH4-mj6nacDGx40YQNDP/view?usp=drivesdk</t>
  </si>
  <si>
    <t>Document successfully created; Document successfully merged; PDF created; Emails Sent: [To: pschaitanyasree@gmail.com]; Run via form trigger as codectechnologies0@gmail.com; Timestamp: Sep 8, 2026 5:09 AM</t>
  </si>
  <si>
    <t>Kanishka K</t>
  </si>
  <si>
    <t>kkanishka40@jnn.edu.in</t>
  </si>
  <si>
    <t>16YrWGUoqD2TMj3agY-C2ReCmsDr4pqyB</t>
  </si>
  <si>
    <t>https://drive.google.com/file/d/16YrWGUoqD2TMj3agY-C2ReCmsDr4pqyB/view?usp=drivesdk</t>
  </si>
  <si>
    <t>Document successfully created; Document successfully merged; PDF created; !!Error Sending Emails: Service invoked too many times for one day: email.; Run via form trigger as codectechnologies0@gmail.com; Timestamp: Sep 8, 2026 5:28 AM</t>
  </si>
  <si>
    <t>md wazid khan</t>
  </si>
  <si>
    <t>mdwazidkhan1102@gmail.com</t>
  </si>
  <si>
    <t>08340408682</t>
  </si>
  <si>
    <t>Khalsa College of engineering and technology</t>
  </si>
  <si>
    <t>1VreWztqmZPuolrq08fhof3oXZMCARN08</t>
  </si>
  <si>
    <t>https://drive.google.com/file/d/1VreWztqmZPuolrq08fhof3oXZMCARN08/view?usp=drivesdk</t>
  </si>
  <si>
    <t>Yash Narendra Chaudhari</t>
  </si>
  <si>
    <t>yashchaudhari302006@gmail.com</t>
  </si>
  <si>
    <t>UKA Tarsadia University, Surat, Gujarat</t>
  </si>
  <si>
    <t>1Mu3WXeysQCuC1IKn77WIRIZLcOxvGdlH</t>
  </si>
  <si>
    <t>https://drive.google.com/file/d/1Mu3WXeysQCuC1IKn77WIRIZLcOxvGdlH/view?usp=drivesdk</t>
  </si>
  <si>
    <t>Document successfully created; Document successfully merged; PDF created; !!Error Sending Emails: Service invoked too many times for one day: email.; Run via form trigger as codectechnologies0@gmail.com; Timestamp: Sep 8, 2026 5:29 AM</t>
  </si>
  <si>
    <t>Akshyat Pattnaik</t>
  </si>
  <si>
    <t>akshyatpattnaik031@gmail.com</t>
  </si>
  <si>
    <t>ITER, SOA University</t>
  </si>
  <si>
    <t>1pyiSMnYGLuogrhvep16-UhYa7U2e3kg6</t>
  </si>
  <si>
    <t>https://drive.google.com/file/d/1pyiSMnYGLuogrhvep16-UhYa7U2e3kg6/view?usp=drivesdk</t>
  </si>
  <si>
    <t>Document successfully created; Document successfully merged; PDF created; !!Error Sending Emails: Service invoked too many times for one day: email.; Run via form trigger as codectechnologies0@gmail.com; Timestamp: Sep 8, 2026 5:31 AM</t>
  </si>
  <si>
    <t>rohitji77390@gmail.com</t>
  </si>
  <si>
    <t>1fgsmTvMLjj78DcWHpnOjRP8mU28jjR6B</t>
  </si>
  <si>
    <t>https://drive.google.com/file/d/1fgsmTvMLjj78DcWHpnOjRP8mU28jjR6B/view?usp=drivesdk</t>
  </si>
  <si>
    <t>Document successfully created; Document successfully merged; PDF created; !!Error Sending Emails: Service invoked too many times for one day: email.; Run via form trigger as codectechnologies0@gmail.com; Timestamp: Sep 8, 2026 5:37 AM</t>
  </si>
  <si>
    <t>1LfAhQol7emmzwmIinPkRy4zm4t-t_Mlj</t>
  </si>
  <si>
    <t>https://drive.google.com/file/d/1LfAhQol7emmzwmIinPkRy4zm4t-t_Mlj/view?usp=drivesdk</t>
  </si>
  <si>
    <t>Document successfully created; Document successfully merged; PDF created; !!Error Sending Emails: Service invoked too many times for one day: email.; Run via form trigger as codectechnologies0@gmail.com; Timestamp: Sep 8, 2026 5:41 AM</t>
  </si>
  <si>
    <t>Khemraj Bhagat</t>
  </si>
  <si>
    <t>khemrajbhagat236@gmail.com</t>
  </si>
  <si>
    <t>1qBuuJq0WOC78zz0pk8uINaOBkNG5XmHx</t>
  </si>
  <si>
    <t>https://drive.google.com/file/d/1qBuuJq0WOC78zz0pk8uINaOBkNG5XmHx/view?usp=drivesdk</t>
  </si>
  <si>
    <t>Document successfully created; Document successfully merged; PDF created; !!Error Sending Emails: Service invoked too many times for one day: email.; Run via form trigger as codectechnologies0@gmail.com; Timestamp: Sep 8, 2026 5:48 AM</t>
  </si>
  <si>
    <t xml:space="preserve">Faizan Khan </t>
  </si>
  <si>
    <t>faizan24135@gmail.com</t>
  </si>
  <si>
    <t>1oR-4AbJr46q-QMAkHuAjfEKwdK51ca2X</t>
  </si>
  <si>
    <t>https://drive.google.com/file/d/1oR-4AbJr46q-QMAkHuAjfEKwdK51ca2X/view?usp=drivesdk</t>
  </si>
  <si>
    <t>Document successfully created; Document successfully merged; PDF created; !!Error Sending Emails: Service invoked too many times for one day: email.; Run via form trigger as codectechnologies0@gmail.com; Timestamp: Sep 8, 2026 5:58 AM</t>
  </si>
  <si>
    <t>THOTA YUGANDHAR SIVA</t>
  </si>
  <si>
    <t>yugandharsivat@gmail.com</t>
  </si>
  <si>
    <t>09030003445</t>
  </si>
  <si>
    <t>1Vlo39h1dZLOwSWZjZbUXGH3pCkpBFApd</t>
  </si>
  <si>
    <t>https://drive.google.com/file/d/1Vlo39h1dZLOwSWZjZbUXGH3pCkpBFApd/view?usp=drivesdk</t>
  </si>
  <si>
    <t>Document successfully created; Document successfully merged; PDF created; !!Error Sending Emails: Service invoked too many times for one day: email.; Run via form trigger as codectechnologies0@gmail.com; Timestamp: Sep 8, 2026 6:09 AM</t>
  </si>
  <si>
    <t>Namami Sharma</t>
  </si>
  <si>
    <t>Samrat Ashoka Technological Institute,Vidisha</t>
  </si>
  <si>
    <t>1EyYnAQmQ2HsKOoZIkEPWi1WRjfR0hC-I</t>
  </si>
  <si>
    <t>https://drive.google.com/file/d/1EyYnAQmQ2HsKOoZIkEPWi1WRjfR0hC-I/view?usp=drivesdk</t>
  </si>
  <si>
    <t>Document successfully created; Document successfully merged; PDF created; !!Error Sending Emails: Service invoked too many times for one day: email.; Run via form trigger as codectechnologies0@gmail.com; Timestamp: Sep 8, 2026 6:17 AM</t>
  </si>
  <si>
    <t>Divya A</t>
  </si>
  <si>
    <t>divyadivi9207@gmail.com</t>
  </si>
  <si>
    <t xml:space="preserve">Arunai Engineering college </t>
  </si>
  <si>
    <t>1rpq48ZaUpDFpOwqJzt3Ovq393uPDFXtL</t>
  </si>
  <si>
    <t>https://drive.google.com/file/d/1rpq48ZaUpDFpOwqJzt3Ovq393uPDFXtL/view?usp=drivesdk</t>
  </si>
  <si>
    <t>Document successfully created; Document successfully merged; PDF created; !!Error Sending Emails: Service invoked too many times for one day: email.; Run via form trigger as codectechnologies0@gmail.com; Timestamp: Sep 8, 2026 6:21 AM</t>
  </si>
  <si>
    <t xml:space="preserve">Komal hemraj koli </t>
  </si>
  <si>
    <t>Komalkoli506@gmail.com</t>
  </si>
  <si>
    <t xml:space="preserve">R C Patel institute of technology shirpur </t>
  </si>
  <si>
    <t>16pkNbxWIrGtKesF_mMGhejB3XSARRidG</t>
  </si>
  <si>
    <t>https://drive.google.com/file/d/16pkNbxWIrGtKesF_mMGhejB3XSARRidG/view?usp=drivesdk</t>
  </si>
  <si>
    <t>Document successfully created; Document successfully merged; PDF created; !!Error Sending Emails: Service invoked too many times for one day: email.; Run via form trigger as codectechnologies0@gmail.com; Timestamp: Sep 8, 2026 6:22 AM</t>
  </si>
  <si>
    <t>Snehasis Padhi</t>
  </si>
  <si>
    <t>snehasispadhi90@gmail.com</t>
  </si>
  <si>
    <t>Siksha 'O' Anusandhan / ITER</t>
  </si>
  <si>
    <t>1l5eKIY37EYEX_OyFxd6pE_ewMYrTWcpr</t>
  </si>
  <si>
    <t>https://drive.google.com/file/d/1l5eKIY37EYEX_OyFxd6pE_ewMYrTWcpr/view?usp=drivesdk</t>
  </si>
  <si>
    <t>Document successfully created; Document successfully merged; PDF created; !!Error Sending Emails: Service invoked too many times for one day: email.; Run via form trigger as codectechnologies0@gmail.com; Timestamp: Sep 8, 2026 6:24 AM</t>
  </si>
  <si>
    <t xml:space="preserve">AYUSH DUBEY </t>
  </si>
  <si>
    <t>shepherdnational@gmail.com</t>
  </si>
  <si>
    <t>Siksha O Anusandhan 'ITER'</t>
  </si>
  <si>
    <t>1iCImPxfQaqFEHBK1QLP5hNc64h8GjOTT</t>
  </si>
  <si>
    <t>https://drive.google.com/file/d/1iCImPxfQaqFEHBK1QLP5hNc64h8GjOTT/view?usp=drivesdk</t>
  </si>
  <si>
    <t>Document successfully created; Document successfully merged; PDF created; !!Error Sending Emails: Service invoked too many times for one day: email.; Run via form trigger as codectechnologies0@gmail.com; Timestamp: Sep 8, 2026 6:30 AM</t>
  </si>
  <si>
    <t>1gvXAsbc9jlz1sMpwH1kXD9u1EnH7qkdb</t>
  </si>
  <si>
    <t>https://drive.google.com/file/d/1gvXAsbc9jlz1sMpwH1kXD9u1EnH7qkdb/view?usp=drivesdk</t>
  </si>
  <si>
    <t>Document successfully created; Document successfully merged; PDF created; !!Error Sending Emails: Service invoked too many times for one day: email.; Run via form trigger as codectechnologies0@gmail.com; Timestamp: Sep 8, 2026 6:31 AM</t>
  </si>
  <si>
    <t xml:space="preserve">Mohammad Saad Qureshi </t>
  </si>
  <si>
    <t>saadq8922@gmail.com</t>
  </si>
  <si>
    <t xml:space="preserve">Polytechnic College Ujjain </t>
  </si>
  <si>
    <t>1HaN6JnfpmCOQ_W5n66HDlqrp8OXPt1by</t>
  </si>
  <si>
    <t>https://drive.google.com/file/d/1HaN6JnfpmCOQ_W5n66HDlqrp8OXPt1by/view?usp=drivesdk</t>
  </si>
  <si>
    <t>Document successfully created; Document successfully merged; PDF created; !!Error Sending Emails: Service invoked too many times for one day: email.; Run via form trigger as codectechnologies0@gmail.com; Timestamp: Sep 8, 2026 6:33 AM</t>
  </si>
  <si>
    <t>Tagur Chinthanippu</t>
  </si>
  <si>
    <t>19wHYirJ_xlo51deh4239UTFFAiyebo1c</t>
  </si>
  <si>
    <t>https://drive.google.com/file/d/19wHYirJ_xlo51deh4239UTFFAiyebo1c/view?usp=drivesdk</t>
  </si>
  <si>
    <t>Document successfully created; Document successfully merged; PDF created; !!Error Sending Emails: Service invoked too many times for one day: email.; Run via form trigger as codectechnologies0@gmail.com; Timestamp: Sep 8, 2026 6:37 AM</t>
  </si>
  <si>
    <t>Pandya Mahi</t>
  </si>
  <si>
    <t>mahipandya986@gmail.com</t>
  </si>
  <si>
    <t>6355 038 938</t>
  </si>
  <si>
    <t>B.H.Gardi College of Engineering &amp; Technology</t>
  </si>
  <si>
    <t>11Scrq4RhsBF2g-RQsOZ2HRD4ZBV-aNho</t>
  </si>
  <si>
    <t>https://drive.google.com/file/d/11Scrq4RhsBF2g-RQsOZ2HRD4ZBV-aNho/view?usp=drivesdk</t>
  </si>
  <si>
    <t>Document successfully created; Document successfully merged; PDF created; !!Error Sending Emails: Service invoked too many times for one day: email.; Run via form trigger as codectechnologies0@gmail.com; Timestamp: Sep 8, 2026 6:39 AM</t>
  </si>
  <si>
    <t>sakshipawar2613@gmail.com</t>
  </si>
  <si>
    <t>Annie institute of technology and research center Chhindwara</t>
  </si>
  <si>
    <t>1We-oW5Yz-t8kltUjqg3Bxe-IMdsvNliZ</t>
  </si>
  <si>
    <t>https://drive.google.com/file/d/1We-oW5Yz-t8kltUjqg3Bxe-IMdsvNliZ/view?usp=drivesdk</t>
  </si>
  <si>
    <t>Document successfully created; Document successfully merged; PDF created; !!Error Sending Emails: Service invoked too many times for one day: email.; Run via form trigger as codectechnologies0@gmail.com; Timestamp: Sep 8, 2026 6:42 AM</t>
  </si>
  <si>
    <t xml:space="preserve">Christy Jasmine Beula E </t>
  </si>
  <si>
    <t>christyjasminebeula@gmail.com</t>
  </si>
  <si>
    <t xml:space="preserve">Arunachala college of Engineering for women </t>
  </si>
  <si>
    <t>1tEE-pbjZLJBruGzKTCV5yFzueX_4kSQD</t>
  </si>
  <si>
    <t>https://drive.google.com/file/d/1tEE-pbjZLJBruGzKTCV5yFzueX_4kSQD/view?usp=drivesdk</t>
  </si>
  <si>
    <t>Document successfully created; Document successfully merged; PDF created; Emails Sent: [To: christyjasminebeula@gmail.com]; Run via form trigger as codectechnologies0@gmail.com; Timestamp: Sep 8, 2026 6:43 AM</t>
  </si>
  <si>
    <t>Divya a</t>
  </si>
  <si>
    <t>1KGCu3Vb5-CAPt9i2umJ2xQAHi9o5yiLB</t>
  </si>
  <si>
    <t>https://drive.google.com/file/d/1KGCu3Vb5-CAPt9i2umJ2xQAHi9o5yiLB/view?usp=drivesdk</t>
  </si>
  <si>
    <t>Document successfully created; Document successfully merged; PDF created; !!Error Sending Emails: Service invoked too many times for one day: email.; Run via form trigger as codectechnologies0@gmail.com; Timestamp: Sep 8, 2026 6:45 AM</t>
  </si>
  <si>
    <t>Raksha Thakur</t>
  </si>
  <si>
    <t>rakshathakur670@gmail.com</t>
  </si>
  <si>
    <t>09226473818</t>
  </si>
  <si>
    <t>1fyI20Ns_Wpmvc2o54MqCUxCffXuJjE8I</t>
  </si>
  <si>
    <t>https://drive.google.com/file/d/1fyI20Ns_Wpmvc2o54MqCUxCffXuJjE8I/view?usp=drivesdk</t>
  </si>
  <si>
    <t>Document successfully created; Document successfully merged; PDF created; !!Error Sending Emails: Service invoked too many times for one day: email.; Run via form trigger as codectechnologies0@gmail.com; Timestamp: Sep 8, 2026 6:51 AM</t>
  </si>
  <si>
    <t>Aadhi kesavan V</t>
  </si>
  <si>
    <t>aadhikesavanv09@gmail.com</t>
  </si>
  <si>
    <t xml:space="preserve">Sona college of technology </t>
  </si>
  <si>
    <t>17fJojrZXFdxReeZ3y2Y6_TBVz4wtYVRN</t>
  </si>
  <si>
    <t>https://drive.google.com/file/d/17fJojrZXFdxReeZ3y2Y6_TBVz4wtYVRN/view?usp=drivesdk</t>
  </si>
  <si>
    <t>Document successfully created; Document successfully merged; PDF created; !!Error Sending Emails: Service invoked too many times for one day: email.; Run via form trigger as codectechnologies0@gmail.com; Timestamp: Sep 8, 2026 7:10 AM</t>
  </si>
  <si>
    <t>Puneeth H</t>
  </si>
  <si>
    <t>puneethh.25ec@saividya.ac.in</t>
  </si>
  <si>
    <t xml:space="preserve">Sai vidya institute of technology </t>
  </si>
  <si>
    <t>1O2JSKUB2bhXn15BYqe5f6F5PtfIAEWt8</t>
  </si>
  <si>
    <t>https://drive.google.com/file/d/1O2JSKUB2bhXn15BYqe5f6F5PtfIAEWt8/view?usp=drivesdk</t>
  </si>
  <si>
    <t>Document successfully created; Document successfully merged; PDF created; !!Error Sending Emails: Service invoked too many times for one day: email.; Run via form trigger as codectechnologies0@gmail.com; Timestamp: Sep 8, 2026 7:16 AM</t>
  </si>
  <si>
    <t>Nandan S</t>
  </si>
  <si>
    <t>nandanspqr@gmail.com</t>
  </si>
  <si>
    <t xml:space="preserve">AJ Institute of Engineering and Technology </t>
  </si>
  <si>
    <t>1MdS0U2LLm8cu4ctjMjfss0V1ivZvaA51</t>
  </si>
  <si>
    <t>https://drive.google.com/file/d/1MdS0U2LLm8cu4ctjMjfss0V1ivZvaA51/view?usp=drivesdk</t>
  </si>
  <si>
    <t>Document successfully created; Document successfully merged; PDF created; !!Error Sending Emails: Service invoked too many times for one day: email.; Run via form trigger as codectechnologies0@gmail.com; Timestamp: Sep 8, 2026 7:24 AM</t>
  </si>
  <si>
    <t>Vishakha Titirmare</t>
  </si>
  <si>
    <t>vishrtitirmare07@gmail.com</t>
  </si>
  <si>
    <t xml:space="preserve">G H Raisoni College of Engineering and Management, Nagpur </t>
  </si>
  <si>
    <t>1TxmsXc1h9KOMwiM7GGCvWwVZIrp-CXvk</t>
  </si>
  <si>
    <t>https://drive.google.com/file/d/1TxmsXc1h9KOMwiM7GGCvWwVZIrp-CXvk/view?usp=drivesdk</t>
  </si>
  <si>
    <t>Document successfully created; Document successfully merged; PDF created; !!Error Sending Emails: Service invoked too many times for one day: email.; Run via form trigger as codectechnologies0@gmail.com; Timestamp: Sep 8, 2026 7:32 AM</t>
  </si>
  <si>
    <t>Yashwanth SN</t>
  </si>
  <si>
    <t>yashunrp@gmail.com</t>
  </si>
  <si>
    <t xml:space="preserve">AJ institute of engineering and technology </t>
  </si>
  <si>
    <t>1SBdsBZvbsJbzrK6J2AvveNnwM55k1VDs</t>
  </si>
  <si>
    <t>https://drive.google.com/file/d/1SBdsBZvbsJbzrK6J2AvveNnwM55k1VDs/view?usp=drivesdk</t>
  </si>
  <si>
    <t>Document successfully created; Document successfully merged; PDF created; !!Error Sending Emails: Service invoked too many times for one day: email.; Run via form trigger as codectechnologies0@gmail.com; Timestamp: Sep 8, 2026 7:36 AM</t>
  </si>
  <si>
    <t>Madhvi suthar</t>
  </si>
  <si>
    <t>madhviiparmar.25@gmail.com</t>
  </si>
  <si>
    <t xml:space="preserve">CLG group of institute technology and engineering , sumerpur </t>
  </si>
  <si>
    <t>1_q_dJ6XxFSCwZnvKeY-3PFJ5Ue4H_4xR</t>
  </si>
  <si>
    <t>https://drive.google.com/file/d/1_q_dJ6XxFSCwZnvKeY-3PFJ5Ue4H_4xR/view?usp=drivesdk</t>
  </si>
  <si>
    <t>Document successfully created; Document successfully merged; PDF created; !!Error Sending Emails: Service invoked too many times for one day: email.; Run via form trigger as codectechnologies0@gmail.com; Timestamp: Sep 8, 2026 7:44 AM</t>
  </si>
  <si>
    <t>Jagannath JAGANNATH</t>
  </si>
  <si>
    <t>jagannathjagannath182@gmail.com</t>
  </si>
  <si>
    <t xml:space="preserve">Hindustan Institute of Technology and Science </t>
  </si>
  <si>
    <t>1Q5rbjCCN22rdmGoJo0F1rFvwAEPhkdKz</t>
  </si>
  <si>
    <t>https://drive.google.com/file/d/1Q5rbjCCN22rdmGoJo0F1rFvwAEPhkdKz/view?usp=drivesdk</t>
  </si>
  <si>
    <t>Document successfully created; Document successfully merged; PDF created; !!Error Sending Emails: Service invoked too many times for one day: email.; Run via form trigger as codectechnologies0@gmail.com; Timestamp: Sep 8, 2026 7:55 AM</t>
  </si>
  <si>
    <t xml:space="preserve">Raj Kannaujiya </t>
  </si>
  <si>
    <t>rajkannaujiya820@gmail.com</t>
  </si>
  <si>
    <t xml:space="preserve">Meerut International Institute of Technology </t>
  </si>
  <si>
    <t>1KfsfwKNLluydSsPqA9I9GtpJkWyRHVIt</t>
  </si>
  <si>
    <t>https://drive.google.com/file/d/1KfsfwKNLluydSsPqA9I9GtpJkWyRHVIt/view?usp=drivesdk</t>
  </si>
  <si>
    <t>Document successfully created; Document successfully merged; PDF created; !!Error Sending Emails: Service invoked too many times for one day: email.; Run via form trigger as codectechnologies0@gmail.com; Timestamp: Sep 8, 2026 7:59 AM</t>
  </si>
  <si>
    <t>1PfkQe43NolfKnBDJsz-L8qB-RDXgswtt</t>
  </si>
  <si>
    <t>https://drive.google.com/file/d/1PfkQe43NolfKnBDJsz-L8qB-RDXgswtt/view?usp=drivesdk</t>
  </si>
  <si>
    <t>Document successfully created; Document successfully merged; PDF created; !!Error Sending Emails: Service invoked too many times for one day: email.; Run via form trigger as codectechnologies0@gmail.com; Timestamp: Sep 8, 2026 8:01 AM</t>
  </si>
  <si>
    <t xml:space="preserve">Jatin yadav </t>
  </si>
  <si>
    <t>nitinjatin59@gmail.com</t>
  </si>
  <si>
    <t>1UbStEqWqL5YyToeH1s1tVYkRIOeniW4s</t>
  </si>
  <si>
    <t>https://drive.google.com/file/d/1UbStEqWqL5YyToeH1s1tVYkRIOeniW4s/view?usp=drivesdk</t>
  </si>
  <si>
    <t>Document successfully created; Document successfully merged; PDF created; !!Error Sending Emails: Service invoked too many times for one day: email.; Run via form trigger as codectechnologies0@gmail.com; Timestamp: Sep 8, 2026 8:06 AM</t>
  </si>
  <si>
    <t xml:space="preserve">Harshit Solanki </t>
  </si>
  <si>
    <t xml:space="preserve">IPS college Indore </t>
  </si>
  <si>
    <t>12C2AuaRBsJtOtU48PfZ6nWVDnfzTRzzk</t>
  </si>
  <si>
    <t>https://drive.google.com/file/d/12C2AuaRBsJtOtU48PfZ6nWVDnfzTRzzk/view?usp=drivesdk</t>
  </si>
  <si>
    <t>Document successfully created; Document successfully merged; PDF created; !!Error Sending Emails: Service invoked too many times for one day: email.; Run via form trigger as codectechnologies0@gmail.com; Timestamp: Sep 8, 2026 8:11 AM</t>
  </si>
  <si>
    <t>1aTWFv1ee8tMxrIbMgaYHHlZXau-FL5-a</t>
  </si>
  <si>
    <t>https://drive.google.com/file/d/1aTWFv1ee8tMxrIbMgaYHHlZXau-FL5-a/view?usp=drivesdk</t>
  </si>
  <si>
    <t>Document successfully created; Document successfully merged; PDF created; !!Error Sending Emails: Service invoked too many times for one day: email.; Run via form trigger as codectechnologies0@gmail.com; Timestamp: Sep 8, 2026 8:18 AM</t>
  </si>
  <si>
    <t>Yeeshigaa H R</t>
  </si>
  <si>
    <t>yeeshigaahr@gmail.com</t>
  </si>
  <si>
    <t>Arunachala college of engineering for women</t>
  </si>
  <si>
    <t>1G5tZUV03JJlMzKkWjsle1MbyNEwzgC-4</t>
  </si>
  <si>
    <t>https://drive.google.com/file/d/1G5tZUV03JJlMzKkWjsle1MbyNEwzgC-4/view?usp=drivesdk</t>
  </si>
  <si>
    <t>Document successfully created; Document successfully merged; PDF created; !!Error Sending Emails: Service invoked too many times for one day: email.; Run via form trigger as codectechnologies0@gmail.com; Timestamp: Sep 8, 2026 8:23 AM</t>
  </si>
  <si>
    <t xml:space="preserve">Vaishnavi T D </t>
  </si>
  <si>
    <t xml:space="preserve">tdvaishnavi8@gmail.com </t>
  </si>
  <si>
    <t xml:space="preserve">G M University </t>
  </si>
  <si>
    <t>1iUl6GSuPVTs33SHdmqbn6A43hQNQSiX6</t>
  </si>
  <si>
    <t>https://drive.google.com/file/d/1iUl6GSuPVTs33SHdmqbn6A43hQNQSiX6/view?usp=drivesdk</t>
  </si>
  <si>
    <t>Document successfully created; Document successfully merged; PDF created; Emails Sent: [To: tdvaishnavi8@gmail.com]; Run via form trigger as codectechnologies0@gmail.com; Timestamp: Sep 8, 2026 8:24 AM</t>
  </si>
  <si>
    <t>Shivansh Bajaj</t>
  </si>
  <si>
    <t>bajajshivansh2005@gmail.com</t>
  </si>
  <si>
    <t>1eBs5AjEyfOHfppIDHMPHXBS4TLpqIO2g</t>
  </si>
  <si>
    <t>https://drive.google.com/file/d/1eBs5AjEyfOHfppIDHMPHXBS4TLpqIO2g/view?usp=drivesdk</t>
  </si>
  <si>
    <t>Document successfully created; Document successfully merged; PDF created; !!Error Sending Emails: Service invoked too many times for one day: email.; Run via form trigger as codectechnologies0@gmail.com; Timestamp: Sep 8, 2026 8:25 AM</t>
  </si>
  <si>
    <t>Jagannath M</t>
  </si>
  <si>
    <t xml:space="preserve">Hindustan University </t>
  </si>
  <si>
    <t>1XEx8GBTDM2ot0uKc8bOVDbDIrz7Jt2gY</t>
  </si>
  <si>
    <t>https://drive.google.com/file/d/1XEx8GBTDM2ot0uKc8bOVDbDIrz7Jt2gY/view?usp=drivesdk</t>
  </si>
  <si>
    <t>Document successfully created; Document successfully merged; PDF created; !!Error Sending Emails: Service invoked too many times for one day: email.; Run via form trigger as codectechnologies0@gmail.com; Timestamp: Sep 8, 2026 8:28 AM</t>
  </si>
  <si>
    <t>Priyanshu Raj</t>
  </si>
  <si>
    <t>priyanshu875717@gmail.com</t>
  </si>
  <si>
    <t>Dr. D. Y. Patil School of Science and Technology</t>
  </si>
  <si>
    <t>1_Y_2gVfttS28qarXNHhAOyihUe0Q66fO</t>
  </si>
  <si>
    <t>https://drive.google.com/file/d/1_Y_2gVfttS28qarXNHhAOyihUe0Q66fO/view?usp=drivesdk</t>
  </si>
  <si>
    <t>Document successfully created; Document successfully merged; PDF created; !!Error Sending Emails: Service invoked too many times for one day: email.; Run via form trigger as codectechnologies0@gmail.com; Timestamp: Sep 8, 2026 8:36 AM</t>
  </si>
  <si>
    <t xml:space="preserve">VIKASH S </t>
  </si>
  <si>
    <t>vikashs@karunya.edu.in</t>
  </si>
  <si>
    <t xml:space="preserve">KARUNYA INSTITUTE OF TECHONOLOGY AND SCIENCE </t>
  </si>
  <si>
    <t>16sXLNv-xPcZfxIyKla9MEjUkQP1gHrYZ</t>
  </si>
  <si>
    <t>https://drive.google.com/file/d/16sXLNv-xPcZfxIyKla9MEjUkQP1gHrYZ/view?usp=drivesdk</t>
  </si>
  <si>
    <t>Document successfully created; Document successfully merged; PDF created; !!Error Sending Emails: Service invoked too many times for one day: email.; Run via form trigger as codectechnologies0@gmail.com; Timestamp: Sep 8, 2026 8:38 AM</t>
  </si>
  <si>
    <t>Abinash Nayak</t>
  </si>
  <si>
    <t>nayakabinash594@gmail.com</t>
  </si>
  <si>
    <t xml:space="preserve">INSTITUTE OF TECHNICAL EDUCATION AND RESEARCH </t>
  </si>
  <si>
    <t>1snHpgl8GHG38qibLebpxOjRCdZydOOcM</t>
  </si>
  <si>
    <t>https://drive.google.com/file/d/1snHpgl8GHG38qibLebpxOjRCdZydOOcM/view?usp=drivesdk</t>
  </si>
  <si>
    <t>Document successfully created; Document successfully merged; PDF created; !!Error Sending Emails: Service invoked too many times for one day: email.; Run via form trigger as codectechnologies0@gmail.com; Timestamp: Sep 8, 2026 8:42 AM</t>
  </si>
  <si>
    <t>Email, Google, AICTE/Indeed</t>
  </si>
  <si>
    <t>1ZAXUo8bHxRcNtz5Udq0JHxwQZbhdI3R2</t>
  </si>
  <si>
    <t>https://drive.google.com/file/d/1ZAXUo8bHxRcNtz5Udq0JHxwQZbhdI3R2/view?usp=drivesdk</t>
  </si>
  <si>
    <t>Document successfully created; Document successfully merged; PDF created; !!Error Sending Emails: Service invoked too many times for one day: email.; Run via form trigger as codectechnologies0@gmail.com; Timestamp: Sep 8, 2026 8:43 AM</t>
  </si>
  <si>
    <t>VIKASH S</t>
  </si>
  <si>
    <t>1mJJBbvDDaXaLbjRMejXHITo-CZ-crC4s</t>
  </si>
  <si>
    <t>https://drive.google.com/file/d/1mJJBbvDDaXaLbjRMejXHITo-CZ-crC4s/view?usp=drivesdk</t>
  </si>
  <si>
    <t>Document successfully created; Document successfully merged; PDF created; !!Error Sending Emails: Service invoked too many times for one day: email.; Run via form trigger as codectechnologies0@gmail.com; Timestamp: Sep 8, 2026 8:52 AM</t>
  </si>
  <si>
    <t>Roshan Kumar</t>
  </si>
  <si>
    <t>roshankumargupta2006@gmail.com</t>
  </si>
  <si>
    <t>09060469459</t>
  </si>
  <si>
    <t>UTTARANCHAL UNIVERSITY</t>
  </si>
  <si>
    <t>LinkedIn, Facebook, WhatsApp, Friend, Email</t>
  </si>
  <si>
    <t>1f6Yz8oAELbt-eXTRmTbRyG_T3XsZzfF5</t>
  </si>
  <si>
    <t>https://drive.google.com/file/d/1f6Yz8oAELbt-eXTRmTbRyG_T3XsZzfF5/view?usp=drivesdk</t>
  </si>
  <si>
    <t>Document successfully created; Document successfully merged; PDF created; !!Error Sending Emails: Service invoked too many times for one day: email.; Run via form trigger as codectechnologies0@gmail.com; Timestamp: Sep 8, 2026 8:54 AM</t>
  </si>
  <si>
    <t xml:space="preserve">Chinni. Sri Satya Lakshmi </t>
  </si>
  <si>
    <t>srisatyachinni04@gmail.com</t>
  </si>
  <si>
    <t xml:space="preserve">Aditya degree college for women kakinada </t>
  </si>
  <si>
    <t>1xSeES_WLLdYUF2Ur0YhOJeaom9i610CJ</t>
  </si>
  <si>
    <t>https://drive.google.com/file/d/1xSeES_WLLdYUF2Ur0YhOJeaom9i610CJ/view?usp=drivesdk</t>
  </si>
  <si>
    <t>Document successfully created; Document successfully merged; PDF created; !!Error Sending Emails: Service invoked too many times for one day: email.; Run via form trigger as codectechnologies0@gmail.com; Timestamp: Sep 8, 2026 8:59 AM</t>
  </si>
  <si>
    <t>Sampreeth G</t>
  </si>
  <si>
    <t>sampreeth032@gmail.com</t>
  </si>
  <si>
    <t>Sri Shakthi Institute of Engineering and Technology</t>
  </si>
  <si>
    <t>1bLo6fKAGPTRjlxzzKJDa0ss68V3inJna</t>
  </si>
  <si>
    <t>https://drive.google.com/file/d/1bLo6fKAGPTRjlxzzKJDa0ss68V3inJna/view?usp=drivesdk</t>
  </si>
  <si>
    <t>Document successfully created; Document successfully merged; PDF created; !!Error Sending Emails: Service invoked too many times for one day: email.; Run via form trigger as codectechnologies0@gmail.com; Timestamp: Sep 8, 2026 9:09 AM</t>
  </si>
  <si>
    <t>Vedant Verma</t>
  </si>
  <si>
    <t>vermavedant67@gmail.com</t>
  </si>
  <si>
    <t>15tAv0TBgETyd3I9CORxSTUBcLSJ6kgnH</t>
  </si>
  <si>
    <t>https://drive.google.com/file/d/15tAv0TBgETyd3I9CORxSTUBcLSJ6kgnH/view?usp=drivesdk</t>
  </si>
  <si>
    <t>Document successfully created; Document successfully merged; PDF created; !!Error Sending Emails: Service invoked too many times for one day: email.; Run via form trigger as codectechnologies0@gmail.com; Timestamp: Sep 8, 2026 9:16 AM</t>
  </si>
  <si>
    <t>Kishore N</t>
  </si>
  <si>
    <t>kishorenagarajan@gmail.com</t>
  </si>
  <si>
    <t>17w2e0d1HPne4KwvnKOkuJQfuKbtD0sn3</t>
  </si>
  <si>
    <t>https://drive.google.com/file/d/17w2e0d1HPne4KwvnKOkuJQfuKbtD0sn3/view?usp=drivesdk</t>
  </si>
  <si>
    <t>Document successfully created; Document successfully merged; PDF created; !!Error Sending Emails: Service invoked too many times for one day: email.; Run via form trigger as codectechnologies0@gmail.com; Timestamp: Sep 8, 2026 9:28 AM</t>
  </si>
  <si>
    <t>Disha Chaudhary</t>
  </si>
  <si>
    <t>dishaachaudharyyyy@gmail.com</t>
  </si>
  <si>
    <t>1WExL1BLmYtFz0DCgTq6356cArBhU4Qfa</t>
  </si>
  <si>
    <t>https://drive.google.com/file/d/1WExL1BLmYtFz0DCgTq6356cArBhU4Qfa/view?usp=drivesdk</t>
  </si>
  <si>
    <t>Document successfully created; Document successfully merged; PDF created; !!Error Sending Emails: Service invoked too many times for one day: email.; Run via form trigger as codectechnologies0@gmail.com; Timestamp: Sep 8, 2026 9:55 AM</t>
  </si>
  <si>
    <t>Ruhan Paul</t>
  </si>
  <si>
    <t>spaul6281@gmail.com</t>
  </si>
  <si>
    <t>National Institute of Technology, Agartala</t>
  </si>
  <si>
    <t>1Ww9X9lCAq2Fmxzz95HAUAVfMq70e-V4p</t>
  </si>
  <si>
    <t>https://drive.google.com/file/d/1Ww9X9lCAq2Fmxzz95HAUAVfMq70e-V4p/view?usp=drivesdk</t>
  </si>
  <si>
    <t>Document successfully created; Document successfully merged; PDF created; !!Error Sending Emails: Service invoked too many times for one day: email.; Run via form trigger as codectechnologies0@gmail.com; Timestamp: Sep 8, 2026 9:57 AM</t>
  </si>
  <si>
    <t>Gaurav</t>
  </si>
  <si>
    <t>gy805932@gmail.com</t>
  </si>
  <si>
    <t>1aQHv1_SEUDRF8MPNvVevJv-XnOGk-XNt</t>
  </si>
  <si>
    <t>https://drive.google.com/file/d/1aQHv1_SEUDRF8MPNvVevJv-XnOGk-XNt/view?usp=drivesdk</t>
  </si>
  <si>
    <t>Document successfully created; Document successfully merged; PDF created; !!Error Sending Emails: Service invoked too many times for one day: email.; Run via form trigger as codectechnologies0@gmail.com; Timestamp: Sep 8, 2026 10:03 AM</t>
  </si>
  <si>
    <t xml:space="preserve">Santhiya R </t>
  </si>
  <si>
    <t>sandhiya20122@gmail.com</t>
  </si>
  <si>
    <t xml:space="preserve">Government Arts and Science college </t>
  </si>
  <si>
    <t>1EMS2wB69eu6BmDjVzfiwXlIOfFw1HClG</t>
  </si>
  <si>
    <t>https://drive.google.com/file/d/1EMS2wB69eu6BmDjVzfiwXlIOfFw1HClG/view?usp=drivesdk</t>
  </si>
  <si>
    <t>Document successfully created; Document successfully merged; PDF created; !!Error Sending Emails: Service invoked too many times for one day: email.; Run via form trigger as codectechnologies0@gmail.com; Timestamp: Sep 8, 2026 10:16 AM</t>
  </si>
  <si>
    <t>IKSHITA SARASWATHI R</t>
  </si>
  <si>
    <t>ikshitar2004@gmail.com</t>
  </si>
  <si>
    <t xml:space="preserve">JAIN DEEMED-TO-BE-UNIVERSITY </t>
  </si>
  <si>
    <t>15ikVgtkv8T3-c7CkAsD0X3K3nQyWFl41</t>
  </si>
  <si>
    <t>https://drive.google.com/file/d/15ikVgtkv8T3-c7CkAsD0X3K3nQyWFl41/view?usp=drivesdk</t>
  </si>
  <si>
    <t>Document successfully created; Document successfully merged; PDF created; !!Error Sending Emails: Service invoked too many times for one day: email.; Run via form trigger as codectechnologies0@gmail.com; Timestamp: Sep 8, 2026 10:22 AM</t>
  </si>
  <si>
    <t>Priyadarshini Institute of science and technology for women khammam</t>
  </si>
  <si>
    <t>1wxhaW12a5O8f1rgxLAary_WhOOXG6vTM</t>
  </si>
  <si>
    <t>https://drive.google.com/file/d/1wxhaW12a5O8f1rgxLAary_WhOOXG6vTM/view?usp=drivesdk</t>
  </si>
  <si>
    <t>Document successfully created; Document successfully merged; PDF created; !!Error Sending Emails: Service invoked too many times for one day: email.; Run via form trigger as codectechnologies0@gmail.com; Timestamp: Sep 8, 2026 10:23 AM</t>
  </si>
  <si>
    <t xml:space="preserve">Gopisetty S S N Murthy </t>
  </si>
  <si>
    <t>saisuryanm.gopisetty@gmail.com</t>
  </si>
  <si>
    <t xml:space="preserve">Gayatri Vidya Parishad college of engineering </t>
  </si>
  <si>
    <t>1FH0UKD-fbew2UQzU2GG5LsHNL7BqkYdo</t>
  </si>
  <si>
    <t>https://drive.google.com/file/d/1FH0UKD-fbew2UQzU2GG5LsHNL7BqkYdo/view?usp=drivesdk</t>
  </si>
  <si>
    <t>Document successfully created; Document successfully merged; PDF created; !!Error Sending Emails: Service invoked too many times for one day: email.; Run via form trigger as codectechnologies0@gmail.com; Timestamp: Sep 8, 2026 10:24 AM</t>
  </si>
  <si>
    <t>1Cw56YLPokOLDDUpAbmRsgJYe_bTiTTuX</t>
  </si>
  <si>
    <t>https://drive.google.com/file/d/1Cw56YLPokOLDDUpAbmRsgJYe_bTiTTuX/view?usp=drivesdk</t>
  </si>
  <si>
    <t>Manoj Kumar</t>
  </si>
  <si>
    <t>manojd00334@gmail.com</t>
  </si>
  <si>
    <t>Rajasthan Institute of engineering &amp; technology</t>
  </si>
  <si>
    <t>1Ni7W8LPS1inGo_r2Ot_ZpSn_bz2h7V1R</t>
  </si>
  <si>
    <t>https://drive.google.com/file/d/1Ni7W8LPS1inGo_r2Ot_ZpSn_bz2h7V1R/view?usp=drivesdk</t>
  </si>
  <si>
    <t>Document successfully created; Document successfully merged; PDF created; !!Error Sending Emails: Service invoked too many times for one day: email.; Run via form trigger as codectechnologies0@gmail.com; Timestamp: Sep 8, 2026 10:26 AM</t>
  </si>
  <si>
    <t>Babita</t>
  </si>
  <si>
    <t>babitabisht680@gmail.com</t>
  </si>
  <si>
    <t>1LG0gEU-2qxngO8HksqVV3KPg8g8SpmrI</t>
  </si>
  <si>
    <t>https://drive.google.com/file/d/1LG0gEU-2qxngO8HksqVV3KPg8g8SpmrI/view?usp=drivesdk</t>
  </si>
  <si>
    <t>Document successfully created; Document successfully merged; PDF created; !!Error Sending Emails: Service invoked too many times for one day: email.; Run via form trigger as codectechnologies0@gmail.com; Timestamp: Sep 8, 2026 10:28 AM</t>
  </si>
  <si>
    <t>Madhuri Vijjapu</t>
  </si>
  <si>
    <t>vijjapumadhuri919@gmail.com</t>
  </si>
  <si>
    <t xml:space="preserve">Nadimpalli Satyanarayana Raju Institute of Technology </t>
  </si>
  <si>
    <t>1_Alud-oR46gN4NSb4IjK9ybzPO0rFdgU</t>
  </si>
  <si>
    <t>https://drive.google.com/file/d/1_Alud-oR46gN4NSb4IjK9ybzPO0rFdgU/view?usp=drivesdk</t>
  </si>
  <si>
    <t>Document successfully created; Document successfully merged; PDF created; !!Error Sending Emails: Service invoked too many times for one day: email.; Run via form trigger as codectechnologies0@gmail.com; Timestamp: Sep 8, 2026 10:31 AM</t>
  </si>
  <si>
    <t>Vruti Patel</t>
  </si>
  <si>
    <t>vrutipatel1110@gmail.com</t>
  </si>
  <si>
    <t>Uka Tarsadia University</t>
  </si>
  <si>
    <t>1fSQyKycxvt2MEYzBIPSmTEV6NJGTsX47</t>
  </si>
  <si>
    <t>https://drive.google.com/file/d/1fSQyKycxvt2MEYzBIPSmTEV6NJGTsX47/view?usp=drivesdk</t>
  </si>
  <si>
    <t>Document successfully created; Document successfully merged; PDF created; Emails Sent: [To: vrutipatel1110@gmail.com]; Run via form trigger as codectechnologies0@gmail.com; Timestamp: Sep 8, 2026 10:41 AM</t>
  </si>
  <si>
    <t>SVKM IOT</t>
  </si>
  <si>
    <t>15M1pcbx89pQeak_f56EfvDPZBWX2_4Gp</t>
  </si>
  <si>
    <t>https://drive.google.com/file/d/15M1pcbx89pQeak_f56EfvDPZBWX2_4Gp/view?usp=drivesdk</t>
  </si>
  <si>
    <t>Document successfully created; Document successfully merged; PDF created; Emails Sent: [To: mp2475560@gmail.com]; Run via form trigger as codectechnologies0@gmail.com; Timestamp: Sep 8, 2026 10:41 AM</t>
  </si>
  <si>
    <t>SAI MANOJ V</t>
  </si>
  <si>
    <t>saivalmiki26@gmail.com</t>
  </si>
  <si>
    <t xml:space="preserve">Sri Siddhartha Institute Of Technology </t>
  </si>
  <si>
    <t>LinkedIn, Google, Internshala</t>
  </si>
  <si>
    <t>1RBVK93yzeEtJ0E6dqOkr9xVV7PM7HVWi</t>
  </si>
  <si>
    <t>https://drive.google.com/file/d/1RBVK93yzeEtJ0E6dqOkr9xVV7PM7HVWi/view?usp=drivesdk</t>
  </si>
  <si>
    <t>Document successfully created; Document successfully merged; PDF created; Emails Sent: [To: saivalmiki26@gmail.com]; Run via form trigger as codectechnologies0@gmail.com; Timestamp: Sep 8, 2026 10:45 AM</t>
  </si>
  <si>
    <t>LinkedIn, Google, AICTE/Indeed, Other</t>
  </si>
  <si>
    <t>13xyKmuaMPqVZSMstF_Fd2gWwoDJzcAR0</t>
  </si>
  <si>
    <t>https://drive.google.com/file/d/13xyKmuaMPqVZSMstF_Fd2gWwoDJzcAR0/view?usp=drivesdk</t>
  </si>
  <si>
    <t>Document successfully created; Document successfully merged; PDF created; Emails Sent: [To: patelharshil0237@gmail.com]; Run via form trigger as codectechnologies0@gmail.com; Timestamp: Sep 8, 2026 10:49 AM</t>
  </si>
  <si>
    <t xml:space="preserve">Guddeti Sharanya </t>
  </si>
  <si>
    <t>g.sharanya76462021@gmail.com</t>
  </si>
  <si>
    <t xml:space="preserve">Ashoka Women's Engineering college </t>
  </si>
  <si>
    <t>1evDCN13pm0kgQvMfaR2HWKwP6deLsCKj</t>
  </si>
  <si>
    <t>https://drive.google.com/file/d/1evDCN13pm0kgQvMfaR2HWKwP6deLsCKj/view?usp=drivesdk</t>
  </si>
  <si>
    <t>Document successfully created; Document successfully merged; PDF created; Emails Sent: [To: g.sharanya76462021@gmail.com]; Run via form trigger as codectechnologies0@gmail.com; Timestamp: Sep 8, 2026 10:52 AM</t>
  </si>
  <si>
    <t>Shreyansh Pandey</t>
  </si>
  <si>
    <t>shreyanshdhanauti9199@gmail.com</t>
  </si>
  <si>
    <t>Sage University Indore</t>
  </si>
  <si>
    <t>1sVHQjou7xUmVcQN1_QXRecxtK6gEUHUZ</t>
  </si>
  <si>
    <t>https://drive.google.com/file/d/1sVHQjou7xUmVcQN1_QXRecxtK6gEUHUZ/view?usp=drivesdk</t>
  </si>
  <si>
    <t>Document successfully created; Document successfully merged; PDF created; Emails Sent: [To: shreyanshdhanauti9199@gmail.com]; Run via form trigger as codectechnologies0@gmail.com; Timestamp: Sep 8, 2026 10:54 AM</t>
  </si>
  <si>
    <t>Roshan</t>
  </si>
  <si>
    <t>roshan34797@gmail.com</t>
  </si>
  <si>
    <t>manav rachna</t>
  </si>
  <si>
    <t>1s7HIVkZ5eTbFnZXAEoc90zGH0ZPOb13W</t>
  </si>
  <si>
    <t>https://drive.google.com/file/d/1s7HIVkZ5eTbFnZXAEoc90zGH0ZPOb13W/view?usp=drivesdk</t>
  </si>
  <si>
    <t>Document successfully created; Document successfully merged; PDF created; Emails Sent: [To: roshan34797@gmail.com]; Run via form trigger as codectechnologies0@gmail.com; Timestamp: Sep 8, 2026 10:58 AM</t>
  </si>
  <si>
    <t xml:space="preserve">Lalitha C </t>
  </si>
  <si>
    <t xml:space="preserve">Panimalar engineering college, chennai </t>
  </si>
  <si>
    <t>1fbRpQJp8WDuTuDSW9h6Dm5rt0pAi43KS</t>
  </si>
  <si>
    <t>https://drive.google.com/file/d/1fbRpQJp8WDuTuDSW9h6Dm5rt0pAi43KS/view?usp=drivesdk</t>
  </si>
  <si>
    <t>Document successfully created; Document successfully merged; PDF created; !!Error Sending Emails: Invalid email: Lalitha C; Run via form trigger as codectechnologies0@gmail.com; Timestamp: Sep 8, 2026 10:59 AM</t>
  </si>
  <si>
    <t>KARUNYA INSTITUTE OF TECHONOLOGY AND SCIENCE</t>
  </si>
  <si>
    <t>1Qp8XdsP1A5AXqQGxy0NLOfUESM_hbSrl</t>
  </si>
  <si>
    <t>https://drive.google.com/file/d/1Qp8XdsP1A5AXqQGxy0NLOfUESM_hbSrl/view?usp=drivesdk</t>
  </si>
  <si>
    <t>Document successfully created; Document successfully merged; PDF created; Emails Sent: [To: vikashs@karunya.edu.in]; Run via form trigger as codectechnologies0@gmail.com; Timestamp: Sep 8, 2026 11:03 AM</t>
  </si>
  <si>
    <t>HARISHKUMAR M</t>
  </si>
  <si>
    <t>harishkumarit2004@gmail.com</t>
  </si>
  <si>
    <t>1FM7Zn4iGhy0mqPDdq5qXjnzj24YwkmG2</t>
  </si>
  <si>
    <t>https://drive.google.com/file/d/1FM7Zn4iGhy0mqPDdq5qXjnzj24YwkmG2/view?usp=drivesdk</t>
  </si>
  <si>
    <t>Document successfully created; Document successfully merged; PDF created; Emails Sent: [To: harishkumarit2004@gmail.com]; Run via form trigger as codectechnologies0@gmail.com; Timestamp: Sep 8, 2026 11:09 AM</t>
  </si>
  <si>
    <t xml:space="preserve">Sneha Somnath Gate </t>
  </si>
  <si>
    <t>gatesneha06@gmail.com</t>
  </si>
  <si>
    <t>1mM5AcBguVAIklavhVIAgQMYPOBeMGOw_</t>
  </si>
  <si>
    <t>https://drive.google.com/file/d/1mM5AcBguVAIklavhVIAgQMYPOBeMGOw_/view?usp=drivesdk</t>
  </si>
  <si>
    <t>Document successfully created; Document successfully merged; PDF created; Emails Sent: [To: gatesneha06@gmail.com]; Run via form trigger as codectechnologies0@gmail.com; Timestamp: Sep 8, 2026 11:10 AM</t>
  </si>
  <si>
    <t>Smarak Das</t>
  </si>
  <si>
    <t>smarakdas201@gmail.com</t>
  </si>
  <si>
    <t>ITER, SOA UNIVERSITY</t>
  </si>
  <si>
    <t>1OMDuZABkwmjEYziAFPlESJMmSFDrcSBR</t>
  </si>
  <si>
    <t>https://drive.google.com/file/d/1OMDuZABkwmjEYziAFPlESJMmSFDrcSBR/view?usp=drivesdk</t>
  </si>
  <si>
    <t>Document successfully created; Document successfully merged; PDF created; Emails Sent: [To: smarakdas201@gmail.com]; Run via form trigger as codectechnologies0@gmail.com; Timestamp: Sep 8, 2026 11:14 AM</t>
  </si>
  <si>
    <t xml:space="preserve">Shlok tripathi </t>
  </si>
  <si>
    <t>Shlok.25scs1003000971@iilm.edu</t>
  </si>
  <si>
    <t xml:space="preserve"> 82690 51574</t>
  </si>
  <si>
    <t>1It1k1ILR8NYpKC2QGGm7zPiJpBRY69qL</t>
  </si>
  <si>
    <t>https://drive.google.com/file/d/1It1k1ILR8NYpKC2QGGm7zPiJpBRY69qL/view?usp=drivesdk</t>
  </si>
  <si>
    <t>Document successfully created; Document successfully merged; PDF created; Emails Sent: [To: Shlok.25scs1003000971@iilm.edu]; Run via form trigger as codectechnologies0@gmail.com; Timestamp: Sep 8, 2026 11:19 AM</t>
  </si>
  <si>
    <t>Robin John</t>
  </si>
  <si>
    <t>robinjohn@karunya.edu.in</t>
  </si>
  <si>
    <t>Karunya Institute of Technology and Science</t>
  </si>
  <si>
    <t>1_Qo36lHzt4wSR_XqOk-UFZfnwCLpkrHG</t>
  </si>
  <si>
    <t>https://drive.google.com/file/d/1_Qo36lHzt4wSR_XqOk-UFZfnwCLpkrHG/view?usp=drivesdk</t>
  </si>
  <si>
    <t>Document successfully created; Document successfully merged; PDF created; Emails Sent: [To: robinjohn@karunya.edu.in]; Run via form trigger as codectechnologies0@gmail.com; Timestamp: Sep 8, 2026 11:25 AM</t>
  </si>
  <si>
    <t>sania shaik</t>
  </si>
  <si>
    <t>saniashaik11.2007@gmail.com</t>
  </si>
  <si>
    <t>1qvlUAxUmy4k6lFjg3IRUWTJimdhS9DJB</t>
  </si>
  <si>
    <t>https://drive.google.com/file/d/1qvlUAxUmy4k6lFjg3IRUWTJimdhS9DJB/view?usp=drivesdk</t>
  </si>
  <si>
    <t>Document successfully created; Document successfully merged; PDF created; Emails Sent: [To: saniashaik11.2007@gmail.com]; Run via form trigger as codectechnologies0@gmail.com; Timestamp: Sep 8, 2026 11:29 AM</t>
  </si>
  <si>
    <t>1Ku-ytlBRGTqI4pE7LF7Y56lCbRIYiTph</t>
  </si>
  <si>
    <t>https://drive.google.com/file/d/1Ku-ytlBRGTqI4pE7LF7Y56lCbRIYiTph/view?usp=drivesdk</t>
  </si>
  <si>
    <t>Document successfully created; Document successfully merged; PDF created; Emails Sent: [To: rohitji77390@gmail.com]; Run via form trigger as codectechnologies0@gmail.com; Timestamp: Sep 8, 2026 11:30 AM</t>
  </si>
  <si>
    <t>kanishma J</t>
  </si>
  <si>
    <t>kanishmaleenu07@gmail.com</t>
  </si>
  <si>
    <t>karunya institute of technology and sciences</t>
  </si>
  <si>
    <t>17NBBACrGQW5HgzNpFQLn8uPFwzX3NwtC</t>
  </si>
  <si>
    <t>https://drive.google.com/file/d/17NBBACrGQW5HgzNpFQLn8uPFwzX3NwtC/view?usp=drivesdk</t>
  </si>
  <si>
    <t>Document successfully created; Document successfully merged; PDF created; Emails Sent: [To: kanishmaleenu07@gmail.com]; Run via form trigger as codectechnologies0@gmail.com; Timestamp: Sep 8, 2026 11:30 AM</t>
  </si>
  <si>
    <t>Nishchay Tiwari</t>
  </si>
  <si>
    <t>rakhiajaytiwari@gmail.com</t>
  </si>
  <si>
    <t xml:space="preserve">Sardar Patel University </t>
  </si>
  <si>
    <t>1cTJMDooN0nD3Ab2YJCoXkMlfATpsKnXY</t>
  </si>
  <si>
    <t>https://drive.google.com/file/d/1cTJMDooN0nD3Ab2YJCoXkMlfATpsKnXY/view?usp=drivesdk</t>
  </si>
  <si>
    <t>Document successfully created; Document successfully merged; PDF created; Emails Sent: [To: rakhiajaytiwari@gmail.com]; Run via form trigger as codectechnologies0@gmail.com; Timestamp: Sep 8, 2026 11:32 AM</t>
  </si>
  <si>
    <t xml:space="preserve">Anshu Kumar Ray </t>
  </si>
  <si>
    <t>anshurai8271@gmail.com</t>
  </si>
  <si>
    <t>1rwxWPDhPvbFMZFrIeEqyvlLvvnei1Qk1</t>
  </si>
  <si>
    <t>https://drive.google.com/file/d/1rwxWPDhPvbFMZFrIeEqyvlLvvnei1Qk1/view?usp=drivesdk</t>
  </si>
  <si>
    <t>Document successfully created; Document successfully merged; PDF created; Emails Sent: [To: anshurai8271@gmail.com]; Run via form trigger as codectechnologies0@gmail.com; Timestamp: Sep 8, 2026 11:32 AM</t>
  </si>
  <si>
    <t xml:space="preserve">Aditya kasturkar </t>
  </si>
  <si>
    <t>adityakasturkar9@gmail.com</t>
  </si>
  <si>
    <t xml:space="preserve">Sardar patel university </t>
  </si>
  <si>
    <t>1MR2TC1zkrTv47ixvgP9Fd_SxhXZtWXMf</t>
  </si>
  <si>
    <t>https://drive.google.com/file/d/1MR2TC1zkrTv47ixvgP9Fd_SxhXZtWXMf/view?usp=drivesdk</t>
  </si>
  <si>
    <t>Document successfully created; Document successfully merged; PDF created; Emails Sent: [To: adityakasturkar9@gmail.com]; Run via form trigger as codectechnologies0@gmail.com; Timestamp: Sep 8, 2026 11:33 AM</t>
  </si>
  <si>
    <t>1IyEGyTGmrIFX1A5yuMDgkR4R_KXerc6_</t>
  </si>
  <si>
    <t>https://drive.google.com/file/d/1IyEGyTGmrIFX1A5yuMDgkR4R_KXerc6_/view?usp=drivesdk</t>
  </si>
  <si>
    <t>Document successfully created; Document successfully merged; PDF created; Emails Sent: [To: rohitji77390@gmail.com]; Run via form trigger as codectechnologies0@gmail.com; Timestamp: Sep 8, 2026 11:39 AM</t>
  </si>
  <si>
    <t xml:space="preserve">Dilmoham kumar jha </t>
  </si>
  <si>
    <t>jhadilmohan599@gmail.com</t>
  </si>
  <si>
    <t xml:space="preserve">Mimt </t>
  </si>
  <si>
    <t>1qxf0InWe6QSkfZ30DrtoRLvyeiSI2G2J</t>
  </si>
  <si>
    <t>https://drive.google.com/file/d/1qxf0InWe6QSkfZ30DrtoRLvyeiSI2G2J/view?usp=drivesdk</t>
  </si>
  <si>
    <t>Document successfully created; Document successfully merged; PDF created; Emails Sent: [To: jhadilmohan599@gmail.com]; Run via form trigger as codectechnologies0@gmail.com; Timestamp: Sep 8, 2026 11:46 AM</t>
  </si>
  <si>
    <t>K Lalith kumar</t>
  </si>
  <si>
    <t>lalithreddy023@gmail.com</t>
  </si>
  <si>
    <t>1eXo3DapB4ymwg0HEx_NYxK_TqpZUG034</t>
  </si>
  <si>
    <t>https://drive.google.com/file/d/1eXo3DapB4ymwg0HEx_NYxK_TqpZUG034/view?usp=drivesdk</t>
  </si>
  <si>
    <t>Document successfully created; Document successfully merged; PDF created; Emails Sent: [To: lalithreddy023@gmail.com]; Run via form trigger as codectechnologies0@gmail.com; Timestamp: Sep 8, 2026 11:46 AM</t>
  </si>
  <si>
    <t>Suraj Nair</t>
  </si>
  <si>
    <t>nairsuraj1107@gmail.com</t>
  </si>
  <si>
    <t>Karunya Institute of Technology</t>
  </si>
  <si>
    <t>1_lEcGM5qS238xNlYeh7ty_LAkDqHQn-f</t>
  </si>
  <si>
    <t>https://drive.google.com/file/d/1_lEcGM5qS238xNlYeh7ty_LAkDqHQn-f/view?usp=drivesdk</t>
  </si>
  <si>
    <t>Document successfully created; Document successfully merged; PDF created; Emails Sent: [To: nairsuraj1107@gmail.com]; Run via form trigger as codectechnologies0@gmail.com; Timestamp: Sep 8, 2026 11:48 AM</t>
  </si>
  <si>
    <t xml:space="preserve">Ankita Bharti </t>
  </si>
  <si>
    <t>ankitaraj444555@gmail.com</t>
  </si>
  <si>
    <t>1wxptEE3iOWpF_lERRrBDxCgnKbaEOHTs</t>
  </si>
  <si>
    <t>https://drive.google.com/file/d/1wxptEE3iOWpF_lERRrBDxCgnKbaEOHTs/view?usp=drivesdk</t>
  </si>
  <si>
    <t>Document successfully created; Document successfully merged; PDF created; Emails Sent: [To: ankitaraj444555@gmail.com]; Run via form trigger as codectechnologies0@gmail.com; Timestamp: Sep 8, 2026 11:51 AM</t>
  </si>
  <si>
    <t>Karthick M</t>
  </si>
  <si>
    <t>Karthickm24@karunya.edu.in</t>
  </si>
  <si>
    <t>1ocTq1b1eIazsGBb-bRZ13GUyi07_pgoM</t>
  </si>
  <si>
    <t>https://drive.google.com/file/d/1ocTq1b1eIazsGBb-bRZ13GUyi07_pgoM/view?usp=drivesdk</t>
  </si>
  <si>
    <t>Document successfully created; Document successfully merged; PDF created; Emails Sent: [To: Karthickm24@karunya.edu.in]; Run via form trigger as codectechnologies0@gmail.com; Timestamp: Sep 8, 2026 11:51 AM</t>
  </si>
  <si>
    <t xml:space="preserve">NEMALAPURI DILEEP KUMAR </t>
  </si>
  <si>
    <t>nemalapuridileepkumar49@gmail.com</t>
  </si>
  <si>
    <t xml:space="preserve">Aditya institute of technology and management </t>
  </si>
  <si>
    <t>10tCHteJ3RdflxCU1ifrJ3cIorf4bvt4I</t>
  </si>
  <si>
    <t>https://drive.google.com/file/d/10tCHteJ3RdflxCU1ifrJ3cIorf4bvt4I/view?usp=drivesdk</t>
  </si>
  <si>
    <t>Document successfully created; Document successfully merged; PDF created; Emails Sent: [To: nemalapuridileepkumar49@gmail.com]; Run via form trigger as codectechnologies0@gmail.com; Timestamp: Sep 8, 2026 11:51 AM</t>
  </si>
  <si>
    <t>1hvH5EHgj3te0zvsFSRd-alPJeY5RNZEe</t>
  </si>
  <si>
    <t>https://drive.google.com/file/d/1hvH5EHgj3te0zvsFSRd-alPJeY5RNZEe/view?usp=drivesdk</t>
  </si>
  <si>
    <t>Document successfully created; Document successfully merged; PDF created; Emails Sent: [To: Karthickm24@karunya.edu.in]; Run via form trigger as codectechnologies0@gmail.com; Timestamp: Sep 8, 2026 11:52 AM</t>
  </si>
  <si>
    <t>Mukesh A</t>
  </si>
  <si>
    <t>mukeshdec122@gmail.com</t>
  </si>
  <si>
    <t>Hindustan Institude of technology and science</t>
  </si>
  <si>
    <t>1bZ7GDecIyvIWYMdxdEpvDl67pKdI2ccW</t>
  </si>
  <si>
    <t>https://drive.google.com/file/d/1bZ7GDecIyvIWYMdxdEpvDl67pKdI2ccW/view?usp=drivesdk</t>
  </si>
  <si>
    <t>Document successfully created; Document successfully merged; PDF created; Emails Sent: [To: mukeshdec122@gmail.com]; Run via form trigger as codectechnologies0@gmail.com; Timestamp: Sep 8, 2026 11:54 AM</t>
  </si>
  <si>
    <t>Jyotiraj Sahu</t>
  </si>
  <si>
    <t>jyotiraj.sahu777@gmail.com</t>
  </si>
  <si>
    <t>ITER| SIKSHA 'O' ANUSANDHAN</t>
  </si>
  <si>
    <t>131ZGP_uafibecnkgn4M13efwkwI6Arui</t>
  </si>
  <si>
    <t>https://drive.google.com/file/d/131ZGP_uafibecnkgn4M13efwkwI6Arui/view?usp=drivesdk</t>
  </si>
  <si>
    <t>Document successfully created; Document successfully merged; PDF created; Emails Sent: [To: jyotiraj.sahu777@gmail.com]; Run via form trigger as codectechnologies0@gmail.com; Timestamp: Sep 8, 2026 11:55 AM</t>
  </si>
  <si>
    <t xml:space="preserve">Shivani </t>
  </si>
  <si>
    <t>shivanishende129@gmail.com</t>
  </si>
  <si>
    <t>1mnNEy2dNYSEB1vj02jLXCxDlJZhunMVS</t>
  </si>
  <si>
    <t>https://drive.google.com/file/d/1mnNEy2dNYSEB1vj02jLXCxDlJZhunMVS/view?usp=drivesdk</t>
  </si>
  <si>
    <t>Document successfully created; Document successfully merged; PDF created; Emails Sent: [To: shivanishende129@gmail.com]; Run via form trigger as codectechnologies0@gmail.com; Timestamp: Sep 8, 2026 11:59 AM</t>
  </si>
  <si>
    <t xml:space="preserve">Lavu Sushma </t>
  </si>
  <si>
    <t>sushmalavu20@gmail.com</t>
  </si>
  <si>
    <t>SIR CR REDDY COLLEGE OF ENGINEERING</t>
  </si>
  <si>
    <t>1lhmrjx81uV4O35tfluNjcl_-b0eIxgY0</t>
  </si>
  <si>
    <t>https://drive.google.com/file/d/1lhmrjx81uV4O35tfluNjcl_-b0eIxgY0/view?usp=drivesdk</t>
  </si>
  <si>
    <t>Document successfully created; Document successfully merged; PDF created; Emails Sent: [To: sushmalavu20@gmail.com]; Run via form trigger as codectechnologies0@gmail.com; Timestamp: Sep 8, 2026 12:04 PM</t>
  </si>
  <si>
    <t>MANJUSHREE R NAIK</t>
  </si>
  <si>
    <t>manjushreenaik2006@gmail.com</t>
  </si>
  <si>
    <t xml:space="preserve">AJ Institute of Engineering and technology </t>
  </si>
  <si>
    <t>1DvDGBxLdC1_TgMqSUJfuiXu0NuMIp6zQ</t>
  </si>
  <si>
    <t>https://drive.google.com/file/d/1DvDGBxLdC1_TgMqSUJfuiXu0NuMIp6zQ/view?usp=drivesdk</t>
  </si>
  <si>
    <t>Document successfully created; Document successfully merged; PDF created; Emails Sent: [To: manjushreenaik2006@gmail.com]; Run via form trigger as codectechnologies0@gmail.com; Timestamp: Sep 8, 2026 12:09 PM</t>
  </si>
  <si>
    <t>YASHWANTH B</t>
  </si>
  <si>
    <t>yashwanthb2106@gmail.com</t>
  </si>
  <si>
    <t xml:space="preserve">St.Joseph's college of engineering </t>
  </si>
  <si>
    <t>1a-koWjRFDgJBtIb44jZSZFjUocMgP0ZM</t>
  </si>
  <si>
    <t>https://drive.google.com/file/d/1a-koWjRFDgJBtIb44jZSZFjUocMgP0ZM/view?usp=drivesdk</t>
  </si>
  <si>
    <t>Document successfully created; Document successfully merged; PDF created; Emails Sent: [To: yashwanthb2106@gmail.com]; Run via form trigger as codectechnologies0@gmail.com; Timestamp: Sep 8, 2026 12:11 PM</t>
  </si>
  <si>
    <t>Sambhav Sinha</t>
  </si>
  <si>
    <t>sambhavsinha3266@gmail.com</t>
  </si>
  <si>
    <t>1V89fNlbdwWb0hPa38RS44nOGqh8c-c5F</t>
  </si>
  <si>
    <t>https://drive.google.com/file/d/1V89fNlbdwWb0hPa38RS44nOGqh8c-c5F/view?usp=drivesdk</t>
  </si>
  <si>
    <t>Document successfully created; Document successfully merged; PDF created; Emails Sent: [To: sambhavsinha3266@gmail.com]; Run via form trigger as codectechnologies0@gmail.com; Timestamp: Sep 8, 2026 12:12 PM</t>
  </si>
  <si>
    <t>Shivam Kumar</t>
  </si>
  <si>
    <t>kumarshivam9956474717@gmail.com</t>
  </si>
  <si>
    <t>Institute of Technology And Management Gida Gorakhpur</t>
  </si>
  <si>
    <t>1kYXEcYUlLHt35jeqaaytwO3IUHkvcKgW</t>
  </si>
  <si>
    <t>https://drive.google.com/file/d/1kYXEcYUlLHt35jeqaaytwO3IUHkvcKgW/view?usp=drivesdk</t>
  </si>
  <si>
    <t>Document successfully created; Document successfully merged; PDF created; Emails Sent: [To: kumarshivam9956474717@gmail.com]; Run via form trigger as codectechnologies0@gmail.com; Timestamp: Sep 8, 2026 12:14 PM</t>
  </si>
  <si>
    <t xml:space="preserve">MANJUSHREE R NAIK </t>
  </si>
  <si>
    <t>1fYZDBWa1KhDBdJXMsQNN0o7P1JdF8LCM</t>
  </si>
  <si>
    <t>https://drive.google.com/file/d/1fYZDBWa1KhDBdJXMsQNN0o7P1JdF8LCM/view?usp=drivesdk</t>
  </si>
  <si>
    <t>Document successfully created; Document successfully merged; PDF created; Emails Sent: [To: manjushreenaik2006@gmail.com]; Run via form trigger as codectechnologies0@gmail.com; Timestamp: Sep 8, 2026 12:14 PM</t>
  </si>
  <si>
    <t xml:space="preserve">Sachin Mishra </t>
  </si>
  <si>
    <t>sachinmishravats@gmail.com</t>
  </si>
  <si>
    <t>1XXw2iU056js6qb6sn4COFitt0xoJJ2lD</t>
  </si>
  <si>
    <t>https://drive.google.com/file/d/1XXw2iU056js6qb6sn4COFitt0xoJJ2lD/view?usp=drivesdk</t>
  </si>
  <si>
    <t>Document successfully created; Document successfully merged; PDF created; Emails Sent: [To: sachinmishravats@gmail.com]; Run via form trigger as codectechnologies0@gmail.com; Timestamp: Sep 8, 2026 12:22 PM</t>
  </si>
  <si>
    <t>Ashutosh</t>
  </si>
  <si>
    <t>yashutosh596@gmail.com</t>
  </si>
  <si>
    <t xml:space="preserve">UIET KUK </t>
  </si>
  <si>
    <t>1dBMLXM_oSF8bwqldVy5TGKUfsqEHxRsE</t>
  </si>
  <si>
    <t>https://drive.google.com/file/d/1dBMLXM_oSF8bwqldVy5TGKUfsqEHxRsE/view?usp=drivesdk</t>
  </si>
  <si>
    <t>Document successfully created; Document successfully merged; PDF created; Emails Sent: [To: yashutosh596@gmail.com]; Run via form trigger as codectechnologies0@gmail.com; Timestamp: Sep 8, 2026 12:23 PM</t>
  </si>
  <si>
    <t>Harshal Karad</t>
  </si>
  <si>
    <t>harshalkarad20@gmail.com</t>
  </si>
  <si>
    <t>Matoshri College of Engineering and Research Centre, Eklahare, Nashik.</t>
  </si>
  <si>
    <t>1b_gq_j1HFz_Y497RFZxX5_M2GFYr99zi</t>
  </si>
  <si>
    <t>https://drive.google.com/file/d/1b_gq_j1HFz_Y497RFZxX5_M2GFYr99zi/view?usp=drivesdk</t>
  </si>
  <si>
    <t>Document successfully created; Document successfully merged; PDF created; Emails Sent: [To: harshalkarad20@gmail.com]; Run via form trigger as codectechnologies0@gmail.com; Timestamp: Sep 8, 2026 12:28 PM</t>
  </si>
  <si>
    <t>Dikshika B</t>
  </si>
  <si>
    <t>dhikshikab22@gmail.com</t>
  </si>
  <si>
    <t xml:space="preserve">Hindustan institute of technology and science </t>
  </si>
  <si>
    <t>1za2qQijxoZC0t7wLFLeFS4SSLzZi90mo</t>
  </si>
  <si>
    <t>https://drive.google.com/file/d/1za2qQijxoZC0t7wLFLeFS4SSLzZi90mo/view?usp=drivesdk</t>
  </si>
  <si>
    <t>Document successfully created; Document successfully merged; PDF created; Emails Sent: [To: dhikshikab22@gmail.com]; Run via form trigger as codectechnologies0@gmail.com; Timestamp: Sep 8, 2026 12:36 PM</t>
  </si>
  <si>
    <t xml:space="preserve">Devesh Dhoundiyal </t>
  </si>
  <si>
    <t>deveshdhoundiyal10@gmail.com</t>
  </si>
  <si>
    <t>08287786204</t>
  </si>
  <si>
    <t>1j76wWJJBxbBTrq1PgWiqh3HwCofmJ21d</t>
  </si>
  <si>
    <t>https://drive.google.com/file/d/1j76wWJJBxbBTrq1PgWiqh3HwCofmJ21d/view?usp=drivesdk</t>
  </si>
  <si>
    <t>Document successfully created; Document successfully merged; PDF created; Emails Sent: [To: deveshdhoundiyal10@gmail.com]; Run via form trigger as codectechnologies0@gmail.com; Timestamp: Sep 8, 2026 12:52 PM</t>
  </si>
  <si>
    <t>Aadesh Yadav</t>
  </si>
  <si>
    <t>aadeshyadav295@gmail.com</t>
  </si>
  <si>
    <t xml:space="preserve">St. Aloysius' college </t>
  </si>
  <si>
    <t>1PZMF8YF3-IRuCGhBw0ybbIGFOoL0U479</t>
  </si>
  <si>
    <t>https://drive.google.com/file/d/1PZMF8YF3-IRuCGhBw0ybbIGFOoL0U479/view?usp=drivesdk</t>
  </si>
  <si>
    <t>Document successfully created; Document successfully merged; PDF created; Emails Sent: [To: aadeshyadav295@gmail.com]; Run via form trigger as codectechnologies0@gmail.com; Timestamp: Sep 8, 2026 12:53 PM</t>
  </si>
  <si>
    <t>Adhiyaman S</t>
  </si>
  <si>
    <t>mr.adhiyaman@gmail.com</t>
  </si>
  <si>
    <t>10RdPYQ_L8lGo2oEczwkVx2SZ-2IN8vVx</t>
  </si>
  <si>
    <t>https://drive.google.com/file/d/10RdPYQ_L8lGo2oEczwkVx2SZ-2IN8vVx/view?usp=drivesdk</t>
  </si>
  <si>
    <t>Document successfully created; Document successfully merged; PDF created; Emails Sent: [To: mr.adhiyaman@gmail.com]; Run via form trigger as codectechnologies0@gmail.com; Timestamp: Sep 8, 2026 12:59 PM</t>
  </si>
  <si>
    <t>1LCVdUaXQaqD928XGeSxo1ChDjCqRXWSu</t>
  </si>
  <si>
    <t>https://drive.google.com/file/d/1LCVdUaXQaqD928XGeSxo1ChDjCqRXWSu/view?usp=drivesdk</t>
  </si>
  <si>
    <t>Document successfully created; Document successfully merged; PDF created; Emails Sent: [To: mr.adhiyaman@gmail.com]; Run via form trigger as codectechnologies0@gmail.com; Timestamp: Sep 8, 2026 1:06 PM</t>
  </si>
  <si>
    <t>Sumit Kumar</t>
  </si>
  <si>
    <t>ks3146326@gmail.com</t>
  </si>
  <si>
    <t>1r6JAfrw8VBTL3f1o319XDj35Q3rw0WEE</t>
  </si>
  <si>
    <t>https://drive.google.com/file/d/1r6JAfrw8VBTL3f1o319XDj35Q3rw0WEE/view?usp=drivesdk</t>
  </si>
  <si>
    <t>Document successfully created; Document successfully merged; PDF created; Emails Sent: [To: ks3146326@gmail.com]; Run via form trigger as codectechnologies0@gmail.com; Timestamp: Sep 8, 2026 1:09 PM</t>
  </si>
  <si>
    <t>1FgJhnb_jTwStzhI5lv_VhCZed5mfwyOf</t>
  </si>
  <si>
    <t>https://drive.google.com/file/d/1FgJhnb_jTwStzhI5lv_VhCZed5mfwyOf/view?usp=drivesdk</t>
  </si>
  <si>
    <t>Document successfully created; Document successfully merged; PDF created; Emails Sent: [To: harishkumarit2004@gmail.com]; Run via form trigger as codectechnologies0@gmail.com; Timestamp: Sep 8, 2026 1:17 PM</t>
  </si>
  <si>
    <t>07808557726</t>
  </si>
  <si>
    <t>1mDgZc8fvequxw2tq5iKznuhNCgQva3Oh</t>
  </si>
  <si>
    <t>https://drive.google.com/file/d/1mDgZc8fvequxw2tq5iKznuhNCgQva3Oh/view?usp=drivesdk</t>
  </si>
  <si>
    <t>Document successfully created; Document successfully merged; PDF created; Emails Sent: [To: ks3146326@gmail.com]; Run via form trigger as codectechnologies0@gmail.com; Timestamp: Sep 8, 2026 1:29 PM</t>
  </si>
  <si>
    <t>Osama Farooqui</t>
  </si>
  <si>
    <t>osamafarooqui26@gmail.com</t>
  </si>
  <si>
    <t>1yzmZOQC-dVBwBkMsPFgFNsVWaZcxilsS</t>
  </si>
  <si>
    <t>https://drive.google.com/file/d/1yzmZOQC-dVBwBkMsPFgFNsVWaZcxilsS/view?usp=drivesdk</t>
  </si>
  <si>
    <t>Document successfully created; Document successfully merged; PDF created; Emails Sent: [To: osamafarooqui26@gmail.com]; Run via form trigger as codectechnologies0@gmail.com; Timestamp: Sep 8, 2026 1:32 PM</t>
  </si>
  <si>
    <t>Keshari Nandan Ray</t>
  </si>
  <si>
    <t>keshrinandan1506@gmail.com</t>
  </si>
  <si>
    <t>1wLId9K1R6dxxYL9aGje5LHjbIngU9JeM</t>
  </si>
  <si>
    <t>https://drive.google.com/file/d/1wLId9K1R6dxxYL9aGje5LHjbIngU9JeM/view?usp=drivesdk</t>
  </si>
  <si>
    <t>Document successfully created; Document successfully merged; PDF created; Emails Sent: [To: keshrinandan1506@gmail.com]; Run via form trigger as codectechnologies0@gmail.com; Timestamp: Sep 8, 2026 1:35 PM</t>
  </si>
  <si>
    <t>1akgmBrw2oBtT0GFMUgjSVvoOcxef7YLK</t>
  </si>
  <si>
    <t>https://drive.google.com/file/d/1akgmBrw2oBtT0GFMUgjSVvoOcxef7YLK/view?usp=drivesdk</t>
  </si>
  <si>
    <t>Document successfully created; Document successfully merged; PDF created; Emails Sent: [To: keshrinandan1506@gmail.com]; Run via form trigger as codectechnologies0@gmail.com; Timestamp: Sep 8, 2026 1:40 PM</t>
  </si>
  <si>
    <t>Samvit Srivastava</t>
  </si>
  <si>
    <t>samvitsrivastava10@gmail.com</t>
  </si>
  <si>
    <t>1gRk8CHo_bhMtgqOFtNrd5y0MrE-ZnFrL</t>
  </si>
  <si>
    <t>https://drive.google.com/file/d/1gRk8CHo_bhMtgqOFtNrd5y0MrE-ZnFrL/view?usp=drivesdk</t>
  </si>
  <si>
    <t>Document successfully created; Document successfully merged; PDF created; Emails Sent: [To: samvitsrivastava10@gmail.com]; Run via form trigger as codectechnologies0@gmail.com; Timestamp: Sep 8, 2026 1:44 PM</t>
  </si>
  <si>
    <t>Shaurya Chauhan</t>
  </si>
  <si>
    <t>onikhil147@gmail.com</t>
  </si>
  <si>
    <t>1E9OEcQUa_sFHinzSbOHa49j9YRh-BYDd</t>
  </si>
  <si>
    <t>https://drive.google.com/file/d/1E9OEcQUa_sFHinzSbOHa49j9YRh-BYDd/view?usp=drivesdk</t>
  </si>
  <si>
    <t>Document successfully created; Document successfully merged; PDF created; Emails Sent: [To: onikhil147@gmail.com]; Run via form trigger as codectechnologies0@gmail.com; Timestamp: Sep 8, 2026 1:46 PM</t>
  </si>
  <si>
    <t>Mehul Mahendru</t>
  </si>
  <si>
    <t>mahendrumehul06@gmail.com</t>
  </si>
  <si>
    <t>17NVmWusfgVwmSfJrDy2KENg10JZl6UPX</t>
  </si>
  <si>
    <t>https://drive.google.com/file/d/17NVmWusfgVwmSfJrDy2KENg10JZl6UPX/view?usp=drivesdk</t>
  </si>
  <si>
    <t>Document successfully created; Document successfully merged; PDF created; Emails Sent: [To: mahendrumehul06@gmail.com]; Run via form trigger as codectechnologies0@gmail.com; Timestamp: Sep 8, 2026 1:57 PM</t>
  </si>
  <si>
    <t xml:space="preserve">Sachin Kumar </t>
  </si>
  <si>
    <t>1_fJVW5HMlQ2zhcnj-MvJ5izOzaes5DZD</t>
  </si>
  <si>
    <t>https://drive.google.com/file/d/1_fJVW5HMlQ2zhcnj-MvJ5izOzaes5DZD/view?usp=drivesdk</t>
  </si>
  <si>
    <t>Document successfully created; Document successfully merged; PDF created; Emails Sent: [To: rishusah2005@gmail.com]; Run via form trigger as codectechnologies0@gmail.com; Timestamp: Sep 8, 2026 2:00 PM</t>
  </si>
  <si>
    <t>Pranav Kumar</t>
  </si>
  <si>
    <t>1wJDKKoZuy4Qrt39qMsUNTpp1XyAs2g7v</t>
  </si>
  <si>
    <t>https://drive.google.com/file/d/1wJDKKoZuy4Qrt39qMsUNTpp1XyAs2g7v/view?usp=drivesdk</t>
  </si>
  <si>
    <t>Document successfully created; Document successfully merged; PDF created; Emails Sent: [To: sakshamsggupta0@gmail.com]; Run via form trigger as codectechnologies0@gmail.com; Timestamp: Sep 8, 2026 2:03 PM</t>
  </si>
  <si>
    <t>Vishant Goswami</t>
  </si>
  <si>
    <t>vishantgoswami04042005@gmail.com</t>
  </si>
  <si>
    <t>ABES Engineering College</t>
  </si>
  <si>
    <t>1T941cclTnFchjkf1dscSXUg9yHvg8an3</t>
  </si>
  <si>
    <t>https://drive.google.com/file/d/1T941cclTnFchjkf1dscSXUg9yHvg8an3/view?usp=drivesdk</t>
  </si>
  <si>
    <t>Document successfully created; Document successfully merged; PDF created; Emails Sent: [To: vishantgoswami04042005@gmail.com]; Run via form trigger as codectechnologies0@gmail.com; Timestamp: Sep 8, 2026 2:04 PM</t>
  </si>
  <si>
    <t>Rishika Sinha</t>
  </si>
  <si>
    <t>rishikasinha2718@gmail.com</t>
  </si>
  <si>
    <t>ITER SOA UNIVERSITY</t>
  </si>
  <si>
    <t>1b1un7j_F0aXyOPKafdiR82dRoC2OpCan</t>
  </si>
  <si>
    <t>https://drive.google.com/file/d/1b1un7j_F0aXyOPKafdiR82dRoC2OpCan/view?usp=drivesdk</t>
  </si>
  <si>
    <t>Document successfully created; Document successfully merged; PDF created; Emails Sent: [To: rishikasinha2718@gmail.com]; Run via form trigger as codectechnologies0@gmail.com; Timestamp: Sep 8, 2026 2:13 PM</t>
  </si>
  <si>
    <t>Sanskruti Kothari</t>
  </si>
  <si>
    <t>sanskrutikothari1824@gmail.com</t>
  </si>
  <si>
    <t>07219045351</t>
  </si>
  <si>
    <t xml:space="preserve">Government Polytechnic Awasari Khurd </t>
  </si>
  <si>
    <t>1Yos1mOAQoiaCdSqriNF1sgs1qGdfGDb9</t>
  </si>
  <si>
    <t>https://drive.google.com/file/d/1Yos1mOAQoiaCdSqriNF1sgs1qGdfGDb9/view?usp=drivesdk</t>
  </si>
  <si>
    <t>Document successfully created; Document successfully merged; PDF created; Emails Sent: [To: sanskrutikothari1824@gmail.com]; Run via form trigger as codectechnologies0@gmail.com; Timestamp: Sep 8, 2026 2:14 PM</t>
  </si>
  <si>
    <t xml:space="preserve">Khan Mehtab Ahmed Salauddin </t>
  </si>
  <si>
    <t>itswhatever919@gmail.com</t>
  </si>
  <si>
    <t>1piBfgQJE0D6uzaOZbP2cass1cpxNaHKt</t>
  </si>
  <si>
    <t>https://drive.google.com/file/d/1piBfgQJE0D6uzaOZbP2cass1cpxNaHKt/view?usp=drivesdk</t>
  </si>
  <si>
    <t>Document successfully created; Document successfully merged; PDF created; Emails Sent: [To: itswhatever919@gmail.com]; Run via form trigger as codectechnologies0@gmail.com; Timestamp: Sep 8, 2026 2:15 PM</t>
  </si>
  <si>
    <t>Sonal</t>
  </si>
  <si>
    <t>sonalroyxox@gmail.com</t>
  </si>
  <si>
    <t>1U7oTNf2v_IrpujHjUqcyr1wOCZNHHReE</t>
  </si>
  <si>
    <t>https://drive.google.com/file/d/1U7oTNf2v_IrpujHjUqcyr1wOCZNHHReE/view?usp=drivesdk</t>
  </si>
  <si>
    <t>Document successfully created; Document successfully merged; PDF created; Emails Sent: [To: sonalroyxox@gmail.com]; Run via form trigger as codectechnologies0@gmail.com; Timestamp: Sep 8, 2026 2:16 PM</t>
  </si>
  <si>
    <t>MOHANAPRIYAN S</t>
  </si>
  <si>
    <t>srpdmohith@gmail.com</t>
  </si>
  <si>
    <t xml:space="preserve">Rathinam Technical campus </t>
  </si>
  <si>
    <t>1oyrrtwWR3g_PbAI5-Dyy127WdZX3KkWU</t>
  </si>
  <si>
    <t>https://drive.google.com/file/d/1oyrrtwWR3g_PbAI5-Dyy127WdZX3KkWU/view?usp=drivesdk</t>
  </si>
  <si>
    <t>Document successfully created; Document successfully merged; PDF created; Emails Sent: [To: srpdmohith@gmail.com]; Run via form trigger as codectechnologies0@gmail.com; Timestamp: Sep 8, 2026 2:27 PM</t>
  </si>
  <si>
    <t xml:space="preserve">Krrish Rajak </t>
  </si>
  <si>
    <t>Krishrahak28@gmail.com</t>
  </si>
  <si>
    <t xml:space="preserve">St aloysius college autonomous </t>
  </si>
  <si>
    <t>1dDIgw5eW2OrT1Arz5arwgShF0URdf9S3</t>
  </si>
  <si>
    <t>https://drive.google.com/file/d/1dDIgw5eW2OrT1Arz5arwgShF0URdf9S3/view?usp=drivesdk</t>
  </si>
  <si>
    <t>Document successfully created; Document successfully merged; PDF created; Emails Sent: [To: Krishrahak28@gmail.com]; Run via form trigger as codectechnologies0@gmail.com; Timestamp: Sep 8, 2026 2:28 PM</t>
  </si>
  <si>
    <t>Rudra singh</t>
  </si>
  <si>
    <t>rudra.josa@gmail.com</t>
  </si>
  <si>
    <t>1Sz8utpZq_8KsfCtww0c77Dgwg9VCk3YC</t>
  </si>
  <si>
    <t>https://drive.google.com/file/d/1Sz8utpZq_8KsfCtww0c77Dgwg9VCk3YC/view?usp=drivesdk</t>
  </si>
  <si>
    <t>Document successfully created; Document successfully merged; PDF created; Emails Sent: [To: rudra.josa@gmail.com]; Run via form trigger as codectechnologies0@gmail.com; Timestamp: Sep 8, 2026 2:36 PM</t>
  </si>
  <si>
    <t>ak8515402@gmail.com</t>
  </si>
  <si>
    <t>1BPIHqN8MtkT5uohQOMMiZNOjp_fxT70k</t>
  </si>
  <si>
    <t>https://drive.google.com/file/d/1BPIHqN8MtkT5uohQOMMiZNOjp_fxT70k/view?usp=drivesdk</t>
  </si>
  <si>
    <t>Document successfully created; Document successfully merged; PDF created; Emails Sent: [To: ak8515402@gmail.com]; Run via form trigger as codectechnologies0@gmail.com; Timestamp: Sep 8, 2026 2:38 PM</t>
  </si>
  <si>
    <t>Sarthak suman Das</t>
  </si>
  <si>
    <t>dassarthaksuman17@gmail.com</t>
  </si>
  <si>
    <t>ITER\SOA</t>
  </si>
  <si>
    <t>1odTxx7_ox3euAkv8MO93denGKPpAM2g4</t>
  </si>
  <si>
    <t>https://drive.google.com/file/d/1odTxx7_ox3euAkv8MO93denGKPpAM2g4/view?usp=drivesdk</t>
  </si>
  <si>
    <t>Document successfully created; Document successfully merged; PDF created; Emails Sent: [To: dassarthaksuman17@gmail.com]; Run via form trigger as codectechnologies0@gmail.com; Timestamp: Sep 8, 2026 2:39 PM</t>
  </si>
  <si>
    <t>Piyush Kumbhakar</t>
  </si>
  <si>
    <t>kumbhakarpiyush@gmail.com</t>
  </si>
  <si>
    <t>Dumka engineering college</t>
  </si>
  <si>
    <t>1pb99ZTkySJIDCIS_8n72OGp2C1nvcqcy</t>
  </si>
  <si>
    <t>https://drive.google.com/file/d/1pb99ZTkySJIDCIS_8n72OGp2C1nvcqcy/view?usp=drivesdk</t>
  </si>
  <si>
    <t>Document successfully created; Document successfully merged; PDF created; Emails Sent: [To: kumbhakarpiyush@gmail.com]; Run via form trigger as codectechnologies0@gmail.com; Timestamp: Sep 8, 2026 2:54 PM</t>
  </si>
  <si>
    <t>Benoit A Benz</t>
  </si>
  <si>
    <t>benoita@karunya.edu.in</t>
  </si>
  <si>
    <t>karunya Institute of technology and science</t>
  </si>
  <si>
    <t>1W6O0FWjeTzER1LiuHBHJipQ1w498CfL1</t>
  </si>
  <si>
    <t>https://drive.google.com/file/d/1W6O0FWjeTzER1LiuHBHJipQ1w498CfL1/view?usp=drivesdk</t>
  </si>
  <si>
    <t>Document successfully created; Document successfully merged; PDF created; Emails Sent: [To: benoita@karunya.edu.in]; Run via form trigger as codectechnologies0@gmail.com; Timestamp: Sep 8, 2026 2:57 PM</t>
  </si>
  <si>
    <t>Aditya Jaiswal</t>
  </si>
  <si>
    <t>ajaiswal0797@gmail.com</t>
  </si>
  <si>
    <t>Dr ram manohar lohia awadh university</t>
  </si>
  <si>
    <t>11krQQnmEh-AizAZnmHKLtNFVBWcjwXuX</t>
  </si>
  <si>
    <t>https://drive.google.com/file/d/11krQQnmEh-AizAZnmHKLtNFVBWcjwXuX/view?usp=drivesdk</t>
  </si>
  <si>
    <t>Document successfully created; Document successfully merged; PDF created; Emails Sent: [To: ajaiswal0797@gmail.com]; Run via form trigger as codectechnologies0@gmail.com; Timestamp: Sep 8, 2026 3:05 PM</t>
  </si>
  <si>
    <t>Manepalli Veera Naga VenkataSatya Vivek</t>
  </si>
  <si>
    <t>manepallivivek25@gmail.com</t>
  </si>
  <si>
    <t xml:space="preserve">Amrita Vishwa Vidyapeetham </t>
  </si>
  <si>
    <t>1JA0Zz-0XfNIguEYZMeomJc3bsu4kLWuq</t>
  </si>
  <si>
    <t>https://drive.google.com/file/d/1JA0Zz-0XfNIguEYZMeomJc3bsu4kLWuq/view?usp=drivesdk</t>
  </si>
  <si>
    <t>Document successfully created; Document successfully merged; PDF created; Emails Sent: [To: manepallivivek25@gmail.com]; Run via form trigger as codectechnologies0@gmail.com; Timestamp: Sep 8, 2026 3:17 PM</t>
  </si>
  <si>
    <t>Rajeshwari Sankar</t>
  </si>
  <si>
    <t>Connect.rajeshwarisankar@gmail.com</t>
  </si>
  <si>
    <t>Aurora's business school</t>
  </si>
  <si>
    <t>12PY9aIUUs9nm5BZu-Vb8ksPRAWHqm8hF</t>
  </si>
  <si>
    <t>https://drive.google.com/file/d/12PY9aIUUs9nm5BZu-Vb8ksPRAWHqm8hF/view?usp=drivesdk</t>
  </si>
  <si>
    <t>Document successfully created; Document successfully merged; PDF created; Emails Sent: [To: Connect.rajeshwarisankar@gmail.com]; Run via form trigger as codectechnologies0@gmail.com; Timestamp: Sep 8, 2026 3:55 PM</t>
  </si>
  <si>
    <t>Lakshya Sharma</t>
  </si>
  <si>
    <t>lakshyasharma1423@gmail.com</t>
  </si>
  <si>
    <t>1oDJu9l7JCVS0R_lHixxnfcS6EBKQL4u4</t>
  </si>
  <si>
    <t>https://drive.google.com/file/d/1oDJu9l7JCVS0R_lHixxnfcS6EBKQL4u4/view?usp=drivesdk</t>
  </si>
  <si>
    <t>Document successfully created; Document successfully merged; PDF created; Emails Sent: [To: lakshyasharma1423@gmail.com]; Run via form trigger as codectechnologies0@gmail.com; Timestamp: Sep 8, 2026 3:57 PM</t>
  </si>
  <si>
    <t>Connect.sankarrajeshwari@gmail.com</t>
  </si>
  <si>
    <t>1IRR4FomqbBCnRWpqrBxJioEGWajlH6_G</t>
  </si>
  <si>
    <t>https://drive.google.com/file/d/1IRR4FomqbBCnRWpqrBxJioEGWajlH6_G/view?usp=drivesdk</t>
  </si>
  <si>
    <t>Document successfully created; Document successfully merged; PDF created; Emails Sent: [To: Connect.sankarrajeshwari@gmail.com]; Run via form trigger as codectechnologies0@gmail.com; Timestamp: Sep 8, 2026 3:58 PM</t>
  </si>
  <si>
    <t>1jnwUGO6-kOK4tMd_Law8cJeSzQhKD8sC</t>
  </si>
  <si>
    <t>https://drive.google.com/file/d/1jnwUGO6-kOK4tMd_Law8cJeSzQhKD8sC/view?usp=drivesdk</t>
  </si>
  <si>
    <t>Document successfully created; Document successfully merged; PDF created; Emails Sent: [To: Connect.sankarrajeshwari@gmail.com]; Run via form trigger as codectechnologies0@gmail.com; Timestamp: Sep 8, 2026 4:06 PM</t>
  </si>
  <si>
    <t xml:space="preserve">Pulkit singh </t>
  </si>
  <si>
    <t>pulkit.25scs1003000470@iilm.edu</t>
  </si>
  <si>
    <t>15sR1-2ZqSb7u3VRklmomStBFW2C5vciM</t>
  </si>
  <si>
    <t>https://drive.google.com/file/d/15sR1-2ZqSb7u3VRklmomStBFW2C5vciM/view?usp=drivesdk</t>
  </si>
  <si>
    <t>Document successfully created; Document successfully merged; PDF created; Emails Sent: [To: pulkit.25scs1003000470@iilm.edu]; Run via form trigger as codectechnologies0@gmail.com; Timestamp: Sep 8, 2026 4:39 PM</t>
  </si>
  <si>
    <t>Md Sohel Rahaman</t>
  </si>
  <si>
    <t>mdsohelrahaman.work@gmail.com</t>
  </si>
  <si>
    <t>Jadavpur University</t>
  </si>
  <si>
    <t>1KVeURvgKr5iDEOX6IExa3EsHldPo-kT9</t>
  </si>
  <si>
    <t>https://drive.google.com/file/d/1KVeURvgKr5iDEOX6IExa3EsHldPo-kT9/view?usp=drivesdk</t>
  </si>
  <si>
    <t>Document successfully created; Document successfully merged; PDF created; Emails Sent: [To: mdsohelrahaman.work@gmail.com]; Run via form trigger as codectechnologies0@gmail.com; Timestamp: Sep 8, 2026 5:14 PM</t>
  </si>
  <si>
    <t>KAVANA DR</t>
  </si>
  <si>
    <t>kavanaisestudent@gmail.com</t>
  </si>
  <si>
    <t xml:space="preserve">Vivekananda Institute Of Technology </t>
  </si>
  <si>
    <t>19haUL4QjCfK-DNjk_BoyfMdwVdOJKSZJ</t>
  </si>
  <si>
    <t>https://drive.google.com/file/d/19haUL4QjCfK-DNjk_BoyfMdwVdOJKSZJ/view?usp=drivesdk</t>
  </si>
  <si>
    <t>Document successfully created; Document successfully merged; PDF created; Emails Sent: [To: kavanaisestudent@gmail.com]; Run via form trigger as codectechnologies0@gmail.com; Timestamp: Sep 8, 2026 10:03 PM</t>
  </si>
  <si>
    <t>MOHAMMED ASIF P</t>
  </si>
  <si>
    <t>mohammadasifp01@gmail.com</t>
  </si>
  <si>
    <t xml:space="preserve">Ballari institute of technology and management, Ballari </t>
  </si>
  <si>
    <t>13SzrYXTMpHMiqWlDU7KX51Fi1Tq3xd2f</t>
  </si>
  <si>
    <t>https://drive.google.com/file/d/13SzrYXTMpHMiqWlDU7KX51Fi1Tq3xd2f/view?usp=drivesdk</t>
  </si>
  <si>
    <t>Document successfully created; Document successfully merged; PDF created; Emails Sent: [To: mohammadasifp01@gmail.com]; Run via form trigger as codectechnologies0@gmail.com; Timestamp: Sep 8, 2026 10:07 PM</t>
  </si>
  <si>
    <t>1dIDixG99nzhcJlu9zb1-qiaEHc0rs9Ka</t>
  </si>
  <si>
    <t>https://drive.google.com/file/d/1dIDixG99nzhcJlu9zb1-qiaEHc0rs9Ka/view?usp=drivesdk</t>
  </si>
  <si>
    <t>Document successfully created; Document successfully merged; PDF created; Emails Sent: [To: sandhiya20122@gmail.com]; Run via form trigger as codectechnologies0@gmail.com; Timestamp: Sep 8, 2026 10:36 PM</t>
  </si>
  <si>
    <t>Dablu Kumar</t>
  </si>
  <si>
    <t>dablukumar7306@gmail.com</t>
  </si>
  <si>
    <t>VGU, Jaipur</t>
  </si>
  <si>
    <t>1QJfUXQwX0Ls9nhrmODvkQybT26KwAwcR</t>
  </si>
  <si>
    <t>https://drive.google.com/file/d/1QJfUXQwX0Ls9nhrmODvkQybT26KwAwcR/view?usp=drivesdk</t>
  </si>
  <si>
    <t>Document successfully created; Document successfully merged; PDF created; Emails Sent: [To: dablukumar7306@gmail.com]; Run via form trigger as codectechnologies0@gmail.com; Timestamp: Sep 8, 2026 10:49 PM</t>
  </si>
  <si>
    <t>Shagun Jain</t>
  </si>
  <si>
    <t>shagunj79126@gmail.com</t>
  </si>
  <si>
    <t>1kzKJxEGAezPt6CX8QNF7x9FtXcan5KQZ</t>
  </si>
  <si>
    <t>https://drive.google.com/file/d/1kzKJxEGAezPt6CX8QNF7x9FtXcan5KQZ/view?usp=drivesdk</t>
  </si>
  <si>
    <t>Document successfully created; Document successfully merged; PDF created; Emails Sent: [To: shagunj79126@gmail.com]; Run via form trigger as codectechnologies0@gmail.com; Timestamp: Sep 8, 2026 11:12 PM</t>
  </si>
  <si>
    <t>Ajay Kumar Verma</t>
  </si>
  <si>
    <t>0241csds308@niet.co.in</t>
  </si>
  <si>
    <t>1nq5Bh_G50BWClwOk2l2jiQvkAROtdvl3</t>
  </si>
  <si>
    <t>https://drive.google.com/file/d/1nq5Bh_G50BWClwOk2l2jiQvkAROtdvl3/view?usp=drivesdk</t>
  </si>
  <si>
    <t>Document successfully created; Document successfully merged; PDF created; Emails Sent: [To: 0241csds308@niet.co.in]; Run via form trigger as codectechnologies0@gmail.com; Timestamp: Sep 8, 2026 11:13 PM</t>
  </si>
  <si>
    <t>Jeevan KM</t>
  </si>
  <si>
    <t>kmjeevan0409@gmail.com</t>
  </si>
  <si>
    <t xml:space="preserve">Smt danamma channabasavaiah college </t>
  </si>
  <si>
    <t>13fr1ALkmaD_AslkxvuToMO89sA3uZgw8</t>
  </si>
  <si>
    <t>https://drive.google.com/file/d/13fr1ALkmaD_AslkxvuToMO89sA3uZgw8/view?usp=drivesdk</t>
  </si>
  <si>
    <t>Document successfully created; Document successfully merged; PDF created; Emails Sent: [To: kmjeevan0409@gmail.com]; Run via form trigger as codectechnologies0@gmail.com; Timestamp: Sep 8, 2026 11:14 PM</t>
  </si>
  <si>
    <t>NARAYANAN .P</t>
  </si>
  <si>
    <t>narain1602@gmail.com</t>
  </si>
  <si>
    <t xml:space="preserve">Hindustan University of technology and science </t>
  </si>
  <si>
    <t>1GxOyh91RncMN7qebXnBYgDP0YcrjDo85</t>
  </si>
  <si>
    <t>https://drive.google.com/file/d/1GxOyh91RncMN7qebXnBYgDP0YcrjDo85/view?usp=drivesdk</t>
  </si>
  <si>
    <t>Document successfully created; Document successfully merged; PDF created; Emails Sent: [To: narain1602@gmail.com]; Run via form trigger as codectechnologies0@gmail.com; Timestamp: Sep 8, 2026 11:15 PM</t>
  </si>
  <si>
    <t>Ayushi Sabat</t>
  </si>
  <si>
    <t>sabatayushi34@gmail.com</t>
  </si>
  <si>
    <t>Soa iter</t>
  </si>
  <si>
    <t>1HlJAolDdx66jriYBJ5RtMXT-ibL6MNuz</t>
  </si>
  <si>
    <t>https://drive.google.com/file/d/1HlJAolDdx66jriYBJ5RtMXT-ibL6MNuz/view?usp=drivesdk</t>
  </si>
  <si>
    <t>Document successfully created; Document successfully merged; PDF created; Emails Sent: [To: sabatayushi34@gmail.com]; Run via form trigger as codectechnologies0@gmail.com; Timestamp: Sep 8, 2026 11:19 PM</t>
  </si>
  <si>
    <t>Rishika Shekhawat</t>
  </si>
  <si>
    <t>78919 34965</t>
  </si>
  <si>
    <t>1RxrRJoL8O4y3pT2lD1mDfWCD4TxW02qk</t>
  </si>
  <si>
    <t>https://drive.google.com/file/d/1RxrRJoL8O4y3pT2lD1mDfWCD4TxW02qk/view?usp=drivesdk</t>
  </si>
  <si>
    <t>Document successfully created; Document successfully merged; PDF created; Emails Sent: [To: dablukumar7306@gmail.com]; Run via form trigger as codectechnologies0@gmail.com; Timestamp: Sep 8, 2026 11:29 PM</t>
  </si>
  <si>
    <t>Sai Sathan S</t>
  </si>
  <si>
    <t>saisathan019@gmail.com</t>
  </si>
  <si>
    <t>St. Joseph's Institute of technology</t>
  </si>
  <si>
    <t>1CHHoqWYPimsepjoVZASSOnekywPCfWGi</t>
  </si>
  <si>
    <t>https://drive.google.com/file/d/1CHHoqWYPimsepjoVZASSOnekywPCfWGi/view?usp=drivesdk</t>
  </si>
  <si>
    <t>Document successfully created; Document successfully merged; PDF created; Emails Sent: [To: saisathan019@gmail.com]; Run via form trigger as codectechnologies0@gmail.com; Timestamp: Sep 8, 2026 11:35 PM</t>
  </si>
  <si>
    <t>Sri Ashvanth</t>
  </si>
  <si>
    <t>sriashvanth007@gmail.com</t>
  </si>
  <si>
    <t>10XQcqxMawOYXPt4Y8-4TACikputxERLw</t>
  </si>
  <si>
    <t>https://drive.google.com/file/d/10XQcqxMawOYXPt4Y8-4TACikputxERLw/view?usp=drivesdk</t>
  </si>
  <si>
    <t>Document successfully created; Document successfully merged; PDF created; Emails Sent: [To: sriashvanth007@gmail.com]; Run via form trigger as codectechnologies0@gmail.com; Timestamp: Sep 8, 2026 11:41 PM</t>
  </si>
  <si>
    <t>Adeshwar PR</t>
  </si>
  <si>
    <t>24cu0320073@student.hindustanuniv.ac.in</t>
  </si>
  <si>
    <t>Hindustan institute of technology and science</t>
  </si>
  <si>
    <t>1mMuAZWgZbbElK1s_OUewJiDSwjDBSCgF</t>
  </si>
  <si>
    <t>https://drive.google.com/file/d/1mMuAZWgZbbElK1s_OUewJiDSwjDBSCgF/view?usp=drivesdk</t>
  </si>
  <si>
    <t>Document successfully created; Document successfully merged; PDF created; Emails Sent: [To: 24cu0320073@student.hindustanuniv.ac.in]; Run via form trigger as codectechnologies0@gmail.com; Timestamp: Sep 9, 2026 12:00 AM</t>
  </si>
  <si>
    <t>Anurag Rathour</t>
  </si>
  <si>
    <t>anuragrathour97@gmail.com</t>
  </si>
  <si>
    <t xml:space="preserve">Kanpur institute of technology kanpur </t>
  </si>
  <si>
    <t>1oeiaydIrBbaVspdUV1KPRvzh1nPJMZrP</t>
  </si>
  <si>
    <t>https://drive.google.com/file/d/1oeiaydIrBbaVspdUV1KPRvzh1nPJMZrP/view?usp=drivesdk</t>
  </si>
  <si>
    <t>Document successfully created; Document successfully merged; PDF created; Emails Sent: [To: anuragrathour97@gmail.com]; Run via form trigger as codectechnologies0@gmail.com; Timestamp: Sep 9, 2026 12:05 AM</t>
  </si>
  <si>
    <t>Sankalp Verma</t>
  </si>
  <si>
    <t>sankalp.verma2444@gmail.com</t>
  </si>
  <si>
    <t>1o0fJKR7eNAfzcJFWNbWfjnUXarytzcH2</t>
  </si>
  <si>
    <t>https://drive.google.com/file/d/1o0fJKR7eNAfzcJFWNbWfjnUXarytzcH2/view?usp=drivesdk</t>
  </si>
  <si>
    <t>Document successfully created; Document successfully merged; PDF created; Emails Sent: [To: sankalp.verma2444@gmail.com]; Run via form trigger as codectechnologies0@gmail.com; Timestamp: Sep 9, 2026 12:11 AM</t>
  </si>
  <si>
    <t xml:space="preserve">Arka jain university </t>
  </si>
  <si>
    <t>LinkedIn, Instagram, WhatsApp, AICTE/Indeed</t>
  </si>
  <si>
    <t>14xGy07-C-sz4nyRBzVBz3yGP7bK5FV9v</t>
  </si>
  <si>
    <t>https://drive.google.com/file/d/14xGy07-C-sz4nyRBzVBz3yGP7bK5FV9v/view?usp=drivesdk</t>
  </si>
  <si>
    <t>Document successfully created; Document successfully merged; PDF created; Emails Sent: [To: banushka315@gmail.com]; Run via form trigger as codectechnologies0@gmail.com; Timestamp: Sep 9, 2026 12:11 AM</t>
  </si>
  <si>
    <t>ABHISHEK MISHRA</t>
  </si>
  <si>
    <t>abhishek.25scs1003001378@iilm.edu</t>
  </si>
  <si>
    <t>1v_Q8BHWiySCh1ruKfeksBguBfQtuxU0w</t>
  </si>
  <si>
    <t>https://drive.google.com/file/d/1v_Q8BHWiySCh1ruKfeksBguBfQtuxU0w/view?usp=drivesdk</t>
  </si>
  <si>
    <t>Document successfully created; Document successfully merged; PDF created; Emails Sent: [To: abhishek.25scs1003001378@iilm.edu]; Run via form trigger as codectechnologies0@gmail.com; Timestamp: Sep 9, 2026 12:18 AM</t>
  </si>
  <si>
    <t>aditya  ranjan</t>
  </si>
  <si>
    <t>adiranjan018@gmail.com</t>
  </si>
  <si>
    <t>1lJu4KJqltb808UunxQote_7x1cGVNYbz</t>
  </si>
  <si>
    <t>https://drive.google.com/file/d/1lJu4KJqltb808UunxQote_7x1cGVNYbz/view?usp=drivesdk</t>
  </si>
  <si>
    <t>Document successfully created; Document successfully merged; PDF created; Emails Sent: [To: adiranjan018@gmail.com]; Run via form trigger as codectechnologies0@gmail.com; Timestamp: Sep 9, 2026 12:25 AM</t>
  </si>
  <si>
    <t>Ansh</t>
  </si>
  <si>
    <t>ansh92803@gmail.com</t>
  </si>
  <si>
    <t xml:space="preserve">Chandigarh collage of engineering </t>
  </si>
  <si>
    <t>1eSQ-z4FezYtHBXd9duc2HO_ukAWaoSv_</t>
  </si>
  <si>
    <t>https://drive.google.com/file/d/1eSQ-z4FezYtHBXd9duc2HO_ukAWaoSv_/view?usp=drivesdk</t>
  </si>
  <si>
    <t>Document successfully created; Document successfully merged; PDF created; Emails Sent: [To: ansh92803@gmail.com]; Run via form trigger as codectechnologies0@gmail.com; Timestamp: Sep 9, 2026 12:30 AM</t>
  </si>
  <si>
    <t>Koyyana Mohini</t>
  </si>
  <si>
    <t>Koyyanamohini11@gnail.com</t>
  </si>
  <si>
    <t>1FA5dhUWtssL31J8hDy9pPv_FaVYT8PH4</t>
  </si>
  <si>
    <t>https://drive.google.com/file/d/1FA5dhUWtssL31J8hDy9pPv_FaVYT8PH4/view?usp=drivesdk</t>
  </si>
  <si>
    <t>Document successfully created; Document successfully merged; PDF created; Emails Sent: [To: Koyyanamohini11@gnail.com]; Run via form trigger as codectechnologies0@gmail.com; Timestamp: Sep 9, 2026 12:31 AM</t>
  </si>
  <si>
    <t>K.Thaseen</t>
  </si>
  <si>
    <t>thaseentashu395@gmail.com</t>
  </si>
  <si>
    <t xml:space="preserve">Gates institute of technology </t>
  </si>
  <si>
    <t>140pi5oi0P8Uaf8x3ewDkM1Br6Hoh-Zf2</t>
  </si>
  <si>
    <t>https://drive.google.com/file/d/140pi5oi0P8Uaf8x3ewDkM1Br6Hoh-Zf2/view?usp=drivesdk</t>
  </si>
  <si>
    <t>Document successfully created; Document successfully merged; PDF created; Emails Sent: [To: thaseentashu395@gmail.com]; Run via form trigger as codectechnologies0@gmail.com; Timestamp: Sep 9, 2026 12:41 AM</t>
  </si>
  <si>
    <t xml:space="preserve">Aalok Sharma </t>
  </si>
  <si>
    <t>aaloksharma1806@gmail.com</t>
  </si>
  <si>
    <t xml:space="preserve">Noida Institute of Engineering and technology </t>
  </si>
  <si>
    <t>1dORE9V3ePVxUlg8KosVXG4U_hIuUxvmv</t>
  </si>
  <si>
    <t>https://drive.google.com/file/d/1dORE9V3ePVxUlg8KosVXG4U_hIuUxvmv/view?usp=drivesdk</t>
  </si>
  <si>
    <t>Document successfully created; Document successfully merged; PDF created; Emails Sent: [To: aaloksharma1806@gmail.com]; Run via form trigger as codectechnologies0@gmail.com; Timestamp: Sep 9, 2026 12:51 AM</t>
  </si>
  <si>
    <t>Anurag Tiwari</t>
  </si>
  <si>
    <t>anurag.25scs1003004590@iilm.edu</t>
  </si>
  <si>
    <t>1Lmt8dyfoxOW59VhM5xHIB5xP2VYWXYIX</t>
  </si>
  <si>
    <t>https://drive.google.com/file/d/1Lmt8dyfoxOW59VhM5xHIB5xP2VYWXYIX/view?usp=drivesdk</t>
  </si>
  <si>
    <t>Document successfully created; Document successfully merged; PDF created; Emails Sent: [To: anurag.25scs1003004590@iilm.edu]; Run via form trigger as codectechnologies0@gmail.com; Timestamp: Sep 9, 2026 12:54 AM</t>
  </si>
  <si>
    <t>Sahil</t>
  </si>
  <si>
    <t>sahiljangra93502@gmail.com</t>
  </si>
  <si>
    <t xml:space="preserve">Chandigarh College of engineering </t>
  </si>
  <si>
    <t>1yY72DCall_JWJ4MBSvN64B77kq26lJPk</t>
  </si>
  <si>
    <t>https://drive.google.com/file/d/1yY72DCall_JWJ4MBSvN64B77kq26lJPk/view?usp=drivesdk</t>
  </si>
  <si>
    <t>Document successfully created; Document successfully merged; PDF created; Emails Sent: [To: sahiljangra93502@gmail.com]; Run via form trigger as codectechnologies0@gmail.com; Timestamp: Sep 9, 2026 12:54 AM</t>
  </si>
  <si>
    <t>Muddada Saideepika</t>
  </si>
  <si>
    <t>muddadasaideepika@gmail.com</t>
  </si>
  <si>
    <t>1jgfvfAdlIVLLH1wbDOqcKeieyHyB4AQT</t>
  </si>
  <si>
    <t>https://drive.google.com/file/d/1jgfvfAdlIVLLH1wbDOqcKeieyHyB4AQT/view?usp=drivesdk</t>
  </si>
  <si>
    <t>Document successfully created; Document successfully merged; PDF created; Emails Sent: [To: muddadasaideepika@gmail.com]; Run via form trigger as codectechnologies0@gmail.com; Timestamp: Sep 9, 2026 1:07 AM</t>
  </si>
  <si>
    <t>AYUSH KUMAR</t>
  </si>
  <si>
    <t>ay58749082@gmail.com</t>
  </si>
  <si>
    <t xml:space="preserve">University institute of engineering and technology </t>
  </si>
  <si>
    <t>1Rrc3NN8jSdHM-UWZAJkp_lNjwCkGHLNb</t>
  </si>
  <si>
    <t>https://drive.google.com/file/d/1Rrc3NN8jSdHM-UWZAJkp_lNjwCkGHLNb/view?usp=drivesdk</t>
  </si>
  <si>
    <t>Document successfully created; Document successfully merged; PDF created; Emails Sent: [To: ay58749082@gmail.com]; Run via form trigger as codectechnologies0@gmail.com; Timestamp: Sep 9, 2026 1:18 AM</t>
  </si>
  <si>
    <t>Rayed Abdullah</t>
  </si>
  <si>
    <t>rayedsheikh77@gmail.com</t>
  </si>
  <si>
    <t xml:space="preserve">iilm </t>
  </si>
  <si>
    <t>1FdhZ9PJ-Y8vFpwXbSSZL7DF5GL6nEvPA</t>
  </si>
  <si>
    <t>https://drive.google.com/file/d/1FdhZ9PJ-Y8vFpwXbSSZL7DF5GL6nEvPA/view?usp=drivesdk</t>
  </si>
  <si>
    <t>Document successfully created; Document successfully merged; PDF created; Emails Sent: [To: rayedsheikh77@gmail.com]; Run via form trigger as codectechnologies0@gmail.com; Timestamp: Sep 9, 2026 1:22 AM</t>
  </si>
  <si>
    <t>Aryan Prakash</t>
  </si>
  <si>
    <t>anantaryan650@gmail.com</t>
  </si>
  <si>
    <t>Amity University Jharkhand</t>
  </si>
  <si>
    <t>1FXg30-51pVIvvEol4-rQXFIHmAG8fTPP</t>
  </si>
  <si>
    <t>https://drive.google.com/file/d/1FXg30-51pVIvvEol4-rQXFIHmAG8fTPP/view?usp=drivesdk</t>
  </si>
  <si>
    <t>Document successfully created; Document successfully merged; PDF created; Emails Sent: [To: anantaryan650@gmail.com]; Run via form trigger as codectechnologies0@gmail.com; Timestamp: Sep 9, 2026 1:27 AM</t>
  </si>
  <si>
    <t>Piyush Parashar</t>
  </si>
  <si>
    <t>piyushsharma777896@gmail.com</t>
  </si>
  <si>
    <t>1lpqUXL99rO7XjGD3ktB3Oyzl37SkzCVi</t>
  </si>
  <si>
    <t>https://drive.google.com/file/d/1lpqUXL99rO7XjGD3ktB3Oyzl37SkzCVi/view?usp=drivesdk</t>
  </si>
  <si>
    <t>Document successfully created; Document successfully merged; PDF created; Emails Sent: [To: piyushsharma777896@gmail.com]; Run via form trigger as codectechnologies0@gmail.com; Timestamp: Sep 9, 2026 1:29 AM</t>
  </si>
  <si>
    <t>Pavan kumar</t>
  </si>
  <si>
    <t>pavankumar010111@gmail.com</t>
  </si>
  <si>
    <t>sharda university agra</t>
  </si>
  <si>
    <t>1IOYXcTqITaURJ857gKIVxkRBaoSo87z_</t>
  </si>
  <si>
    <t>https://drive.google.com/file/d/1IOYXcTqITaURJ857gKIVxkRBaoSo87z_/view?usp=drivesdk</t>
  </si>
  <si>
    <t>Document successfully created; Document successfully merged; PDF created; Emails Sent: [To: pavankumar010111@gmail.com]; Run via form trigger as codectechnologies0@gmail.com; Timestamp: Sep 9, 2026 1:32 AM</t>
  </si>
  <si>
    <t>Ibrahim sheikh</t>
  </si>
  <si>
    <t>24amtics007@gmail.com</t>
  </si>
  <si>
    <t xml:space="preserve">Uka tarsadia university </t>
  </si>
  <si>
    <t>1g9J4NaFhiUswdeEiJStU_5XksiYyh7tp</t>
  </si>
  <si>
    <t>https://drive.google.com/file/d/1g9J4NaFhiUswdeEiJStU_5XksiYyh7tp/view?usp=drivesdk</t>
  </si>
  <si>
    <t>Document successfully created; Document successfully merged; PDF created; Emails Sent: [To: 24amtics007@gmail.com]; Run via form trigger as codectechnologies0@gmail.com; Timestamp: Sep 9, 2026 1:40 AM</t>
  </si>
  <si>
    <t>Karan Aggarwal</t>
  </si>
  <si>
    <t>aggarwalkaran048@gmail.com</t>
  </si>
  <si>
    <t>1jszE6cTrjye05QIGeArHS_LYtCcCks0s</t>
  </si>
  <si>
    <t>https://drive.google.com/file/d/1jszE6cTrjye05QIGeArHS_LYtCcCks0s/view?usp=drivesdk</t>
  </si>
  <si>
    <t>Document successfully created; Document successfully merged; PDF created; !!Error Sending Emails: Service invoked too many times for one day: email.; Run via form trigger as codectechnologies0@gmail.com; Timestamp: Sep 9, 2026 2:01 AM</t>
  </si>
  <si>
    <t>Harsha kumar Singh</t>
  </si>
  <si>
    <t>singhharshakumar4@gmail.com</t>
  </si>
  <si>
    <t xml:space="preserve">Siksha 'O' Anusandhan </t>
  </si>
  <si>
    <t>1Zg44TN6BgwYoxdWjacCYYAGan-UXjrco</t>
  </si>
  <si>
    <t>https://drive.google.com/file/d/1Zg44TN6BgwYoxdWjacCYYAGan-UXjrco/view?usp=drivesdk</t>
  </si>
  <si>
    <t>Document successfully created; Document successfully merged; PDF created; Emails Sent: [To: singhharshakumar4@gmail.com]; Run via form trigger as codectechnologies0@gmail.com; Timestamp: Sep 9, 2026 2:04 AM</t>
  </si>
  <si>
    <t>Ravi Shankar</t>
  </si>
  <si>
    <t>chintalaravishankar1@gmail.com</t>
  </si>
  <si>
    <t>1O8-8rDKCDqU0Tzz1bMmwfvo14IiRwcyn</t>
  </si>
  <si>
    <t>https://drive.google.com/file/d/1O8-8rDKCDqU0Tzz1bMmwfvo14IiRwcyn/view?usp=drivesdk</t>
  </si>
  <si>
    <t>Document successfully created; Document successfully merged; PDF created; Emails Sent: [To: chintalaravishankar1@gmail.com]; Run via form trigger as codectechnologies0@gmail.com; Timestamp: Sep 9, 2026 2:08 AM</t>
  </si>
  <si>
    <t xml:space="preserve">Pratik Kumar Sahu </t>
  </si>
  <si>
    <t>pratiksahu22072004@gmail.com</t>
  </si>
  <si>
    <t>SOA ITER (Institute of Technical Education and Research)</t>
  </si>
  <si>
    <t>1TeQqBLMow2rhO1wFhXi5qJ1Nj2ymQlIw</t>
  </si>
  <si>
    <t>https://drive.google.com/file/d/1TeQqBLMow2rhO1wFhXi5qJ1Nj2ymQlIw/view?usp=drivesdk</t>
  </si>
  <si>
    <t>Document successfully created; Document successfully merged; PDF created; !!Error Sending Emails: Service invoked too many times for one day: email.; Run via form trigger as codectechnologies0@gmail.com; Timestamp: Sep 9, 2026 2:30 AM</t>
  </si>
  <si>
    <t>Chinni pravalika</t>
  </si>
  <si>
    <t>pravalikachinni78@gmail.com</t>
  </si>
  <si>
    <t xml:space="preserve">Avanthi institute of engineering and technology, makavarapalem </t>
  </si>
  <si>
    <t>1THqqE-Ha_hXPDFvNwb2zfB9_ULXyfTB6</t>
  </si>
  <si>
    <t>https://drive.google.com/file/d/1THqqE-Ha_hXPDFvNwb2zfB9_ULXyfTB6/view?usp=drivesdk</t>
  </si>
  <si>
    <t>Document successfully created; Document successfully merged; PDF created; Emails Sent: [To: pravalikachinni78@gmail.com]; Run via form trigger as codectechnologies0@gmail.com; Timestamp: Sep 9, 2026 2:35 AM</t>
  </si>
  <si>
    <t>Kabeer  Dhunna</t>
  </si>
  <si>
    <t>1SbmX2Hc3122O6Vgx0-UmE8hr2eiS-tl8</t>
  </si>
  <si>
    <t>https://drive.google.com/file/d/1SbmX2Hc3122O6Vgx0-UmE8hr2eiS-tl8/view?usp=drivesdk</t>
  </si>
  <si>
    <t>Document successfully created; Document successfully merged; PDF created; !!Error Sending Emails: Service invoked too many times for one day: email.; Run via form trigger as codectechnologies0@gmail.com; Timestamp: Sep 9, 2026 2:54 AM</t>
  </si>
  <si>
    <t>Divyansh Rajput</t>
  </si>
  <si>
    <t>divyanshrajput3911@gmail.com</t>
  </si>
  <si>
    <t>IPS Academy indore</t>
  </si>
  <si>
    <t>1HziKOiUrUe0JuziilejoIEP5w1SnBkZT</t>
  </si>
  <si>
    <t>https://drive.google.com/file/d/1HziKOiUrUe0JuziilejoIEP5w1SnBkZT/view?usp=drivesdk</t>
  </si>
  <si>
    <t>Document successfully created; Document successfully merged; PDF created; Emails Sent: [To: divyanshrajput3911@gmail.com]; Run via form trigger as codectechnologies0@gmail.com; Timestamp: Sep 9, 2026 2:56 AM</t>
  </si>
  <si>
    <t>koyyanamohini11@gmail.com</t>
  </si>
  <si>
    <t>1CLd8nej2TUkK2ksFe9NVwaA3_pGDTUPt</t>
  </si>
  <si>
    <t>https://drive.google.com/file/d/1CLd8nej2TUkK2ksFe9NVwaA3_pGDTUPt/view?usp=drivesdk</t>
  </si>
  <si>
    <t>Document successfully created; Document successfully merged; PDF created; Emails Sent: [To: koyyanamohini11@gmail.com]; Run via form trigger as codectechnologies0@gmail.com; Timestamp: Sep 9, 2026 2:59 AM</t>
  </si>
  <si>
    <t>JEYA SURIYA V</t>
  </si>
  <si>
    <t>jeyasuriya@karunya.edu.in</t>
  </si>
  <si>
    <t>1LgpVpomThGKBuDIEpkucSOhV5gTZddI2</t>
  </si>
  <si>
    <t>https://drive.google.com/file/d/1LgpVpomThGKBuDIEpkucSOhV5gTZddI2/view?usp=drivesdk</t>
  </si>
  <si>
    <t>Document successfully created; Document successfully merged; PDF created; Emails Sent: [To: jeyasuriya@karunya.edu.in]; Run via form trigger as codectechnologies0@gmail.com; Timestamp: Sep 9, 2026 3:00 AM</t>
  </si>
  <si>
    <t xml:space="preserve">YASHRAJ MARUTI HUMBE </t>
  </si>
  <si>
    <t>humbeyashraj12@gmail.com</t>
  </si>
  <si>
    <t xml:space="preserve">Dhole Patil College of engineering kharadi </t>
  </si>
  <si>
    <t>1CyKjQZa16yTZxHsw9sMSUBODD_f_G0e_</t>
  </si>
  <si>
    <t>https://drive.google.com/file/d/1CyKjQZa16yTZxHsw9sMSUBODD_f_G0e_/view?usp=drivesdk</t>
  </si>
  <si>
    <t>Document successfully created; Document successfully merged; PDF created; !!Error Sending Emails: Service invoked too many times for one day: email.; Run via form trigger as codectechnologies0@gmail.com; Timestamp: Sep 9, 2026 3:10 AM</t>
  </si>
  <si>
    <t>Harsh Mishra</t>
  </si>
  <si>
    <t>iamharshu2021@gmail.com</t>
  </si>
  <si>
    <t>1K_BkaDt-Ybq2N0BHVRhHBi-Jt5gCK2U4</t>
  </si>
  <si>
    <t>https://drive.google.com/file/d/1K_BkaDt-Ybq2N0BHVRhHBi-Jt5gCK2U4/view?usp=drivesdk</t>
  </si>
  <si>
    <t>Document successfully created; Document successfully merged; PDF created; Emails Sent: [To: iamharshu2021@gmail.com]; Run via form trigger as codectechnologies0@gmail.com; Timestamp: Sep 9, 2026 3:20 AM</t>
  </si>
  <si>
    <t>+917319965520</t>
  </si>
  <si>
    <t>1KEf2Aqwg4BcrrvVMz_quD7681mWu2Afm</t>
  </si>
  <si>
    <t>https://drive.google.com/file/d/1KEf2Aqwg4BcrrvVMz_quD7681mWu2Afm/view?usp=drivesdk</t>
  </si>
  <si>
    <t>Document successfully created; Document successfully merged; PDF created; !!Error Sending Emails: Service invoked too many times for one day: email.; Run via form trigger as codectechnologies0@gmail.com; Timestamp: Sep 9, 2026 3:20 AM</t>
  </si>
  <si>
    <t>Vishal P</t>
  </si>
  <si>
    <t>vishalpradepraaj1110@gmail.com</t>
  </si>
  <si>
    <t>1avkXNrerQ6w1otFS4o0pG0VIY9vEW70G</t>
  </si>
  <si>
    <t>https://drive.google.com/file/d/1avkXNrerQ6w1otFS4o0pG0VIY9vEW70G/view?usp=drivesdk</t>
  </si>
  <si>
    <t>Document successfully created; Document successfully merged; PDF created; !!Error Sending Emails: Service invoked too many times for one day: email.; Run via form trigger as codectechnologies0@gmail.com; Timestamp: Sep 9, 2026 3:21 AM</t>
  </si>
  <si>
    <t>Shubham Rathore</t>
  </si>
  <si>
    <t>panwarshubham885@gmail.com</t>
  </si>
  <si>
    <t>1CrsL5MKaY2GfWq-7yyFRLjlaEXvkSG3z</t>
  </si>
  <si>
    <t>https://drive.google.com/file/d/1CrsL5MKaY2GfWq-7yyFRLjlaEXvkSG3z/view?usp=drivesdk</t>
  </si>
  <si>
    <t>Riyansh Raj</t>
  </si>
  <si>
    <t>riyanshraj989@gmail.com</t>
  </si>
  <si>
    <t>1X1aKoC6BrmYjdXnFpPPcwD4Ndiux7Gh_</t>
  </si>
  <si>
    <t>https://drive.google.com/file/d/1X1aKoC6BrmYjdXnFpPPcwD4Ndiux7Gh_/view?usp=drivesdk</t>
  </si>
  <si>
    <t>Document successfully created; Document successfully merged; PDF created; Emails Sent: [To: riyanshraj989@gmail.com]; Run via form trigger as codectechnologies0@gmail.com; Timestamp: Sep 9, 2026 3:22 AM</t>
  </si>
  <si>
    <t>1iCw00sShGukgfUvJOMJLldfm0sIpKR2U</t>
  </si>
  <si>
    <t>https://drive.google.com/file/d/1iCw00sShGukgfUvJOMJLldfm0sIpKR2U/view?usp=drivesdk</t>
  </si>
  <si>
    <t>Document successfully created; Document successfully merged; PDF created; Emails Sent: [To: vishalpradepraaj1110@gmail.com]; Run via form trigger as codectechnologies0@gmail.com; Timestamp: Sep 9, 2026 3:27 AM</t>
  </si>
  <si>
    <t>Aditya Pathak</t>
  </si>
  <si>
    <t>adityapathak1414@gmail.com</t>
  </si>
  <si>
    <t>1rpoGRXOaD62wE6SzNcJ9kFraERw2urrB</t>
  </si>
  <si>
    <t>https://drive.google.com/file/d/1rpoGRXOaD62wE6SzNcJ9kFraERw2urrB/view?usp=drivesdk</t>
  </si>
  <si>
    <t>Document successfully created; Document successfully merged; PDF created; !!Error Sending Emails: Service invoked too many times for one day: email.; Run via form trigger as codectechnologies0@gmail.com; Timestamp: Sep 9, 2026 3:32 AM</t>
  </si>
  <si>
    <t>SHRIDHAR GUPTA</t>
  </si>
  <si>
    <t>1PcIolEoLxu-Aco114e7aWNCXMTprBeMC</t>
  </si>
  <si>
    <t>https://drive.google.com/file/d/1PcIolEoLxu-Aco114e7aWNCXMTprBeMC/view?usp=drivesdk</t>
  </si>
  <si>
    <t>Document successfully created; Document successfully merged; PDF created; Emails Sent: [To: debangdhan20@gmail.com]; Run via form trigger as codectechnologies0@gmail.com; Timestamp: Sep 9, 2026 3:32 AM</t>
  </si>
  <si>
    <t>1p9U0Sxi54PVYWpM-zUqHeJLmee8TaLWg</t>
  </si>
  <si>
    <t>https://drive.google.com/file/d/1p9U0Sxi54PVYWpM-zUqHeJLmee8TaLWg/view?usp=drivesdk</t>
  </si>
  <si>
    <t>Document successfully created; Document successfully merged; PDF created; !!Error Sending Emails: Service invoked too many times for one day: email.; Run via form trigger as codectechnologies0@gmail.com; Timestamp: Sep 9, 2026 3:33 AM</t>
  </si>
  <si>
    <t>1h_1e11JUG2-8WAOv8CeGpfAZbpKlCIPF</t>
  </si>
  <si>
    <t>https://drive.google.com/file/d/1h_1e11JUG2-8WAOv8CeGpfAZbpKlCIPF/view?usp=drivesdk</t>
  </si>
  <si>
    <t>Document successfully created; Document successfully merged; PDF created; !!Error Sending Emails: Service invoked too many times for one day: email.; Run via form trigger as codectechnologies0@gmail.com; Timestamp: Sep 9, 2026 3:39 AM</t>
  </si>
  <si>
    <t>Abhishek Dyan Samantara</t>
  </si>
  <si>
    <t>abhishekdyansamantara@gmail.com</t>
  </si>
  <si>
    <t xml:space="preserve">ITER </t>
  </si>
  <si>
    <t>1Gmx7f8y1lvtI9L85trnpKSEy-s3TJHfl</t>
  </si>
  <si>
    <t>https://drive.google.com/file/d/1Gmx7f8y1lvtI9L85trnpKSEy-s3TJHfl/view?usp=drivesdk</t>
  </si>
  <si>
    <t>Document successfully created; Document successfully merged; PDF created; !!Error Sending Emails: Service invoked too many times for one day: email.; Run via form trigger as codectechnologies0@gmail.com; Timestamp: Sep 9, 2026 3:41 AM</t>
  </si>
  <si>
    <t xml:space="preserve">Piyush Yadav </t>
  </si>
  <si>
    <t>yaduvanshipiyush641@gmail.com</t>
  </si>
  <si>
    <t>1DiJg6SyGlJR8urK3xDfxdDtisd37vHCB</t>
  </si>
  <si>
    <t>https://drive.google.com/file/d/1DiJg6SyGlJR8urK3xDfxdDtisd37vHCB/view?usp=drivesdk</t>
  </si>
  <si>
    <t>Document successfully created; Document successfully merged; PDF created; !!Error Sending Emails: Service invoked too many times for one day: email.; Run via form trigger as codectechnologies0@gmail.com; Timestamp: Sep 9, 2026 3:42 AM</t>
  </si>
  <si>
    <t>Aditya Singh Chauhan</t>
  </si>
  <si>
    <t>1AYjab2Ggnw-dnodO1v03lDC0c8W-KANb</t>
  </si>
  <si>
    <t>https://drive.google.com/file/d/1AYjab2Ggnw-dnodO1v03lDC0c8W-KANb/view?usp=drivesdk</t>
  </si>
  <si>
    <t>Document successfully created; Document successfully merged; PDF created; !!Error Sending Emails: Service invoked too many times for one day: email.; Run via form trigger as codectechnologies0@gmail.com; Timestamp: Sep 9, 2026 3:45 AM</t>
  </si>
  <si>
    <t>Soumyaranjan sethi</t>
  </si>
  <si>
    <t>somyasethi215@gmail.com</t>
  </si>
  <si>
    <t>Amritsar group of colleges</t>
  </si>
  <si>
    <t>1UuQmTcKx1T0XUufrIxSQqqGulsMg52HM</t>
  </si>
  <si>
    <t>https://drive.google.com/file/d/1UuQmTcKx1T0XUufrIxSQqqGulsMg52HM/view?usp=drivesdk</t>
  </si>
  <si>
    <t>Document successfully created; Document successfully merged; PDF created; !!Error Sending Emails: Service invoked too many times for one day: email.; Run via form trigger as codectechnologies0@gmail.com; Timestamp: Sep 9, 2026 3:46 AM</t>
  </si>
  <si>
    <t xml:space="preserve">Vineet guleria </t>
  </si>
  <si>
    <t>vineetguleria412002@gmail.com</t>
  </si>
  <si>
    <t>Siksha'O'Anusandhan</t>
  </si>
  <si>
    <t>102Jkn3XDNQT2g8OXUIO-01SCyKv1zPmF</t>
  </si>
  <si>
    <t>https://drive.google.com/file/d/102Jkn3XDNQT2g8OXUIO-01SCyKv1zPmF/view?usp=drivesdk</t>
  </si>
  <si>
    <t xml:space="preserve">S Srimayee Subudhi </t>
  </si>
  <si>
    <t>srimayeesubudhi@gmail.com</t>
  </si>
  <si>
    <t>1gQROzsmoFxgzUq6WCQoF0WdkghgEFuRG</t>
  </si>
  <si>
    <t>https://drive.google.com/file/d/1gQROzsmoFxgzUq6WCQoF0WdkghgEFuRG/view?usp=drivesdk</t>
  </si>
  <si>
    <t>Document successfully created; Document successfully merged; PDF created; !!Error Sending Emails: Service invoked too many times for one day: email.; Run via form trigger as codectechnologies0@gmail.com; Timestamp: Sep 9, 2026 3:48 AM</t>
  </si>
  <si>
    <t>Vineet Guleria</t>
  </si>
  <si>
    <t>1kq0NkFBhfwlsxBYESdeQ6N9rBcSTMW6Z</t>
  </si>
  <si>
    <t>https://drive.google.com/file/d/1kq0NkFBhfwlsxBYESdeQ6N9rBcSTMW6Z/view?usp=drivesdk</t>
  </si>
  <si>
    <t>Document successfully created; Document successfully merged; PDF created; !!Error Sending Emails: Service invoked too many times for one day: email.; Run via form trigger as codectechnologies0@gmail.com; Timestamp: Sep 9, 2026 3:51 AM</t>
  </si>
  <si>
    <t>ZOYA FATMA</t>
  </si>
  <si>
    <t>zoya.fatmakamal@gmail.com</t>
  </si>
  <si>
    <t>Institute of Technical Education and Research, ITER, Siksha 'O' Anusandhan</t>
  </si>
  <si>
    <t>1Xnnh41t9Z7-TIlXngaeUGhLCglCpLLhj</t>
  </si>
  <si>
    <t>https://drive.google.com/file/d/1Xnnh41t9Z7-TIlXngaeUGhLCglCpLLhj/view?usp=drivesdk</t>
  </si>
  <si>
    <t>Document successfully created; Document successfully merged; PDF created; Emails Sent: [To: zoya.fatmakamal@gmail.com]; Run via form trigger as codectechnologies0@gmail.com; Timestamp: Sep 9, 2026 3:51 AM</t>
  </si>
  <si>
    <t>Rachit Gangwar</t>
  </si>
  <si>
    <t>gangwarr257@gmail.com</t>
  </si>
  <si>
    <t>1gNSmjztxOPLwtiGKDIqGJlQ0M6wFXno5</t>
  </si>
  <si>
    <t>https://drive.google.com/file/d/1gNSmjztxOPLwtiGKDIqGJlQ0M6wFXno5/view?usp=drivesdk</t>
  </si>
  <si>
    <t>Document successfully created; Document successfully merged; PDF created; !!Error Sending Emails: Service invoked too many times for one day: email.; Run via form trigger as codectechnologies0@gmail.com; Timestamp: Sep 9, 2026 3:54 AM</t>
  </si>
  <si>
    <t>Avantika Tripathi</t>
  </si>
  <si>
    <t>avantikatripathi9919@gmail.com</t>
  </si>
  <si>
    <t>1kPKpBTxHP6zDzy55vow0MhzaID0Nb3M4</t>
  </si>
  <si>
    <t>https://drive.google.com/file/d/1kPKpBTxHP6zDzy55vow0MhzaID0Nb3M4/view?usp=drivesdk</t>
  </si>
  <si>
    <t>Document successfully created; Document successfully merged; PDF created; !!Error Sending Emails: Service invoked too many times for one day: email.; Run via form trigger as codectechnologies0@gmail.com; Timestamp: Sep 9, 2026 3:55 AM</t>
  </si>
  <si>
    <t>Sujeet Giri</t>
  </si>
  <si>
    <t>12VPLAJxgEeicpkvLwBfaPBzfTQew4fvo</t>
  </si>
  <si>
    <t>https://drive.google.com/file/d/12VPLAJxgEeicpkvLwBfaPBzfTQew4fvo/view?usp=drivesdk</t>
  </si>
  <si>
    <t>Document successfully created; Document successfully merged; PDF created; !!Error Sending Emails: Service invoked too many times for one day: email.; Run via form trigger as codectechnologies0@gmail.com; Timestamp: Sep 9, 2026 4:04 AM</t>
  </si>
  <si>
    <t>Avnish Yadav</t>
  </si>
  <si>
    <t>avnishydv6877@gmail.com</t>
  </si>
  <si>
    <t>School of Management Science Lucknow</t>
  </si>
  <si>
    <t>1ottCjANvo4Tqa6rQxBGN7mMynpPMYcdp</t>
  </si>
  <si>
    <t>https://drive.google.com/file/d/1ottCjANvo4Tqa6rQxBGN7mMynpPMYcdp/view?usp=drivesdk</t>
  </si>
  <si>
    <t>Document successfully created; Document successfully merged; PDF created; !!Error Sending Emails: Service invoked too many times for one day: email.; Run via form trigger as codectechnologies0@gmail.com; Timestamp: Sep 9, 2026 4:07 AM</t>
  </si>
  <si>
    <t>Akash Patel</t>
  </si>
  <si>
    <t>akalpha143@gmail.com</t>
  </si>
  <si>
    <t>Haridwar university</t>
  </si>
  <si>
    <t>1TsDlyl00L4o_aV-0y9FFxJLtJ0z2cAC8</t>
  </si>
  <si>
    <t>https://drive.google.com/file/d/1TsDlyl00L4o_aV-0y9FFxJLtJ0z2cAC8/view?usp=drivesdk</t>
  </si>
  <si>
    <t>Document successfully created; Document successfully merged; PDF created; Emails Sent: [To: akalpha143@gmail.com]; Run via form trigger as codectechnologies0@gmail.com; Timestamp: Sep 9, 2026 4:18 AM</t>
  </si>
  <si>
    <t>DILIP ORAON</t>
  </si>
  <si>
    <t>diliporaon9065@gmail.com</t>
  </si>
  <si>
    <t>BIRSA INSTITUTE OF TECHNOLOGY</t>
  </si>
  <si>
    <t>1vnLCC4Hi2oDXrHNjJBtHf1j4SnV37qfm</t>
  </si>
  <si>
    <t>https://drive.google.com/file/d/1vnLCC4Hi2oDXrHNjJBtHf1j4SnV37qfm/view?usp=drivesdk</t>
  </si>
  <si>
    <t>Document successfully created; Document successfully merged; PDF created; Emails Sent: [To: diliporaon9065@gmail.com]; Run via form trigger as codectechnologies0@gmail.com; Timestamp: Sep 9, 2026 4:26 AM</t>
  </si>
  <si>
    <t>as1460885@gmail.com</t>
  </si>
  <si>
    <t>1KwdGCP2RwX_VCI7teWjXJO3EVDSwyF2Y</t>
  </si>
  <si>
    <t>https://drive.google.com/file/d/1KwdGCP2RwX_VCI7teWjXJO3EVDSwyF2Y/view?usp=drivesdk</t>
  </si>
  <si>
    <t>Document successfully created; Document successfully merged; PDF created; !!Error Sending Emails: Service invoked too many times for one day: email.; Run via form trigger as codectechnologies0@gmail.com; Timestamp: Sep 9, 2026 4:39 AM</t>
  </si>
  <si>
    <t>Rahul Sah</t>
  </si>
  <si>
    <t>rahulsah85399@gmail.com</t>
  </si>
  <si>
    <t xml:space="preserve">Vidya vihar institute of technology </t>
  </si>
  <si>
    <t>18yf_HHTXxRFM8K7wH_rsQ7kkuW7V1xtH</t>
  </si>
  <si>
    <t>https://drive.google.com/file/d/18yf_HHTXxRFM8K7wH_rsQ7kkuW7V1xtH/view?usp=drivesdk</t>
  </si>
  <si>
    <t>Document successfully created; Document successfully merged; PDF created; !!Error Sending Emails: Service invoked too many times for one day: email.; Run via form trigger as codectechnologies0@gmail.com; Timestamp: Sep 9, 2026 4:41 AM</t>
  </si>
  <si>
    <t xml:space="preserve">Vishal P </t>
  </si>
  <si>
    <t>vishalpradeepraaj1110@gmail.com</t>
  </si>
  <si>
    <t>1MlxPwNTObRRo2DSg3ivhR3odwbKiB3-f</t>
  </si>
  <si>
    <t>https://drive.google.com/file/d/1MlxPwNTObRRo2DSg3ivhR3odwbKiB3-f/view?usp=drivesdk</t>
  </si>
  <si>
    <t>Document successfully created; Document successfully merged; PDF created; !!Error Sending Emails: Service invoked too many times for one day: email.; Run via form trigger as codectechnologies0@gmail.com; Timestamp: Sep 9, 2026 4:53 AM</t>
  </si>
  <si>
    <t>Syed Abdul Samad</t>
  </si>
  <si>
    <t>syedsamad21112005@gmail.com</t>
  </si>
  <si>
    <t xml:space="preserve">methodist college of engineering and technology </t>
  </si>
  <si>
    <t>1sj3a5SL3n1BfX44_60NTMHtqaGViKGas</t>
  </si>
  <si>
    <t>https://drive.google.com/file/d/1sj3a5SL3n1BfX44_60NTMHtqaGViKGas/view?usp=drivesdk</t>
  </si>
  <si>
    <t>PATEL OM</t>
  </si>
  <si>
    <t>omptl0801@gmail.com</t>
  </si>
  <si>
    <t xml:space="preserve">AMTICS </t>
  </si>
  <si>
    <t>1iWwG5B4XdIAfVFV1GuYiArisGDo_zWrY</t>
  </si>
  <si>
    <t>https://drive.google.com/file/d/1iWwG5B4XdIAfVFV1GuYiArisGDo_zWrY/view?usp=drivesdk</t>
  </si>
  <si>
    <t>Document successfully created; Document successfully merged; PDF created; !!Error Sending Emails: Service invoked too many times for one day: email.; Run via form trigger as codectechnologies0@gmail.com; Timestamp: Sep 9, 2026 4:54 AM</t>
  </si>
  <si>
    <t>Akshitha</t>
  </si>
  <si>
    <t>akshithareddyreddy49@gmail.com</t>
  </si>
  <si>
    <t>Malla Reddy Deemed to Be University</t>
  </si>
  <si>
    <t>1nY2LIgpOSSeZIjvdbrievou2CbIC8whR</t>
  </si>
  <si>
    <t>https://drive.google.com/file/d/1nY2LIgpOSSeZIjvdbrievou2CbIC8whR/view?usp=drivesdk</t>
  </si>
  <si>
    <t>Document successfully created; Document successfully merged; PDF created; !!Error Sending Emails: Service invoked too many times for one day: email.; Run via form trigger as codectechnologies0@gmail.com; Timestamp: Sep 9, 2026 4:55 AM</t>
  </si>
  <si>
    <t>1NgTBl2canPl3sV6l0sLINCMRabbQ5av8</t>
  </si>
  <si>
    <t>https://drive.google.com/file/d/1NgTBl2canPl3sV6l0sLINCMRabbQ5av8/view?usp=drivesdk</t>
  </si>
  <si>
    <t>Document successfully created; Document successfully merged; PDF created; !!Error Sending Emails: Service invoked too many times for one day: email.; Run via form trigger as codectechnologies0@gmail.com; Timestamp: Sep 9, 2026 4:57 AM</t>
  </si>
  <si>
    <t>Tushar Srivastava</t>
  </si>
  <si>
    <t>t32023078@gmail.com</t>
  </si>
  <si>
    <t>11-B_Ihck1by-UUoptpCGdHEn5ETojlfx</t>
  </si>
  <si>
    <t>https://drive.google.com/file/d/11-B_Ihck1by-UUoptpCGdHEn5ETojlfx/view?usp=drivesdk</t>
  </si>
  <si>
    <t>Document successfully created; Document successfully merged; PDF created; !!Error Sending Emails: Service invoked too many times for one day: email.; Run via form trigger as codectechnologies0@gmail.com; Timestamp: Sep 9, 2026 4:59 AM</t>
  </si>
  <si>
    <t xml:space="preserve">Akshitha </t>
  </si>
  <si>
    <t>1MZqavWlAoZueezj6OpepBBlI0tMB1kbr</t>
  </si>
  <si>
    <t>https://drive.google.com/file/d/1MZqavWlAoZueezj6OpepBBlI0tMB1kbr/view?usp=drivesdk</t>
  </si>
  <si>
    <t>Document successfully created; Document successfully merged; PDF created; !!Error Sending Emails: Service invoked too many times for one day: email.; Run via form trigger as codectechnologies0@gmail.com; Timestamp: Sep 9, 2026 5:04 AM</t>
  </si>
  <si>
    <t>sudhaveni shalini</t>
  </si>
  <si>
    <t>sudhavenishalini13@gmail.com</t>
  </si>
  <si>
    <t>Malla Reddy Deemed To Be University</t>
  </si>
  <si>
    <t>1-PM48BJFT-fMxPhyBJUfa7QrA5AErp61</t>
  </si>
  <si>
    <t>https://drive.google.com/file/d/1-PM48BJFT-fMxPhyBJUfa7QrA5AErp61/view?usp=drivesdk</t>
  </si>
  <si>
    <t>RITHANYA R</t>
  </si>
  <si>
    <t>rithanyaramasamy@gmail.com</t>
  </si>
  <si>
    <t>1F6mpeij1Br-NZhI4DYfpE2NxVqVQ15UF</t>
  </si>
  <si>
    <t>https://drive.google.com/file/d/1F6mpeij1Br-NZhI4DYfpE2NxVqVQ15UF/view?usp=drivesdk</t>
  </si>
  <si>
    <t>Document successfully created; Document successfully merged; PDF created; !!Error Sending Emails: Service invoked too many times for one day: email.; Run via form trigger as codectechnologies0@gmail.com; Timestamp: Sep 9, 2026 5:06 AM</t>
  </si>
  <si>
    <t>1-AYIS0H9si7uMGIJ_Mgm_E-OiYEMWDi3</t>
  </si>
  <si>
    <t>https://drive.google.com/file/d/1-AYIS0H9si7uMGIJ_Mgm_E-OiYEMWDi3/view?usp=drivesdk</t>
  </si>
  <si>
    <t>Instagram, Facebook, Friend</t>
  </si>
  <si>
    <t>1Q672a_OYJVDSOnn1o3MXu-r5b5WiGJMD</t>
  </si>
  <si>
    <t>https://drive.google.com/file/d/1Q672a_OYJVDSOnn1o3MXu-r5b5WiGJMD/view?usp=drivesdk</t>
  </si>
  <si>
    <t>Shalini Sudhaveni</t>
  </si>
  <si>
    <t>1MupzBimn_UAZA4lVwDAYy7VXlAzezj8N</t>
  </si>
  <si>
    <t>https://drive.google.com/file/d/1MupzBimn_UAZA4lVwDAYy7VXlAzezj8N/view?usp=drivesdk</t>
  </si>
  <si>
    <t>Document successfully created; Document successfully merged; PDF created; !!Error Sending Emails: Service invoked too many times for one day: email.; Run via form trigger as codectechnologies0@gmail.com; Timestamp: Sep 9, 2026 5:10 AM</t>
  </si>
  <si>
    <t xml:space="preserve">Satyam </t>
  </si>
  <si>
    <t>satyamdubey3101@gmail.com</t>
  </si>
  <si>
    <t xml:space="preserve">Maharishi University of information technology </t>
  </si>
  <si>
    <t>1Pl9zCJIL86i_NJ34tEwHmEdVdn2aXi5U</t>
  </si>
  <si>
    <t>https://drive.google.com/file/d/1Pl9zCJIL86i_NJ34tEwHmEdVdn2aXi5U/view?usp=drivesdk</t>
  </si>
  <si>
    <t>Document successfully created; Document successfully merged; PDF created; !!Error Sending Emails: Service invoked too many times for one day: email.; Run via form trigger as codectechnologies0@gmail.com; Timestamp: Sep 9, 2026 5:15 AM</t>
  </si>
  <si>
    <t xml:space="preserve">RITHANYA.R </t>
  </si>
  <si>
    <t>11uBNy-7G6iWl4pUOujsiCZT0M6lgQoU5</t>
  </si>
  <si>
    <t>https://drive.google.com/file/d/11uBNy-7G6iWl4pUOujsiCZT0M6lgQoU5/view?usp=drivesdk</t>
  </si>
  <si>
    <t>Document successfully created; Document successfully merged; PDF created; !!Error Sending Emails: Service invoked too many times for one day: email.; Run via form trigger as codectechnologies0@gmail.com; Timestamp: Sep 9, 2026 5:24 AM</t>
  </si>
  <si>
    <t>Sitej Kumar Nayak</t>
  </si>
  <si>
    <t>sitej.992345@gmail.com</t>
  </si>
  <si>
    <t xml:space="preserve">Veer Surendra Sai University of Technology </t>
  </si>
  <si>
    <t>16iKu4D1NAngNCgjbOPTW1QhcjBxOmLXE</t>
  </si>
  <si>
    <t>https://drive.google.com/file/d/16iKu4D1NAngNCgjbOPTW1QhcjBxOmLXE/view?usp=drivesdk</t>
  </si>
  <si>
    <t>Document successfully created; Document successfully merged; PDF created; !!Error Sending Emails: Service invoked too many times for one day: email.; Run via form trigger as codectechnologies0@gmail.com; Timestamp: Sep 9, 2026 5:30 AM</t>
  </si>
  <si>
    <t>Satyam Yadav</t>
  </si>
  <si>
    <t>satyamydv0810@gmail.com</t>
  </si>
  <si>
    <t>United Institute Of Technology</t>
  </si>
  <si>
    <t>1SX2CV6Ul9kVrMf0akDZHH-v4cc84Gi_L</t>
  </si>
  <si>
    <t>https://drive.google.com/file/d/1SX2CV6Ul9kVrMf0akDZHH-v4cc84Gi_L/view?usp=drivesdk</t>
  </si>
  <si>
    <t>Document successfully created; Document successfully merged; PDF created; !!Error Sending Emails: Service invoked too many times for one day: email.; Run via form trigger as codectechnologies0@gmail.com; Timestamp: Sep 9, 2026 5:38 AM</t>
  </si>
  <si>
    <t>Mukesh Kumar</t>
  </si>
  <si>
    <t>program8210@gmail.com</t>
  </si>
  <si>
    <t>BJSEC</t>
  </si>
  <si>
    <t>1gkhNJ1EVy9udEu4gTE9Udvr9FLj6F1kw</t>
  </si>
  <si>
    <t>https://drive.google.com/file/d/1gkhNJ1EVy9udEu4gTE9Udvr9FLj6F1kw/view?usp=drivesdk</t>
  </si>
  <si>
    <t>Document successfully created; Document successfully merged; PDF created; !!Error Sending Emails: Service invoked too many times for one day: email.; Run via form trigger as codectechnologies0@gmail.com; Timestamp: Sep 9, 2026 5:39 AM</t>
  </si>
  <si>
    <t>Tanu</t>
  </si>
  <si>
    <t>tanu.me.23@nitj.ac.in</t>
  </si>
  <si>
    <t>Dr. B R Ambedkar National Institute of Technology Jalandhar</t>
  </si>
  <si>
    <t>1i94YXhJMiw3ZH8ygRdRmaDGizy83bI7F</t>
  </si>
  <si>
    <t>https://drive.google.com/file/d/1i94YXhJMiw3ZH8ygRdRmaDGizy83bI7F/view?usp=drivesdk</t>
  </si>
  <si>
    <t>Document successfully created; Document successfully merged; PDF created; !!Error Sending Emails: Service invoked too many times for one day: email.; Run via form trigger as codectechnologies0@gmail.com; Timestamp: Sep 9, 2026 5:42 AM</t>
  </si>
  <si>
    <t>singhpriyanshu73888@gmail.com</t>
  </si>
  <si>
    <t xml:space="preserve">ITM GIDA Gorakhpur </t>
  </si>
  <si>
    <t>1u3yXeFtmuabkRgTrQKQZARGthmuXgOvH</t>
  </si>
  <si>
    <t>https://drive.google.com/file/d/1u3yXeFtmuabkRgTrQKQZARGthmuXgOvH/view?usp=drivesdk</t>
  </si>
  <si>
    <t>Document successfully created; Document successfully merged; PDF created; Emails Sent: [To: singhpriyanshu73888@gmail.com]; Run via form trigger as codectechnologies0@gmail.com; Timestamp: Sep 9, 2026 5:58 AM</t>
  </si>
  <si>
    <t>ishika bundele</t>
  </si>
  <si>
    <t>ishika@Gmail.com</t>
  </si>
  <si>
    <t>vidhyabharati mahavidhyala amravati</t>
  </si>
  <si>
    <t>1DM41A_eRfY2g3Quu4iBLp0ZIoqbKxMMU</t>
  </si>
  <si>
    <t>https://drive.google.com/file/d/1DM41A_eRfY2g3Quu4iBLp0ZIoqbKxMMU/view?usp=drivesdk</t>
  </si>
  <si>
    <t>Document successfully created; Document successfully merged; PDF created; Emails Sent: [To: ishika@Gmail.com]; Run via form trigger as codectechnologies0@gmail.com; Timestamp: Sep 9, 2026 6:17 AM</t>
  </si>
  <si>
    <t>Avni Tiwari</t>
  </si>
  <si>
    <t>avnitiwari4689@gmail.com</t>
  </si>
  <si>
    <t xml:space="preserve">IILM UNIVERSITY, Greater Noida </t>
  </si>
  <si>
    <t>18zUu7DqLEcwYVIpWDFDJq1Xr31jq62dk</t>
  </si>
  <si>
    <t>https://drive.google.com/file/d/18zUu7DqLEcwYVIpWDFDJq1Xr31jq62dk/view?usp=drivesdk</t>
  </si>
  <si>
    <t>Document successfully created; Document successfully merged; PDF created; !!Error Sending Emails: Service invoked too many times for one day: email.; Run via form trigger as codectechnologies0@gmail.com; Timestamp: Sep 9, 2026 6:37 AM</t>
  </si>
  <si>
    <t>Yaswanth Hanumanthu</t>
  </si>
  <si>
    <t>323103310091@gvpce.ac.in</t>
  </si>
  <si>
    <t>Gayatri Vidya Parishad College Of Engineering(A)</t>
  </si>
  <si>
    <t>1r9q0Hde3J3vVNhxFmK2Po5xaKv3-F-zp</t>
  </si>
  <si>
    <t>https://drive.google.com/file/d/1r9q0Hde3J3vVNhxFmK2Po5xaKv3-F-zp/view?usp=drivesdk</t>
  </si>
  <si>
    <t>Document successfully created; Document successfully merged; PDF created; !!Error Sending Emails: Service invoked too many times for one day: email.; Run via form trigger as codectechnologies0@gmail.com; Timestamp: Sep 9, 2026 6:41 AM</t>
  </si>
  <si>
    <t>Yash Sharma</t>
  </si>
  <si>
    <t>alokiktomar32@gmail.com</t>
  </si>
  <si>
    <t>1-T80--880F8AYViz9yJjeb13N-ilbvd1</t>
  </si>
  <si>
    <t>https://drive.google.com/file/d/1-T80--880F8AYViz9yJjeb13N-ilbvd1/view?usp=drivesdk</t>
  </si>
  <si>
    <t>Document successfully created; Document successfully merged; PDF created; !!Error Sending Emails: Service invoked too many times for one day: email.; Run via form trigger as codectechnologies0@gmail.com; Timestamp: Sep 9, 2026 6:43 AM</t>
  </si>
  <si>
    <t>Kavin C</t>
  </si>
  <si>
    <t>24cu0310227@student.hindustanuniv.ac.in</t>
  </si>
  <si>
    <t>15tJmHyneEzYdnmZYNfy4bm2w9mPozcSX</t>
  </si>
  <si>
    <t>https://drive.google.com/file/d/15tJmHyneEzYdnmZYNfy4bm2w9mPozcSX/view?usp=drivesdk</t>
  </si>
  <si>
    <t>Document successfully created; Document successfully merged; PDF created; !!Error Sending Emails: Service invoked too many times for one day: email.; Run via form trigger as codectechnologies0@gmail.com; Timestamp: Sep 9, 2026 6:45 AM</t>
  </si>
  <si>
    <t xml:space="preserve">Neelesh Kushwaha </t>
  </si>
  <si>
    <t>kushwahaneelesh1810@gmail.com</t>
  </si>
  <si>
    <t xml:space="preserve"> Institution of Technology and Management, Gida Gorakhpur </t>
  </si>
  <si>
    <t>1M1CYS9voVaDQ3cn-jSJCnIQ1Sjgm6H84</t>
  </si>
  <si>
    <t>https://drive.google.com/file/d/1M1CYS9voVaDQ3cn-jSJCnIQ1Sjgm6H84/view?usp=drivesdk</t>
  </si>
  <si>
    <t>Document successfully created; Document successfully merged; PDF created; !!Error Sending Emails: Service invoked too many times for one day: email.; Run via form trigger as codectechnologies0@gmail.com; Timestamp: Sep 9, 2026 6:46 AM</t>
  </si>
  <si>
    <t>Mohit</t>
  </si>
  <si>
    <t>mohit952096@gmail.com</t>
  </si>
  <si>
    <t>1C1FZFU8NIY4CtK7WwsRz574BjYldNAUZ</t>
  </si>
  <si>
    <t>https://drive.google.com/file/d/1C1FZFU8NIY4CtK7WwsRz574BjYldNAUZ/view?usp=drivesdk</t>
  </si>
  <si>
    <t>Document successfully created; Document successfully merged; PDF created; !!Error Sending Emails: Service invoked too many times for one day: email.; Run via form trigger as codectechnologies0@gmail.com; Timestamp: Sep 9, 2026 6:48 AM</t>
  </si>
  <si>
    <t>Aman Giri</t>
  </si>
  <si>
    <t>aman.25scs1003000951@iilm.edu</t>
  </si>
  <si>
    <t>1pQzXRzkO6XgFI2uCFGXhEanFIAj4UYaW</t>
  </si>
  <si>
    <t>https://drive.google.com/file/d/1pQzXRzkO6XgFI2uCFGXhEanFIAj4UYaW/view?usp=drivesdk</t>
  </si>
  <si>
    <t>Document successfully created; Document successfully merged; PDF created; !!Error Sending Emails: Service invoked too many times for one day: email.; Run via form trigger as codectechnologies0@gmail.com; Timestamp: Sep 9, 2026 7:03 AM</t>
  </si>
  <si>
    <t>1PbAdvpXEib1gMoSZuVKdO090Oo2EG_6D</t>
  </si>
  <si>
    <t>https://drive.google.com/file/d/1PbAdvpXEib1gMoSZuVKdO090Oo2EG_6D/view?usp=drivesdk</t>
  </si>
  <si>
    <t>Document successfully created; Document successfully merged; PDF created; !!Error Sending Emails: Service invoked too many times for one day: email.; Run via form trigger as codectechnologies0@gmail.com; Timestamp: Sep 9, 2026 7:04 AM</t>
  </si>
  <si>
    <t>Sheetal flora</t>
  </si>
  <si>
    <t>sheetalflora.a1316@gmail.com</t>
  </si>
  <si>
    <t>+91 91507 73551</t>
  </si>
  <si>
    <t>1XC9MJ1sQ0ZDBxW7TYrpMPhwZerBj9YNt</t>
  </si>
  <si>
    <t>https://drive.google.com/file/d/1XC9MJ1sQ0ZDBxW7TYrpMPhwZerBj9YNt/view?usp=drivesdk</t>
  </si>
  <si>
    <t>Document successfully created; Document successfully merged; PDF created; !!Error Sending Emails: Service invoked too many times for one day: email.; Run via form trigger as codectechnologies0@gmail.com; Timestamp: Sep 9, 2026 7:22 AM</t>
  </si>
  <si>
    <t>Simran Malhotra</t>
  </si>
  <si>
    <t>simran.25scs1003003555@iilm.edu</t>
  </si>
  <si>
    <t>1Op4HmVDibZOVGavc6O1xs-DsBfXiN13Z</t>
  </si>
  <si>
    <t>https://drive.google.com/file/d/1Op4HmVDibZOVGavc6O1xs-DsBfXiN13Z/view?usp=drivesdk</t>
  </si>
  <si>
    <t>Document successfully created; Document successfully merged; PDF created; !!Error Sending Emails: Service invoked too many times for one day: email.; Run via form trigger as codectechnologies0@gmail.com; Timestamp: Sep 9, 2026 7:42 AM</t>
  </si>
  <si>
    <t>Ayush Prasad</t>
  </si>
  <si>
    <t>ayush.25scs1003001168@iilm.edu</t>
  </si>
  <si>
    <t>1HsUacmsBkUjOqrAILnRZDoG-Tai3q_KS</t>
  </si>
  <si>
    <t>https://drive.google.com/file/d/1HsUacmsBkUjOqrAILnRZDoG-Tai3q_KS/view?usp=drivesdk</t>
  </si>
  <si>
    <t>Document successfully created; Document successfully merged; PDF created; !!Error Sending Emails: Service invoked too many times for one day: email.; Run via form trigger as codectechnologies0@gmail.com; Timestamp: Sep 9, 2026 7:43 AM</t>
  </si>
  <si>
    <t xml:space="preserve">PENMETSA RADHA SRAVANI </t>
  </si>
  <si>
    <t>radhasravani.pericherla@gmail.com</t>
  </si>
  <si>
    <t>VISHNU INSTITUTE OF TECHNOLOGY (A)</t>
  </si>
  <si>
    <t>1YbN-t2WhMdvOlsbMksyKu3aOnSbSjH2J</t>
  </si>
  <si>
    <t>https://drive.google.com/file/d/1YbN-t2WhMdvOlsbMksyKu3aOnSbSjH2J/view?usp=drivesdk</t>
  </si>
  <si>
    <t>Document successfully created; Document successfully merged; PDF created; !!Error Sending Emails: Service invoked too many times for one day: email.; Run via form trigger as codectechnologies0@gmail.com; Timestamp: Sep 9, 2026 7:56 AM</t>
  </si>
  <si>
    <t>vishal kumar singh</t>
  </si>
  <si>
    <t>vishal.25scs1003001411@iilm.edu</t>
  </si>
  <si>
    <t>1Mfp11lPbP3VBJ4VFrsPAysxK30V-qFF4</t>
  </si>
  <si>
    <t>https://drive.google.com/file/d/1Mfp11lPbP3VBJ4VFrsPAysxK30V-qFF4/view?usp=drivesdk</t>
  </si>
  <si>
    <t>Document successfully created; Document successfully merged; PDF created; !!Error Sending Emails: Service invoked too many times for one day: email.; Run via form trigger as codectechnologies0@gmail.com; Timestamp: Sep 9, 2026 8:02 AM</t>
  </si>
  <si>
    <t>Nagesh Balachandra S.</t>
  </si>
  <si>
    <t>1ZUz26n0-mJAiDiBw_1v7lmp8lgYDP3NX</t>
  </si>
  <si>
    <t>https://drive.google.com/file/d/1ZUz26n0-mJAiDiBw_1v7lmp8lgYDP3NX/view?usp=drivesdk</t>
  </si>
  <si>
    <t>Document successfully created; Document successfully merged; PDF created; !!Error Sending Emails: Service invoked too many times for one day: email.; Run via form trigger as codectechnologies0@gmail.com; Timestamp: Sep 9, 2026 8:06 AM</t>
  </si>
  <si>
    <t>Anushka Rawat</t>
  </si>
  <si>
    <t>anushkarawatt177@gmail.com</t>
  </si>
  <si>
    <t>13NZ2cAtCeh4eiQ2v2RGBId16CJ1I2JB1</t>
  </si>
  <si>
    <t>https://drive.google.com/file/d/13NZ2cAtCeh4eiQ2v2RGBId16CJ1I2JB1/view?usp=drivesdk</t>
  </si>
  <si>
    <t>Document successfully created; Document successfully merged; PDF created; Emails Sent: [To: anushkarawatt177@gmail.com]; Run via form trigger as codectechnologies0@gmail.com; Timestamp: Sep 9, 2026 8:10 AM</t>
  </si>
  <si>
    <t>DHARUN M</t>
  </si>
  <si>
    <t>dharunhowzat07@gmail.com</t>
  </si>
  <si>
    <t>Panimala Engineering College</t>
  </si>
  <si>
    <t>17nwXO-cLw07Q7CGPZcHJ5T2dKXNmEJ05</t>
  </si>
  <si>
    <t>https://drive.google.com/file/d/17nwXO-cLw07Q7CGPZcHJ5T2dKXNmEJ05/view?usp=drivesdk</t>
  </si>
  <si>
    <t>Document successfully created; Document successfully merged; PDF created; !!Error Sending Emails: Service invoked too many times for one day: email.; Run via form trigger as codectechnologies0@gmail.com; Timestamp: Sep 9, 2026 8:21 AM</t>
  </si>
  <si>
    <t>ayushgupta79558@gmail.com</t>
  </si>
  <si>
    <t>1AkShidLpyDrEE1izAo9m3iXDCQH0Ftip</t>
  </si>
  <si>
    <t>https://drive.google.com/file/d/1AkShidLpyDrEE1izAo9m3iXDCQH0Ftip/view?usp=drivesdk</t>
  </si>
  <si>
    <t>Document successfully created; Document successfully merged; PDF created; !!Error Sending Emails: Service invoked too many times for one day: email.; Run via form trigger as codectechnologies0@gmail.com; Timestamp: Sep 9, 2026 8:32 AM</t>
  </si>
  <si>
    <t>Ansh Tiwari</t>
  </si>
  <si>
    <t>anshji2112@gmail.com</t>
  </si>
  <si>
    <t>1ORuyfauR5B8tlDwnwtSaFbXgR5TnQd_w</t>
  </si>
  <si>
    <t>https://drive.google.com/file/d/1ORuyfauR5B8tlDwnwtSaFbXgR5TnQd_w/view?usp=drivesdk</t>
  </si>
  <si>
    <t>Document successfully created; Document successfully merged; PDF created; !!Error Sending Emails: Service invoked too many times for one day: email.; Run via form trigger as codectechnologies0@gmail.com; Timestamp: Sep 9, 2026 8:37 AM</t>
  </si>
  <si>
    <t>Maimuna Khatun</t>
  </si>
  <si>
    <t>maimuna04012002@gmail.com</t>
  </si>
  <si>
    <t>Jalpaiguri Government Engineering College</t>
  </si>
  <si>
    <t>1SBM-ep68LKiAhrG-WisqgmS4ZI47YjyA</t>
  </si>
  <si>
    <t>https://drive.google.com/file/d/1SBM-ep68LKiAhrG-WisqgmS4ZI47YjyA/view?usp=drivesdk</t>
  </si>
  <si>
    <t>Document successfully created; Document successfully merged; PDF created; !!Error Sending Emails: Service invoked too many times for one day: email.; Run via form trigger as codectechnologies0@gmail.com; Timestamp: Sep 9, 2026 8:50 AM</t>
  </si>
  <si>
    <t>Uttam Kumar</t>
  </si>
  <si>
    <t>sahiniuttam@gmail.com</t>
  </si>
  <si>
    <t>IGNOU</t>
  </si>
  <si>
    <t>1tgDbMAJIUczUyA_tXf8lgPB-OXP6qOk_</t>
  </si>
  <si>
    <t>https://drive.google.com/file/d/1tgDbMAJIUczUyA_tXf8lgPB-OXP6qOk_/view?usp=drivesdk</t>
  </si>
  <si>
    <t>Document successfully created; Document successfully merged; PDF created; !!Error Sending Emails: Service invoked too many times for one day: email.; Run via form trigger as codectechnologies0@gmail.com; Timestamp: Sep 9, 2026 8:55 AM</t>
  </si>
  <si>
    <t>Abura fathima JB</t>
  </si>
  <si>
    <t>24cu0310203@student.hindustanuniv.ac.in</t>
  </si>
  <si>
    <t>Hindustan Institute Of Technology &amp; Science</t>
  </si>
  <si>
    <t>19OtqeJ8ICUN9wv_5EqWIl24ybTPK7vjQ</t>
  </si>
  <si>
    <t>https://drive.google.com/file/d/19OtqeJ8ICUN9wv_5EqWIl24ybTPK7vjQ/view?usp=drivesdk</t>
  </si>
  <si>
    <t>Document successfully created; Document successfully merged; PDF created; !!Error Sending Emails: Service invoked too many times for one day: email.; Run via form trigger as codectechnologies0@gmail.com; Timestamp: Sep 9, 2026 9:02 AM</t>
  </si>
  <si>
    <t>Lav kumar Yadav</t>
  </si>
  <si>
    <t>lavkryadav2006@gmail.com</t>
  </si>
  <si>
    <t>1714dLtFakxmfuaXTdsaluFLpertMNyIi</t>
  </si>
  <si>
    <t>https://drive.google.com/file/d/1714dLtFakxmfuaXTdsaluFLpertMNyIi/view?usp=drivesdk</t>
  </si>
  <si>
    <t>Document successfully created; Document successfully merged; PDF created; !!Error Sending Emails: Service invoked too many times for one day: email.; Run via form trigger as codectechnologies0@gmail.com; Timestamp: Sep 9, 2026 9:12 AM</t>
  </si>
  <si>
    <t>Shivam choudhary</t>
  </si>
  <si>
    <t>choudharyshivam2040@gmail.com</t>
  </si>
  <si>
    <t xml:space="preserve">Jaypee institute information of technology </t>
  </si>
  <si>
    <t>1C1_rD4NuGplEgX0bCf0-Zz7DzlvaJwbS</t>
  </si>
  <si>
    <t>https://drive.google.com/file/d/1C1_rD4NuGplEgX0bCf0-Zz7DzlvaJwbS/view?usp=drivesdk</t>
  </si>
  <si>
    <t>Document successfully created; Document successfully merged; PDF created; !!Error Sending Emails: Service invoked too many times for one day: email.; Run via form trigger as codectechnologies0@gmail.com; Timestamp: Sep 9, 2026 9:21 AM</t>
  </si>
  <si>
    <t>Danesh Uppaladinni</t>
  </si>
  <si>
    <t>daneshuppaladinni25@gmail.com</t>
  </si>
  <si>
    <t>1GpLfbNQ3xIFAfTzPgTf--cOTNIBltP1x</t>
  </si>
  <si>
    <t>https://drive.google.com/file/d/1GpLfbNQ3xIFAfTzPgTf--cOTNIBltP1x/view?usp=drivesdk</t>
  </si>
  <si>
    <t>Anshiv Singh</t>
  </si>
  <si>
    <t>anshivsingh631@gmail.com</t>
  </si>
  <si>
    <t>JSSATE,NOIDA</t>
  </si>
  <si>
    <t>1RQA8P_AgkCTvvh-IEccFaYGM2xIJDWrS</t>
  </si>
  <si>
    <t>https://drive.google.com/file/d/1RQA8P_AgkCTvvh-IEccFaYGM2xIJDWrS/view?usp=drivesdk</t>
  </si>
  <si>
    <t>Document successfully created; Document successfully merged; PDF created; !!Error Sending Emails: Service invoked too many times for one day: email.; Run via form trigger as codectechnologies0@gmail.com; Timestamp: Sep 9, 2026 9:27 AM</t>
  </si>
  <si>
    <t xml:space="preserve">Puli Mallikarjuna Reddy </t>
  </si>
  <si>
    <t>pulimallikarjuna33@gmail.com</t>
  </si>
  <si>
    <t xml:space="preserve">Hindustan university </t>
  </si>
  <si>
    <t>1_Wmu-2-zbG7_-O6-LhvL8nuhCOELZr-G</t>
  </si>
  <si>
    <t>https://drive.google.com/file/d/1_Wmu-2-zbG7_-O6-LhvL8nuhCOELZr-G/view?usp=drivesdk</t>
  </si>
  <si>
    <t>Document successfully created; Document successfully merged; PDF created; !!Error Sending Emails: Service invoked too many times for one day: email.; Run via form trigger as codectechnologies0@gmail.com; Timestamp: Sep 9, 2026 9:29 AM</t>
  </si>
  <si>
    <t xml:space="preserve"> Puli Mallikarjuna Reddy</t>
  </si>
  <si>
    <t>1WXTqhxEbD9dhXezKG9fJxnhi-UsixslF</t>
  </si>
  <si>
    <t>https://drive.google.com/file/d/1WXTqhxEbD9dhXezKG9fJxnhi-UsixslF/view?usp=drivesdk</t>
  </si>
  <si>
    <t>Document successfully created; Document successfully merged; PDF created; !!Error Sending Emails: Service invoked too many times for one day: email.; Run via form trigger as codectechnologies0@gmail.com; Timestamp: Sep 9, 2026 9:33 AM</t>
  </si>
  <si>
    <t>Manan Jindal</t>
  </si>
  <si>
    <t>mananjindal09@gmail.com</t>
  </si>
  <si>
    <t>jaypee institute of information technology</t>
  </si>
  <si>
    <t>1zXxcu6hPEqQLumiqiBpLBvsdg3JimcA0</t>
  </si>
  <si>
    <t>https://drive.google.com/file/d/1zXxcu6hPEqQLumiqiBpLBvsdg3JimcA0/view?usp=drivesdk</t>
  </si>
  <si>
    <t>Abhishek S</t>
  </si>
  <si>
    <t>abhisheksankar1725@gmail.com</t>
  </si>
  <si>
    <t>hindustan university</t>
  </si>
  <si>
    <t>1SfoGlvyBCSo-0Ek-EUbvinEnDqcGRo-v</t>
  </si>
  <si>
    <t>https://drive.google.com/file/d/1SfoGlvyBCSo-0Ek-EUbvinEnDqcGRo-v/view?usp=drivesdk</t>
  </si>
  <si>
    <t>Document successfully created; Document successfully merged; PDF created; !!Error Sending Emails: Service invoked too many times for one day: email.; Run via form trigger as codectechnologies0@gmail.com; Timestamp: Sep 9, 2026 9:36 AM</t>
  </si>
  <si>
    <t>Nisha Saini</t>
  </si>
  <si>
    <t>1T8v4RGMqIWGZACihThctAhKjz9Bzpahq</t>
  </si>
  <si>
    <t>https://drive.google.com/file/d/1T8v4RGMqIWGZACihThctAhKjz9Bzpahq/view?usp=drivesdk</t>
  </si>
  <si>
    <t>Document successfully created; Document successfully merged; PDF created; !!Error Sending Emails: Service invoked too many times for one day: email.; Run via form trigger as codectechnologies0@gmail.com; Timestamp: Sep 9, 2026 9:38 AM</t>
  </si>
  <si>
    <t>Porika Priya Singh</t>
  </si>
  <si>
    <t>priyaporika1421@gmail.com</t>
  </si>
  <si>
    <t>Geethanjali College of Engineering and Technology</t>
  </si>
  <si>
    <t>1iy1ZqLj_jOtWCHWXN3daP71prDP0pobv</t>
  </si>
  <si>
    <t>https://drive.google.com/file/d/1iy1ZqLj_jOtWCHWXN3daP71prDP0pobv/view?usp=drivesdk</t>
  </si>
  <si>
    <t>Document successfully created; Document successfully merged; PDF created; !!Error Sending Emails: Service invoked too many times for one day: email.; Run via form trigger as codectechnologies0@gmail.com; Timestamp: Sep 9, 2026 9:44 AM</t>
  </si>
  <si>
    <t>Harsh Rajpal</t>
  </si>
  <si>
    <t>jobs.1harsh@gmail.com</t>
  </si>
  <si>
    <t>Madhav Institute Of Technology And Science, Gwalior</t>
  </si>
  <si>
    <t>1Lp0Wubitck7RQTgTUnFH-9k2e0_jrN57</t>
  </si>
  <si>
    <t>https://drive.google.com/file/d/1Lp0Wubitck7RQTgTUnFH-9k2e0_jrN57/view?usp=drivesdk</t>
  </si>
  <si>
    <t>Document successfully created; Document successfully merged; PDF created; !!Error Sending Emails: Service invoked too many times for one day: email.; Run via form trigger as codectechnologies0@gmail.com; Timestamp: Sep 9, 2026 9:45 AM</t>
  </si>
  <si>
    <t>GOWTHAM T N</t>
  </si>
  <si>
    <t>gowthamtn2006@gmail.com</t>
  </si>
  <si>
    <t>silicon city college</t>
  </si>
  <si>
    <t>1yRrEe0X3g7a3lvzV_MBPNHIe73XsrJbj</t>
  </si>
  <si>
    <t>https://drive.google.com/file/d/1yRrEe0X3g7a3lvzV_MBPNHIe73XsrJbj/view?usp=drivesdk</t>
  </si>
  <si>
    <t>Document successfully created; Document successfully merged; PDF created; !!Error Sending Emails: Service invoked too many times for one day: email.; Run via form trigger as codectechnologies0@gmail.com; Timestamp: Sep 9, 2026 9:47 AM</t>
  </si>
  <si>
    <t xml:space="preserve">Madhan Prakash </t>
  </si>
  <si>
    <t>madhanprakash770@gmail.com</t>
  </si>
  <si>
    <t>1p3UKBbgLAORrxa-tHgMBAc7K2_0KCvd6</t>
  </si>
  <si>
    <t>https://drive.google.com/file/d/1p3UKBbgLAORrxa-tHgMBAc7K2_0KCvd6/view?usp=drivesdk</t>
  </si>
  <si>
    <t xml:space="preserve">Yash choadhary </t>
  </si>
  <si>
    <t>yc985847@gmail.com</t>
  </si>
  <si>
    <t>74568 86246</t>
  </si>
  <si>
    <t>1pVGZ4MtN-yxvPE3fpMouR5yvqWdtir4s</t>
  </si>
  <si>
    <t>https://drive.google.com/file/d/1pVGZ4MtN-yxvPE3fpMouR5yvqWdtir4s/view?usp=drivesdk</t>
  </si>
  <si>
    <t>Document successfully created; Document successfully merged; PDF created; !!Error Sending Emails: Service invoked too many times for one day: email.; Run via form trigger as codectechnologies0@gmail.com; Timestamp: Sep 9, 2026 9:52 AM</t>
  </si>
  <si>
    <t>Mansi Pradeep Kumar Shukla</t>
  </si>
  <si>
    <t>mansishukla0410@gmail.com</t>
  </si>
  <si>
    <t>09819883397</t>
  </si>
  <si>
    <t>Kishinchan Chellaram College</t>
  </si>
  <si>
    <t>1JPpoJZehProGATgj1tQ89JStkgyR7dla</t>
  </si>
  <si>
    <t>https://drive.google.com/file/d/1JPpoJZehProGATgj1tQ89JStkgyR7dla/view?usp=drivesdk</t>
  </si>
  <si>
    <t>Document successfully created; Document successfully merged; PDF created; !!Error Sending Emails: Service invoked too many times for one day: email.; Run via form trigger as codectechnologies0@gmail.com; Timestamp: Sep 9, 2026 9:56 AM</t>
  </si>
  <si>
    <t xml:space="preserve">Basuru sai praneeth </t>
  </si>
  <si>
    <t>basuru7227@gmail.com</t>
  </si>
  <si>
    <t>aditya institute of technology and management</t>
  </si>
  <si>
    <t>1yuKz1zZrAhPgrUN9v4s4Vcewc2PbOKaQ</t>
  </si>
  <si>
    <t>https://drive.google.com/file/d/1yuKz1zZrAhPgrUN9v4s4Vcewc2PbOKaQ/view?usp=drivesdk</t>
  </si>
  <si>
    <t>Document successfully created; Document successfully merged; PDF created; !!Error Sending Emails: Service invoked too many times for one day: email.; Run via form trigger as codectechnologies0@gmail.com; Timestamp: Sep 9, 2026 9:57 AM</t>
  </si>
  <si>
    <t>Sumith V</t>
  </si>
  <si>
    <t>24cu0310261@student.hindustanuniv.ac.in</t>
  </si>
  <si>
    <t>1bpm2ivm3G0vayFMFK-uch4lifvEvrg-u</t>
  </si>
  <si>
    <t>https://drive.google.com/file/d/1bpm2ivm3G0vayFMFK-uch4lifvEvrg-u/view?usp=drivesdk</t>
  </si>
  <si>
    <t>Selva Kumar R</t>
  </si>
  <si>
    <t>16selvakumar@gmail.com</t>
  </si>
  <si>
    <t>Hindustan University</t>
  </si>
  <si>
    <t>1WpQ-gQjHI5y3l7fOO4jEspLGGMEyrYIw</t>
  </si>
  <si>
    <t>https://drive.google.com/file/d/1WpQ-gQjHI5y3l7fOO4jEspLGGMEyrYIw/view?usp=drivesdk</t>
  </si>
  <si>
    <t xml:space="preserve">Yash Chaudhary </t>
  </si>
  <si>
    <t>1HSHhJy7z0wzBZr2VNIW6IkgW2EuPlTua</t>
  </si>
  <si>
    <t>https://drive.google.com/file/d/1HSHhJy7z0wzBZr2VNIW6IkgW2EuPlTua/view?usp=drivesdk</t>
  </si>
  <si>
    <t>Document successfully created; Document successfully merged; PDF created; !!Error Sending Emails: Service invoked too many times for one day: email.; Run via form trigger as codectechnologies0@gmail.com; Timestamp: Sep 9, 2026 9:59 AM</t>
  </si>
  <si>
    <t>Gurunish Yadav</t>
  </si>
  <si>
    <t>gurunishyadav201@gmail.com</t>
  </si>
  <si>
    <t xml:space="preserve">Anand Engineering College Agra </t>
  </si>
  <si>
    <t>19oJU2tjEvqBiT2VBAXWh4YBr3vPhaJ7N</t>
  </si>
  <si>
    <t>https://drive.google.com/file/d/19oJU2tjEvqBiT2VBAXWh4YBr3vPhaJ7N/view?usp=drivesdk</t>
  </si>
  <si>
    <t>Mahi Agarwal</t>
  </si>
  <si>
    <t>agarwalmahi028@gmail.com</t>
  </si>
  <si>
    <t xml:space="preserve">Noida institute of Engineering and technology </t>
  </si>
  <si>
    <t>14vPE5sfTq2GDFILG881twfa8j1Zbdj12</t>
  </si>
  <si>
    <t>https://drive.google.com/file/d/14vPE5sfTq2GDFILG881twfa8j1Zbdj12/view?usp=drivesdk</t>
  </si>
  <si>
    <t>Document successfully created; Document successfully merged; PDF created; !!Error Sending Emails: Service invoked too many times for one day: email.; Run via form trigger as codectechnologies0@gmail.com; Timestamp: Sep 9, 2026 10:00 AM</t>
  </si>
  <si>
    <t>1wrumVBM6CYFP3fgRjZdNRvYADOxQCiT6</t>
  </si>
  <si>
    <t>https://drive.google.com/file/d/1wrumVBM6CYFP3fgRjZdNRvYADOxQCiT6/view?usp=drivesdk</t>
  </si>
  <si>
    <t>Document successfully created; Document successfully merged; PDF created; !!Error Sending Emails: Service invoked too many times for one day: email.; Run via form trigger as codectechnologies0@gmail.com; Timestamp: Sep 9, 2026 10:02 AM</t>
  </si>
  <si>
    <t>Shubham</t>
  </si>
  <si>
    <t>shubham.25scs1003004716@iilm.edu</t>
  </si>
  <si>
    <t>1ed-1SI6PIFXrR4-AzK5AKChPntEprbNY</t>
  </si>
  <si>
    <t>https://drive.google.com/file/d/1ed-1SI6PIFXrR4-AzK5AKChPntEprbNY/view?usp=drivesdk</t>
  </si>
  <si>
    <t>Document successfully created; Document successfully merged; PDF created; !!Error Sending Emails: Service invoked too many times for one day: email.; Run via form trigger as codectechnologies0@gmail.com; Timestamp: Sep 9, 2026 10:03 AM</t>
  </si>
  <si>
    <t>Vineeth Chavan</t>
  </si>
  <si>
    <t>vineethchavan37@gmail.com</t>
  </si>
  <si>
    <t xml:space="preserve">MS Ramaiah university of applied science </t>
  </si>
  <si>
    <t>1DE6366Pla9Wyd5V_o4vMaE-mU9iE_sXz</t>
  </si>
  <si>
    <t>https://drive.google.com/file/d/1DE6366Pla9Wyd5V_o4vMaE-mU9iE_sXz/view?usp=drivesdk</t>
  </si>
  <si>
    <t>Document successfully created; Document successfully merged; PDF created; !!Error Sending Emails: Service invoked too many times for one day: email.; Run via form trigger as codectechnologies0@gmail.com; Timestamp: Sep 9, 2026 10:15 AM</t>
  </si>
  <si>
    <t xml:space="preserve">AMIT PRAKASH </t>
  </si>
  <si>
    <t>theamitprakash12345@gmail.com</t>
  </si>
  <si>
    <t>1kqHuYAr3tdDglj9Xq5BH_zDI9M4SsCmW</t>
  </si>
  <si>
    <t>https://drive.google.com/file/d/1kqHuYAr3tdDglj9Xq5BH_zDI9M4SsCmW/view?usp=drivesdk</t>
  </si>
  <si>
    <t>Document successfully created; Document successfully merged; PDF created; !!Error Sending Emails: Service invoked too many times for one day: email.; Run via form trigger as codectechnologies0@gmail.com; Timestamp: Sep 9, 2026 10:16 AM</t>
  </si>
  <si>
    <t>LAV KUMAR YADAV</t>
  </si>
  <si>
    <t>15pNPuq8zKaFX1ryl7oipVXkGm3gvcPoa</t>
  </si>
  <si>
    <t>https://drive.google.com/file/d/15pNPuq8zKaFX1ryl7oipVXkGm3gvcPoa/view?usp=drivesdk</t>
  </si>
  <si>
    <t>Document successfully created; Document successfully merged; PDF created; !!Error Sending Emails: Service invoked too many times for one day: email.; Run via form trigger as codectechnologies0@gmail.com; Timestamp: Sep 9, 2026 10:19 AM</t>
  </si>
  <si>
    <t>1ySbEVPBwHv3q8hqnQVfnvSDjUn0zKk2B</t>
  </si>
  <si>
    <t>https://drive.google.com/file/d/1ySbEVPBwHv3q8hqnQVfnvSDjUn0zKk2B/view?usp=drivesdk</t>
  </si>
  <si>
    <t>Document successfully created; Document successfully merged; PDF created; !!Error Sending Emails: Service invoked too many times for one day: email.; Run via form trigger as codectechnologies0@gmail.com; Timestamp: Sep 9, 2026 10:25 AM</t>
  </si>
  <si>
    <t>Bavani Desappan</t>
  </si>
  <si>
    <t>bavaniidesappan@gmail.com</t>
  </si>
  <si>
    <t>1u9W8IMxZ_wGR3SFRU5jZVP95JKZS-iOj</t>
  </si>
  <si>
    <t>https://drive.google.com/file/d/1u9W8IMxZ_wGR3SFRU5jZVP95JKZS-iOj/view?usp=drivesdk</t>
  </si>
  <si>
    <t>Sachin Kumar</t>
  </si>
  <si>
    <t>sachin.25scs1003004017@iilm.edu</t>
  </si>
  <si>
    <t>1KnMCAVRLHGPXLtixfcJmZqoh3AXjzZg9</t>
  </si>
  <si>
    <t>https://drive.google.com/file/d/1KnMCAVRLHGPXLtixfcJmZqoh3AXjzZg9/view?usp=drivesdk</t>
  </si>
  <si>
    <t>Document successfully created; Document successfully merged; PDF created; !!Error Sending Emails: Service invoked too many times for one day: email.; Run via form trigger as codectechnologies0@gmail.com; Timestamp: Sep 9, 2026 10:29 AM</t>
  </si>
  <si>
    <t>Vaishnavi Bingisaram</t>
  </si>
  <si>
    <t>vaishnavibingisaram@gmail.com</t>
  </si>
  <si>
    <t>Sandip university</t>
  </si>
  <si>
    <t>11NXbdHwKuzkN3qLmx5TzIP-lpVu6oDA4</t>
  </si>
  <si>
    <t>https://drive.google.com/file/d/11NXbdHwKuzkN3qLmx5TzIP-lpVu6oDA4/view?usp=drivesdk</t>
  </si>
  <si>
    <t>Document successfully created; Document successfully merged; PDF created; !!Error Sending Emails: Service invoked too many times for one day: email.; Run via form trigger as codectechnologies0@gmail.com; Timestamp: Sep 9, 2026 10:32 AM</t>
  </si>
  <si>
    <t>Sandip University</t>
  </si>
  <si>
    <t>1FdtP8zFKw2j2u09xChLn3mYg2N6nm5y1</t>
  </si>
  <si>
    <t>https://drive.google.com/file/d/1FdtP8zFKw2j2u09xChLn3mYg2N6nm5y1/view?usp=drivesdk</t>
  </si>
  <si>
    <t>Document successfully created; Document successfully merged; PDF created; !!Error Sending Emails: Service invoked too many times for one day: email.; Run via form trigger as codectechnologies0@gmail.com; Timestamp: Sep 9, 2026 10:36 AM</t>
  </si>
  <si>
    <t>PREM DHRU</t>
  </si>
  <si>
    <t>8779.uspc@gmail.com</t>
  </si>
  <si>
    <t>1ZAZChb-pQYN8tszv-20RJpzAJM-m0K8F</t>
  </si>
  <si>
    <t>https://drive.google.com/file/d/1ZAZChb-pQYN8tszv-20RJpzAJM-m0K8F/view?usp=drivesdk</t>
  </si>
  <si>
    <t>Document successfully created; Document successfully merged; PDF created; Emails Sent: [To: 8779.uspc@gmail.com]; Run via form trigger as codectechnologies0@gmail.com; Timestamp: Sep 9, 2026 10:40 AM</t>
  </si>
  <si>
    <t>SIVAM J</t>
  </si>
  <si>
    <t>Shashwanthj@gmail.com</t>
  </si>
  <si>
    <t>Hindustan Institute of Technology &amp; Science</t>
  </si>
  <si>
    <t>17qs4wE3J4oxF357G28LZu2B3n84fQYfK</t>
  </si>
  <si>
    <t>https://drive.google.com/file/d/17qs4wE3J4oxF357G28LZu2B3n84fQYfK/view?usp=drivesdk</t>
  </si>
  <si>
    <t>Document successfully created; Document successfully merged; PDF created; Emails Sent: [To: Shashwanthj@gmail.com]; Run via form trigger as codectechnologies0@gmail.com; Timestamp: Sep 9, 2026 10:41 AM</t>
  </si>
  <si>
    <t>Kushal Kesarwani</t>
  </si>
  <si>
    <t>kushal.25scs1003001402@iilm.edu</t>
  </si>
  <si>
    <t xml:space="preserve">IILM university, Greater Noida </t>
  </si>
  <si>
    <t>1KXBbUsRI0lvOkPf8y6GKZvPbzHsZx84K</t>
  </si>
  <si>
    <t>https://drive.google.com/file/d/1KXBbUsRI0lvOkPf8y6GKZvPbzHsZx84K/view?usp=drivesdk</t>
  </si>
  <si>
    <t>Document successfully created; Document successfully merged; PDF created; Emails Sent: [To: kushal.25scs1003001402@iilm.edu]; Run via form trigger as codectechnologies0@gmail.com; Timestamp: Sep 9, 2026 10:54 AM</t>
  </si>
  <si>
    <t>keerthana A</t>
  </si>
  <si>
    <t>keerthanarajug02@gmail.com</t>
  </si>
  <si>
    <t>Hindustan Institute of Technology and Science</t>
  </si>
  <si>
    <t>1ldLb3rW3FkSBZ0syiYhwKCW206RhCW94</t>
  </si>
  <si>
    <t>https://drive.google.com/file/d/1ldLb3rW3FkSBZ0syiYhwKCW206RhCW94/view?usp=drivesdk</t>
  </si>
  <si>
    <t>Document successfully created; Document successfully merged; PDF created; Emails Sent: [To: keerthanarajug02@gmail.com]; Run via form trigger as codectechnologies0@gmail.com; Timestamp: Sep 9, 2026 10:56 AM</t>
  </si>
  <si>
    <t>CHETHAN BABU C</t>
  </si>
  <si>
    <t>cpj250506@gmail.com</t>
  </si>
  <si>
    <t xml:space="preserve">Sri Bhagawan Mahaveer Jain First Grade College </t>
  </si>
  <si>
    <t>137UAjGe2E8bWf4yUJmGptbhJ0800wG8c</t>
  </si>
  <si>
    <t>https://drive.google.com/file/d/137UAjGe2E8bWf4yUJmGptbhJ0800wG8c/view?usp=drivesdk</t>
  </si>
  <si>
    <t>Document successfully created; Document successfully merged; PDF created; Emails Sent: [To: cpj250506@gmail.com]; Run via form trigger as codectechnologies0@gmail.com; Timestamp: Sep 9, 2026 10:57 AM</t>
  </si>
  <si>
    <t>Kaushal Sharma</t>
  </si>
  <si>
    <t>kaushal.25scs1003004035@iilm.edu</t>
  </si>
  <si>
    <t>1bIHbWFP0cb7S4AOtwRfEsBcuBaXgXPzv</t>
  </si>
  <si>
    <t>https://drive.google.com/file/d/1bIHbWFP0cb7S4AOtwRfEsBcuBaXgXPzv/view?usp=drivesdk</t>
  </si>
  <si>
    <t>Document successfully created; Document successfully merged; PDF created; Emails Sent: [To: kaushal.25scs1003004035@iilm.edu]; Run via form trigger as codectechnologies0@gmail.com; Timestamp: Sep 9, 2026 10:58 AM</t>
  </si>
  <si>
    <t xml:space="preserve">Aman Tiwari </t>
  </si>
  <si>
    <t>amanffpro@gmail.com</t>
  </si>
  <si>
    <t>1thYdK18xJTw_VNcTgc_RPSAMrcIzWDNv</t>
  </si>
  <si>
    <t>https://drive.google.com/file/d/1thYdK18xJTw_VNcTgc_RPSAMrcIzWDNv/view?usp=drivesdk</t>
  </si>
  <si>
    <t>Document successfully created; Document successfully merged; PDF created; Emails Sent: [To: amanffpro@gmail.com]; Run via form trigger as codectechnologies0@gmail.com; Timestamp: Sep 9, 2026 10:59 AM</t>
  </si>
  <si>
    <t>Annalakshimi M</t>
  </si>
  <si>
    <t>annalakshimim50@gmail.com</t>
  </si>
  <si>
    <t>1vR5vAcrElLoJiImsavJfnxkoqhh0-U9t</t>
  </si>
  <si>
    <t>https://drive.google.com/file/d/1vR5vAcrElLoJiImsavJfnxkoqhh0-U9t/view?usp=drivesdk</t>
  </si>
  <si>
    <t>Document successfully created; Document successfully merged; PDF created; Emails Sent: [To: annalakshimim50@gmail.com]; Run via form trigger as codectechnologies0@gmail.com; Timestamp: Sep 9, 2026 11:05 AM</t>
  </si>
  <si>
    <t xml:space="preserve">K Aswin Abishek </t>
  </si>
  <si>
    <t>24CU0310238@student.hindustanuniv.ac.in</t>
  </si>
  <si>
    <t>1Pk08K4EhcS3Y5okUtQFmAKCYINSzrf6Z</t>
  </si>
  <si>
    <t>https://drive.google.com/file/d/1Pk08K4EhcS3Y5okUtQFmAKCYINSzrf6Z/view?usp=drivesdk</t>
  </si>
  <si>
    <t>Document successfully created; Document successfully merged; PDF created; Emails Sent: [To: 24CU0310238@student.hindustanuniv.ac.in]; Run via form trigger as codectechnologies0@gmail.com; Timestamp: Sep 9, 2026 11:06 AM</t>
  </si>
  <si>
    <t>1p6p0hj4Un-hfObiD6QllokJCxfxVFO2w</t>
  </si>
  <si>
    <t>https://drive.google.com/file/d/1p6p0hj4Un-hfObiD6QllokJCxfxVFO2w/view?usp=drivesdk</t>
  </si>
  <si>
    <t>Document successfully created; Document successfully merged; PDF created; Emails Sent: [To: kaushal.25scs1003004035@iilm.edu]; Run via form trigger as codectechnologies0@gmail.com; Timestamp: Sep 9, 2026 11:07 AM</t>
  </si>
  <si>
    <t>1EzeZoEg4oxpHaUMle9Kc3GATphuzXxq3</t>
  </si>
  <si>
    <t>https://drive.google.com/file/d/1EzeZoEg4oxpHaUMle9Kc3GATphuzXxq3/view?usp=drivesdk</t>
  </si>
  <si>
    <t>Document successfully created; Document successfully merged; PDF created; Emails Sent: [To: annalakshimim50@gmail.com]; Run via form trigger as codectechnologies0@gmail.com; Timestamp: Sep 9, 2026 11:09 AM</t>
  </si>
  <si>
    <t>Anushka Priya</t>
  </si>
  <si>
    <t>bjrk1117@gmail.com</t>
  </si>
  <si>
    <t>1kmm4xZFNSKNu51bQSBXJ8pFP3EWugFZC</t>
  </si>
  <si>
    <t>https://drive.google.com/file/d/1kmm4xZFNSKNu51bQSBXJ8pFP3EWugFZC/view?usp=drivesdk</t>
  </si>
  <si>
    <t>Document successfully created; Document successfully merged; PDF created; Emails Sent: [To: bjrk1117@gmail.com]; Run via form trigger as codectechnologies0@gmail.com; Timestamp: Sep 9, 2026 11:15 AM</t>
  </si>
  <si>
    <t>Jivesh Yadav</t>
  </si>
  <si>
    <t>jiveshyadav421@gmail.com</t>
  </si>
  <si>
    <t xml:space="preserve">iilm university greater Noida </t>
  </si>
  <si>
    <t>1U2BYr2CMEnPUbgw708s1LK1nY1QbgA8m</t>
  </si>
  <si>
    <t>https://drive.google.com/file/d/1U2BYr2CMEnPUbgw708s1LK1nY1QbgA8m/view?usp=drivesdk</t>
  </si>
  <si>
    <t>Document successfully created; Document successfully merged; PDF created; Emails Sent: [To: jiveshyadav421@gmail.com]; Run via form trigger as codectechnologies0@gmail.com; Timestamp: Sep 9, 2026 11:18 AM</t>
  </si>
  <si>
    <t xml:space="preserve">Prateek yadav </t>
  </si>
  <si>
    <t>prateekyadav4625@gmail.com</t>
  </si>
  <si>
    <t>76519 71997</t>
  </si>
  <si>
    <t xml:space="preserve">Prasad institute of technology </t>
  </si>
  <si>
    <t>1vq-wtsQClNSrPmtBrRGYOMnZ-r0BHFcn</t>
  </si>
  <si>
    <t>https://drive.google.com/file/d/1vq-wtsQClNSrPmtBrRGYOMnZ-r0BHFcn/view?usp=drivesdk</t>
  </si>
  <si>
    <t>Document successfully created; Document successfully merged; PDF created; Emails Sent: [To: prateekyadav4625@gmail.com]; Run via form trigger as codectechnologies0@gmail.com; Timestamp: Sep 9, 2026 11:20 AM</t>
  </si>
  <si>
    <t>Krithika S</t>
  </si>
  <si>
    <t>krithikaaishu56@gmail.com</t>
  </si>
  <si>
    <t>17HZhWE2PHeBxBc1n5Q0naK0E2u-xDwnO</t>
  </si>
  <si>
    <t>https://drive.google.com/file/d/17HZhWE2PHeBxBc1n5Q0naK0E2u-xDwnO/view?usp=drivesdk</t>
  </si>
  <si>
    <t>Document successfully created; Document successfully merged; PDF created; Emails Sent: [To: krithikaaishu56@gmail.com]; Run via form trigger as codectechnologies0@gmail.com; Timestamp: Sep 9, 2026 11:21 AM</t>
  </si>
  <si>
    <t>1laVRxvv-ZsLiJWF5A6mAqtd5HF89Vx4r</t>
  </si>
  <si>
    <t>https://drive.google.com/file/d/1laVRxvv-ZsLiJWF5A6mAqtd5HF89Vx4r/view?usp=drivesdk</t>
  </si>
  <si>
    <t>Document successfully created; Document successfully merged; PDF created; Emails Sent: [To: rohanverma93702@gmail.com]; Run via form trigger as codectechnologies0@gmail.com; Timestamp: Sep 9, 2026 11:22 AM</t>
  </si>
  <si>
    <t xml:space="preserve">VENKATA NAGA SAI LALIT YASHWIN SANNIDHI </t>
  </si>
  <si>
    <t xml:space="preserve"> Gokaraju Rangaraju Institute of Engineering and Technology</t>
  </si>
  <si>
    <t>14VpIKTHQRSMkrjhAEms1upSxLEVzx8Ht</t>
  </si>
  <si>
    <t>https://drive.google.com/file/d/14VpIKTHQRSMkrjhAEms1upSxLEVzx8Ht/view?usp=drivesdk</t>
  </si>
  <si>
    <t>Document successfully created; Document successfully merged; PDF created; Emails Sent: [To: yashwin.sv@gmail.com]; Run via form trigger as codectechnologies0@gmail.com; Timestamp: Sep 9, 2026 11:23 AM</t>
  </si>
  <si>
    <t>VUYYURU LAKSHMI NARASIMHA REDDY</t>
  </si>
  <si>
    <t>reddy04092005@gmail.com</t>
  </si>
  <si>
    <t>99512 61869</t>
  </si>
  <si>
    <t>1IeP9d-dNo4gMsdIKjo4BCnZYFLSwIKme</t>
  </si>
  <si>
    <t>https://drive.google.com/file/d/1IeP9d-dNo4gMsdIKjo4BCnZYFLSwIKme/view?usp=drivesdk</t>
  </si>
  <si>
    <t>Document successfully created; Document successfully merged; PDF created; Emails Sent: [To: reddy04092005@gmail.com]; Run via form trigger as codectechnologies0@gmail.com; Timestamp: Sep 9, 2026 11:26 AM</t>
  </si>
  <si>
    <t xml:space="preserve">Karma devi smriti mahavidyalaya basti Uttar Pradesh </t>
  </si>
  <si>
    <t>1rQQWiSEyYQP_o6zR-7qiNo3tV2Sk5V07</t>
  </si>
  <si>
    <t>https://drive.google.com/file/d/1rQQWiSEyYQP_o6zR-7qiNo3tV2Sk5V07/view?usp=drivesdk</t>
  </si>
  <si>
    <t>Document successfully created; Document successfully merged; PDF created; Emails Sent: [To: sheetalpatel0248@gmail.com]; Run via form trigger as codectechnologies0@gmail.com; Timestamp: Sep 9, 2026 11:26 AM</t>
  </si>
  <si>
    <t>Neeraj Parihar</t>
  </si>
  <si>
    <t>neeraj.25scs1003005708@iilm.edu</t>
  </si>
  <si>
    <t>1xHElHH_sSvUBmXc3gzLAErvJpcJvFBzT</t>
  </si>
  <si>
    <t>https://drive.google.com/file/d/1xHElHH_sSvUBmXc3gzLAErvJpcJvFBzT/view?usp=drivesdk</t>
  </si>
  <si>
    <t>Document successfully created; Document successfully merged; PDF created; Emails Sent: [To: neeraj.25scs1003005708@iilm.edu]; Run via form trigger as codectechnologies0@gmail.com; Timestamp: Sep 9, 2026 11:28 AM</t>
  </si>
  <si>
    <t xml:space="preserve">MUMMANA GANESH </t>
  </si>
  <si>
    <t>ganeshmummana548@gmail.com</t>
  </si>
  <si>
    <t>1Y6Ga0YCjmeDagm7qsvpWz6MCpSBZ9DxN</t>
  </si>
  <si>
    <t>https://drive.google.com/file/d/1Y6Ga0YCjmeDagm7qsvpWz6MCpSBZ9DxN/view?usp=drivesdk</t>
  </si>
  <si>
    <t>Document successfully created; Document successfully merged; PDF created; Emails Sent: [To: ganeshmummana548@gmail.com]; Run via form trigger as codectechnologies0@gmail.com; Timestamp: Sep 9, 2026 11:32 AM</t>
  </si>
  <si>
    <t xml:space="preserve">Jivesh Yadav </t>
  </si>
  <si>
    <t>15FsedT_BpmUWaWNrBiJlMoEPjLHDUw7x</t>
  </si>
  <si>
    <t>https://drive.google.com/file/d/15FsedT_BpmUWaWNrBiJlMoEPjLHDUw7x/view?usp=drivesdk</t>
  </si>
  <si>
    <t>Document successfully created; Document successfully merged; PDF created; Emails Sent: [To: jiveshyadav421@gmail.com]; Run via form trigger as codectechnologies0@gmail.com; Timestamp: Sep 9, 2026 11:34 AM</t>
  </si>
  <si>
    <t xml:space="preserve">Himanshu Pandey </t>
  </si>
  <si>
    <t>Pandeyankit800924647@gmail.com</t>
  </si>
  <si>
    <t>80092 46467</t>
  </si>
  <si>
    <t>1d9PrbCFUuTThZArZJb6C29ZF_KVxcBXV</t>
  </si>
  <si>
    <t>https://drive.google.com/file/d/1d9PrbCFUuTThZArZJb6C29ZF_KVxcBXV/view?usp=drivesdk</t>
  </si>
  <si>
    <t>Document successfully created; Document successfully merged; PDF created; Emails Sent: [To: Pandeyankit800924647@gmail.com]; Run via form trigger as codectechnologies0@gmail.com; Timestamp: Sep 9, 2026 11:36 AM</t>
  </si>
  <si>
    <t>Ali babar</t>
  </si>
  <si>
    <t>alibabar1225@gmail.com</t>
  </si>
  <si>
    <t>1w3aP05EGUF7qmty_duXJiKRWWFJfk5Yu</t>
  </si>
  <si>
    <t>https://drive.google.com/file/d/1w3aP05EGUF7qmty_duXJiKRWWFJfk5Yu/view?usp=drivesdk</t>
  </si>
  <si>
    <t>Document successfully created; Document successfully merged; PDF created; Emails Sent: [To: alibabar1225@gmail.com]; Run via form trigger as codectechnologies0@gmail.com; Timestamp: Sep 9, 2026 11:40 AM</t>
  </si>
  <si>
    <t>Suryansh Singh</t>
  </si>
  <si>
    <t>suryanshsingh423189@gmail.com</t>
  </si>
  <si>
    <t xml:space="preserve">Noida Institute of Engineering and Technology echnology </t>
  </si>
  <si>
    <t>Instagram, AICTE/Indeed</t>
  </si>
  <si>
    <t>1VnGepRRJZrud_MNuC134rHOSe-gmnEcy</t>
  </si>
  <si>
    <t>https://drive.google.com/file/d/1VnGepRRJZrud_MNuC134rHOSe-gmnEcy/view?usp=drivesdk</t>
  </si>
  <si>
    <t>Document successfully created; Document successfully merged; PDF created; Emails Sent: [To: suryanshsingh423189@gmail.com]; Run via form trigger as codectechnologies0@gmail.com; Timestamp: Sep 9, 2026 11:43 AM</t>
  </si>
  <si>
    <t xml:space="preserve">Ishan Dwivedi </t>
  </si>
  <si>
    <t>yadavtarun8190@gmail.com</t>
  </si>
  <si>
    <t>1OATpVFH7nYgEYVYZV60EcdOqXtd7XDmx</t>
  </si>
  <si>
    <t>https://drive.google.com/file/d/1OATpVFH7nYgEYVYZV60EcdOqXtd7XDmx/view?usp=drivesdk</t>
  </si>
  <si>
    <t>Document successfully created; Document successfully merged; PDF created; Emails Sent: [To: yadavtarun8190@gmail.com]; Run via form trigger as codectechnologies0@gmail.com; Timestamp: Sep 9, 2026 11:46 AM</t>
  </si>
  <si>
    <t>Shubham kumar</t>
  </si>
  <si>
    <t>yoofine00@gmail.com</t>
  </si>
  <si>
    <t>1gVOdoVjc3GUnV1hRxXUlrf-8Hnqo6PHz</t>
  </si>
  <si>
    <t>https://drive.google.com/file/d/1gVOdoVjc3GUnV1hRxXUlrf-8Hnqo6PHz/view?usp=drivesdk</t>
  </si>
  <si>
    <t>Document successfully created; Document successfully merged; PDF created; Emails Sent: [To: yoofine00@gmail.com]; Run via form trigger as codectechnologies0@gmail.com; Timestamp: Sep 9, 2026 11:49 AM</t>
  </si>
  <si>
    <t>1Ml4H4Nbmvq_gQ-uUsGfF_0HaYahmTs7t</t>
  </si>
  <si>
    <t>https://drive.google.com/file/d/1Ml4H4Nbmvq_gQ-uUsGfF_0HaYahmTs7t/view?usp=drivesdk</t>
  </si>
  <si>
    <t>Document successfully created; Document successfully merged; PDF created; Emails Sent: [To: tanmaykoli27@gmail.com]; Run via form trigger as codectechnologies0@gmail.com; Timestamp: Sep 9, 2026 11:52 AM</t>
  </si>
  <si>
    <t xml:space="preserve">KANNAM JESHWANTH </t>
  </si>
  <si>
    <t>jeshwanthkannam06@gmail.com</t>
  </si>
  <si>
    <t xml:space="preserve">Mallareddy deemed university </t>
  </si>
  <si>
    <t>1R4TkhiwuxfC56p2OWMqsgGdOHGDCyr2h</t>
  </si>
  <si>
    <t>https://drive.google.com/file/d/1R4TkhiwuxfC56p2OWMqsgGdOHGDCyr2h/view?usp=drivesdk</t>
  </si>
  <si>
    <t>Document successfully created; Document successfully merged; PDF created; Emails Sent: [To: jeshwanthkannam06@gmail.com]; Run via form trigger as codectechnologies0@gmail.com; Timestamp: Sep 9, 2026 11:54 AM</t>
  </si>
  <si>
    <t>Yash Maurya</t>
  </si>
  <si>
    <t>yashmaurya00017@gmail.com</t>
  </si>
  <si>
    <t xml:space="preserve">New delhi institute of management </t>
  </si>
  <si>
    <t>1ZtGefjgrC6u6v5FyBS_a-_Y2jKN_s8ql</t>
  </si>
  <si>
    <t>https://drive.google.com/file/d/1ZtGefjgrC6u6v5FyBS_a-_Y2jKN_s8ql/view?usp=drivesdk</t>
  </si>
  <si>
    <t>Document successfully created; Document successfully merged; PDF created; Emails Sent: [To: yashmaurya00017@gmail.com]; Run via form trigger as codectechnologies0@gmail.com; Timestamp: Sep 9, 2026 11:55 AM</t>
  </si>
  <si>
    <t>J Arockia Sharon Abishek</t>
  </si>
  <si>
    <t>24cu0310259@student.hindustanuniv.ac.in</t>
  </si>
  <si>
    <t>+91 82488 23093</t>
  </si>
  <si>
    <t>1zJkyn9gK1q4_a2bUioKPPzKWOukQpP8u</t>
  </si>
  <si>
    <t>https://drive.google.com/file/d/1zJkyn9gK1q4_a2bUioKPPzKWOukQpP8u/view?usp=drivesdk</t>
  </si>
  <si>
    <t>Document successfully created; Document successfully merged; PDF created; Emails Sent: [To: 24cu0310259@student.hindustanuniv.ac.in]; Run via form trigger as codectechnologies0@gmail.com; Timestamp: Sep 9, 2026 12:00 PM</t>
  </si>
  <si>
    <t>Gaikwad Supriya Nagesh</t>
  </si>
  <si>
    <t>gaikwadsupriya2711@gmail.com</t>
  </si>
  <si>
    <t>matoshri pratishthan school of engineering</t>
  </si>
  <si>
    <t>1n00gkAe-bW9_dpqR-8lU7eM3HIK-1MBj</t>
  </si>
  <si>
    <t>https://drive.google.com/file/d/1n00gkAe-bW9_dpqR-8lU7eM3HIK-1MBj/view?usp=drivesdk</t>
  </si>
  <si>
    <t>Document successfully created; Document successfully merged; PDF created; Emails Sent: [To: gaikwadsupriya2711@gmail.com]; Run via form trigger as codectechnologies0@gmail.com; Timestamp: Sep 9, 2026 12:03 PM</t>
  </si>
  <si>
    <t>Kush Nema</t>
  </si>
  <si>
    <t>kushnema075@gmail.com</t>
  </si>
  <si>
    <t>06261817330</t>
  </si>
  <si>
    <t>St Aloysius College Jabalpur</t>
  </si>
  <si>
    <t>1So5CQBizMiymp4z6iuPi7XFCpDsOsfJk</t>
  </si>
  <si>
    <t>https://drive.google.com/file/d/1So5CQBizMiymp4z6iuPi7XFCpDsOsfJk/view?usp=drivesdk</t>
  </si>
  <si>
    <t>Document successfully created; Document successfully merged; PDF created; Emails Sent: [To: kushnema075@gmail.com]; Run via form trigger as codectechnologies0@gmail.com; Timestamp: Sep 9, 2026 12:16 PM</t>
  </si>
  <si>
    <t>Aditya vanse</t>
  </si>
  <si>
    <t>adityavanse557@gmail.com</t>
  </si>
  <si>
    <t xml:space="preserve">st aloysius collage </t>
  </si>
  <si>
    <t>1l1ffiUwTXh93qQKbR8Jr1PoXxfL5MZIg</t>
  </si>
  <si>
    <t>https://drive.google.com/file/d/1l1ffiUwTXh93qQKbR8Jr1PoXxfL5MZIg/view?usp=drivesdk</t>
  </si>
  <si>
    <t>Document successfully created; Document successfully merged; PDF created; Emails Sent: [To: adityavanse557@gmail.com]; Run via form trigger as codectechnologies0@gmail.com; Timestamp: Sep 9, 2026 12:18 PM</t>
  </si>
  <si>
    <t>Vijayasri S</t>
  </si>
  <si>
    <t>svijayasri2004@gmail.com</t>
  </si>
  <si>
    <t>St. Joseph's College Of Engineering</t>
  </si>
  <si>
    <t>1mxwtubFriOTalWtijHjmciN-GLobCuIx</t>
  </si>
  <si>
    <t>https://drive.google.com/file/d/1mxwtubFriOTalWtijHjmciN-GLobCuIx/view?usp=drivesdk</t>
  </si>
  <si>
    <t>Document successfully created; Document successfully merged; PDF created; Emails Sent: [To: svijayasri2004@gmail.com]; Run via form trigger as codectechnologies0@gmail.com; Timestamp: Sep 9, 2026 12:27 PM</t>
  </si>
  <si>
    <t>Anees Ameen Shaikh</t>
  </si>
  <si>
    <t>anees24it@student.mes.ac.in</t>
  </si>
  <si>
    <t>Pillai College of Arts , Commerce &amp; Science</t>
  </si>
  <si>
    <t>1ccpMoX86-jaCEZcDl_Y-2V86GIoNkW5P</t>
  </si>
  <si>
    <t>https://drive.google.com/file/d/1ccpMoX86-jaCEZcDl_Y-2V86GIoNkW5P/view?usp=drivesdk</t>
  </si>
  <si>
    <t>Document successfully created; Document successfully merged; PDF created; Emails Sent: [To: anees24it@student.mes.ac.in]; Run via form trigger as codectechnologies0@gmail.com; Timestamp: Sep 9, 2026 12:28 PM</t>
  </si>
  <si>
    <t xml:space="preserve">Deep Mukherjee </t>
  </si>
  <si>
    <t>deep.25scs1003000432@iilm.edu</t>
  </si>
  <si>
    <t>1dYOEjm-cFuo__u0PJCrtwLZskuu31k2o</t>
  </si>
  <si>
    <t>https://drive.google.com/file/d/1dYOEjm-cFuo__u0PJCrtwLZskuu31k2o/view?usp=drivesdk</t>
  </si>
  <si>
    <t>Document successfully created; Document successfully merged; PDF created; Emails Sent: [To: deep.25scs1003000432@iilm.edu]; Run via form trigger as codectechnologies0@gmail.com; Timestamp: Sep 9, 2026 12:31 PM</t>
  </si>
  <si>
    <t>rajnish.25scs1003004055@iilm.edu</t>
  </si>
  <si>
    <t>1jMG2uqtprVl-toOjpCOkxPocDze35Vwa</t>
  </si>
  <si>
    <t>https://drive.google.com/file/d/1jMG2uqtprVl-toOjpCOkxPocDze35Vwa/view?usp=drivesdk</t>
  </si>
  <si>
    <t>Document successfully created; Document successfully merged; PDF created; Emails Sent: [To: rajnish.25scs1003004055@iilm.edu]; Run via form trigger as codectechnologies0@gmail.com; Timestamp: Sep 9, 2026 12:34 PM</t>
  </si>
  <si>
    <t>mayankmickky1507@gmail.com</t>
  </si>
  <si>
    <t>1yR019lfBYCAiyFej7e-nKNkbzhQMht-i</t>
  </si>
  <si>
    <t>https://drive.google.com/file/d/1yR019lfBYCAiyFej7e-nKNkbzhQMht-i/view?usp=drivesdk</t>
  </si>
  <si>
    <t>Document successfully created; Document successfully merged; PDF created; Emails Sent: [To: mayankmickky1507@gmail.com]; Run via form trigger as codectechnologies0@gmail.com; Timestamp: Sep 9, 2026 12:38 PM</t>
  </si>
  <si>
    <t xml:space="preserve">Samiksha </t>
  </si>
  <si>
    <t>217samiksha@gmail.com</t>
  </si>
  <si>
    <t>09360682101</t>
  </si>
  <si>
    <t>1zl9iXjfat3P7TxdqopdKvZM5PY1lHsSN</t>
  </si>
  <si>
    <t>https://drive.google.com/file/d/1zl9iXjfat3P7TxdqopdKvZM5PY1lHsSN/view?usp=drivesdk</t>
  </si>
  <si>
    <t>Document successfully created; Document successfully merged; PDF created; Emails Sent: [To: 217samiksha@gmail.com]; Run via form trigger as codectechnologies0@gmail.com; Timestamp: Sep 9, 2026 12:40 PM</t>
  </si>
  <si>
    <t>Aazar Karim</t>
  </si>
  <si>
    <t>aazarkarim1020@gmail.com</t>
  </si>
  <si>
    <t>1-59TdJcgQ6ZM5nyoRt7DgpD2dw25sZPT</t>
  </si>
  <si>
    <t>https://drive.google.com/file/d/1-59TdJcgQ6ZM5nyoRt7DgpD2dw25sZPT/view?usp=drivesdk</t>
  </si>
  <si>
    <t>Document successfully created; Document successfully merged; PDF created; Emails Sent: [To: aazarkarim1020@gmail.com]; Run via form trigger as codectechnologies0@gmail.com; Timestamp: Sep 9, 2026 12:41 PM</t>
  </si>
  <si>
    <t>Omkar Mohanty</t>
  </si>
  <si>
    <t>omkarmohanty798@gmail.com</t>
  </si>
  <si>
    <t>IILM GN</t>
  </si>
  <si>
    <t>19bVLbISTcjVTdSnd-nidFtMY6pzy8Kzz</t>
  </si>
  <si>
    <t>https://drive.google.com/file/d/19bVLbISTcjVTdSnd-nidFtMY6pzy8Kzz/view?usp=drivesdk</t>
  </si>
  <si>
    <t>Document successfully created; Document successfully merged; PDF created; Emails Sent: [To: omkarmohanty798@gmail.com]; Run via form trigger as codectechnologies0@gmail.com; Timestamp: Sep 9, 2026 12:52 PM</t>
  </si>
  <si>
    <t>Kasam Manideep</t>
  </si>
  <si>
    <t>kasammanideep@gmail.com</t>
  </si>
  <si>
    <t>1D5tOUz7G4BGNemTtBqNuT_XldQzHWhWh</t>
  </si>
  <si>
    <t>https://drive.google.com/file/d/1D5tOUz7G4BGNemTtBqNuT_XldQzHWhWh/view?usp=drivesdk</t>
  </si>
  <si>
    <t>Document successfully created; Document successfully merged; PDF created; Emails Sent: [To: kasammanideep@gmail.com]; Run via form trigger as codectechnologies0@gmail.com; Timestamp: Sep 9, 2026 12:58 PM</t>
  </si>
  <si>
    <t>Reshwanth Ananthapu</t>
  </si>
  <si>
    <t>reshwanthananthapu74@gmail.com</t>
  </si>
  <si>
    <t>GITAM</t>
  </si>
  <si>
    <t>1KTEl-Da_d-xXyzi5U_rI-cnnmVm5NPzs</t>
  </si>
  <si>
    <t>https://drive.google.com/file/d/1KTEl-Da_d-xXyzi5U_rI-cnnmVm5NPzs/view?usp=drivesdk</t>
  </si>
  <si>
    <t>Document successfully created; Document successfully merged; PDF created; Emails Sent: [To: reshwanthananthapu74@gmail.com]; Run via form trigger as codectechnologies0@gmail.com; Timestamp: Sep 9, 2026 1:07 PM</t>
  </si>
  <si>
    <t xml:space="preserve">IILM GN </t>
  </si>
  <si>
    <t>1dTnbZ0nwem584jcdRXU4GEF4d4I39V-_</t>
  </si>
  <si>
    <t>https://drive.google.com/file/d/1dTnbZ0nwem584jcdRXU4GEF4d4I39V-_/view?usp=drivesdk</t>
  </si>
  <si>
    <t>Document successfully created; Document successfully merged; PDF created; Emails Sent: [To: omkarmohanty798@gmail.com]; Run via form trigger as codectechnologies0@gmail.com; Timestamp: Sep 9, 2026 1:07 PM</t>
  </si>
  <si>
    <t xml:space="preserve">Lakshya Kalita </t>
  </si>
  <si>
    <t>kalitalakshya123@gmail.com</t>
  </si>
  <si>
    <t xml:space="preserve">Institute of Advance Education and Research, Kolkata </t>
  </si>
  <si>
    <t>1dtb0owB0MA0XXkUuf73r_mpEHSy4tx6I</t>
  </si>
  <si>
    <t>https://drive.google.com/file/d/1dtb0owB0MA0XXkUuf73r_mpEHSy4tx6I/view?usp=drivesdk</t>
  </si>
  <si>
    <t>Document successfully created; Document successfully merged; PDF created; Emails Sent: [To: kalitalakshya123@gmail.com]; Run via form trigger as codectechnologies0@gmail.com; Timestamp: Sep 9, 2026 1:08 PM</t>
  </si>
  <si>
    <t xml:space="preserve">Himanshu </t>
  </si>
  <si>
    <t>himashusaini9738@gmail.com</t>
  </si>
  <si>
    <t xml:space="preserve"> 95883 99410</t>
  </si>
  <si>
    <t>1KuUG8iktHtEe4K08bOt0EYg06wk9AvOe</t>
  </si>
  <si>
    <t>https://drive.google.com/file/d/1KuUG8iktHtEe4K08bOt0EYg06wk9AvOe/view?usp=drivesdk</t>
  </si>
  <si>
    <t>Document successfully created; Document successfully merged; PDF created; Emails Sent: [To: himashusaini9738@gmail.com]; Run via form trigger as codectechnologies0@gmail.com; Timestamp: Sep 9, 2026 1:14 PM</t>
  </si>
  <si>
    <t>Pawan Gupta</t>
  </si>
  <si>
    <t>pawangupta000007818@gmail.com</t>
  </si>
  <si>
    <t>1tC9bRheGHU7Z6LlUfyquS5nUU8UQo6TQ</t>
  </si>
  <si>
    <t>https://drive.google.com/file/d/1tC9bRheGHU7Z6LlUfyquS5nUU8UQo6TQ/view?usp=drivesdk</t>
  </si>
  <si>
    <t>Document successfully created; Document successfully merged; PDF created; Emails Sent: [To: pawangupta000007818@gmail.com]; Run via form trigger as codectechnologies0@gmail.com; Timestamp: Sep 9, 2026 1:23 PM</t>
  </si>
  <si>
    <t>Bhumika.Madhevan</t>
  </si>
  <si>
    <t>bhumikamadhevan875@gmail.com</t>
  </si>
  <si>
    <t>Sri Vignesh College of engineering and technology</t>
  </si>
  <si>
    <t>1f0J46FqgI5ga4GMpgXxG_tFtRBrmWCPm</t>
  </si>
  <si>
    <t>https://drive.google.com/file/d/1f0J46FqgI5ga4GMpgXxG_tFtRBrmWCPm/view?usp=drivesdk</t>
  </si>
  <si>
    <t>Document successfully created; Document successfully merged; PDF created; Emails Sent: [To: bhumikamadhevan875@gmail.com]; Run via form trigger as codectechnologies0@gmail.com; Timestamp: Sep 9, 2026 1:24 PM</t>
  </si>
  <si>
    <t>Sai Vidya Institute Of Technology Rajanukunte Bangalore</t>
  </si>
  <si>
    <t>12tFDzlDS4D5bwj61V-e9t_TMeke3e2Ra</t>
  </si>
  <si>
    <t>https://drive.google.com/file/d/12tFDzlDS4D5bwj61V-e9t_TMeke3e2Ra/view?usp=drivesdk</t>
  </si>
  <si>
    <t>Document successfully created; Document successfully merged; PDF created; Emails Sent: [To: soujanyashivanandhiremath.24ds@saividya.ac.in]; Run via form trigger as codectechnologies0@gmail.com; Timestamp: Sep 9, 2026 1:27 PM</t>
  </si>
  <si>
    <t>Hritik Verma</t>
  </si>
  <si>
    <t>hritik.25scs1003003183@iilm.edu</t>
  </si>
  <si>
    <t>14fOg9Ke68fCdH1u2TXWNqIC4exBb_SMb</t>
  </si>
  <si>
    <t>https://drive.google.com/file/d/14fOg9Ke68fCdH1u2TXWNqIC4exBb_SMb/view?usp=drivesdk</t>
  </si>
  <si>
    <t>Document successfully created; Document successfully merged; PDF created; Emails Sent: [To: hritik.25scs1003003183@iilm.edu]; Run via form trigger as codectechnologies0@gmail.com; Timestamp: Sep 9, 2026 1:30 PM</t>
  </si>
  <si>
    <t>Yashkumar050807@gmail.com</t>
  </si>
  <si>
    <t>+91 99104 73180</t>
  </si>
  <si>
    <t>11nTf7IQbr78bTbUMUT9ntXp5FasNtQjF</t>
  </si>
  <si>
    <t>https://drive.google.com/file/d/11nTf7IQbr78bTbUMUT9ntXp5FasNtQjF/view?usp=drivesdk</t>
  </si>
  <si>
    <t>Document successfully created; Document successfully merged; PDF created; Emails Sent: [To: Yashkumar050807@gmail.com]; Run via form trigger as codectechnologies0@gmail.com; Timestamp: Sep 9, 2026 1:31 PM</t>
  </si>
  <si>
    <t xml:space="preserve">Adamaya Shyam </t>
  </si>
  <si>
    <t>adamaya.shyam05@gmail.com</t>
  </si>
  <si>
    <t>175sk20BZQOqmYkxOTGs3IDo6NYs0vVIN</t>
  </si>
  <si>
    <t>https://drive.google.com/file/d/175sk20BZQOqmYkxOTGs3IDo6NYs0vVIN/view?usp=drivesdk</t>
  </si>
  <si>
    <t>Document successfully created; Document successfully merged; PDF created; Emails Sent: [To: adamaya.shyam05@gmail.com]; Run via form trigger as codectechnologies0@gmail.com; Timestamp: Sep 9, 2026 1:32 PM</t>
  </si>
  <si>
    <t>RITESH PASWAN</t>
  </si>
  <si>
    <t>riteshpaswan1119@gmail.com</t>
  </si>
  <si>
    <t>09151198431</t>
  </si>
  <si>
    <t>KIPM COLLEGE OF ENGINEERING AND TECHNOLOGY</t>
  </si>
  <si>
    <t>1y_T-sgDOMBqM8u7ViuluzuLyi-bGd1R8</t>
  </si>
  <si>
    <t>https://drive.google.com/file/d/1y_T-sgDOMBqM8u7ViuluzuLyi-bGd1R8/view?usp=drivesdk</t>
  </si>
  <si>
    <t>Document successfully created; Document successfully merged; PDF created; Emails Sent: [To: riteshpaswan1119@gmail.com]; Run via form trigger as codectechnologies0@gmail.com; Timestamp: Sep 9, 2026 1:33 PM</t>
  </si>
  <si>
    <t>Rapolu Srinadh</t>
  </si>
  <si>
    <t>rsrapolu007@gmail.com</t>
  </si>
  <si>
    <t xml:space="preserve">Malla reddy Deemed To Be University </t>
  </si>
  <si>
    <t>13mziWPXWTzhTMcHH6KBxBMki8nGbnwmq</t>
  </si>
  <si>
    <t>https://drive.google.com/file/d/13mziWPXWTzhTMcHH6KBxBMki8nGbnwmq/view?usp=drivesdk</t>
  </si>
  <si>
    <t>Document successfully created; Document successfully merged; PDF created; Emails Sent: [To: rsrapolu007@gmail.com]; Run via form trigger as codectechnologies0@gmail.com; Timestamp: Sep 9, 2026 1:39 PM</t>
  </si>
  <si>
    <t xml:space="preserve">Avinash Kumar Raj </t>
  </si>
  <si>
    <t>avinash.25scs1003003546@iilm.edu</t>
  </si>
  <si>
    <t>1sQ_keXKVcein_yh_iGLgp7FKLu0fg1lD</t>
  </si>
  <si>
    <t>https://drive.google.com/file/d/1sQ_keXKVcein_yh_iGLgp7FKLu0fg1lD/view?usp=drivesdk</t>
  </si>
  <si>
    <t>Document successfully created; Document successfully merged; PDF created; Emails Sent: [To: avinash.25scs1003003546@iilm.edu]; Run via form trigger as codectechnologies0@gmail.com; Timestamp: Sep 9, 2026 1:40 PM</t>
  </si>
  <si>
    <t xml:space="preserve">Harsh Lokwani </t>
  </si>
  <si>
    <t>harshlokwani73@gmail.com</t>
  </si>
  <si>
    <t>1AYnTaW2xJgilDXGn20TDq1eNzq6AArLM</t>
  </si>
  <si>
    <t>https://drive.google.com/file/d/1AYnTaW2xJgilDXGn20TDq1eNzq6AArLM/view?usp=drivesdk</t>
  </si>
  <si>
    <t>Document successfully created; Document successfully merged; PDF created; Emails Sent: [To: harshlokwani73@gmail.com]; Run via form trigger as codectechnologies0@gmail.com; Timestamp: Sep 9, 2026 1:40 PM</t>
  </si>
  <si>
    <t xml:space="preserve">Rapolu Srinadh </t>
  </si>
  <si>
    <t>1yNCSw5XkxAQnEPIjOsY-SDYlKIhMxyrG</t>
  </si>
  <si>
    <t>https://drive.google.com/file/d/1yNCSw5XkxAQnEPIjOsY-SDYlKIhMxyrG/view?usp=drivesdk</t>
  </si>
  <si>
    <t>Document successfully created; Document successfully merged; PDF created; Emails Sent: [To: rsrapolu007@gmail.com]; Run via form trigger as codectechnologies0@gmail.com; Timestamp: Sep 9, 2026 1:44 PM</t>
  </si>
  <si>
    <t>YASHWANTH SURYA K</t>
  </si>
  <si>
    <t>1XK9SJ_TDoSnjTgL9iJLTWPiuViOQoDGo</t>
  </si>
  <si>
    <t>https://drive.google.com/file/d/1XK9SJ_TDoSnjTgL9iJLTWPiuViOQoDGo/view?usp=drivesdk</t>
  </si>
  <si>
    <t>Document successfully created; Document successfully merged; PDF created; Emails Sent: [To: Shashwanthj@gmail.com]; Run via form trigger as codectechnologies0@gmail.com; Timestamp: Sep 9, 2026 1:53 PM</t>
  </si>
  <si>
    <t xml:space="preserve">SAURABH YADAV </t>
  </si>
  <si>
    <t>saurabh.25scs1003003647@iilm.edu</t>
  </si>
  <si>
    <t xml:space="preserve">IILM UNIVERSITY G.Noida </t>
  </si>
  <si>
    <t>1A2vps1yHcnHkZynV74u5Nq-6i16Sj5YY</t>
  </si>
  <si>
    <t>https://drive.google.com/file/d/1A2vps1yHcnHkZynV74u5Nq-6i16Sj5YY/view?usp=drivesdk</t>
  </si>
  <si>
    <t>Document successfully created; Document successfully merged; PDF created; Emails Sent: [To: saurabh.25scs1003003647@iilm.edu]; Run via form trigger as codectechnologies0@gmail.com; Timestamp: Sep 9, 2026 2:18 PM</t>
  </si>
  <si>
    <t>Vandana</t>
  </si>
  <si>
    <t>cu25250131@coeruniversity.ac.in</t>
  </si>
  <si>
    <t xml:space="preserve">Coer university </t>
  </si>
  <si>
    <t>1g6qUERE7pbRHXI9I7Z5d11HM5vNFmcT_</t>
  </si>
  <si>
    <t>https://drive.google.com/file/d/1g6qUERE7pbRHXI9I7Z5d11HM5vNFmcT_/view?usp=drivesdk</t>
  </si>
  <si>
    <t>Document successfully created; Document successfully merged; PDF created; Emails Sent: [To: cu25250131@coeruniversity.ac.in]; Run via form trigger as codectechnologies0@gmail.com; Timestamp: Sep 9, 2026 2:33 PM</t>
  </si>
  <si>
    <t>Vibhav Mishra</t>
  </si>
  <si>
    <t>vibhavmishra2007@gmail.com</t>
  </si>
  <si>
    <t>1XLgUmRg7WNIHMiaV4QqtAOMNH3rvbk-9</t>
  </si>
  <si>
    <t>https://drive.google.com/file/d/1XLgUmRg7WNIHMiaV4QqtAOMNH3rvbk-9/view?usp=drivesdk</t>
  </si>
  <si>
    <t>Document successfully created; Document successfully merged; PDF created; Emails Sent: [To: vibhavmishra2007@gmail.com]; Run via form trigger as codectechnologies0@gmail.com; Timestamp: Sep 9, 2026 2:44 PM</t>
  </si>
  <si>
    <t>ayushananduni@gmail.com</t>
  </si>
  <si>
    <t>18NJljk08on9Q0dplJUq7hcxgFDUgXJ6b</t>
  </si>
  <si>
    <t>https://drive.google.com/file/d/18NJljk08on9Q0dplJUq7hcxgFDUgXJ6b/view?usp=drivesdk</t>
  </si>
  <si>
    <t>Document successfully created; Document successfully merged; PDF created; Emails Sent: [To: ayushananduni@gmail.com]; Run via form trigger as codectechnologies0@gmail.com; Timestamp: Sep 9, 2026 2:47 PM</t>
  </si>
  <si>
    <t>Anubhav kumar</t>
  </si>
  <si>
    <t>rahulkushwaha11111111111@gmail.com</t>
  </si>
  <si>
    <t>19elyRfP8ZQ3Xu5j3dd48OgR-dXaQA8pK</t>
  </si>
  <si>
    <t>https://drive.google.com/file/d/19elyRfP8ZQ3Xu5j3dd48OgR-dXaQA8pK/view?usp=drivesdk</t>
  </si>
  <si>
    <t>Document successfully created; Document successfully merged; PDF created; Emails Sent: [To: rahulkushwaha11111111111@gmail.com]; Run via form trigger as codectechnologies0@gmail.com; Timestamp: Sep 9, 2026 3:59 PM</t>
  </si>
  <si>
    <t>Rishabh Kant</t>
  </si>
  <si>
    <t>rishabhkant540@gmail.com</t>
  </si>
  <si>
    <t xml:space="preserve">Galgotia college of engineering and technology </t>
  </si>
  <si>
    <t>1q7n9ZaiY-Kq9JbfePVGFrbcTtrxyxOCp</t>
  </si>
  <si>
    <t>https://drive.google.com/file/d/1q7n9ZaiY-Kq9JbfePVGFrbcTtrxyxOCp/view?usp=drivesdk</t>
  </si>
  <si>
    <t>Document successfully created; Document successfully merged; PDF created; Emails Sent: [To: rishabhkant540@gmail.com]; Run via form trigger as codectechnologies0@gmail.com; Timestamp: Sep 9, 2026 4:00 PM</t>
  </si>
  <si>
    <t xml:space="preserve">Bhavishya </t>
  </si>
  <si>
    <t>bhavishyapr386@gmail.com</t>
  </si>
  <si>
    <t>1yj9cvYyPQhBYt-zsKU_M4OwFnfL9BVwC</t>
  </si>
  <si>
    <t>https://drive.google.com/file/d/1yj9cvYyPQhBYt-zsKU_M4OwFnfL9BVwC/view?usp=drivesdk</t>
  </si>
  <si>
    <t>Document successfully created; Document successfully merged; PDF created; Emails Sent: [To: bhavishyapr386@gmail.com]; Run via form trigger as codectechnologies0@gmail.com; Timestamp: Sep 9, 2026 4:03 PM</t>
  </si>
  <si>
    <t>Amrit Kumar</t>
  </si>
  <si>
    <t>amritdev2004@gmail.com</t>
  </si>
  <si>
    <t>1SGFGq7RGj9Y3j9dxsSFZv16vsE3GPDHu</t>
  </si>
  <si>
    <t>https://drive.google.com/file/d/1SGFGq7RGj9Y3j9dxsSFZv16vsE3GPDHu/view?usp=drivesdk</t>
  </si>
  <si>
    <t>Document successfully created; Document successfully merged; PDF created; Emails Sent: [To: amritdev2004@gmail.com]; Run via form trigger as codectechnologies0@gmail.com; Timestamp: Sep 9, 2026 4:08 PM</t>
  </si>
  <si>
    <t>1fXLbvVegekAwPTxQCNO9PnBU4bwG8qfy</t>
  </si>
  <si>
    <t>https://drive.google.com/file/d/1fXLbvVegekAwPTxQCNO9PnBU4bwG8qfy/view?usp=drivesdk</t>
  </si>
  <si>
    <t>Document successfully created; Document successfully merged; PDF created; Emails Sent: [To: rishabhkant540@gmail.com]; Run via form trigger as codectechnologies0@gmail.com; Timestamp: Sep 9, 2026 4:10 PM</t>
  </si>
  <si>
    <t>Utsav Kumar</t>
  </si>
  <si>
    <t>utsavkumar6875@gmail.com</t>
  </si>
  <si>
    <t>19ZLM3fVAKCED5PtB4KGa6tTmn8RwwajR</t>
  </si>
  <si>
    <t>https://drive.google.com/file/d/19ZLM3fVAKCED5PtB4KGa6tTmn8RwwajR/view?usp=drivesdk</t>
  </si>
  <si>
    <t>Document successfully created; Document successfully merged; PDF created; Emails Sent: [To: utsavkumar6875@gmail.com]; Run via form trigger as codectechnologies0@gmail.com; Timestamp: Sep 9, 2026 4:15 PM</t>
  </si>
  <si>
    <t>1UB56oUzs4VclLAOR5EgLfmZ12XW_ulvL</t>
  </si>
  <si>
    <t>https://drive.google.com/file/d/1UB56oUzs4VclLAOR5EgLfmZ12XW_ulvL/view?usp=drivesdk</t>
  </si>
  <si>
    <t>Document successfully created; Document successfully merged; PDF created; Emails Sent: [To: utsavkumar6875@gmail.com]; Run via form trigger as codectechnologies0@gmail.com; Timestamp: Sep 9, 2026 4:50 PM</t>
  </si>
  <si>
    <t xml:space="preserve">Namit Sharma </t>
  </si>
  <si>
    <t>namit6280@gmail.com</t>
  </si>
  <si>
    <t>Shri Guru Tegh Bahadur Institute of Management and Information Technology</t>
  </si>
  <si>
    <t>1YankMZgewt-y45h2OXWTmTScIQ5bOh4b</t>
  </si>
  <si>
    <t>https://drive.google.com/file/d/1YankMZgewt-y45h2OXWTmTScIQ5bOh4b/view?usp=drivesdk</t>
  </si>
  <si>
    <t>Document successfully created; Document successfully merged; PDF created; Emails Sent: [To: namit6280@gmail.com]; Run via form trigger as codectechnologies0@gmail.com; Timestamp: Sep 9, 2026 5:44 PM</t>
  </si>
  <si>
    <t xml:space="preserve">Suman kumar </t>
  </si>
  <si>
    <t>sumankumar002123@gmail.com</t>
  </si>
  <si>
    <t>13_71H2INNhNcw6I9w7tDLxcjLZ6BNdA1</t>
  </si>
  <si>
    <t>https://drive.google.com/file/d/13_71H2INNhNcw6I9w7tDLxcjLZ6BNdA1/view?usp=drivesdk</t>
  </si>
  <si>
    <t>Document successfully created; Document successfully merged; PDF created; Emails Sent: [To: sumankumar002123@gmail.com]; Run via form trigger as codectechnologies0@gmail.com; Timestamp: Sep 9, 2026 9:33 PM</t>
  </si>
  <si>
    <t>Hem Singh</t>
  </si>
  <si>
    <t>aveshahmed12@gmail.com</t>
  </si>
  <si>
    <t>Aryan College, Ajmer</t>
  </si>
  <si>
    <t>1OwzwkS5hCx0GeDSHmvGMz-z-Wj6GKY7I</t>
  </si>
  <si>
    <t>https://drive.google.com/file/d/1OwzwkS5hCx0GeDSHmvGMz-z-Wj6GKY7I/view?usp=drivesdk</t>
  </si>
  <si>
    <t>Document successfully created; Document successfully merged; PDF created; Emails Sent: [To: aveshahmed12@gmail.com]; Run via form trigger as codectechnologies0@gmail.com; Timestamp: Sep 9, 2026 10:41 PM</t>
  </si>
  <si>
    <t>rajtribhuvanm1686@gmail.com</t>
  </si>
  <si>
    <t xml:space="preserve">Subharti Institute of technology and engineering </t>
  </si>
  <si>
    <t>1zIXwG67516ePRrd0ly6WzETCCBENfXuM</t>
  </si>
  <si>
    <t>https://drive.google.com/file/d/1zIXwG67516ePRrd0ly6WzETCCBENfXuM/view?usp=drivesdk</t>
  </si>
  <si>
    <t>Document successfully created; Document successfully merged; PDF created; Emails Sent: [To: rajtribhuvanm1686@gmail.com]; Run via form trigger as codectechnologies0@gmail.com; Timestamp: Sep 9, 2026 11:04 PM</t>
  </si>
  <si>
    <t>JAFRIN S P</t>
  </si>
  <si>
    <t>spiafrin2005@gmail.com</t>
  </si>
  <si>
    <t>HINDUSTAN UNIVERSITY</t>
  </si>
  <si>
    <t>1Ebu0AD7HGsVfl70j6cig5UbDEbS4Gf9O</t>
  </si>
  <si>
    <t>https://drive.google.com/file/d/1Ebu0AD7HGsVfl70j6cig5UbDEbS4Gf9O/view?usp=drivesdk</t>
  </si>
  <si>
    <t>Document successfully created; Document successfully merged; PDF created; Emails Sent: [To: spiafrin2005@gmail.com]; Run via form trigger as codectechnologies0@gmail.com; Timestamp: Sep 9, 2026 11:09 PM</t>
  </si>
  <si>
    <t xml:space="preserve">JAFRIN.S.P </t>
  </si>
  <si>
    <t xml:space="preserve">HINDUSTAN UNIVERSITY </t>
  </si>
  <si>
    <t>1WnWVc2lkgFQkz4ohkilhgI81m8Xx2ZXY</t>
  </si>
  <si>
    <t>https://drive.google.com/file/d/1WnWVc2lkgFQkz4ohkilhgI81m8Xx2ZXY/view?usp=drivesdk</t>
  </si>
  <si>
    <t>Document successfully created; Document successfully merged; PDF created; Emails Sent: [To: spiafrin2005@gmail.com]; Run via form trigger as codectechnologies0@gmail.com; Timestamp: Sep 9, 2026 11:13 PM</t>
  </si>
  <si>
    <t>Drishti Kandpal</t>
  </si>
  <si>
    <t>drishti1.kandpal@gmail.com</t>
  </si>
  <si>
    <t>Maharishi University of Information and Technology</t>
  </si>
  <si>
    <t>1MGwboA2XHGW1ZXYxY-pPd_vs2Don0Gve</t>
  </si>
  <si>
    <t>https://drive.google.com/file/d/1MGwboA2XHGW1ZXYxY-pPd_vs2Don0Gve/view?usp=drivesdk</t>
  </si>
  <si>
    <t>Document successfully created; Document successfully merged; PDF created; Emails Sent: [To: drishti1.kandpal@gmail.com]; Run via form trigger as codectechnologies0@gmail.com; Timestamp: Sep 9, 2026 11:19 PM</t>
  </si>
  <si>
    <t>Vansh Jha</t>
  </si>
  <si>
    <t>neverseen631@gmail.com</t>
  </si>
  <si>
    <t>1DA2Z8wCshwFACrkJrWxL6ljJLtjPAma1</t>
  </si>
  <si>
    <t>https://drive.google.com/file/d/1DA2Z8wCshwFACrkJrWxL6ljJLtjPAma1/view?usp=drivesdk</t>
  </si>
  <si>
    <t>Document successfully created; Document successfully merged; PDF created; Emails Sent: [To: neverseen631@gmail.com]; Run via form trigger as codectechnologies0@gmail.com; Timestamp: Sep 9, 2026 11:25 PM</t>
  </si>
  <si>
    <t>1IFtyuACGW_kegUiMVZMQ3fT_m5DZKmdQ</t>
  </si>
  <si>
    <t>https://drive.google.com/file/d/1IFtyuACGW_kegUiMVZMQ3fT_m5DZKmdQ/view?usp=drivesdk</t>
  </si>
  <si>
    <t>Document successfully created; Document successfully merged; PDF created; Emails Sent: [To: 217samiksha@gmail.com]; Run via form trigger as codectechnologies0@gmail.com; Timestamp: Sep 9, 2026 11:37 PM</t>
  </si>
  <si>
    <t>1-tSgEgmNx0_cz1qKZH2kwmIIXkfaA0cT</t>
  </si>
  <si>
    <t>https://drive.google.com/file/d/1-tSgEgmNx0_cz1qKZH2kwmIIXkfaA0cT/view?usp=drivesdk</t>
  </si>
  <si>
    <t>Document successfully created; Document successfully merged; PDF created; Emails Sent: [To: prajesh12545@gmail.com]; Run via form trigger as codectechnologies0@gmail.com; Timestamp: Sep 10, 2026 12:00 AM</t>
  </si>
  <si>
    <t>shahiaman7258@gmail.com</t>
  </si>
  <si>
    <t xml:space="preserve">IIlM university </t>
  </si>
  <si>
    <t>1FW_c-2FBN6YU736ZuPpSAJ12WZI3Do_f</t>
  </si>
  <si>
    <t>https://drive.google.com/file/d/1FW_c-2FBN6YU736ZuPpSAJ12WZI3Do_f/view?usp=drivesdk</t>
  </si>
  <si>
    <t>Document successfully created; Document successfully merged; PDF created; Emails Sent: [To: shahiaman7258@gmail.com]; Run via form trigger as codectechnologies0@gmail.com; Timestamp: Sep 10, 2026 12:09 AM</t>
  </si>
  <si>
    <t xml:space="preserve">Prateek Singh Thapa </t>
  </si>
  <si>
    <t>ps2532010@gmail.com</t>
  </si>
  <si>
    <t>1klJlft4m5-VoOxlUecPA6tnHZ_1oZS39</t>
  </si>
  <si>
    <t>https://drive.google.com/file/d/1klJlft4m5-VoOxlUecPA6tnHZ_1oZS39/view?usp=drivesdk</t>
  </si>
  <si>
    <t>Document successfully created; Document successfully merged; PDF created; Emails Sent: [To: ps2532010@gmail.com]; Run via form trigger as codectechnologies0@gmail.com; Timestamp: Sep 10, 2026 12:23 AM</t>
  </si>
  <si>
    <t>Agilan T</t>
  </si>
  <si>
    <t>agilant@karunya.edu.in</t>
  </si>
  <si>
    <t>17TynEFTbG8axtncXLF5REtYCZ3SG45Pc</t>
  </si>
  <si>
    <t>https://drive.google.com/file/d/17TynEFTbG8axtncXLF5REtYCZ3SG45Pc/view?usp=drivesdk</t>
  </si>
  <si>
    <t>Document successfully created; Document successfully merged; PDF created; Emails Sent: [To: agilant@karunya.edu.in]; Run via form trigger as codectechnologies0@gmail.com; Timestamp: Sep 10, 2026 12:29 AM</t>
  </si>
  <si>
    <t>Muzahir Ali</t>
  </si>
  <si>
    <t>muzahirraza509@gmail.com</t>
  </si>
  <si>
    <t>Tmu</t>
  </si>
  <si>
    <t>1vGnFUD9k7BZpNvb-XmKlZfkWFIX9KrfJ</t>
  </si>
  <si>
    <t>https://drive.google.com/file/d/1vGnFUD9k7BZpNvb-XmKlZfkWFIX9KrfJ/view?usp=drivesdk</t>
  </si>
  <si>
    <t>Document successfully created; Document successfully merged; PDF created; Emails Sent: [To: muzahirraza509@gmail.com]; Run via form trigger as codectechnologies0@gmail.com; Timestamp: Sep 10, 2026 12:31 AM</t>
  </si>
  <si>
    <t>ARUN SANKAR B</t>
  </si>
  <si>
    <t>tkamaleshk@gmail.com</t>
  </si>
  <si>
    <t>Pec</t>
  </si>
  <si>
    <t>1NWhUKGUnhVpyhjkqEz0rWrtBalOUekWD</t>
  </si>
  <si>
    <t>https://drive.google.com/file/d/1NWhUKGUnhVpyhjkqEz0rWrtBalOUekWD/view?usp=drivesdk</t>
  </si>
  <si>
    <t>Document successfully created; Document successfully merged; PDF created; Emails Sent: [To: tkamaleshk@gmail.com]; Run via form trigger as codectechnologies0@gmail.com; Timestamp: Sep 10, 2026 12:33 AM</t>
  </si>
  <si>
    <t>1iHzy12-xKMlOXHyyXaMi_V3fMZdKqvs-</t>
  </si>
  <si>
    <t>https://drive.google.com/file/d/1iHzy12-xKMlOXHyyXaMi_V3fMZdKqvs-/view?usp=drivesdk</t>
  </si>
  <si>
    <t>Document successfully created; Document successfully merged; PDF created; Emails Sent: [To: piyushbaghel8755062819@gmail.com]; Run via form trigger as codectechnologies0@gmail.com; Timestamp: Sep 10, 2026 12:36 AM</t>
  </si>
  <si>
    <t>Garswel Roshan A M</t>
  </si>
  <si>
    <t>garswelroshan@karunya.edu.in</t>
  </si>
  <si>
    <t>Instagram, Google, Internshala</t>
  </si>
  <si>
    <t>1fiBwlipsezO_jpBE78tL0m47ku1d-UGU</t>
  </si>
  <si>
    <t>https://drive.google.com/file/d/1fiBwlipsezO_jpBE78tL0m47ku1d-UGU/view?usp=drivesdk</t>
  </si>
  <si>
    <t>Document successfully created; Document successfully merged; PDF created; Emails Sent: [To: garswelroshan@karunya.edu.in]; Run via form trigger as codectechnologies0@gmail.com; Timestamp: Sep 10, 2026 12:37 AM</t>
  </si>
  <si>
    <t xml:space="preserve">Praveen Ad </t>
  </si>
  <si>
    <t>adpraveen94@gmail.com</t>
  </si>
  <si>
    <t>University College of Engineering, Banswara (Raj)</t>
  </si>
  <si>
    <t>1-uqYNV4MA4WCEb_60La4gw-sIK35mc96</t>
  </si>
  <si>
    <t>https://drive.google.com/file/d/1-uqYNV4MA4WCEb_60La4gw-sIK35mc96/view?usp=drivesdk</t>
  </si>
  <si>
    <t>Document successfully created; Document successfully merged; PDF created; Emails Sent: [To: adpraveen94@gmail.com]; Run via form trigger as codectechnologies0@gmail.com; Timestamp: Sep 10, 2026 12:39 AM</t>
  </si>
  <si>
    <t>aman.25scs1003002752@iilm.edu</t>
  </si>
  <si>
    <t>1zRB0mQpy6fo9YqPHnJdn9dTiINUGZJiU</t>
  </si>
  <si>
    <t>https://drive.google.com/file/d/1zRB0mQpy6fo9YqPHnJdn9dTiINUGZJiU/view?usp=drivesdk</t>
  </si>
  <si>
    <t>Document successfully created; Document successfully merged; PDF created; Emails Sent: [To: aman.25scs1003002752@iilm.edu]; Run via form trigger as codectechnologies0@gmail.com; Timestamp: Sep 10, 2026 12:50 AM</t>
  </si>
  <si>
    <t>Uday Kishor Patil</t>
  </si>
  <si>
    <t>udaypatilukp@gmail.com</t>
  </si>
  <si>
    <t>Suman Ramesh Tulsiani Technical Campus Faculty Of Engineering</t>
  </si>
  <si>
    <t>1VdHx_gXkgwd1aSr7h16HvMQO11gv_PBk</t>
  </si>
  <si>
    <t>https://drive.google.com/file/d/1VdHx_gXkgwd1aSr7h16HvMQO11gv_PBk/view?usp=drivesdk</t>
  </si>
  <si>
    <t>Document successfully created; Document successfully merged; PDF created; Emails Sent: [To: udaypatilukp@gmail.com]; Run via form trigger as codectechnologies0@gmail.com; Timestamp: Sep 10, 2026 12:56 AM</t>
  </si>
  <si>
    <t xml:space="preserve">Gauri Agrawal </t>
  </si>
  <si>
    <t>gauriagrawal97865@gmail.com</t>
  </si>
  <si>
    <t>1qvCKaJbNPiUCnngxFF9h0cTvEHZ1_h_y</t>
  </si>
  <si>
    <t>https://drive.google.com/file/d/1qvCKaJbNPiUCnngxFF9h0cTvEHZ1_h_y/view?usp=drivesdk</t>
  </si>
  <si>
    <t>Document successfully created; Document successfully merged; PDF created; Emails Sent: [To: gauriagrawal97865@gmail.com]; Run via form trigger as codectechnologies0@gmail.com; Timestamp: Sep 10, 2026 12:59 AM</t>
  </si>
  <si>
    <t>AYUSH MAURYA</t>
  </si>
  <si>
    <t>ayush.25scs1003002906@iilm.edu</t>
  </si>
  <si>
    <t>1__6oG7XSDir9_7It8NH9nottWctfuW4e</t>
  </si>
  <si>
    <t>https://drive.google.com/file/d/1__6oG7XSDir9_7It8NH9nottWctfuW4e/view?usp=drivesdk</t>
  </si>
  <si>
    <t>Document successfully created; Document successfully merged; PDF created; Emails Sent: [To: ayush.25scs1003002906@iilm.edu]; Run via form trigger as codectechnologies0@gmail.com; Timestamp: Sep 10, 2026 1:01 AM</t>
  </si>
  <si>
    <t xml:space="preserve">Tanish </t>
  </si>
  <si>
    <t>tanishchechi28@gmail.com</t>
  </si>
  <si>
    <t>1FSwIdSnyxzrvMtQsbpNvY7a0e64cjquQ</t>
  </si>
  <si>
    <t>https://drive.google.com/file/d/1FSwIdSnyxzrvMtQsbpNvY7a0e64cjquQ/view?usp=drivesdk</t>
  </si>
  <si>
    <t>Document successfully created; Document successfully merged; PDF created; !!Error Sending Emails: Service invoked too many times for one day: email.; Run via form trigger as codectechnologies0@gmail.com; Timestamp: Sep 10, 2026 1:01 AM</t>
  </si>
  <si>
    <t>16Ktm843SFQNx39xezP52HwXqBaU9y7xk</t>
  </si>
  <si>
    <t>https://drive.google.com/file/d/16Ktm843SFQNx39xezP52HwXqBaU9y7xk/view?usp=drivesdk</t>
  </si>
  <si>
    <t>Document successfully created; Document successfully merged; PDF created; Emails Sent: [To: jiveshyadav421@gmail.com]; Run via form trigger as codectechnologies0@gmail.com; Timestamp: Sep 10, 2026 1:17 AM</t>
  </si>
  <si>
    <t>Ayush Yadav</t>
  </si>
  <si>
    <t>ayush3yadav12@gmail.com</t>
  </si>
  <si>
    <t>Iilm University, Greater Noida</t>
  </si>
  <si>
    <t>1NeLAfOlRqh_tPCxMloovL77_2HSZ0Ss-</t>
  </si>
  <si>
    <t>https://drive.google.com/file/d/1NeLAfOlRqh_tPCxMloovL77_2HSZ0Ss-/view?usp=drivesdk</t>
  </si>
  <si>
    <t>Document successfully created; Document successfully merged; PDF created; Emails Sent: [To: ayush3yadav12@gmail.com]; Run via form trigger as codectechnologies0@gmail.com; Timestamp: Sep 10, 2026 1:28 AM</t>
  </si>
  <si>
    <t>Saksham Saxena</t>
  </si>
  <si>
    <t>saksham.25scs1003003951@iilm.edu</t>
  </si>
  <si>
    <t>1JYsphHPQWNGxl1pUojSGNZ5oBBW23VOO</t>
  </si>
  <si>
    <t>https://drive.google.com/file/d/1JYsphHPQWNGxl1pUojSGNZ5oBBW23VOO/view?usp=drivesdk</t>
  </si>
  <si>
    <t>Document successfully created; Document successfully merged; PDF created; Emails Sent: [To: saksham.25scs1003003951@iilm.edu]; Run via form trigger as codectechnologies0@gmail.com; Timestamp: Sep 10, 2026 1:30 AM</t>
  </si>
  <si>
    <t>NAKIRTHA SANAJY KUMAR</t>
  </si>
  <si>
    <t>sanjaykumarnakirtha@gmail.com</t>
  </si>
  <si>
    <t>MALLA REDDY MR DEEMED TO BE UNIVERSITY</t>
  </si>
  <si>
    <t>1meWXTK3dcDKm_U31HnJwRpU3i72SJJa5</t>
  </si>
  <si>
    <t>https://drive.google.com/file/d/1meWXTK3dcDKm_U31HnJwRpU3i72SJJa5/view?usp=drivesdk</t>
  </si>
  <si>
    <t>Document successfully created; Document successfully merged; PDF created; Emails Sent: [To: sanjaykumarnakirtha@gmail.com]; Run via form trigger as codectechnologies0@gmail.com; Timestamp: Sep 10, 2026 1:37 AM</t>
  </si>
  <si>
    <t>Primce Samleo.M.A</t>
  </si>
  <si>
    <t>24cu0310256@student.hindustanuniv.ac.in</t>
  </si>
  <si>
    <t>+91 63857 48952</t>
  </si>
  <si>
    <t>1VnC0OTGLm5QCDM5scWpqrHWoP6KOc2wM</t>
  </si>
  <si>
    <t>https://drive.google.com/file/d/1VnC0OTGLm5QCDM5scWpqrHWoP6KOc2wM/view?usp=drivesdk</t>
  </si>
  <si>
    <t>Document successfully created; Document successfully merged; PDF created; Emails Sent: [To: 24cu0310256@student.hindustanuniv.ac.in]; Run via form trigger as codectechnologies0@gmail.com; Timestamp: Sep 10, 2026 1:43 AM</t>
  </si>
  <si>
    <t xml:space="preserve">Anurag rajput </t>
  </si>
  <si>
    <t>anuragrajput2487@gmail.com</t>
  </si>
  <si>
    <t>1ud7-BBUqyBGG_YoCfrOxzHBcDRwiiDUG</t>
  </si>
  <si>
    <t>https://drive.google.com/file/d/1ud7-BBUqyBGG_YoCfrOxzHBcDRwiiDUG/view?usp=drivesdk</t>
  </si>
  <si>
    <t>Document successfully created; Document successfully merged; PDF created; Emails Sent: [To: anuragrajput2487@gmail.com]; Run via form trigger as codectechnologies0@gmail.com; Timestamp: Sep 10, 2026 1:43 AM</t>
  </si>
  <si>
    <t>Banala Srinath</t>
  </si>
  <si>
    <t>sanjaykannadream11@gmail.com</t>
  </si>
  <si>
    <t>1IvpaTI0HQvnnS1oRLdQZVsxkVluTSG5V</t>
  </si>
  <si>
    <t>https://drive.google.com/file/d/1IvpaTI0HQvnnS1oRLdQZVsxkVluTSG5V/view?usp=drivesdk</t>
  </si>
  <si>
    <t>Document successfully created; Document successfully merged; PDF created; Emails Sent: [To: sanjaykannadream11@gmail.com]; Run via form trigger as codectechnologies0@gmail.com; Timestamp: Sep 10, 2026 1:47 AM</t>
  </si>
  <si>
    <t>Sainaveni Shiva Kumar</t>
  </si>
  <si>
    <t>shivakumarsaini94@gmail.com</t>
  </si>
  <si>
    <t xml:space="preserve">Malla Reddy Deemed To Be University </t>
  </si>
  <si>
    <t>1VdhZfcKaB_WsnQtWc2MWVS9bAL9_nN5X</t>
  </si>
  <si>
    <t>https://drive.google.com/file/d/1VdhZfcKaB_WsnQtWc2MWVS9bAL9_nN5X/view?usp=drivesdk</t>
  </si>
  <si>
    <t>Document successfully created; Document successfully merged; PDF created; Emails Sent: [To: shivakumarsaini94@gmail.com]; Run via form trigger as codectechnologies0@gmail.com; Timestamp: Sep 10, 2026 1:52 AM</t>
  </si>
  <si>
    <t>Ashwi Sagar</t>
  </si>
  <si>
    <t>ashwi.25scs1003004588@iilm.edu</t>
  </si>
  <si>
    <t>1UogGl9726fpzmVro3OHFqTpbl0-cgXwE</t>
  </si>
  <si>
    <t>https://drive.google.com/file/d/1UogGl9726fpzmVro3OHFqTpbl0-cgXwE/view?usp=drivesdk</t>
  </si>
  <si>
    <t>Document successfully created; Document successfully merged; PDF created; Emails Sent: [To: ashwi.25scs1003004588@iilm.edu]; Run via form trigger as codectechnologies0@gmail.com; Timestamp: Sep 10, 2026 1:52 AM</t>
  </si>
  <si>
    <t>Tabish Khan</t>
  </si>
  <si>
    <t>tabishkhan7481857574@gmail.com</t>
  </si>
  <si>
    <t>Institute for Integrated Learning in Managment</t>
  </si>
  <si>
    <t>152SeTTk8wWz5WDdwZqbfz_pSkTUZzzRM</t>
  </si>
  <si>
    <t>https://drive.google.com/file/d/152SeTTk8wWz5WDdwZqbfz_pSkTUZzzRM/view?usp=drivesdk</t>
  </si>
  <si>
    <t>Document successfully created; Document successfully merged; PDF created; !!Error Sending Emails: Service invoked too many times for one day: email.; Run via form trigger as codectechnologies0@gmail.com; Timestamp: Sep 10, 2026 1:54 AM</t>
  </si>
  <si>
    <t xml:space="preserve">Amitesh Kumar </t>
  </si>
  <si>
    <t>mrc160896@gmail.com</t>
  </si>
  <si>
    <t xml:space="preserve"> 97187 98779</t>
  </si>
  <si>
    <t>17Cw2oueCnn2AGi4UwEDmOqhyxalMPJO0</t>
  </si>
  <si>
    <t>https://drive.google.com/file/d/17Cw2oueCnn2AGi4UwEDmOqhyxalMPJO0/view?usp=drivesdk</t>
  </si>
  <si>
    <t>Document successfully created; Document successfully merged; PDF created; !!Error Sending Emails: Service invoked too many times for one day: email.; Run via form trigger as codectechnologies0@gmail.com; Timestamp: Sep 10, 2026 1:59 AM</t>
  </si>
  <si>
    <t xml:space="preserve">Dhruv Singh </t>
  </si>
  <si>
    <t>dhruvsingh6002@gmail.com</t>
  </si>
  <si>
    <t>1vjcUL1F1uYlRzW1Fs2EpJISaX0OBBQ7H</t>
  </si>
  <si>
    <t>https://drive.google.com/file/d/1vjcUL1F1uYlRzW1Fs2EpJISaX0OBBQ7H/view?usp=drivesdk</t>
  </si>
  <si>
    <t>Document successfully created; Document successfully merged; PDF created; !!Error Sending Emails: Service invoked too many times for one day: email.; Run via form trigger as codectechnologies0@gmail.com; Timestamp: Sep 10, 2026 2:01 AM</t>
  </si>
  <si>
    <t>Harsh Singh</t>
  </si>
  <si>
    <t>harsh.25scs1003004669@iilm.edu</t>
  </si>
  <si>
    <t>1gx1jTil7H-mlL5PjwLe8vtdl5bPdxUtv</t>
  </si>
  <si>
    <t>https://drive.google.com/file/d/1gx1jTil7H-mlL5PjwLe8vtdl5bPdxUtv/view?usp=drivesdk</t>
  </si>
  <si>
    <t>Document successfully created; Document successfully merged; PDF created; Emails Sent: [To: harsh.25scs1003004669@iilm.edu]; Run via form trigger as codectechnologies0@gmail.com; Timestamp: Sep 10, 2026 2:02 AM</t>
  </si>
  <si>
    <t>1rW64hKYE9GJBjHUM2De4uHFGcBy13UH_</t>
  </si>
  <si>
    <t>https://drive.google.com/file/d/1rW64hKYE9GJBjHUM2De4uHFGcBy13UH_/view?usp=drivesdk</t>
  </si>
  <si>
    <t>Document successfully created; Document successfully merged; PDF created; Emails Sent: [To: radhasravani.pericherla@gmail.com]; Run via form trigger as codectechnologies0@gmail.com; Timestamp: Sep 10, 2026 2:04 AM</t>
  </si>
  <si>
    <t>Suman Kumar</t>
  </si>
  <si>
    <t>1KNhacl10Cs29JtOadk9v2UEhv_5UHV6n</t>
  </si>
  <si>
    <t>https://drive.google.com/file/d/1KNhacl10Cs29JtOadk9v2UEhv_5UHV6n/view?usp=drivesdk</t>
  </si>
  <si>
    <t>Document successfully created; Document successfully merged; PDF created; Emails Sent: [To: sumankumar002123@gmail.com]; Run via form trigger as codectechnologies0@gmail.com; Timestamp: Sep 10, 2026 2:04 AM</t>
  </si>
  <si>
    <t>Institute of Integrated Learning in Management</t>
  </si>
  <si>
    <t>1WrISxzZg8XzhPnY9ruHIZlM3cGwQ1d0H</t>
  </si>
  <si>
    <t>https://drive.google.com/file/d/1WrISxzZg8XzhPnY9ruHIZlM3cGwQ1d0H/view?usp=drivesdk</t>
  </si>
  <si>
    <t>Document successfully created; Document successfully merged; PDF created; Emails Sent: [To: tabishkhan7481857574@gmail.com]; Run via form trigger as codectechnologies0@gmail.com; Timestamp: Sep 10, 2026 2:05 AM</t>
  </si>
  <si>
    <t>PERNA SAI</t>
  </si>
  <si>
    <t>sainitha09@gmail.com</t>
  </si>
  <si>
    <t>1oO4fErfclGWYLrKe2_BXX1QCRubpKYty</t>
  </si>
  <si>
    <t>https://drive.google.com/file/d/1oO4fErfclGWYLrKe2_BXX1QCRubpKYty/view?usp=drivesdk</t>
  </si>
  <si>
    <t>Document successfully created; Document successfully merged; PDF created; Emails Sent: [To: sainitha09@gmail.com]; Run via form trigger as codectechnologies0@gmail.com; Timestamp: Sep 10, 2026 2:09 AM</t>
  </si>
  <si>
    <t>Ashish Yadav</t>
  </si>
  <si>
    <t>ayashishyadavk018@gmail.com</t>
  </si>
  <si>
    <t>08630222983</t>
  </si>
  <si>
    <t>1bDsRiySjNv_VCqdRIPtP7PLBgYVr1yg9</t>
  </si>
  <si>
    <t>https://drive.google.com/file/d/1bDsRiySjNv_VCqdRIPtP7PLBgYVr1yg9/view?usp=drivesdk</t>
  </si>
  <si>
    <t>Document successfully created; Document successfully merged; PDF created; !!Error Sending Emails: Service invoked too many times for one day: email.; Run via form trigger as codectechnologies0@gmail.com; Timestamp: Sep 10, 2026 2:12 AM</t>
  </si>
  <si>
    <t>Dharshini Kannan</t>
  </si>
  <si>
    <t>1eJvbNiGtrJw_byWgOzNcWGhGaZUVQ3HD</t>
  </si>
  <si>
    <t>https://drive.google.com/file/d/1eJvbNiGtrJw_byWgOzNcWGhGaZUVQ3HD/view?usp=drivesdk</t>
  </si>
  <si>
    <t>Document successfully created; Document successfully merged; PDF created; !!Error Sending Emails: Service invoked too many times for one day: email.; Run via form trigger as codectechnologies0@gmail.com; Timestamp: Sep 10, 2026 2:13 AM</t>
  </si>
  <si>
    <t>RAMOJI AKIRANANDAN</t>
  </si>
  <si>
    <t>ramojiakiranandan@gmail.com</t>
  </si>
  <si>
    <t>MR DEEMED TO BE UNIVERSITY</t>
  </si>
  <si>
    <t>1hyLMcNXaMJJzn9Pl3NNo_Sx-WV6v12uE</t>
  </si>
  <si>
    <t>https://drive.google.com/file/d/1hyLMcNXaMJJzn9Pl3NNo_Sx-WV6v12uE/view?usp=drivesdk</t>
  </si>
  <si>
    <t>Document successfully created; Document successfully merged; PDF created; Emails Sent: [To: ramojiakiranandan@gmail.com]; Run via form trigger as codectechnologies0@gmail.com; Timestamp: Sep 10, 2026 2:14 AM</t>
  </si>
  <si>
    <t xml:space="preserve">Deepak </t>
  </si>
  <si>
    <t>deepak.25scs1003003769@iilm.edu</t>
  </si>
  <si>
    <t>IILM University (GN)</t>
  </si>
  <si>
    <t>1TOIczYEgnMo38nyWw1PwqHWhWjySf1PW</t>
  </si>
  <si>
    <t>https://drive.google.com/file/d/1TOIczYEgnMo38nyWw1PwqHWhWjySf1PW/view?usp=drivesdk</t>
  </si>
  <si>
    <t>Document successfully created; Document successfully merged; PDF created; !!Error Sending Emails: Service invoked too many times for one day: email.; Run via form trigger as codectechnologies0@gmail.com; Timestamp: Sep 10, 2026 2:14 AM</t>
  </si>
  <si>
    <t>Kamsala Govardhana chari</t>
  </si>
  <si>
    <t>kamsalagovardhanachari@gmail.com</t>
  </si>
  <si>
    <t>mallareddy deemed to be university</t>
  </si>
  <si>
    <t>19Htbt2YuT3d2fXZOiE_3o0xivl0iWdNS</t>
  </si>
  <si>
    <t>https://drive.google.com/file/d/19Htbt2YuT3d2fXZOiE_3o0xivl0iWdNS/view?usp=drivesdk</t>
  </si>
  <si>
    <t>Document successfully created; Document successfully merged; PDF created; !!Error Sending Emails: Service invoked too many times for one day: email.; Run via form trigger as codectechnologies0@gmail.com; Timestamp: Sep 10, 2026 2:24 AM</t>
  </si>
  <si>
    <t>keshav saini</t>
  </si>
  <si>
    <t>Keshavsaini4071@gmail.com</t>
  </si>
  <si>
    <t xml:space="preserve">Teerthankar Mahaveer University </t>
  </si>
  <si>
    <t>1k9fa6R6gNjcy6m7Fz22aO71GPJN9xsSd</t>
  </si>
  <si>
    <t>https://drive.google.com/file/d/1k9fa6R6gNjcy6m7Fz22aO71GPJN9xsSd/view?usp=drivesdk</t>
  </si>
  <si>
    <t>Document successfully created; Document successfully merged; PDF created; Emails Sent: [To: Keshavsaini4071@gmail.com]; Run via form trigger as codectechnologies0@gmail.com; Timestamp: Sep 10, 2026 2:29 AM</t>
  </si>
  <si>
    <t xml:space="preserve">Ashutosh kumar yadav </t>
  </si>
  <si>
    <t>ashutosh.25scs1003004090</t>
  </si>
  <si>
    <t>Iilm university (gn)</t>
  </si>
  <si>
    <t>1Q4mlop9L-9-ewIw6ySbO_3ONFtcfXRzN</t>
  </si>
  <si>
    <t>https://drive.google.com/file/d/1Q4mlop9L-9-ewIw6ySbO_3ONFtcfXRzN/view?usp=drivesdk</t>
  </si>
  <si>
    <t>Document successfully created; Document successfully merged; PDF created; !!Error Sending Emails: Invalid email: ashutosh.25scs1003004090; Run via form trigger as codectechnologies0@gmail.com; Timestamp: Sep 10, 2026 2:38 AM</t>
  </si>
  <si>
    <t xml:space="preserve">Animadik singh shekhawat </t>
  </si>
  <si>
    <t>animadiksingh@gmail.com</t>
  </si>
  <si>
    <t xml:space="preserve">Poornima college of engineering </t>
  </si>
  <si>
    <t>136ngZ0wHkhnu6j2KfWqBMaBv3C3LMFDU</t>
  </si>
  <si>
    <t>https://drive.google.com/file/d/136ngZ0wHkhnu6j2KfWqBMaBv3C3LMFDU/view?usp=drivesdk</t>
  </si>
  <si>
    <t>Document successfully created; Document successfully merged; PDF created; !!Error Sending Emails: Service invoked too many times for one day: email.; Run via form trigger as codectechnologies0@gmail.com; Timestamp: Sep 10, 2026 2:40 AM</t>
  </si>
  <si>
    <t>1oY5k7nsKmykPdQj_acLbm5d2uXiF5N9m</t>
  </si>
  <si>
    <t>https://drive.google.com/file/d/1oY5k7nsKmykPdQj_acLbm5d2uXiF5N9m/view?usp=drivesdk</t>
  </si>
  <si>
    <t>Document successfully created; Document successfully merged; PDF created; Emails Sent: [To: simran.25scs1003003555@iilm.edu]; Run via form trigger as codectechnologies0@gmail.com; Timestamp: Sep 10, 2026 2:45 AM</t>
  </si>
  <si>
    <t xml:space="preserve">Himanshu yadav </t>
  </si>
  <si>
    <t>himanshu.25scs1003005103@iilm.edu</t>
  </si>
  <si>
    <t>1D2Zu5ola003nAP1WN4d9PSgROLPJ2HRq</t>
  </si>
  <si>
    <t>https://drive.google.com/file/d/1D2Zu5ola003nAP1WN4d9PSgROLPJ2HRq/view?usp=drivesdk</t>
  </si>
  <si>
    <t>Document successfully created; Document successfully merged; PDF created; !!Error Sending Emails: Service invoked too many times for one day: email.; Run via form trigger as codectechnologies0@gmail.com; Timestamp: Sep 10, 2026 2:55 AM</t>
  </si>
  <si>
    <t>nirajkumarydv.0015@gmail.com</t>
  </si>
  <si>
    <t xml:space="preserve">IIMT College of engineering </t>
  </si>
  <si>
    <t>11j5aopjf29_wOkop6JvYzwz_Ps0pQ1iJ</t>
  </si>
  <si>
    <t>https://drive.google.com/file/d/11j5aopjf29_wOkop6JvYzwz_Ps0pQ1iJ/view?usp=drivesdk</t>
  </si>
  <si>
    <t>Document successfully created; Document successfully merged; PDF created; Emails Sent: [To: nirajkumarydv.0015@gmail.com]; Run via form trigger as codectechnologies0@gmail.com; Timestamp: Sep 10, 2026 3:09 AM</t>
  </si>
  <si>
    <t>LAKSHAY KANSAL</t>
  </si>
  <si>
    <t>lakshaykansal1000@gmail.com</t>
  </si>
  <si>
    <t>Vivekananda institute of professional studies</t>
  </si>
  <si>
    <t>1ezjE3XK1JSXM5IOX2iAY190-b_9lf-p3</t>
  </si>
  <si>
    <t>https://drive.google.com/file/d/1ezjE3XK1JSXM5IOX2iAY190-b_9lf-p3/view?usp=drivesdk</t>
  </si>
  <si>
    <t>Document successfully created; Document successfully merged; PDF created; Emails Sent: [To: lakshaykansal1000@gmail.com]; Run via form trigger as codectechnologies0@gmail.com; Timestamp: Sep 10, 2026 3:12 AM</t>
  </si>
  <si>
    <t xml:space="preserve">Prashant singh </t>
  </si>
  <si>
    <t>prashant.25scs1003003755@iilm.edu</t>
  </si>
  <si>
    <t>1mVjfglxY3YX5kO4ttjNzDmfFDwN1xKk5</t>
  </si>
  <si>
    <t>https://drive.google.com/file/d/1mVjfglxY3YX5kO4ttjNzDmfFDwN1xKk5/view?usp=drivesdk</t>
  </si>
  <si>
    <t>Document successfully created; Document successfully merged; PDF created; !!Error Sending Emails: Service invoked too many times for one day: email.; Run via form trigger as codectechnologies0@gmail.com; Timestamp: Sep 10, 2026 3:12 AM</t>
  </si>
  <si>
    <t>Azmeera Kumar</t>
  </si>
  <si>
    <t>kumarazmeera28@gmail.com</t>
  </si>
  <si>
    <t>1cK_4wwrenrU2jYqJ7SRvAo8hxJzKToux</t>
  </si>
  <si>
    <t>https://drive.google.com/file/d/1cK_4wwrenrU2jYqJ7SRvAo8hxJzKToux/view?usp=drivesdk</t>
  </si>
  <si>
    <t>Document successfully created; Document successfully merged; PDF created; Emails Sent: [To: kumarazmeera28@gmail.com]; Run via form trigger as codectechnologies0@gmail.com; Timestamp: Sep 10, 2026 3:13 AM</t>
  </si>
  <si>
    <t>1aI77kEtWC2wPRd1b1cmbfwvq11RdkMEC</t>
  </si>
  <si>
    <t>https://drive.google.com/file/d/1aI77kEtWC2wPRd1b1cmbfwvq11RdkMEC/view?usp=drivesdk</t>
  </si>
  <si>
    <t>Document successfully created; Document successfully merged; PDF created; Emails Sent: [To: kumarazmeera28@gmail.com]; Run via form trigger as codectechnologies0@gmail.com; Timestamp: Sep 10, 2026 3:16 AM</t>
  </si>
  <si>
    <t>Simran Singh</t>
  </si>
  <si>
    <t>simsingh1995@gmail.com</t>
  </si>
  <si>
    <t>07042784024</t>
  </si>
  <si>
    <t xml:space="preserve">Guru Tegh Bahadur institute of technology </t>
  </si>
  <si>
    <t>1ynNHNp6ycBrfCslQVwxkLvJrdGy4B-qz</t>
  </si>
  <si>
    <t>https://drive.google.com/file/d/1ynNHNp6ycBrfCslQVwxkLvJrdGy4B-qz/view?usp=drivesdk</t>
  </si>
  <si>
    <t>Document successfully created; Document successfully merged; PDF created; Emails Sent: [To: simsingh1995@gmail.com]; Run via form trigger as codectechnologies0@gmail.com; Timestamp: Sep 10, 2026 3:22 AM</t>
  </si>
  <si>
    <t xml:space="preserve">Reyyi Rishitha </t>
  </si>
  <si>
    <t>rishithareyyi29@gmail.com</t>
  </si>
  <si>
    <t>11QcdfBBk3xxIgPh-zrTESaiOfeMPODzW</t>
  </si>
  <si>
    <t>https://drive.google.com/file/d/11QcdfBBk3xxIgPh-zrTESaiOfeMPODzW/view?usp=drivesdk</t>
  </si>
  <si>
    <t>Document successfully created; Document successfully merged; PDF created; !!Error Sending Emails: Service invoked too many times for one day: email.; Run via form trigger as codectechnologies0@gmail.com; Timestamp: Sep 10, 2026 3:28 AM</t>
  </si>
  <si>
    <t>Venkateswara Sai Prasad Vadapalli</t>
  </si>
  <si>
    <t>v.saiprasad.vadapalli@gmail.com</t>
  </si>
  <si>
    <t>167qP78i9ovW5aqOVDbwMPG2u5ZOpmYZK</t>
  </si>
  <si>
    <t>https://drive.google.com/file/d/167qP78i9ovW5aqOVDbwMPG2u5ZOpmYZK/view?usp=drivesdk</t>
  </si>
  <si>
    <t>dhruvsingh3050@gmail.com</t>
  </si>
  <si>
    <t>1FVQLyP4Bq8P5agusT6cJE5XDgXRecM83</t>
  </si>
  <si>
    <t>https://drive.google.com/file/d/1FVQLyP4Bq8P5agusT6cJE5XDgXRecM83/view?usp=drivesdk</t>
  </si>
  <si>
    <t>Document successfully created; Document successfully merged; PDF created; !!Error Sending Emails: Service invoked too many times for one day: email.; Run via form trigger as codectechnologies0@gmail.com; Timestamp: Sep 10, 2026 3:32 AM</t>
  </si>
  <si>
    <t xml:space="preserve">Utsav Gupta </t>
  </si>
  <si>
    <t>yashgupta1737@gmail.com</t>
  </si>
  <si>
    <t>1i6kKtjF_S0DTXCIuv5D4sKMO1KUUGVbi</t>
  </si>
  <si>
    <t>https://drive.google.com/file/d/1i6kKtjF_S0DTXCIuv5D4sKMO1KUUGVbi/view?usp=drivesdk</t>
  </si>
  <si>
    <t>Document successfully created; Document successfully merged; PDF created; Emails Sent: [To: yashgupta1737@gmail.com]; Run via form trigger as codectechnologies0@gmail.com; Timestamp: Sep 10, 2026 3:40 AM</t>
  </si>
  <si>
    <t xml:space="preserve">Ishaan sachdeva </t>
  </si>
  <si>
    <t>iphopls23@gmail.com</t>
  </si>
  <si>
    <t xml:space="preserve">95606 76602 </t>
  </si>
  <si>
    <t>1B5Id_675nrbh2fvoiPaZZwAOWL3cJfLu</t>
  </si>
  <si>
    <t>https://drive.google.com/file/d/1B5Id_675nrbh2fvoiPaZZwAOWL3cJfLu/view?usp=drivesdk</t>
  </si>
  <si>
    <t>Document successfully created; Document successfully merged; PDF created; !!Error Sending Emails: Service invoked too many times for one day: email.; Run via form trigger as codectechnologies0@gmail.com; Timestamp: Sep 10, 2026 3:42 AM</t>
  </si>
  <si>
    <t xml:space="preserve">Himanshu Yadav </t>
  </si>
  <si>
    <t>1AZj6bpP6oYuO83iFb5uJmz-R_NFS87Oy</t>
  </si>
  <si>
    <t>https://drive.google.com/file/d/1AZj6bpP6oYuO83iFb5uJmz-R_NFS87Oy/view?usp=drivesdk</t>
  </si>
  <si>
    <t>Document successfully created; Document successfully merged; PDF created; !!Error Sending Emails: Service invoked too many times for one day: email.; Run via form trigger as codectechnologies0@gmail.com; Timestamp: Sep 10, 2026 3:45 AM</t>
  </si>
  <si>
    <t>Anu Priya</t>
  </si>
  <si>
    <t>anupriyyaa1998@gmail.com</t>
  </si>
  <si>
    <t xml:space="preserve">Jagannath University </t>
  </si>
  <si>
    <t>1MH-KLJqIU-UDTwAUU7NmdHP7xOr0Yszp</t>
  </si>
  <si>
    <t>https://drive.google.com/file/d/1MH-KLJqIU-UDTwAUU7NmdHP7xOr0Yszp/view?usp=drivesdk</t>
  </si>
  <si>
    <t>Document successfully created; Document successfully merged; PDF created; !!Error Sending Emails: Service invoked too many times for one day: email.; Run via form trigger as codectechnologies0@gmail.com; Timestamp: Sep 10, 2026 3:53 AM</t>
  </si>
  <si>
    <t>Mir Moyin Rahaman</t>
  </si>
  <si>
    <t>mirmoyin7@gmail.com</t>
  </si>
  <si>
    <t>Rungta College Of Engineering &amp; Technology</t>
  </si>
  <si>
    <t>1JtsAFzuRzMuJ63avn8bxEjHPEKrPNjWl</t>
  </si>
  <si>
    <t>https://drive.google.com/file/d/1JtsAFzuRzMuJ63avn8bxEjHPEKrPNjWl/view?usp=drivesdk</t>
  </si>
  <si>
    <t>Document successfully created; Document successfully merged; PDF created; !!Error Sending Emails: Service invoked too many times for one day: email.; Run via form trigger as codectechnologies0@gmail.com; Timestamp: Sep 10, 2026 4:02 AM</t>
  </si>
  <si>
    <t>Asha S</t>
  </si>
  <si>
    <t>ashashrinivas38@gmail.com</t>
  </si>
  <si>
    <t>08147952113</t>
  </si>
  <si>
    <t xml:space="preserve">GM University </t>
  </si>
  <si>
    <t>16o4HO4CG7-0WN6xe9gcvZWchYznfnuqE</t>
  </si>
  <si>
    <t>https://drive.google.com/file/d/16o4HO4CG7-0WN6xe9gcvZWchYznfnuqE/view?usp=drivesdk</t>
  </si>
  <si>
    <t>Document successfully created; Document successfully merged; PDF created; Emails Sent: [To: ashashrinivas38@gmail.com]; Run via form trigger as codectechnologies0@gmail.com; Timestamp: Sep 10, 2026 4:15 AM</t>
  </si>
  <si>
    <t>Mukkara Susanth Kumar Reddy</t>
  </si>
  <si>
    <t>1jxBdjLiQDqnRqfLPZnxi3n0td2Jz4spf</t>
  </si>
  <si>
    <t>https://drive.google.com/file/d/1jxBdjLiQDqnRqfLPZnxi3n0td2Jz4spf/view?usp=drivesdk</t>
  </si>
  <si>
    <t>Document successfully created; Document successfully merged; PDF created; Emails Sent: [To: sanjaykannadream11@gmail.com]; Run via form trigger as codectechnologies0@gmail.com; Timestamp: Sep 10, 2026 4:17 AM</t>
  </si>
  <si>
    <t>Shivendra Shrivastav</t>
  </si>
  <si>
    <t>shivendra.25scs1003004154@iilm.edu</t>
  </si>
  <si>
    <t>1bL9YzYD26rQoXn9KG89AM1waSlXdFVAm</t>
  </si>
  <si>
    <t>https://drive.google.com/file/d/1bL9YzYD26rQoXn9KG89AM1waSlXdFVAm/view?usp=drivesdk</t>
  </si>
  <si>
    <t>Document successfully created; Document successfully merged; PDF created; !!Error Sending Emails: Service invoked too many times for one day: email.; Run via form trigger as codectechnologies0@gmail.com; Timestamp: Sep 10, 2026 4:20 AM</t>
  </si>
  <si>
    <t>K. Siva Sankar Reddy</t>
  </si>
  <si>
    <t>1FNhzcaZA_WDjUZgKkENshqMgOAwDK-Yg</t>
  </si>
  <si>
    <t>https://drive.google.com/file/d/1FNhzcaZA_WDjUZgKkENshqMgOAwDK-Yg/view?usp=drivesdk</t>
  </si>
  <si>
    <t>Document successfully created; Document successfully merged; PDF created; !!Error Sending Emails: Service invoked too many times for one day: email.; Run via form trigger as codectechnologies0@gmail.com; Timestamp: Sep 10, 2026 4:29 AM</t>
  </si>
  <si>
    <t>Manas tamrakar</t>
  </si>
  <si>
    <t>manastamrakar19@GMAIL.COM</t>
  </si>
  <si>
    <t>st.aloysius college</t>
  </si>
  <si>
    <t>1WDa1GOY5RXfCXeAMZVzKPSgjpNvlbXQX</t>
  </si>
  <si>
    <t>https://drive.google.com/file/d/1WDa1GOY5RXfCXeAMZVzKPSgjpNvlbXQX/view?usp=drivesdk</t>
  </si>
  <si>
    <t>Document successfully created; Document successfully merged; PDF created; Emails Sent: [To: manastamrakar19@GMAIL.COM]; Run via form trigger as codectechnologies0@gmail.com; Timestamp: Sep 10, 2026 4:33 AM</t>
  </si>
  <si>
    <t>Mr. shivendra 25SCS1003004154</t>
  </si>
  <si>
    <t>18DAZkgS3nH6husgdhOWkKn-qHnUJHYRO</t>
  </si>
  <si>
    <t>https://drive.google.com/file/d/18DAZkgS3nH6husgdhOWkKn-qHnUJHYRO/view?usp=drivesdk</t>
  </si>
  <si>
    <t>Document successfully created; Document successfully merged; PDF created; Emails Sent: [To: shivendra.25scs1003004154@iilm.edu]; Run via form trigger as codectechnologies0@gmail.com; Timestamp: Sep 10, 2026 4:33 AM</t>
  </si>
  <si>
    <t>SURYA KANTH ROUT</t>
  </si>
  <si>
    <t>suryakanthrout16102007@gmail.com</t>
  </si>
  <si>
    <t>1k1PnZomJVGbNsem734Ar6ltupe605hkb</t>
  </si>
  <si>
    <t>https://drive.google.com/file/d/1k1PnZomJVGbNsem734Ar6ltupe605hkb/view?usp=drivesdk</t>
  </si>
  <si>
    <t>Document successfully created; Document successfully merged; PDF created; Emails Sent: [To: suryakanthrout16102007@gmail.com]; Run via form trigger as codectechnologies0@gmail.com; Timestamp: Sep 10, 2026 4:37 AM</t>
  </si>
  <si>
    <t>satyamkumar944004@gmail.com</t>
  </si>
  <si>
    <t>1fVNCpyJEXucr4qd_XOVTBS6Z6LiFq3xq</t>
  </si>
  <si>
    <t>https://drive.google.com/file/d/1fVNCpyJEXucr4qd_XOVTBS6Z6LiFq3xq/view?usp=drivesdk</t>
  </si>
  <si>
    <t>Document successfully created; Document successfully merged; PDF created; Emails Sent: [To: satyamkumar944004@gmail.com]; Run via form trigger as codectechnologies0@gmail.com; Timestamp: Sep 10, 2026 4:41 AM</t>
  </si>
  <si>
    <t>Anjali Kumari</t>
  </si>
  <si>
    <t>aanjalikumari7589@gmail.com</t>
  </si>
  <si>
    <t>1YLj7Kf4u2v7Z6yrjiAkBahPbBeYnln1w</t>
  </si>
  <si>
    <t>https://drive.google.com/file/d/1YLj7Kf4u2v7Z6yrjiAkBahPbBeYnln1w/view?usp=drivesdk</t>
  </si>
  <si>
    <t>Document successfully created; Document successfully merged; PDF created; !!Error Sending Emails: Service invoked too many times for one day: email.; Run via form trigger as codectechnologies0@gmail.com; Timestamp: Sep 10, 2026 4:44 AM</t>
  </si>
  <si>
    <t>VAISHNAVI</t>
  </si>
  <si>
    <t>vaishnavikaushik112@gmail.com</t>
  </si>
  <si>
    <t>Instagram, Friend, AICTE/Indeed</t>
  </si>
  <si>
    <t>1iD3WUPyewmMvggNa2MYy6iUp1ob7mlZ_</t>
  </si>
  <si>
    <t>https://drive.google.com/file/d/1iD3WUPyewmMvggNa2MYy6iUp1ob7mlZ_/view?usp=drivesdk</t>
  </si>
  <si>
    <t>Document successfully created; Document successfully merged; PDF created; !!Error Sending Emails: Service invoked too many times for one day: email.; Run via form trigger as codectechnologies0@gmail.com; Timestamp: Sep 10, 2026 4:46 AM</t>
  </si>
  <si>
    <t>kmuskan0984@gmail.com</t>
  </si>
  <si>
    <t xml:space="preserve">Vbu ucet Hazaribagh </t>
  </si>
  <si>
    <t>1xYM3YSjLHOzMfOqgdHHQwKYOhGqCyUG3</t>
  </si>
  <si>
    <t>https://drive.google.com/file/d/1xYM3YSjLHOzMfOqgdHHQwKYOhGqCyUG3/view?usp=drivesdk</t>
  </si>
  <si>
    <t>Document successfully created; Document successfully merged; PDF created; !!Error Sending Emails: Service invoked too many times for one day: email.; Run via form trigger as codectechnologies0@gmail.com; Timestamp: Sep 10, 2026 4:54 AM</t>
  </si>
  <si>
    <t>jatin patel</t>
  </si>
  <si>
    <t>jatinpatel9580939424@gmail.com</t>
  </si>
  <si>
    <t>1iQfzQYEvv9B3aeBiJyX_740ZK8OY-Jup</t>
  </si>
  <si>
    <t>https://drive.google.com/file/d/1iQfzQYEvv9B3aeBiJyX_740ZK8OY-Jup/view?usp=drivesdk</t>
  </si>
  <si>
    <t>Harsh Jha</t>
  </si>
  <si>
    <t>crazyblitz69@gmail.com</t>
  </si>
  <si>
    <t>1eqWRzcPSDYyF4tXHaNdhItwZnLATPNNm</t>
  </si>
  <si>
    <t>https://drive.google.com/file/d/1eqWRzcPSDYyF4tXHaNdhItwZnLATPNNm/view?usp=drivesdk</t>
  </si>
  <si>
    <t>Document successfully created; Document successfully merged; PDF created; !!Error Sending Emails: Service invoked too many times for one day: email.; Run via form trigger as codectechnologies0@gmail.com; Timestamp: Sep 10, 2026 5:04 AM</t>
  </si>
  <si>
    <t>Rakesh C</t>
  </si>
  <si>
    <t>rakeshc25@karunya.edu.in</t>
  </si>
  <si>
    <t>karunya institute of technology</t>
  </si>
  <si>
    <t>1BZwsqGCGs17evPumKvlC0omOd3-haqVZ</t>
  </si>
  <si>
    <t>https://drive.google.com/file/d/1BZwsqGCGs17evPumKvlC0omOd3-haqVZ/view?usp=drivesdk</t>
  </si>
  <si>
    <t>Document successfully created; Document successfully merged; PDF created; !!Error Sending Emails: Service invoked too many times for one day: email.; Run via form trigger as codectechnologies0@gmail.com; Timestamp: Sep 10, 2026 5:06 AM</t>
  </si>
  <si>
    <t>PIYUSH KAUSHIK</t>
  </si>
  <si>
    <t>piyush.25scs1003004963@iilm.edu</t>
  </si>
  <si>
    <t>1qxGhQDri7eOea65N_sUJZEcr-vwptYdb</t>
  </si>
  <si>
    <t>https://drive.google.com/file/d/1qxGhQDri7eOea65N_sUJZEcr-vwptYdb/view?usp=drivesdk</t>
  </si>
  <si>
    <t>Document successfully created; Document successfully merged; PDF created; !!Error Sending Emails: Service invoked too many times for one day: email.; Run via form trigger as codectechnologies0@gmail.com; Timestamp: Sep 10, 2026 5:12 AM</t>
  </si>
  <si>
    <t>Anjali kumari</t>
  </si>
  <si>
    <t>anjali.25scs1003004230@iilm.edu</t>
  </si>
  <si>
    <t>IILM University. Greater Noida</t>
  </si>
  <si>
    <t>1A09-MvKwEMcjVG_o_qNfHK-s5PtjSivi</t>
  </si>
  <si>
    <t>https://drive.google.com/file/d/1A09-MvKwEMcjVG_o_qNfHK-s5PtjSivi/view?usp=drivesdk</t>
  </si>
  <si>
    <t>Document successfully created; Document successfully merged; PDF created; !!Error Sending Emails: Service invoked too many times for one day: email.; Run via form trigger as codectechnologies0@gmail.com; Timestamp: Sep 10, 2026 5:16 AM</t>
  </si>
  <si>
    <t>Dev Vishwakarma</t>
  </si>
  <si>
    <t>dev.25scs1003004916@iilm.edu</t>
  </si>
  <si>
    <t>1qThzw6mY-gvQIJi5MPVYYu8Oh1ydXrt7</t>
  </si>
  <si>
    <t>https://drive.google.com/file/d/1qThzw6mY-gvQIJi5MPVYYu8Oh1ydXrt7/view?usp=drivesdk</t>
  </si>
  <si>
    <t>Document successfully created; Document successfully merged; PDF created; !!Error Sending Emails: Service invoked too many times for one day: email.; Run via form trigger as codectechnologies0@gmail.com; Timestamp: Sep 10, 2026 5:34 AM</t>
  </si>
  <si>
    <t>Abhinav Jadon</t>
  </si>
  <si>
    <t>abhinav.25scs1003001091@iilm.edu</t>
  </si>
  <si>
    <t>1Xx-yKRw1fOSiULNBXRfZM1k1-Fvgn6ev</t>
  </si>
  <si>
    <t>https://drive.google.com/file/d/1Xx-yKRw1fOSiULNBXRfZM1k1-Fvgn6ev/view?usp=drivesdk</t>
  </si>
  <si>
    <t>Document successfully created; Document successfully merged; PDF created; Emails Sent: [To: abhinav.25scs1003001091@iilm.edu]; Run via form trigger as codectechnologies0@gmail.com; Timestamp: Sep 10, 2026 5:43 AM</t>
  </si>
  <si>
    <t>Krishna</t>
  </si>
  <si>
    <t>krishna.25scs1003003652@iilm.edu</t>
  </si>
  <si>
    <t>10ZE5VbKSfbAswyn0eUMPtDMto87DZ88F</t>
  </si>
  <si>
    <t>https://drive.google.com/file/d/10ZE5VbKSfbAswyn0eUMPtDMto87DZ88F/view?usp=drivesdk</t>
  </si>
  <si>
    <t>Document successfully created; Document successfully merged; PDF created; !!Error Sending Emails: Service invoked too many times for one day: email.; Run via form trigger as codectechnologies0@gmail.com; Timestamp: Sep 10, 2026 5:47 AM</t>
  </si>
  <si>
    <t xml:space="preserve">Ashwin Bijumon </t>
  </si>
  <si>
    <t>mbashwin@2003gmail.com</t>
  </si>
  <si>
    <t xml:space="preserve">Guru nanak institute of management </t>
  </si>
  <si>
    <t>1YdKDJQ2dJAsZepg5VCnHxR1n23fkXqgY</t>
  </si>
  <si>
    <t>https://drive.google.com/file/d/1YdKDJQ2dJAsZepg5VCnHxR1n23fkXqgY/view?usp=drivesdk</t>
  </si>
  <si>
    <t>Document successfully created; Document successfully merged; PDF created; !!Error Sending Emails: Service invoked too many times for one day: email.; Run via form trigger as codectechnologies0@gmail.com; Timestamp: Sep 10, 2026 5:52 AM</t>
  </si>
  <si>
    <t>Koushik Kumar khatua</t>
  </si>
  <si>
    <t>koushikkumarkhatua4@gmail.com</t>
  </si>
  <si>
    <t xml:space="preserve">The Neotia university </t>
  </si>
  <si>
    <t>1wxri0DOmzPuvLqWF-XyEDqMCkLTuawfk</t>
  </si>
  <si>
    <t>https://drive.google.com/file/d/1wxri0DOmzPuvLqWF-XyEDqMCkLTuawfk/view?usp=drivesdk</t>
  </si>
  <si>
    <t>Document successfully created; Document successfully merged; PDF created; !!Error Sending Emails: Service invoked too many times for one day: email.; Run via form trigger as codectechnologies0@gmail.com; Timestamp: Sep 10, 2026 6:03 AM</t>
  </si>
  <si>
    <t>RUDRA PRATAP SINGH</t>
  </si>
  <si>
    <t>rp5087836@gmail.com</t>
  </si>
  <si>
    <t>1y0xSKtAAcIb4m48zUMY2092YGa1rYegs</t>
  </si>
  <si>
    <t>https://drive.google.com/file/d/1y0xSKtAAcIb4m48zUMY2092YGa1rYegs/view?usp=drivesdk</t>
  </si>
  <si>
    <t>Document successfully created; Document successfully merged; PDF created; !!Error Sending Emails: Service invoked too many times for one day: email.; Run via form trigger as codectechnologies0@gmail.com; Timestamp: Sep 10, 2026 6:09 AM</t>
  </si>
  <si>
    <t xml:space="preserve">Rudra Pratap Singh </t>
  </si>
  <si>
    <t>13ctb9bXdmiHfeZbjWZViONGZkcJqWRfY</t>
  </si>
  <si>
    <t>https://drive.google.com/file/d/13ctb9bXdmiHfeZbjWZViONGZkcJqWRfY/view?usp=drivesdk</t>
  </si>
  <si>
    <t>Document successfully created; Document successfully merged; PDF created; !!Error Sending Emails: Service invoked too many times for one day: email.; Run via form trigger as codectechnologies0@gmail.com; Timestamp: Sep 10, 2026 6:12 AM</t>
  </si>
  <si>
    <t>Shourya Saini</t>
  </si>
  <si>
    <t>shouryasaini687@gmail.com</t>
  </si>
  <si>
    <t>1qqsAA6rA3Oei3rSEs0y27ek8PgwPHl3b</t>
  </si>
  <si>
    <t>https://drive.google.com/file/d/1qqsAA6rA3Oei3rSEs0y27ek8PgwPHl3b/view?usp=drivesdk</t>
  </si>
  <si>
    <t>ruxrraaa@gmail.com</t>
  </si>
  <si>
    <t>1JD7_-xfuU6gV1NOPzSwalH6Kpgavh8TW</t>
  </si>
  <si>
    <t>https://drive.google.com/file/d/1JD7_-xfuU6gV1NOPzSwalH6Kpgavh8TW/view?usp=drivesdk</t>
  </si>
  <si>
    <t>Document successfully created; Document successfully merged; PDF created; !!Error Sending Emails: Service invoked too many times for one day: email.; Run via form trigger as codectechnologies0@gmail.com; Timestamp: Sep 10, 2026 6:14 AM</t>
  </si>
  <si>
    <t>Prachi Dixit</t>
  </si>
  <si>
    <t>dixitprachi300@gmail.com</t>
  </si>
  <si>
    <t xml:space="preserve">Sharda university agra </t>
  </si>
  <si>
    <t>1pdU_-Xd-S0eVw3xQMikURYH5rnvWqKPk</t>
  </si>
  <si>
    <t>https://drive.google.com/file/d/1pdU_-Xd-S0eVw3xQMikURYH5rnvWqKPk/view?usp=drivesdk</t>
  </si>
  <si>
    <t xml:space="preserve">Shourya saini </t>
  </si>
  <si>
    <t>1iTzcYoUUJNXcvt8jXqxZbeO7beBuYVWT</t>
  </si>
  <si>
    <t>https://drive.google.com/file/d/1iTzcYoUUJNXcvt8jXqxZbeO7beBuYVWT/view?usp=drivesdk</t>
  </si>
  <si>
    <t>Document successfully created; Document successfully merged; PDF created; !!Error Sending Emails: Service invoked too many times for one day: email.; Run via form trigger as codectechnologies0@gmail.com; Timestamp: Sep 10, 2026 6:15 AM</t>
  </si>
  <si>
    <t>Dhruvi Gill</t>
  </si>
  <si>
    <t>dhruvigill6789@gmail.com</t>
  </si>
  <si>
    <t>Dav college, Amritsar</t>
  </si>
  <si>
    <t>1glTSMuVT9ELKqq9_rX6ecGManBK9tb_t</t>
  </si>
  <si>
    <t>https://drive.google.com/file/d/1glTSMuVT9ELKqq9_rX6ecGManBK9tb_t/view?usp=drivesdk</t>
  </si>
  <si>
    <t>Document successfully created; Document successfully merged; PDF created; !!Error Sending Emails: Service invoked too many times for one day: email.; Run via form trigger as codectechnologies0@gmail.com; Timestamp: Sep 10, 2026 6:20 AM</t>
  </si>
  <si>
    <t>Vedant Dubey</t>
  </si>
  <si>
    <t>vedant.25scs1003004694@iilm.edu</t>
  </si>
  <si>
    <t>120j4bFfNRN9s15rKu6Ukin1LcIV2PYJS</t>
  </si>
  <si>
    <t>https://drive.google.com/file/d/120j4bFfNRN9s15rKu6Ukin1LcIV2PYJS/view?usp=drivesdk</t>
  </si>
  <si>
    <t>Document successfully created; Document successfully merged; PDF created; !!Error Sending Emails: Service invoked too many times for one day: email.; Run via form trigger as codectechnologies0@gmail.com; Timestamp: Sep 10, 2026 6:29 AM</t>
  </si>
  <si>
    <t>rishu.25scs1003005104@iilm.edu</t>
  </si>
  <si>
    <t>1W87V59wZT7Ue6EJ_j6x74ViSido6RYAf</t>
  </si>
  <si>
    <t>https://drive.google.com/file/d/1W87V59wZT7Ue6EJ_j6x74ViSido6RYAf/view?usp=drivesdk</t>
  </si>
  <si>
    <t xml:space="preserve">Vaibhavi agarwal </t>
  </si>
  <si>
    <t>vaibhaviagarwal06@gmail.com</t>
  </si>
  <si>
    <t>1t7_NW7Unz8g8_vYq99Qs8XYXpPq8fT8N</t>
  </si>
  <si>
    <t>https://drive.google.com/file/d/1t7_NW7Unz8g8_vYq99Qs8XYXpPq8fT8N/view?usp=drivesdk</t>
  </si>
  <si>
    <t>Document successfully created; Document successfully merged; PDF created; !!Error Sending Emails: Service invoked too many times for one day: email.; Run via form trigger as codectechnologies0@gmail.com; Timestamp: Sep 10, 2026 6:37 AM</t>
  </si>
  <si>
    <t>Vaibhavi agarwal</t>
  </si>
  <si>
    <t>Vaibhaviagarwal06@gmail.com</t>
  </si>
  <si>
    <t xml:space="preserve">Sharda University agra </t>
  </si>
  <si>
    <t>1WbIECplBkU3HDkqi6F-SwjXkMHd7KKCy</t>
  </si>
  <si>
    <t>https://drive.google.com/file/d/1WbIECplBkU3HDkqi6F-SwjXkMHd7KKCy/view?usp=drivesdk</t>
  </si>
  <si>
    <t>Document successfully created; Document successfully merged; PDF created; !!Error Sending Emails: Service invoked too many times for one day: email.; Run via form trigger as codectechnologies0@gmail.com; Timestamp: Sep 10, 2026 6:49 AM</t>
  </si>
  <si>
    <t>kaushal.25scs1003003605@iilm.edu</t>
  </si>
  <si>
    <t>1LbVZks9v3AtiOD2BqqAXnUjQR9m3Cbot</t>
  </si>
  <si>
    <t>https://drive.google.com/file/d/1LbVZks9v3AtiOD2BqqAXnUjQR9m3Cbot/view?usp=drivesdk</t>
  </si>
  <si>
    <t>Document successfully created; Document successfully merged; PDF created; !!Error Sending Emails: Service invoked too many times for one day: email.; Run via form trigger as codectechnologies0@gmail.com; Timestamp: Sep 10, 2026 6:51 AM</t>
  </si>
  <si>
    <t>Rashi Aggarwal</t>
  </si>
  <si>
    <t>rashi.20707@gmail.com</t>
  </si>
  <si>
    <t xml:space="preserve">Graphic Era Hill University Dehradun </t>
  </si>
  <si>
    <t>1Tv1gaxrz_dzlGIbow8q5vLUSx1D2XbUW</t>
  </si>
  <si>
    <t>https://drive.google.com/file/d/1Tv1gaxrz_dzlGIbow8q5vLUSx1D2XbUW/view?usp=drivesdk</t>
  </si>
  <si>
    <t>Document successfully created; Document successfully merged; PDF created; !!Error Sending Emails: Service invoked too many times for one day: email.; Run via form trigger as codectechnologies0@gmail.com; Timestamp: Sep 10, 2026 7:01 AM</t>
  </si>
  <si>
    <t xml:space="preserve">Vinit kumar </t>
  </si>
  <si>
    <t>vinitkumar5701@gmail.com</t>
  </si>
  <si>
    <t>1v-Ye7mLl_h3wWqNkEXwS10P37ysdiSMP</t>
  </si>
  <si>
    <t>https://drive.google.com/file/d/1v-Ye7mLl_h3wWqNkEXwS10P37ysdiSMP/view?usp=drivesdk</t>
  </si>
  <si>
    <t>Document successfully created; Document successfully merged; PDF created; !!Error Sending Emails: Service invoked too many times for one day: email.; Run via form trigger as codectechnologies0@gmail.com; Timestamp: Sep 10, 2026 7:22 AM</t>
  </si>
  <si>
    <t>Anuj Khare</t>
  </si>
  <si>
    <t>annujkhare26@gmail.com</t>
  </si>
  <si>
    <t>Indira Gandhi Engineering College</t>
  </si>
  <si>
    <t>1tS4Yp10tcIHTn5ERpf9nzUgE72U6NXcX</t>
  </si>
  <si>
    <t>https://drive.google.com/file/d/1tS4Yp10tcIHTn5ERpf9nzUgE72U6NXcX/view?usp=drivesdk</t>
  </si>
  <si>
    <t>Document successfully created; Document successfully merged; PDF created; !!Error Sending Emails: Service invoked too many times for one day: email.; Run via form trigger as codectechnologies0@gmail.com; Timestamp: Sep 10, 2026 7:24 AM</t>
  </si>
  <si>
    <t>SHIVA JAISWAL</t>
  </si>
  <si>
    <t>shiva.jaiswal.official@gmail.com</t>
  </si>
  <si>
    <t>1OMRfGTCzmt8w9dYQ_1f5jaOiqRWgCFpA</t>
  </si>
  <si>
    <t>https://drive.google.com/file/d/1OMRfGTCzmt8w9dYQ_1f5jaOiqRWgCFpA/view?usp=drivesdk</t>
  </si>
  <si>
    <t>Document successfully created; Document successfully merged; PDF created; !!Error Sending Emails: Service invoked too many times for one day: email.; Run via form trigger as codectechnologies0@gmail.com; Timestamp: Sep 10, 2026 7:30 AM</t>
  </si>
  <si>
    <t xml:space="preserve">Sase Mahesh Nanabhau </t>
  </si>
  <si>
    <t>sasemahesh3@gmail.com</t>
  </si>
  <si>
    <t xml:space="preserve">Suman Ramesh Tulsiani Technical campus Faculty of engineering Kamshet </t>
  </si>
  <si>
    <t>1UO-Vo1vEgxWO52LG6Liz-gkqjBD5XKoX</t>
  </si>
  <si>
    <t>https://drive.google.com/file/d/1UO-Vo1vEgxWO52LG6Liz-gkqjBD5XKoX/view?usp=drivesdk</t>
  </si>
  <si>
    <t>Document successfully created; Document successfully merged; PDF created; !!Error Sending Emails: Service invoked too many times for one day: email.; Run via form trigger as codectechnologies0@gmail.com; Timestamp: Sep 10, 2026 7:43 AM</t>
  </si>
  <si>
    <t>Kavya raj</t>
  </si>
  <si>
    <t>kavya.25scs1003005485@iilm.edu</t>
  </si>
  <si>
    <t>1b0O43p2tylmQq4bxXnGqAROOmi6myRbL</t>
  </si>
  <si>
    <t>https://drive.google.com/file/d/1b0O43p2tylmQq4bxXnGqAROOmi6myRbL/view?usp=drivesdk</t>
  </si>
  <si>
    <t>Document successfully created; Document successfully merged; PDF created; !!Error Sending Emails: Service invoked too many times for one day: email.; Run via form trigger as codectechnologies0@gmail.com; Timestamp: Sep 10, 2026 7:58 AM</t>
  </si>
  <si>
    <t>Vivek Vijay Gadhe</t>
  </si>
  <si>
    <t>vivekgadhe1704@gmail.com</t>
  </si>
  <si>
    <t>Atma Malik Institute of Technology &amp; Research, Thane</t>
  </si>
  <si>
    <t>1RYdkXfDEhppH5fXjJ2b64AG43M33r1IX</t>
  </si>
  <si>
    <t>https://drive.google.com/file/d/1RYdkXfDEhppH5fXjJ2b64AG43M33r1IX/view?usp=drivesdk</t>
  </si>
  <si>
    <t>Document successfully created; Document successfully merged; PDF created; !!Error Sending Emails: Service invoked too many times for one day: email.; Run via form trigger as codectechnologies0@gmail.com; Timestamp: Sep 10, 2026 7:59 AM</t>
  </si>
  <si>
    <t xml:space="preserve">Priyam Kumar </t>
  </si>
  <si>
    <t>6/4/0026</t>
  </si>
  <si>
    <t>7/7/0026</t>
  </si>
  <si>
    <t>87096531p@gmail.com</t>
  </si>
  <si>
    <t>1FJDsgarWcONX4UKDS3qcn_NcCtM6zy8P</t>
  </si>
  <si>
    <t>https://drive.google.com/file/d/1FJDsgarWcONX4UKDS3qcn_NcCtM6zy8P/view?usp=drivesdk</t>
  </si>
  <si>
    <t>Nithishkumar H</t>
  </si>
  <si>
    <t>nithish27x@gmail.com</t>
  </si>
  <si>
    <t xml:space="preserve">J.N.N Institute Of Engineering </t>
  </si>
  <si>
    <t>1GZI1GEHHj8BdbkavLlcgHGTtDvu0TmgJ</t>
  </si>
  <si>
    <t>https://drive.google.com/file/d/1GZI1GEHHj8BdbkavLlcgHGTtDvu0TmgJ/view?usp=drivesdk</t>
  </si>
  <si>
    <t>Document successfully created; Document successfully merged; PDF created; !!Error Sending Emails: Service invoked too many times for one day: email.; Run via form trigger as codectechnologies0@gmail.com; Timestamp: Sep 10, 2026 8:02 AM</t>
  </si>
  <si>
    <t xml:space="preserve">Praveen Kumar </t>
  </si>
  <si>
    <t>praveen.25scs1003001446@iilm.edu</t>
  </si>
  <si>
    <t>15QPJri96L68QCv3_fRZwSfWp6WMg6YpP</t>
  </si>
  <si>
    <t>https://drive.google.com/file/d/15QPJri96L68QCv3_fRZwSfWp6WMg6YpP/view?usp=drivesdk</t>
  </si>
  <si>
    <t xml:space="preserve">SARVESH SINGH </t>
  </si>
  <si>
    <t>sarveshsingh7241@gmail.com</t>
  </si>
  <si>
    <t>1KH-RUV_9LqRdWHeGheqdCNxKbASxka9Z</t>
  </si>
  <si>
    <t>https://drive.google.com/file/d/1KH-RUV_9LqRdWHeGheqdCNxKbASxka9Z/view?usp=drivesdk</t>
  </si>
  <si>
    <t>Document successfully created; Document successfully merged; PDF created; !!Error Sending Emails: Service invoked too many times for one day: email.; Run via form trigger as codectechnologies0@gmail.com; Timestamp: Sep 10, 2026 8:12 AM</t>
  </si>
  <si>
    <t>Shahil kumar</t>
  </si>
  <si>
    <t>shahil.25scs1003004656@iilm.edu</t>
  </si>
  <si>
    <t>1cuWOhOuxW3I4tX5RzNHz3QLlMdfOy8nd</t>
  </si>
  <si>
    <t>https://drive.google.com/file/d/1cuWOhOuxW3I4tX5RzNHz3QLlMdfOy8nd/view?usp=drivesdk</t>
  </si>
  <si>
    <t>Document successfully created; Document successfully merged; PDF created; !!Error Sending Emails: Service invoked too many times for one day: email.; Run via form trigger as codectechnologies0@gmail.com; Timestamp: Sep 10, 2026 8:41 AM</t>
  </si>
  <si>
    <t>Rishabh Sharma</t>
  </si>
  <si>
    <t>oolucky2005@gmail.com</t>
  </si>
  <si>
    <t xml:space="preserve">Sikkim Manipal Institute Of Technology </t>
  </si>
  <si>
    <t>12fISrcE3dChkD9hKqJmE9Tpysg38XFvX</t>
  </si>
  <si>
    <t>https://drive.google.com/file/d/12fISrcE3dChkD9hKqJmE9Tpysg38XFvX/view?usp=drivesdk</t>
  </si>
  <si>
    <t>Document successfully created; Document successfully merged; PDF created; !!Error Sending Emails: Service invoked too many times for one day: email.; Run via form trigger as codectechnologies0@gmail.com; Timestamp: Sep 10, 2026 8:50 AM</t>
  </si>
  <si>
    <t xml:space="preserve">Divyanshu Kumar </t>
  </si>
  <si>
    <t>divyanshukumardivyans@gmail.com</t>
  </si>
  <si>
    <t>1PPeaANRFNjCzFyxlW3REwq_0oh-MYJ5Y</t>
  </si>
  <si>
    <t>https://drive.google.com/file/d/1PPeaANRFNjCzFyxlW3REwq_0oh-MYJ5Y/view?usp=drivesdk</t>
  </si>
  <si>
    <t>Document successfully created; Document successfully merged; PDF created; !!Error Sending Emails: Service invoked too many times for one day: email.; Run via form trigger as codectechnologies0@gmail.com; Timestamp: Sep 10, 2026 8:51 AM</t>
  </si>
  <si>
    <t xml:space="preserve">Rajendra Nayak </t>
  </si>
  <si>
    <t>19rajendranayak@gmail.com</t>
  </si>
  <si>
    <t xml:space="preserve">GIFT Autonomous Bhubaneswar </t>
  </si>
  <si>
    <t>1wKyX9blLiwWMYkzEWIvImFbP7jyfQ_a-</t>
  </si>
  <si>
    <t>https://drive.google.com/file/d/1wKyX9blLiwWMYkzEWIvImFbP7jyfQ_a-/view?usp=drivesdk</t>
  </si>
  <si>
    <t>Document successfully created; Document successfully merged; PDF created; !!Error Sending Emails: Service invoked too many times for one day: email.; Run via form trigger as codectechnologies0@gmail.com; Timestamp: Sep 10, 2026 8:52 AM</t>
  </si>
  <si>
    <t xml:space="preserve">Shivam Raj </t>
  </si>
  <si>
    <t>mailtoshivam25@gmail.com</t>
  </si>
  <si>
    <t>1r5wQF_hmCrqdTH9DL2DCj1VfaEAFac2m</t>
  </si>
  <si>
    <t>https://drive.google.com/file/d/1r5wQF_hmCrqdTH9DL2DCj1VfaEAFac2m/view?usp=drivesdk</t>
  </si>
  <si>
    <t>1kVPc_FyYoW9pKER4gbVoJ7vZuvdSBvTP</t>
  </si>
  <si>
    <t>https://drive.google.com/file/d/1kVPc_FyYoW9pKER4gbVoJ7vZuvdSBvTP/view?usp=drivesdk</t>
  </si>
  <si>
    <t>Hrishikesh Tiwari</t>
  </si>
  <si>
    <t>hrishikeshtiwari5000@gmail.com</t>
  </si>
  <si>
    <t>1-YJu9wPeCVatP-5d2e5tikUg2-TinWOg</t>
  </si>
  <si>
    <t>https://drive.google.com/file/d/1-YJu9wPeCVatP-5d2e5tikUg2-TinWOg/view?usp=drivesdk</t>
  </si>
  <si>
    <t>Document successfully created; Document successfully merged; PDF created; !!Error Sending Emails: Service invoked too many times for one day: email.; Run via form trigger as codectechnologies0@gmail.com; Timestamp: Sep 10, 2026 8:53 AM</t>
  </si>
  <si>
    <t>Aryan bhardwaj</t>
  </si>
  <si>
    <t>aryan.25scs1003005559@iilm.edu</t>
  </si>
  <si>
    <t>1wUFISrIMkamDidOy63Ez-77XPN39ZVBV</t>
  </si>
  <si>
    <t>https://drive.google.com/file/d/1wUFISrIMkamDidOy63Ez-77XPN39ZVBV/view?usp=drivesdk</t>
  </si>
  <si>
    <t>Document successfully created; Document successfully merged; PDF created; !!Error Sending Emails: Service invoked too many times for one day: email.; Run via form trigger as codectechnologies0@gmail.com; Timestamp: Sep 10, 2026 9:06 AM</t>
  </si>
  <si>
    <t>Rajhansh kumar</t>
  </si>
  <si>
    <t>rajhansh.25scs1003002241@iilm.edu</t>
  </si>
  <si>
    <t>1tYq32QAwQuAh_Qv76RFs2NISMLi7EPRE</t>
  </si>
  <si>
    <t>https://drive.google.com/file/d/1tYq32QAwQuAh_Qv76RFs2NISMLi7EPRE/view?usp=drivesdk</t>
  </si>
  <si>
    <t>Document successfully created; Document successfully merged; PDF created; !!Error Sending Emails: Service invoked too many times for one day: email.; Run via form trigger as codectechnologies0@gmail.com; Timestamp: Sep 10, 2026 9:07 AM</t>
  </si>
  <si>
    <t xml:space="preserve">Aryan bhardwaj </t>
  </si>
  <si>
    <t>1jlnPcv0n5gnKFmfHNt7VBaA62Kt0LBRk</t>
  </si>
  <si>
    <t>https://drive.google.com/file/d/1jlnPcv0n5gnKFmfHNt7VBaA62Kt0LBRk/view?usp=drivesdk</t>
  </si>
  <si>
    <t>Document successfully created; Document successfully merged; PDF created; !!Error Sending Emails: Service invoked too many times for one day: email.; Run via form trigger as codectechnologies0@gmail.com; Timestamp: Sep 10, 2026 9:10 AM</t>
  </si>
  <si>
    <t>Akash Kumar</t>
  </si>
  <si>
    <t>akashkumar930451@gmail.com</t>
  </si>
  <si>
    <t>Lakshmi Narain College of technology and science</t>
  </si>
  <si>
    <t>1zrRsNgyABBEx55oea4XfudDp8BNY9SuH</t>
  </si>
  <si>
    <t>https://drive.google.com/file/d/1zrRsNgyABBEx55oea4XfudDp8BNY9SuH/view?usp=drivesdk</t>
  </si>
  <si>
    <t>Document successfully created; Document successfully merged; PDF created; !!Error Sending Emails: Service invoked too many times for one day: email.; Run via form trigger as codectechnologies0@gmail.com; Timestamp: Sep 10, 2026 9:14 AM</t>
  </si>
  <si>
    <t>jothiprakash1122@gmail.com</t>
  </si>
  <si>
    <t>JNN Institute of Engineering</t>
  </si>
  <si>
    <t>1GYfQNtgjUcuJo77KETR61lNIniaP2ITk</t>
  </si>
  <si>
    <t>https://drive.google.com/file/d/1GYfQNtgjUcuJo77KETR61lNIniaP2ITk/view?usp=drivesdk</t>
  </si>
  <si>
    <t>Document successfully created; Document successfully merged; PDF created; !!Error Sending Emails: Service invoked too many times for one day: email.; Run via form trigger as codectechnologies0@gmail.com; Timestamp: Sep 10, 2026 9:17 AM</t>
  </si>
  <si>
    <t xml:space="preserve">Vasu Yadav </t>
  </si>
  <si>
    <t>vasu.25scs1003005152@iilm.edu</t>
  </si>
  <si>
    <t xml:space="preserve"> 82875 56266</t>
  </si>
  <si>
    <t>1exhy30ANu5cc9rXuCPR9YUmBiAEqgFdc</t>
  </si>
  <si>
    <t>https://drive.google.com/file/d/1exhy30ANu5cc9rXuCPR9YUmBiAEqgFdc/view?usp=drivesdk</t>
  </si>
  <si>
    <t>Document successfully created; Document successfully merged; PDF created; !!Error Sending Emails: Service invoked too many times for one day: email.; Run via form trigger as codectechnologies0@gmail.com; Timestamp: Sep 10, 2026 9:22 AM</t>
  </si>
  <si>
    <t xml:space="preserve"> 82799 09339</t>
  </si>
  <si>
    <t>19h7p8Y4YD55oYKPQalIsDnBBwAXRrdJM</t>
  </si>
  <si>
    <t>https://drive.google.com/file/d/19h7p8Y4YD55oYKPQalIsDnBBwAXRrdJM/view?usp=drivesdk</t>
  </si>
  <si>
    <t>Document successfully created; Document successfully merged; PDF created; !!Error Sending Emails: Service invoked too many times for one day: email.; Run via form trigger as codectechnologies0@gmail.com; Timestamp: Sep 10, 2026 9:32 AM</t>
  </si>
  <si>
    <t>Vishnu Pandey</t>
  </si>
  <si>
    <t>Vishnupandey17042006@gmail.com</t>
  </si>
  <si>
    <t>1Sy5z-sA0YZtjKRg3MSaHxbbn04uZABhW</t>
  </si>
  <si>
    <t>https://drive.google.com/file/d/1Sy5z-sA0YZtjKRg3MSaHxbbn04uZABhW/view?usp=drivesdk</t>
  </si>
  <si>
    <t>Document successfully created; Document successfully merged; PDF created; !!Error Sending Emails: Service invoked too many times for one day: email.; Run via form trigger as codectechnologies0@gmail.com; Timestamp: Sep 10, 2026 9:33 AM</t>
  </si>
  <si>
    <t>Nitin Saini</t>
  </si>
  <si>
    <t>nitinsaini57175@gmail.com</t>
  </si>
  <si>
    <t>vivek group of collage</t>
  </si>
  <si>
    <t>1oiV_fSj6WCUSFBLNEnGl_leHSuOO24-t</t>
  </si>
  <si>
    <t>https://drive.google.com/file/d/1oiV_fSj6WCUSFBLNEnGl_leHSuOO24-t/view?usp=drivesdk</t>
  </si>
  <si>
    <t>Document successfully created; Document successfully merged; PDF created; !!Error Sending Emails: Service invoked too many times for one day: email.; Run via form trigger as codectechnologies0@gmail.com; Timestamp: Sep 10, 2026 9:37 AM</t>
  </si>
  <si>
    <t>Shubhashree Gochhi</t>
  </si>
  <si>
    <t>shubhashreegochhi@gmail.com</t>
  </si>
  <si>
    <t>1HGAydqhK8lu35zNvF8D5W8BPza6733Wd</t>
  </si>
  <si>
    <t>https://drive.google.com/file/d/1HGAydqhK8lu35zNvF8D5W8BPza6733Wd/view?usp=drivesdk</t>
  </si>
  <si>
    <t>Document successfully created; Document successfully merged; PDF created; !!Error Sending Emails: Service invoked too many times for one day: email.; Run via form trigger as codectechnologies0@gmail.com; Timestamp: Sep 10, 2026 9:41 AM</t>
  </si>
  <si>
    <t>Anurag Kumar</t>
  </si>
  <si>
    <t>anur4gggg@gmail.com</t>
  </si>
  <si>
    <t>10_Y8LifaA_wPa4-eY9IkaizoMICoOJFW</t>
  </si>
  <si>
    <t>https://drive.google.com/file/d/10_Y8LifaA_wPa4-eY9IkaizoMICoOJFW/view?usp=drivesdk</t>
  </si>
  <si>
    <t>Document successfully created; Document successfully merged; PDF created; !!Error Sending Emails: Service invoked too many times for one day: email.; Run via form trigger as codectechnologies0@gmail.com; Timestamp: Sep 10, 2026 9:48 AM</t>
  </si>
  <si>
    <t>Harsh Vardhan Mehta</t>
  </si>
  <si>
    <t>harsh.25scs1003004587@iilm.edu</t>
  </si>
  <si>
    <t>1g9qDvEHKb7QTM5HDo8Od_QAD77-mP5EX</t>
  </si>
  <si>
    <t>https://drive.google.com/file/d/1g9qDvEHKb7QTM5HDo8Od_QAD77-mP5EX/view?usp=drivesdk</t>
  </si>
  <si>
    <t>Document successfully created; Document successfully merged; PDF created; !!Error Sending Emails: Service invoked too many times for one day: email.; Run via form trigger as codectechnologies0@gmail.com; Timestamp: Sep 10, 2026 9:51 AM</t>
  </si>
  <si>
    <t>Vikesh C</t>
  </si>
  <si>
    <t>vikeshc515@gmail.com</t>
  </si>
  <si>
    <t>1ARoWd2DyX5Cf_SqbJjqOh5TkOiFm2wXK</t>
  </si>
  <si>
    <t>https://drive.google.com/file/d/1ARoWd2DyX5Cf_SqbJjqOh5TkOiFm2wXK/view?usp=drivesdk</t>
  </si>
  <si>
    <t>Document successfully created; Document successfully merged; PDF created; !!Error Sending Emails: Service invoked too many times for one day: email.; Run via form trigger as codectechnologies0@gmail.com; Timestamp: Sep 10, 2026 9:55 AM</t>
  </si>
  <si>
    <t xml:space="preserve">Nikhilesh Srivastava </t>
  </si>
  <si>
    <t>nikhilsrivastava8659@gmail.com</t>
  </si>
  <si>
    <t>1j-EXY3tAJhaXKbpuYl38c7eHs3AN3Ceo</t>
  </si>
  <si>
    <t>https://drive.google.com/file/d/1j-EXY3tAJhaXKbpuYl38c7eHs3AN3Ceo/view?usp=drivesdk</t>
  </si>
  <si>
    <t>Document successfully created; Document successfully merged; PDF created; !!Error Sending Emails: Service invoked too many times for one day: email.; Run via form trigger as codectechnologies0@gmail.com; Timestamp: Sep 10, 2026 10:02 AM</t>
  </si>
  <si>
    <t>Anmol Bhatt</t>
  </si>
  <si>
    <t>anmolbhatt643@gmail.com</t>
  </si>
  <si>
    <t>1b3GFX2GbMHpAzQ9pk-LgCt6Tj4okFG9Y</t>
  </si>
  <si>
    <t>https://drive.google.com/file/d/1b3GFX2GbMHpAzQ9pk-LgCt6Tj4okFG9Y/view?usp=drivesdk</t>
  </si>
  <si>
    <t>Document successfully created; Document successfully merged; PDF created; !!Error Sending Emails: Service invoked too many times for one day: email.; Run via form trigger as codectechnologies0@gmail.com; Timestamp: Sep 10, 2026 10:03 AM</t>
  </si>
  <si>
    <t>1YcWorPqlEoZ-aX4NeH7quoM48I1ku7h-</t>
  </si>
  <si>
    <t>https://drive.google.com/file/d/1YcWorPqlEoZ-aX4NeH7quoM48I1ku7h-/view?usp=drivesdk</t>
  </si>
  <si>
    <t>Document successfully created; Document successfully merged; PDF created; !!Error Sending Emails: Service invoked too many times for one day: email.; Run via form trigger as codectechnologies0@gmail.com; Timestamp: Sep 10, 2026 10:05 AM</t>
  </si>
  <si>
    <t xml:space="preserve">Poornishaa Balasubramanian </t>
  </si>
  <si>
    <t xml:space="preserve">smalas8999@gmail.com </t>
  </si>
  <si>
    <t>1P0lt_gXcpkIaFsFzwFVUmESq-BsynvMp</t>
  </si>
  <si>
    <t>https://drive.google.com/file/d/1P0lt_gXcpkIaFsFzwFVUmESq-BsynvMp/view?usp=drivesdk</t>
  </si>
  <si>
    <t>Document successfully created; Document successfully merged; PDF created; !!Error Sending Emails: Service invoked too many times for one day: email.; Run via form trigger as codectechnologies0@gmail.com; Timestamp: Sep 10, 2026 10:11 AM</t>
  </si>
  <si>
    <t>1ZJptIVWyQZ1aHIfET6jnql1ifDzDOhzN</t>
  </si>
  <si>
    <t>https://drive.google.com/file/d/1ZJptIVWyQZ1aHIfET6jnql1ifDzDOhzN/view?usp=drivesdk</t>
  </si>
  <si>
    <t>Document successfully created; Document successfully merged; PDF created; !!Error Sending Emails: Service invoked too many times for one day: email.; Run via form trigger as codectechnologies0@gmail.com; Timestamp: Sep 10, 2026 10:19 AM</t>
  </si>
  <si>
    <t>Sara Khan</t>
  </si>
  <si>
    <t>sarakhan19120@gmail.com</t>
  </si>
  <si>
    <t>Govt.Polytechnic, Lucknow</t>
  </si>
  <si>
    <t>1IgA3NgZxQ-UzrYe9XNIqOrcm-ylMkuCo</t>
  </si>
  <si>
    <t>https://drive.google.com/file/d/1IgA3NgZxQ-UzrYe9XNIqOrcm-ylMkuCo/view?usp=drivesdk</t>
  </si>
  <si>
    <t>Document successfully created; Document successfully merged; PDF created; !!Error Sending Emails: Service invoked too many times for one day: email.; Run via form trigger as codectechnologies0@gmail.com; Timestamp: Sep 10, 2026 10:22 AM</t>
  </si>
  <si>
    <t>Goldi Kushawaha</t>
  </si>
  <si>
    <t>goldiekushwaha@gmail.com</t>
  </si>
  <si>
    <t>103Zuhxxm-MB5RUv5JRUP2M1JA1HmhLdU</t>
  </si>
  <si>
    <t>https://drive.google.com/file/d/103Zuhxxm-MB5RUv5JRUP2M1JA1HmhLdU/view?usp=drivesdk</t>
  </si>
  <si>
    <t>Yash dixit</t>
  </si>
  <si>
    <t>dixityash285@gmail.com</t>
  </si>
  <si>
    <t>1Rk1XxkJrYL5XdJuvlj3Y4PSpmU8sp63x</t>
  </si>
  <si>
    <t>https://drive.google.com/file/d/1Rk1XxkJrYL5XdJuvlj3Y4PSpmU8sp63x/view?usp=drivesdk</t>
  </si>
  <si>
    <t>Document successfully created; Document successfully merged; PDF created; !!Error Sending Emails: Service invoked too many times for one day: email.; Run via form trigger as codectechnologies0@gmail.com; Timestamp: Sep 10, 2026 10:25 AM</t>
  </si>
  <si>
    <t xml:space="preserve">Miriyala Harshan </t>
  </si>
  <si>
    <t>miriyalaharshan@gmail.com</t>
  </si>
  <si>
    <t xml:space="preserve">Velagapudi Ramakrishna Siddharth engineering college </t>
  </si>
  <si>
    <t>14XtnZ2miQ6SZ1fQwSh6-i9VosQPCSMBy</t>
  </si>
  <si>
    <t>https://drive.google.com/file/d/14XtnZ2miQ6SZ1fQwSh6-i9VosQPCSMBy/view?usp=drivesdk</t>
  </si>
  <si>
    <t>Document successfully created; Document successfully merged; PDF created; !!Error Sending Emails: Service invoked too many times for one day: email.; Run via form trigger as codectechnologies0@gmail.com; Timestamp: Sep 10, 2026 10:30 AM</t>
  </si>
  <si>
    <t>Nitin Parihar</t>
  </si>
  <si>
    <t>altmrityu@gmail.com</t>
  </si>
  <si>
    <t>1Rftt6z_RS0n_NfzESB1iJPNDMrY9NfXz</t>
  </si>
  <si>
    <t>https://drive.google.com/file/d/1Rftt6z_RS0n_NfzESB1iJPNDMrY9NfXz/view?usp=drivesdk</t>
  </si>
  <si>
    <t>Document successfully created; Document successfully merged; PDF created; !!Error Sending Emails: Service invoked too many times for one day: email.; Run via form trigger as codectechnologies0@gmail.com; Timestamp: Sep 10, 2026 10:34 AM</t>
  </si>
  <si>
    <t xml:space="preserve">Chahat </t>
  </si>
  <si>
    <t>chahatthakur954@gmail.com</t>
  </si>
  <si>
    <t>1gQUJT-1O-eBWqzM6F2FwKuUomIye6ti5</t>
  </si>
  <si>
    <t>https://drive.google.com/file/d/1gQUJT-1O-eBWqzM6F2FwKuUomIye6ti5/view?usp=drivesdk</t>
  </si>
  <si>
    <t>Document successfully created; Document successfully merged; PDF created; !!Error Sending Emails: Service invoked too many times for one day: email.; Run via form trigger as codectechnologies0@gmail.com; Timestamp: Sep 10, 2026 10:35 AM</t>
  </si>
  <si>
    <t xml:space="preserve">Divya Bhailwal </t>
  </si>
  <si>
    <t>divyabhailwal@gmail.com</t>
  </si>
  <si>
    <t xml:space="preserve">Alankar Mahila P.G. Girls college </t>
  </si>
  <si>
    <t>1_xJlIGgRwYTyUH0bn3JP8NPz6YAXp4wB</t>
  </si>
  <si>
    <t>https://drive.google.com/file/d/1_xJlIGgRwYTyUH0bn3JP8NPz6YAXp4wB/view?usp=drivesdk</t>
  </si>
  <si>
    <t>Document successfully created; Document successfully merged; PDF created; !!Error Sending Emails: Service invoked too many times for one day: email.; Run via form trigger as codectechnologies0@gmail.com; Timestamp: Sep 10, 2026 10:36 AM</t>
  </si>
  <si>
    <t>Dhanvi Paruchuri</t>
  </si>
  <si>
    <t>dhanviparuchuri22@gmail.com</t>
  </si>
  <si>
    <t>Kakatiya institute of technology and science for women</t>
  </si>
  <si>
    <t>1eL3rGmuw3Sv40SymOU0RtsxX3oO4VxmU</t>
  </si>
  <si>
    <t>https://drive.google.com/file/d/1eL3rGmuw3Sv40SymOU0RtsxX3oO4VxmU/view?usp=drivesdk</t>
  </si>
  <si>
    <t>Document successfully created; Document successfully merged; PDF created; !!Error Sending Emails: Service invoked too many times for one day: email.; Run via form trigger as codectechnologies0@gmail.com; Timestamp: Sep 10, 2026 10:37 AM</t>
  </si>
  <si>
    <t>Abhinav Sharma</t>
  </si>
  <si>
    <t>as2787442@gmail.com</t>
  </si>
  <si>
    <t>1J-Y6oMvL0gtmUYgXxmpUCnyz040KjWlf</t>
  </si>
  <si>
    <t>https://drive.google.com/file/d/1J-Y6oMvL0gtmUYgXxmpUCnyz040KjWlf/view?usp=drivesdk</t>
  </si>
  <si>
    <t>Document successfully created; Document successfully merged; PDF created; Emails Sent: [To: as2787442@gmail.com]; Run via form trigger as codectechnologies0@gmail.com; Timestamp: Sep 10, 2026 10:52 AM</t>
  </si>
  <si>
    <t>Aditya Kumar Jha</t>
  </si>
  <si>
    <t>why.maithil11@gmail.com</t>
  </si>
  <si>
    <t>1X5ZHBhUrVltG4Uw7po-Y4E0q-Efh1gre</t>
  </si>
  <si>
    <t>https://drive.google.com/file/d/1X5ZHBhUrVltG4Uw7po-Y4E0q-Efh1gre/view?usp=drivesdk</t>
  </si>
  <si>
    <t>Document successfully created; Document successfully merged; PDF created; Emails Sent: [To: why.maithil11@gmail.com]; Run via form trigger as codectechnologies0@gmail.com; Timestamp: Sep 10, 2026 10:55 AM</t>
  </si>
  <si>
    <t>sahil080805@gmail.com</t>
  </si>
  <si>
    <t>1hOYGi9E_KvplOGaz9Vgd581Wurvu59l9</t>
  </si>
  <si>
    <t>https://drive.google.com/file/d/1hOYGi9E_KvplOGaz9Vgd581Wurvu59l9/view?usp=drivesdk</t>
  </si>
  <si>
    <t>Document successfully created; Document successfully merged; PDF created; Emails Sent: [To: sahil080805@gmail.com]; Run via form trigger as codectechnologies0@gmail.com; Timestamp: Sep 10, 2026 11:11 AM</t>
  </si>
  <si>
    <t>Vaibhav Rawat</t>
  </si>
  <si>
    <t>vaibhavrawat2606@gmail.com</t>
  </si>
  <si>
    <t>1crHB8OYoKhnocjaLFPLn4unNmq_fmj0-</t>
  </si>
  <si>
    <t>https://drive.google.com/file/d/1crHB8OYoKhnocjaLFPLn4unNmq_fmj0-/view?usp=drivesdk</t>
  </si>
  <si>
    <t>Document successfully created; Document successfully merged; PDF created; Emails Sent: [To: vaibhavrawat2606@gmail.com]; Run via form trigger as codectechnologies0@gmail.com; Timestamp: Sep 10, 2026 11:15 AM</t>
  </si>
  <si>
    <t>Piyush dubey</t>
  </si>
  <si>
    <t>piyush,25scs1003004086@iilm.edu</t>
  </si>
  <si>
    <t>1W6rTTQbmruGHPm90DconTljG2lYXVr65</t>
  </si>
  <si>
    <t>https://drive.google.com/file/d/1W6rTTQbmruGHPm90DconTljG2lYXVr65/view?usp=drivesdk</t>
  </si>
  <si>
    <t>Document successfully created; Document successfully merged; PDF created; !!Error Sending Emails: Invalid email: piyush; Run via form trigger as codectechnologies0@gmail.com; Timestamp: Sep 10, 2026 11:18 AM</t>
  </si>
  <si>
    <t>Ayush Dubey</t>
  </si>
  <si>
    <t>ayush.25scs1003004087@iilm.edu</t>
  </si>
  <si>
    <t>1Jq_84aHymmkjDnnF4_KHvnE404Mh7R2u</t>
  </si>
  <si>
    <t>https://drive.google.com/file/d/1Jq_84aHymmkjDnnF4_KHvnE404Mh7R2u/view?usp=drivesdk</t>
  </si>
  <si>
    <t>Document successfully created; Document successfully merged; PDF created; Emails Sent: [To: ayush.25scs1003004087@iilm.edu]; Run via form trigger as codectechnologies0@gmail.com; Timestamp: Sep 10, 2026 11:20 AM</t>
  </si>
  <si>
    <t>Harsh Bhushan Dubey</t>
  </si>
  <si>
    <t>harsh.25scs1003003534@iilm.edu</t>
  </si>
  <si>
    <t>1MMsrQLBKuSB9fx-hW-Pjtv3kMNs8tPJR</t>
  </si>
  <si>
    <t>https://drive.google.com/file/d/1MMsrQLBKuSB9fx-hW-Pjtv3kMNs8tPJR/view?usp=drivesdk</t>
  </si>
  <si>
    <t>Document successfully created; Document successfully merged; PDF created; Emails Sent: [To: harsh.25scs1003003534@iilm.edu]; Run via form trigger as codectechnologies0@gmail.com; Timestamp: Sep 10, 2026 11:21 AM</t>
  </si>
  <si>
    <t xml:space="preserve">chahat </t>
  </si>
  <si>
    <t>1Z8_Ttx0bS_47TEJwDHypbINnu3FKAnsa</t>
  </si>
  <si>
    <t>https://drive.google.com/file/d/1Z8_Ttx0bS_47TEJwDHypbINnu3FKAnsa/view?usp=drivesdk</t>
  </si>
  <si>
    <t>Document successfully created; Document successfully merged; PDF created; Emails Sent: [To: chahatthakur954@gmail.com]; Run via form trigger as codectechnologies0@gmail.com; Timestamp: Sep 10, 2026 11:21 AM</t>
  </si>
  <si>
    <t>Arnav  Umrao</t>
  </si>
  <si>
    <t>arnav.umrao@gmail.com</t>
  </si>
  <si>
    <t>1TGKvqDGpqPhlIwOjJYnFooksmLjdLeGJ</t>
  </si>
  <si>
    <t>https://drive.google.com/file/d/1TGKvqDGpqPhlIwOjJYnFooksmLjdLeGJ/view?usp=drivesdk</t>
  </si>
  <si>
    <t>Document successfully created; Document successfully merged; PDF created; Emails Sent: [To: arnav.umrao@gmail.com]; Run via form trigger as codectechnologies0@gmail.com; Timestamp: Sep 10, 2026 11:26 AM</t>
  </si>
  <si>
    <t>Mohan kuamr</t>
  </si>
  <si>
    <t>mmohanhu22@gmail.com</t>
  </si>
  <si>
    <t>Iilm university (greater Noida)</t>
  </si>
  <si>
    <t>1K0Z9VIwgwX6WVni7XvweSog2xbPt4GkB</t>
  </si>
  <si>
    <t>https://drive.google.com/file/d/1K0Z9VIwgwX6WVni7XvweSog2xbPt4GkB/view?usp=drivesdk</t>
  </si>
  <si>
    <t>Document successfully created; Document successfully merged; PDF created; Emails Sent: [To: mmohanhu22@gmail.com]; Run via form trigger as codectechnologies0@gmail.com; Timestamp: Sep 10, 2026 11:27 AM</t>
  </si>
  <si>
    <t>Tangedipalli Gouthami</t>
  </si>
  <si>
    <t>thangadpallygouthami@gmail.com</t>
  </si>
  <si>
    <t xml:space="preserve">Sridevi women's engineering college </t>
  </si>
  <si>
    <t>1iCu0jgRN5yyXY19iy6GNizcpUyEBAzds</t>
  </si>
  <si>
    <t>https://drive.google.com/file/d/1iCu0jgRN5yyXY19iy6GNizcpUyEBAzds/view?usp=drivesdk</t>
  </si>
  <si>
    <t>Document successfully created; Document successfully merged; PDF created; Emails Sent: [To: thangadpallygouthami@gmail.com]; Run via form trigger as codectechnologies0@gmail.com; Timestamp: Sep 10, 2026 11:31 AM</t>
  </si>
  <si>
    <t xml:space="preserve">Priya Pandey </t>
  </si>
  <si>
    <t>priyapandey412001@gmail.com</t>
  </si>
  <si>
    <t xml:space="preserve">Iimt university greater Noida campus </t>
  </si>
  <si>
    <t>1d6dZNEngkUBT8skAHZ8CW-LpYbcr0sH_</t>
  </si>
  <si>
    <t>https://drive.google.com/file/d/1d6dZNEngkUBT8skAHZ8CW-LpYbcr0sH_/view?usp=drivesdk</t>
  </si>
  <si>
    <t>Document successfully created; Document successfully merged; PDF created; Emails Sent: [To: priyapandey412001@gmail.com]; Run via form trigger as codectechnologies0@gmail.com; Timestamp: Sep 10, 2026 11:32 AM</t>
  </si>
  <si>
    <t>KUSNOOR PRIYANKA</t>
  </si>
  <si>
    <t>honeyguddu1989@gmail.com</t>
  </si>
  <si>
    <t>Methodist college of Engineering and Technology</t>
  </si>
  <si>
    <t>1hsmsq6e8s_jXo60rG_A6kGrswneiIvJV</t>
  </si>
  <si>
    <t>https://drive.google.com/file/d/1hsmsq6e8s_jXo60rG_A6kGrswneiIvJV/view?usp=drivesdk</t>
  </si>
  <si>
    <t>Document successfully created; Document successfully merged; PDF created; Emails Sent: [To: honeyguddu1989@gmail.com]; Run via form trigger as codectechnologies0@gmail.com; Timestamp: Sep 10, 2026 11:34 AM</t>
  </si>
  <si>
    <t>Mohan kumar</t>
  </si>
  <si>
    <t>1YJv2SDdx9QkSD-8uvIhOTZc0VjfK3MPL</t>
  </si>
  <si>
    <t>https://drive.google.com/file/d/1YJv2SDdx9QkSD-8uvIhOTZc0VjfK3MPL/view?usp=drivesdk</t>
  </si>
  <si>
    <t>Document successfully created; Document successfully merged; PDF created; Emails Sent: [To: mmohanhu22@gmail.com]; Run via form trigger as codectechnologies0@gmail.com; Timestamp: Sep 10, 2026 11:35 AM</t>
  </si>
  <si>
    <t>Medha Pandey</t>
  </si>
  <si>
    <t>Medhapandey102@gmail.com</t>
  </si>
  <si>
    <t xml:space="preserve">Maharishi university of information and technology </t>
  </si>
  <si>
    <t>1f4nFVvifhiutHHDUWYV8VkBAHw-8yhnO</t>
  </si>
  <si>
    <t>https://drive.google.com/file/d/1f4nFVvifhiutHHDUWYV8VkBAHw-8yhnO/view?usp=drivesdk</t>
  </si>
  <si>
    <t>Document successfully created; Document successfully merged; PDF created; Emails Sent: [To: Medhapandey102@gmail.com]; Run via form trigger as codectechnologies0@gmail.com; Timestamp: Sep 10, 2026 11:38 AM</t>
  </si>
  <si>
    <t>Tanishq Bhargava</t>
  </si>
  <si>
    <t>tanishqbhargava849@gmail.com</t>
  </si>
  <si>
    <t>LinkedIn, Friend, Email, Google, Internshala</t>
  </si>
  <si>
    <t>1yqrlMtBPEt7m8_0QKDxOF3Taj6ARSaLM</t>
  </si>
  <si>
    <t>https://drive.google.com/file/d/1yqrlMtBPEt7m8_0QKDxOF3Taj6ARSaLM/view?usp=drivesdk</t>
  </si>
  <si>
    <t>Document successfully created; Document successfully merged; PDF created; Emails Sent: [To: tanishqbhargava849@gmail.com]; Run via form trigger as codectechnologies0@gmail.com; Timestamp: Sep 10, 2026 11:40 AM</t>
  </si>
  <si>
    <t>Sutapa Gorai</t>
  </si>
  <si>
    <t>sutapagorai05@gmail.com</t>
  </si>
  <si>
    <t>Dr. B. C. Roy Engineering College</t>
  </si>
  <si>
    <t>1dSkwmbPoeCURDBMTakuFpE_8EwfVbILS</t>
  </si>
  <si>
    <t>https://drive.google.com/file/d/1dSkwmbPoeCURDBMTakuFpE_8EwfVbILS/view?usp=drivesdk</t>
  </si>
  <si>
    <t>Document successfully created; Document successfully merged; PDF created; Emails Sent: [To: sutapagorai05@gmail.com]; Run via form trigger as codectechnologies0@gmail.com; Timestamp: Sep 10, 2026 11:42 AM</t>
  </si>
  <si>
    <t xml:space="preserve">Tanushree Mondal </t>
  </si>
  <si>
    <t>05tanushree@gmail.com</t>
  </si>
  <si>
    <t xml:space="preserve">Dr. B.C. Roy Engineering College </t>
  </si>
  <si>
    <t>1vNhWD86NXD_48HABaOfQ0Kr7mJQQHPFG</t>
  </si>
  <si>
    <t>https://drive.google.com/file/d/1vNhWD86NXD_48HABaOfQ0Kr7mJQQHPFG/view?usp=drivesdk</t>
  </si>
  <si>
    <t>Document successfully created; Document successfully merged; PDF created; Emails Sent: [To: 05tanushree@gmail.com]; Run via form trigger as codectechnologies0@gmail.com; Timestamp: Sep 10, 2026 11:42 AM</t>
  </si>
  <si>
    <t>1f3rhK4DGfVvBokaSlozTvtwxolTETlC6</t>
  </si>
  <si>
    <t>https://drive.google.com/file/d/1f3rhK4DGfVvBokaSlozTvtwxolTETlC6/view?usp=drivesdk</t>
  </si>
  <si>
    <t>Document successfully created; Document successfully merged; PDF created; Emails Sent: [To: anjali.25scs1003004230@iilm.edu]; Run via form trigger as codectechnologies0@gmail.com; Timestamp: Sep 10, 2026 11:44 AM</t>
  </si>
  <si>
    <t>Abhay Pratap singh</t>
  </si>
  <si>
    <t>abhaysingh4776@gmail.com</t>
  </si>
  <si>
    <t>Lucknow university</t>
  </si>
  <si>
    <t>1y43SF4RwP5ZL6TtRhuIIgjUcwu8d0HoD</t>
  </si>
  <si>
    <t>https://drive.google.com/file/d/1y43SF4RwP5ZL6TtRhuIIgjUcwu8d0HoD/view?usp=drivesdk</t>
  </si>
  <si>
    <t>Document successfully created; Document successfully merged; PDF created; Emails Sent: [To: abhaysingh4776@gmail.com]; Run via form trigger as codectechnologies0@gmail.com; Timestamp: Sep 10, 2026 11:45 AM</t>
  </si>
  <si>
    <t>kumkum sahu</t>
  </si>
  <si>
    <t>kumkumsahu9198@gmail.com</t>
  </si>
  <si>
    <t>09695144749</t>
  </si>
  <si>
    <t>1axfO3r3jrxExOBLBP8OCdtcPrfkNhWdd</t>
  </si>
  <si>
    <t>https://drive.google.com/file/d/1axfO3r3jrxExOBLBP8OCdtcPrfkNhWdd/view?usp=drivesdk</t>
  </si>
  <si>
    <t>Document successfully created; Document successfully merged; PDF created; Emails Sent: [To: kumkumsahu9198@gmail.com]; Run via form trigger as codectechnologies0@gmail.com; Timestamp: Sep 10, 2026 11:46 AM</t>
  </si>
  <si>
    <t>176vXxHnKcT6ZzjwXR4eiGG91Itt_eDLL</t>
  </si>
  <si>
    <t>https://drive.google.com/file/d/176vXxHnKcT6ZzjwXR4eiGG91Itt_eDLL/view?usp=drivesdk</t>
  </si>
  <si>
    <t>Document successfully created; Document successfully merged; PDF created; Emails Sent: [To: mmohanhu22@gmail.com]; Run via form trigger as codectechnologies0@gmail.com; Timestamp: Sep 10, 2026 11:46 AM</t>
  </si>
  <si>
    <t xml:space="preserve">Mouli Ahirwar </t>
  </si>
  <si>
    <t>mouly.rv@gmail.com</t>
  </si>
  <si>
    <t xml:space="preserve">St Aloysius College Jabalpur </t>
  </si>
  <si>
    <t>1OaTQd3VxDIi0oOY53nl3GJnT2alnEIAU</t>
  </si>
  <si>
    <t>https://drive.google.com/file/d/1OaTQd3VxDIi0oOY53nl3GJnT2alnEIAU/view?usp=drivesdk</t>
  </si>
  <si>
    <t>Document successfully created; Document successfully merged; PDF created; Emails Sent: [To: mouly.rv@gmail.com]; Run via form trigger as codectechnologies0@gmail.com; Timestamp: Sep 10, 2026 11:47 AM</t>
  </si>
  <si>
    <t xml:space="preserve">Aditya sarswat </t>
  </si>
  <si>
    <t>aditya.25scs1003003131@iilm.edu</t>
  </si>
  <si>
    <t>1gyRYwf5oTZdlczPbAJCRG5wDlLHeINiK</t>
  </si>
  <si>
    <t>https://drive.google.com/file/d/1gyRYwf5oTZdlczPbAJCRG5wDlLHeINiK/view?usp=drivesdk</t>
  </si>
  <si>
    <t>Document successfully created; Document successfully merged; PDF created; Emails Sent: [To: aditya.25scs1003003131@iilm.edu]; Run via form trigger as codectechnologies0@gmail.com; Timestamp: Sep 10, 2026 11:50 AM</t>
  </si>
  <si>
    <t>Ansh Chhabra</t>
  </si>
  <si>
    <t>ansh.25scs1003001058@iilm.edu</t>
  </si>
  <si>
    <t>19kxBunEN07n-3gy29lNp9EXB9nuxSIIJ</t>
  </si>
  <si>
    <t>https://drive.google.com/file/d/19kxBunEN07n-3gy29lNp9EXB9nuxSIIJ/view?usp=drivesdk</t>
  </si>
  <si>
    <t>Document successfully created; Document successfully merged; PDF created; Emails Sent: [To: ansh.25scs1003001058@iilm.edu]; Run via form trigger as codectechnologies0@gmail.com; Timestamp: Sep 10, 2026 11:51 AM</t>
  </si>
  <si>
    <t>Madiha Zaka</t>
  </si>
  <si>
    <t>zakamadiha82@gmail.com</t>
  </si>
  <si>
    <t>Smt.Dannamma Channabasavaiah College</t>
  </si>
  <si>
    <t>19e6AU74hTandAkcBMsaMgqIeoVEFojv-</t>
  </si>
  <si>
    <t>https://drive.google.com/file/d/19e6AU74hTandAkcBMsaMgqIeoVEFojv-/view?usp=drivesdk</t>
  </si>
  <si>
    <t>Document successfully created; Document successfully merged; PDF created; Emails Sent: [To: zakamadiha82@gmail.com]; Run via form trigger as codectechnologies0@gmail.com; Timestamp: Sep 10, 2026 11:53 AM</t>
  </si>
  <si>
    <t>Puli Mallikarjuna Reddy</t>
  </si>
  <si>
    <t>Hindustan university</t>
  </si>
  <si>
    <t>1gZgEGr6Ry_lQ6Mg6n4S4kWc6p07VrawI</t>
  </si>
  <si>
    <t>https://drive.google.com/file/d/1gZgEGr6Ry_lQ6Mg6n4S4kWc6p07VrawI/view?usp=drivesdk</t>
  </si>
  <si>
    <t>Document successfully created; Document successfully merged; PDF created; Emails Sent: [To: pulimallikarjuna33@gmail.com]; Run via form trigger as codectechnologies0@gmail.com; Timestamp: Sep 10, 2026 11:54 AM</t>
  </si>
  <si>
    <t>DIPENDRA KUMAR</t>
  </si>
  <si>
    <t>dipendrakr7607@gmail.com</t>
  </si>
  <si>
    <t>1Nrl7wZOQIDQqr9NZOcNbq1ldb3S7Dhou</t>
  </si>
  <si>
    <t>https://drive.google.com/file/d/1Nrl7wZOQIDQqr9NZOcNbq1ldb3S7Dhou/view?usp=drivesdk</t>
  </si>
  <si>
    <t>Document successfully created; Document successfully merged; PDF created; Emails Sent: [To: dipendrakr7607@gmail.com]; Run via form trigger as codectechnologies0@gmail.com; Timestamp: Sep 10, 2026 11:55 AM</t>
  </si>
  <si>
    <t>Khushi jangid</t>
  </si>
  <si>
    <t>Jangidkhushi170@gmail.com</t>
  </si>
  <si>
    <t>Alankar mahila PG girls collage</t>
  </si>
  <si>
    <t>18agOA-zwmwX5oOi01ivxSakd8NmZRUXq</t>
  </si>
  <si>
    <t>https://drive.google.com/file/d/18agOA-zwmwX5oOi01ivxSakd8NmZRUXq/view?usp=drivesdk</t>
  </si>
  <si>
    <t>Document successfully created; Document successfully merged; PDF created; Emails Sent: [To: Jangidkhushi170@gmail.com]; Run via form trigger as codectechnologies0@gmail.com; Timestamp: Sep 10, 2026 11:56 AM</t>
  </si>
  <si>
    <t>Devanshi Jain</t>
  </si>
  <si>
    <t>devanshijain006@gmail.com</t>
  </si>
  <si>
    <t>1wv6b7qh2cl1KpshV4iDTfzj2NqT3sdkx</t>
  </si>
  <si>
    <t>https://drive.google.com/file/d/1wv6b7qh2cl1KpshV4iDTfzj2NqT3sdkx/view?usp=drivesdk</t>
  </si>
  <si>
    <t>Document successfully created; Document successfully merged; PDF created; Emails Sent: [To: devanshijain006@gmail.com]; Run via form trigger as codectechnologies0@gmail.com; Timestamp: Sep 10, 2026 12:01 PM</t>
  </si>
  <si>
    <t>Alankar Mahila PG girls collage</t>
  </si>
  <si>
    <t>1HLi_QLlz62w0o2HY6Pn9gqDAg8zyABhA</t>
  </si>
  <si>
    <t>https://drive.google.com/file/d/1HLi_QLlz62w0o2HY6Pn9gqDAg8zyABhA/view?usp=drivesdk</t>
  </si>
  <si>
    <t>Document successfully created; Document successfully merged; PDF created; Emails Sent: [To: Jangidkhushi170@gmail.com]; Run via form trigger as codectechnologies0@gmail.com; Timestamp: Sep 10, 2026 12:02 PM</t>
  </si>
  <si>
    <t>School of management and sciences lucknow UP</t>
  </si>
  <si>
    <t>1HXCQWzVxAqp6uX03wslS9BLbOERErmsb</t>
  </si>
  <si>
    <t>https://drive.google.com/file/d/1HXCQWzVxAqp6uX03wslS9BLbOERErmsb/view?usp=drivesdk</t>
  </si>
  <si>
    <t>Document successfully created; Document successfully merged; PDF created; Emails Sent: [To: abhaysingh4776@gmail.com]; Run via form trigger as codectechnologies0@gmail.com; Timestamp: Sep 10, 2026 12:04 PM</t>
  </si>
  <si>
    <t>KARTHIKA A</t>
  </si>
  <si>
    <t>karthikaayyappan02@gmail.com</t>
  </si>
  <si>
    <t>PANIMALAR ENGINEERING COLLEGE</t>
  </si>
  <si>
    <t>1cS7WDDW4sjfy50jqdDvJsPLkInd6DzIy</t>
  </si>
  <si>
    <t>https://drive.google.com/file/d/1cS7WDDW4sjfy50jqdDvJsPLkInd6DzIy/view?usp=drivesdk</t>
  </si>
  <si>
    <t>Document successfully created; Document successfully merged; PDF created; Emails Sent: [To: karthikaayyappan02@gmail.com]; Run via form trigger as codectechnologies0@gmail.com; Timestamp: Sep 10, 2026 12:04 PM</t>
  </si>
  <si>
    <t>UTKARSH SHUKLA</t>
  </si>
  <si>
    <t>utk3136@gmail.com</t>
  </si>
  <si>
    <t>IILM UNNIVERSITY</t>
  </si>
  <si>
    <t>1I8sUlPG7kMxKuH0Vr9HIsvml65PIo8Qv</t>
  </si>
  <si>
    <t>https://drive.google.com/file/d/1I8sUlPG7kMxKuH0Vr9HIsvml65PIo8Qv/view?usp=drivesdk</t>
  </si>
  <si>
    <t>Document successfully created; Document successfully merged; PDF created; Emails Sent: [To: utk3136@gmail.com]; Run via form trigger as codectechnologies0@gmail.com; Timestamp: Sep 10, 2026 12:06 PM</t>
  </si>
  <si>
    <t>Sabhyata</t>
  </si>
  <si>
    <t>sabhyatasharma567@gmail.com</t>
  </si>
  <si>
    <t>1uJSSeL9TxIUBo6BK_a8jwvONgH32Yp7E</t>
  </si>
  <si>
    <t>https://drive.google.com/file/d/1uJSSeL9TxIUBo6BK_a8jwvONgH32Yp7E/view?usp=drivesdk</t>
  </si>
  <si>
    <t>Document successfully created; Document successfully merged; PDF created; Emails Sent: [To: sabhyatasharma567@gmail.com]; Run via form trigger as codectechnologies0@gmail.com; Timestamp: Sep 10, 2026 12:06 PM</t>
  </si>
  <si>
    <t>SHUBHAM THAKUR</t>
  </si>
  <si>
    <t>heroespart777@gmail.com</t>
  </si>
  <si>
    <t>1QPidxzr9ALZOGaW1QYazhGYwfoRJEWvV</t>
  </si>
  <si>
    <t>https://drive.google.com/file/d/1QPidxzr9ALZOGaW1QYazhGYwfoRJEWvV/view?usp=drivesdk</t>
  </si>
  <si>
    <t>Document successfully created; Document successfully merged; PDF created; Emails Sent: [To: heroespart777@gmail.com]; Run via form trigger as codectechnologies0@gmail.com; Timestamp: Sep 10, 2026 12:08 PM</t>
  </si>
  <si>
    <t>1cnblJuq-qeT251lQ43hCVIeFxOj-cavG</t>
  </si>
  <si>
    <t>https://drive.google.com/file/d/1cnblJuq-qeT251lQ43hCVIeFxOj-cavG/view?usp=drivesdk</t>
  </si>
  <si>
    <t>Document successfully created; Document successfully merged; PDF created; Emails Sent: [To: karthikaayyappan02@gmail.com]; Run via form trigger as codectechnologies0@gmail.com; Timestamp: Sep 10, 2026 12:12 PM</t>
  </si>
  <si>
    <t>Nikita H Lamani</t>
  </si>
  <si>
    <t>nikita.h.4818@gmail.com</t>
  </si>
  <si>
    <t>Govt First Grade College for Women, Karwar</t>
  </si>
  <si>
    <t>1-Mj2MDTKjeS-wyfg4kZYVkATbYGnoEMp</t>
  </si>
  <si>
    <t>https://drive.google.com/file/d/1-Mj2MDTKjeS-wyfg4kZYVkATbYGnoEMp/view?usp=drivesdk</t>
  </si>
  <si>
    <t>Document successfully created; Document successfully merged; PDF created; Emails Sent: [To: nikita.h.4818@gmail.com]; Run via form trigger as codectechnologies0@gmail.com; Timestamp: Sep 10, 2026 12:12 PM</t>
  </si>
  <si>
    <t xml:space="preserve">Kunal Kumar </t>
  </si>
  <si>
    <t>kumarkunal16860@gmail.com</t>
  </si>
  <si>
    <t>1f3cgQyT_1E7S_4jn0UtTct7z3jP2Sa6i</t>
  </si>
  <si>
    <t>https://drive.google.com/file/d/1f3cgQyT_1E7S_4jn0UtTct7z3jP2Sa6i/view?usp=drivesdk</t>
  </si>
  <si>
    <t>Document successfully created; Document successfully merged; PDF created; Emails Sent: [To: kumarkunal16860@gmail.com]; Run via form trigger as codectechnologies0@gmail.com; Timestamp: Sep 10, 2026 12:14 PM</t>
  </si>
  <si>
    <t>Varish khan</t>
  </si>
  <si>
    <t>varish2185@gmail.com</t>
  </si>
  <si>
    <t>1zII_F5JP-ekuUCKiPLNOpWM-F7_YEtXC</t>
  </si>
  <si>
    <t>https://drive.google.com/file/d/1zII_F5JP-ekuUCKiPLNOpWM-F7_YEtXC/view?usp=drivesdk</t>
  </si>
  <si>
    <t>Document successfully created; Document successfully merged; PDF created; Emails Sent: [To: varish2185@gmail.com]; Run via form trigger as codectechnologies0@gmail.com; Timestamp: Sep 10, 2026 12:16 PM</t>
  </si>
  <si>
    <t>Subekshya Mallik</t>
  </si>
  <si>
    <t>subekshya.25scs1003001504@iilm.edu</t>
  </si>
  <si>
    <t>1qSHD3MZKOXYx9K3-hLmesMnrPwcX61Yl</t>
  </si>
  <si>
    <t>https://drive.google.com/file/d/1qSHD3MZKOXYx9K3-hLmesMnrPwcX61Yl/view?usp=drivesdk</t>
  </si>
  <si>
    <t>Document successfully created; Document successfully merged; PDF created; Emails Sent: [To: subekshya.25scs1003001504@iilm.edu]; Run via form trigger as codectechnologies0@gmail.com; Timestamp: Sep 10, 2026 12:17 PM</t>
  </si>
  <si>
    <t>Ishan Gupta</t>
  </si>
  <si>
    <t>gishaan546@gmail.com</t>
  </si>
  <si>
    <t>1VHPBCxpUxS2J3bby9q5l-7b3H6-ArGKr</t>
  </si>
  <si>
    <t>https://drive.google.com/file/d/1VHPBCxpUxS2J3bby9q5l-7b3H6-ArGKr/view?usp=drivesdk</t>
  </si>
  <si>
    <t>Document successfully created; Document successfully merged; PDF created; Emails Sent: [To: gishaan546@gmail.com]; Run via form trigger as codectechnologies0@gmail.com; Timestamp: Sep 10, 2026 12:18 PM</t>
  </si>
  <si>
    <t>Sabhyata Sharma</t>
  </si>
  <si>
    <t>1V5isuHEr5Q2yv5vw0JKrOuXcMRBOya_X</t>
  </si>
  <si>
    <t>https://drive.google.com/file/d/1V5isuHEr5Q2yv5vw0JKrOuXcMRBOya_X/view?usp=drivesdk</t>
  </si>
  <si>
    <t>Document successfully created; Document successfully merged; PDF created; Emails Sent: [To: sabhyatasharma567@gmail.com]; Run via form trigger as codectechnologies0@gmail.com; Timestamp: Sep 10, 2026 12:24 PM</t>
  </si>
  <si>
    <t>Sahil singh</t>
  </si>
  <si>
    <t>singhsahil56642@gmail.com</t>
  </si>
  <si>
    <t>1_z0J3ujixCvObmjGNlb__eXYocj1qhUy</t>
  </si>
  <si>
    <t>https://drive.google.com/file/d/1_z0J3ujixCvObmjGNlb__eXYocj1qhUy/view?usp=drivesdk</t>
  </si>
  <si>
    <t>Document successfully created; Document successfully merged; PDF created; Emails Sent: [To: singhsahil56642@gmail.com]; Run via form trigger as codectechnologies0@gmail.com; Timestamp: Sep 10, 2026 12:27 PM</t>
  </si>
  <si>
    <t>Haseeb Islam</t>
  </si>
  <si>
    <t>haseeb.25scs1003004190@iilm.edu</t>
  </si>
  <si>
    <t>18XLnayxDCD9FmHNaJHXr3sli1eKbZkpL</t>
  </si>
  <si>
    <t>https://drive.google.com/file/d/18XLnayxDCD9FmHNaJHXr3sli1eKbZkpL/view?usp=drivesdk</t>
  </si>
  <si>
    <t>Document successfully created; Document successfully merged; PDF created; Emails Sent: [To: haseeb.25scs1003004190@iilm.edu]; Run via form trigger as codectechnologies0@gmail.com; Timestamp: Sep 10, 2026 12:31 PM</t>
  </si>
  <si>
    <t>RUDRAKSH RITWIK MISHRA</t>
  </si>
  <si>
    <t>rudraksh.25scs1003000511@iilm.edu</t>
  </si>
  <si>
    <t>IILM UNIVERSITY Greater Noida</t>
  </si>
  <si>
    <t>156pqnnT3Dd4wAeXP2k-xiljkVgUZ6PQT</t>
  </si>
  <si>
    <t>https://drive.google.com/file/d/156pqnnT3Dd4wAeXP2k-xiljkVgUZ6PQT/view?usp=drivesdk</t>
  </si>
  <si>
    <t>Document successfully created; Document successfully merged; PDF created; Emails Sent: [To: rudraksh.25scs1003000511@iilm.edu]; Run via form trigger as codectechnologies0@gmail.com; Timestamp: Sep 10, 2026 12:32 PM</t>
  </si>
  <si>
    <t xml:space="preserve">Ayush pal </t>
  </si>
  <si>
    <t>ayush25scs1003003997@iilm.edu</t>
  </si>
  <si>
    <t>1LRdsqnlmfPZHHDEQfWRqObibonSW0cAR</t>
  </si>
  <si>
    <t>https://drive.google.com/file/d/1LRdsqnlmfPZHHDEQfWRqObibonSW0cAR/view?usp=drivesdk</t>
  </si>
  <si>
    <t>Document successfully created; Document successfully merged; PDF created; Emails Sent: [To: ayush25scs1003003997@iilm.edu]; Run via form trigger as codectechnologies0@gmail.com; Timestamp: Sep 10, 2026 12:33 PM</t>
  </si>
  <si>
    <t>Dhananjay Parashar</t>
  </si>
  <si>
    <t>dhananjay.25scs1003002877@iilm.edu</t>
  </si>
  <si>
    <t xml:space="preserve">Iilm, greater noida </t>
  </si>
  <si>
    <t>1l8SvHnHMazRAsp1oIBgzRdoGhlvL7O5M</t>
  </si>
  <si>
    <t>https://drive.google.com/file/d/1l8SvHnHMazRAsp1oIBgzRdoGhlvL7O5M/view?usp=drivesdk</t>
  </si>
  <si>
    <t>Document successfully created; Document successfully merged; PDF created; Emails Sent: [To: dhananjay.25scs1003002877@iilm.edu]; Run via form trigger as codectechnologies0@gmail.com; Timestamp: Sep 10, 2026 12:33 PM</t>
  </si>
  <si>
    <t>Ayushi mishra</t>
  </si>
  <si>
    <t>ayushi.25scs1003000851@iilm.edu</t>
  </si>
  <si>
    <t>1k27igHGY-uydqtYKfAG3X3Nf4hLWNsQO</t>
  </si>
  <si>
    <t>https://drive.google.com/file/d/1k27igHGY-uydqtYKfAG3X3Nf4hLWNsQO/view?usp=drivesdk</t>
  </si>
  <si>
    <t>Document successfully created; Document successfully merged; PDF created; Emails Sent: [To: ayushi.25scs1003000851@iilm.edu]; Run via form trigger as codectechnologies0@gmail.com; Timestamp: Sep 10, 2026 12:38 PM</t>
  </si>
  <si>
    <t>Sudhanshu kumar</t>
  </si>
  <si>
    <t>sudhanshu.25scs1003004635@iilm.edu</t>
  </si>
  <si>
    <t>1_CcGwYPdKNKHrkSnuAmOW0qd3MKQEbRa</t>
  </si>
  <si>
    <t>https://drive.google.com/file/d/1_CcGwYPdKNKHrkSnuAmOW0qd3MKQEbRa/view?usp=drivesdk</t>
  </si>
  <si>
    <t>Document successfully created; Document successfully merged; PDF created; Emails Sent: [To: sudhanshu.25scs1003004635@iilm.edu]; Run via form trigger as codectechnologies0@gmail.com; Timestamp: Sep 10, 2026 12:43 PM</t>
  </si>
  <si>
    <t xml:space="preserve">Anuj lavaniya   </t>
  </si>
  <si>
    <t>anuj.25scs1003000594@iilm.edu</t>
  </si>
  <si>
    <t>1q7roBGcqJExZKIWbgY1ZFsrbyrcK6vau</t>
  </si>
  <si>
    <t>https://drive.google.com/file/d/1q7roBGcqJExZKIWbgY1ZFsrbyrcK6vau/view?usp=drivesdk</t>
  </si>
  <si>
    <t>Document successfully created; Document successfully merged; PDF created; Emails Sent: [To: anuj.25scs1003000594@iilm.edu]; Run via form trigger as codectechnologies0@gmail.com; Timestamp: Sep 10, 2026 12:44 PM</t>
  </si>
  <si>
    <t xml:space="preserve">Pranjal Gangwar </t>
  </si>
  <si>
    <t>pranjal.25scs1003002880@iilm.edu</t>
  </si>
  <si>
    <t>1l7HxBXpuq38KINJwbiFvdAnaNp_p6jcU</t>
  </si>
  <si>
    <t>https://drive.google.com/file/d/1l7HxBXpuq38KINJwbiFvdAnaNp_p6jcU/view?usp=drivesdk</t>
  </si>
  <si>
    <t>Document successfully created; Document successfully merged; PDF created; Emails Sent: [To: pranjal.25scs1003002880@iilm.edu]; Run via form trigger as codectechnologies0@gmail.com; Timestamp: Sep 10, 2026 12:45 PM</t>
  </si>
  <si>
    <t xml:space="preserve">Prashant Verma </t>
  </si>
  <si>
    <t>prashant.25scs1003002883@iilm.edu</t>
  </si>
  <si>
    <t>1gwxhY4Bs0CnW_um_j-wTQBYHbfWcIFk2</t>
  </si>
  <si>
    <t>https://drive.google.com/file/d/1gwxhY4Bs0CnW_um_j-wTQBYHbfWcIFk2/view?usp=drivesdk</t>
  </si>
  <si>
    <t>Document successfully created; Document successfully merged; PDF created; Emails Sent: [To: prashant.25scs1003002883@iilm.edu]; Run via form trigger as codectechnologies0@gmail.com; Timestamp: Sep 10, 2026 12:46 PM</t>
  </si>
  <si>
    <t>Roam Jha</t>
  </si>
  <si>
    <t>jharoam1983@gmail.com</t>
  </si>
  <si>
    <t>18YMx-lI0jRfMPZ_PHgAnqCi6-KggWHN7</t>
  </si>
  <si>
    <t>https://drive.google.com/file/d/18YMx-lI0jRfMPZ_PHgAnqCi6-KggWHN7/view?usp=drivesdk</t>
  </si>
  <si>
    <t>Document successfully created; Document successfully merged; PDF created; Emails Sent: [To: jharoam1983@gmail.com]; Run via form trigger as codectechnologies0@gmail.com; Timestamp: Sep 10, 2026 12:47 PM</t>
  </si>
  <si>
    <t>Aryan Kumar</t>
  </si>
  <si>
    <t>aryan.25scs1003004027@iilm.edu</t>
  </si>
  <si>
    <t>+919709379140</t>
  </si>
  <si>
    <t>1pr2yPcD2_3MRM25KDeycEf7ZwW-Lxpvz</t>
  </si>
  <si>
    <t>https://drive.google.com/file/d/1pr2yPcD2_3MRM25KDeycEf7ZwW-Lxpvz/view?usp=drivesdk</t>
  </si>
  <si>
    <t>Document successfully created; Document successfully merged; PDF created; Emails Sent: [To: aryan.25scs1003004027@iilm.edu]; Run via form trigger as codectechnologies0@gmail.com; Timestamp: Sep 10, 2026 12:47 PM</t>
  </si>
  <si>
    <t>1RkwhlNVNLGNd-HSgsa_G5ldg0Ed30uuD</t>
  </si>
  <si>
    <t>https://drive.google.com/file/d/1RkwhlNVNLGNd-HSgsa_G5ldg0Ed30uuD/view?usp=drivesdk</t>
  </si>
  <si>
    <t>Document successfully created; Document successfully merged; PDF created; Emails Sent: [To: rajtribhuvanm1686@gmail.com]; Run via form trigger as codectechnologies0@gmail.com; Timestamp: Sep 10, 2026 12:47 PM</t>
  </si>
  <si>
    <t>Tarun Tomar</t>
  </si>
  <si>
    <t>tarun097563@gmail.com</t>
  </si>
  <si>
    <t>1R5EkdYdvGeu8uHG04LGba0mALA_eVW3G</t>
  </si>
  <si>
    <t>https://drive.google.com/file/d/1R5EkdYdvGeu8uHG04LGba0mALA_eVW3G/view?usp=drivesdk</t>
  </si>
  <si>
    <t>Document successfully created; Document successfully merged; PDF created; Emails Sent: [To: tarun097563@gmail.com]; Run via form trigger as codectechnologies0@gmail.com; Timestamp: Sep 10, 2026 12:48 PM</t>
  </si>
  <si>
    <t>gangwarpranjal2007@gmail.com</t>
  </si>
  <si>
    <t>1XL7bmm0wI1tSyjdv_JQ1IxuM7RHvWiIY</t>
  </si>
  <si>
    <t>https://drive.google.com/file/d/1XL7bmm0wI1tSyjdv_JQ1IxuM7RHvWiIY/view?usp=drivesdk</t>
  </si>
  <si>
    <t>Document successfully created; Document successfully merged; PDF created; Emails Sent: [To: gangwarpranjal2007@gmail.com]; Run via form trigger as codectechnologies0@gmail.com; Timestamp: Sep 10, 2026 12:53 PM</t>
  </si>
  <si>
    <t>mayur23432@gmail.com</t>
  </si>
  <si>
    <t>1yIyjC1hmbO2cUM4XzGjf4YeU9beID53G</t>
  </si>
  <si>
    <t>https://drive.google.com/file/d/1yIyjC1hmbO2cUM4XzGjf4YeU9beID53G/view?usp=drivesdk</t>
  </si>
  <si>
    <t>Document successfully created; Document successfully merged; PDF created; Emails Sent: [To: mayur23432@gmail.com]; Run via form trigger as codectechnologies0@gmail.com; Timestamp: Sep 10, 2026 12:54 PM</t>
  </si>
  <si>
    <t>1lcOwn7_da_OibdobiSCwNOUtjm7LD0Av</t>
  </si>
  <si>
    <t>https://drive.google.com/file/d/1lcOwn7_da_OibdobiSCwNOUtjm7LD0Av/view?usp=drivesdk</t>
  </si>
  <si>
    <t>Document successfully created; Document successfully merged; PDF created; Emails Sent: [To: prashant.25scs1003002883@iilm.edu]; Run via form trigger as codectechnologies0@gmail.com; Timestamp: Sep 10, 2026 12:56 PM</t>
  </si>
  <si>
    <t xml:space="preserve">Aryan Raj </t>
  </si>
  <si>
    <t>aryanraj24november@gmail.com</t>
  </si>
  <si>
    <t>17gPbcpfOfXxTnjiSm8Lu0R3GTqk9O1UQ</t>
  </si>
  <si>
    <t>https://drive.google.com/file/d/17gPbcpfOfXxTnjiSm8Lu0R3GTqk9O1UQ/view?usp=drivesdk</t>
  </si>
  <si>
    <t>Document successfully created; Document successfully merged; PDF created; Emails Sent: [To: aryanraj24november@gmail.com]; Run via form trigger as codectechnologies0@gmail.com; Timestamp: Sep 10, 2026 12:56 PM</t>
  </si>
  <si>
    <t>1I2jasS67jkhIWL5_iDNnV_3imUd6czjD</t>
  </si>
  <si>
    <t>https://drive.google.com/file/d/1I2jasS67jkhIWL5_iDNnV_3imUd6czjD/view?usp=drivesdk</t>
  </si>
  <si>
    <t>Document successfully created; Document successfully merged; PDF created; Emails Sent: [To: simran.25scs1003003555@iilm.edu]; Run via form trigger as codectechnologies0@gmail.com; Timestamp: Sep 10, 2026 1:04 PM</t>
  </si>
  <si>
    <t>Chris Sunil Macwan</t>
  </si>
  <si>
    <t>chris05macwan@gmail.com</t>
  </si>
  <si>
    <t>Anand Institute of Management and Information Science</t>
  </si>
  <si>
    <t>1ZLaVgCWFBw89Nu49EAu3tE6D-sZ1Vbnw</t>
  </si>
  <si>
    <t>https://drive.google.com/file/d/1ZLaVgCWFBw89Nu49EAu3tE6D-sZ1Vbnw/view?usp=drivesdk</t>
  </si>
  <si>
    <t>Document successfully created; Document successfully merged; PDF created; Emails Sent: [To: chris05macwan@gmail.com]; Run via form trigger as codectechnologies0@gmail.com; Timestamp: Sep 10, 2026 1:07 PM</t>
  </si>
  <si>
    <t xml:space="preserve">Alankar Mahila P.G Girls College </t>
  </si>
  <si>
    <t>1WsglIfYL0ptIdu0rP9oCQGwHlNIIV-xW</t>
  </si>
  <si>
    <t>https://drive.google.com/file/d/1WsglIfYL0ptIdu0rP9oCQGwHlNIIV-xW/view?usp=drivesdk</t>
  </si>
  <si>
    <t>Document successfully created; Document successfully merged; PDF created; Emails Sent: [To: divyabhailwal@gmail.com]; Run via form trigger as codectechnologies0@gmail.com; Timestamp: Sep 10, 2026 1:08 PM</t>
  </si>
  <si>
    <t>Aryan Mishra</t>
  </si>
  <si>
    <t>aryanizhere666@gmail.com</t>
  </si>
  <si>
    <t>1Y6CkuTPSDEi9BpDk2HLA6buXVls7vyL6</t>
  </si>
  <si>
    <t>https://drive.google.com/file/d/1Y6CkuTPSDEi9BpDk2HLA6buXVls7vyL6/view?usp=drivesdk</t>
  </si>
  <si>
    <t>Document successfully created; Document successfully merged; PDF created; Emails Sent: [To: aryanizhere666@gmail.com]; Run via form trigger as codectechnologies0@gmail.com; Timestamp: Sep 10, 2026 1:11 PM</t>
  </si>
  <si>
    <t>1i5Io8u17N0iyhaCXYGRaxkRNAo2maR4V</t>
  </si>
  <si>
    <t>https://drive.google.com/file/d/1i5Io8u17N0iyhaCXYGRaxkRNAo2maR4V/view?usp=drivesdk</t>
  </si>
  <si>
    <t>Document successfully created; Document successfully merged; PDF created; Emails Sent: [To: divyabhailwal@gmail.com]; Run via form trigger as codectechnologies0@gmail.com; Timestamp: Sep 10, 2026 1:11 PM</t>
  </si>
  <si>
    <t>Deepanshu</t>
  </si>
  <si>
    <t>deepanshu.25scs1003002559@iilm.edu</t>
  </si>
  <si>
    <t>1OfY5JqW7hlZG_kR3-lngw2GQ1TXxCIHD</t>
  </si>
  <si>
    <t>https://drive.google.com/file/d/1OfY5JqW7hlZG_kR3-lngw2GQ1TXxCIHD/view?usp=drivesdk</t>
  </si>
  <si>
    <t>Document successfully created; Document successfully merged; PDF created; Emails Sent: [To: deepanshu.25scs1003002559@iilm.edu]; Run via form trigger as codectechnologies0@gmail.com; Timestamp: Sep 10, 2026 1:12 PM</t>
  </si>
  <si>
    <t>Utsav</t>
  </si>
  <si>
    <t>utsavlatiyan68@gmail.com</t>
  </si>
  <si>
    <t xml:space="preserve">IILM UNIVERSITY , GREATER NOIDA </t>
  </si>
  <si>
    <t>1pBUdDcqapakXgCa5X_iZm_bI5ZQVASet</t>
  </si>
  <si>
    <t>https://drive.google.com/file/d/1pBUdDcqapakXgCa5X_iZm_bI5ZQVASet/view?usp=drivesdk</t>
  </si>
  <si>
    <t>Document successfully created; Document successfully merged; PDF created; Emails Sent: [To: utsavlatiyan68@gmail.com]; Run via form trigger as codectechnologies0@gmail.com; Timestamp: Sep 10, 2026 1:16 PM</t>
  </si>
  <si>
    <t>Saurabh yadav</t>
  </si>
  <si>
    <t>saurabh.yadav.cs28@iilm.edu</t>
  </si>
  <si>
    <t>LinkedIn, Email, AICTE/Indeed, Other</t>
  </si>
  <si>
    <t>1sRUaYZJNIgF-EDl_I3usNvP3FpRKR43C</t>
  </si>
  <si>
    <t>https://drive.google.com/file/d/1sRUaYZJNIgF-EDl_I3usNvP3FpRKR43C/view?usp=drivesdk</t>
  </si>
  <si>
    <t>Document successfully created; Document successfully merged; PDF created; Emails Sent: [To: saurabh.yadav.cs28@iilm.edu]; Run via form trigger as codectechnologies0@gmail.com; Timestamp: Sep 10, 2026 1:19 PM</t>
  </si>
  <si>
    <t>sweta kumari</t>
  </si>
  <si>
    <t>swetakri20061@gmail.com</t>
  </si>
  <si>
    <t>usha martin university ranchi</t>
  </si>
  <si>
    <t>1u78KrQKtcrPT5_PTv5Bmylo2jz_9Rqre</t>
  </si>
  <si>
    <t>https://drive.google.com/file/d/1u78KrQKtcrPT5_PTv5Bmylo2jz_9Rqre/view?usp=drivesdk</t>
  </si>
  <si>
    <t>Document successfully created; Document successfully merged; PDF created; Emails Sent: [To: swetakri20061@gmail.com]; Run via form trigger as codectechnologies0@gmail.com; Timestamp: Sep 10, 2026 1:21 PM</t>
  </si>
  <si>
    <t>Divya Yadav</t>
  </si>
  <si>
    <t>divyayadav2215@gmail.com</t>
  </si>
  <si>
    <t>11AB8BlwNR__YJrCLuo3UIC9e6MhfRHtS</t>
  </si>
  <si>
    <t>https://drive.google.com/file/d/11AB8BlwNR__YJrCLuo3UIC9e6MhfRHtS/view?usp=drivesdk</t>
  </si>
  <si>
    <t>Document successfully created; Document successfully merged; PDF created; Emails Sent: [To: divyayadav2215@gmail.com]; Run via form trigger as codectechnologies0@gmail.com; Timestamp: Sep 10, 2026 1:22 PM</t>
  </si>
  <si>
    <t>1SzXOxgAVrYOuEVya1864cGNtALla1WwO</t>
  </si>
  <si>
    <t>Document successfully created; Document successfully merged; PDF created; Run via form trigger as codectechnologies0@gmail.com; Timestamp: Jul 7, 2026 6:22 AM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</si>
</sst>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1">
    <font>
      <sz val="10.0"/>
      <color rgb="FF000000"/>
      <name val="Arial"/>
      <scheme val="minor"/>
    </font>
    <font>
      <color theme="1"/>
      <name val="Arial"/>
      <scheme val="minor"/>
    </font>
    <font>
      <b/>
      <i/>
      <color rgb="FF000000"/>
      <name val="Arial"/>
      <scheme val="minor"/>
    </font>
    <font>
      <color rgb="FFFF0000"/>
      <name val="Arial"/>
      <scheme val="minor"/>
    </font>
    <font>
      <b/>
      <i/>
      <color rgb="FF980000"/>
      <name val="Arial"/>
      <scheme val="minor"/>
    </font>
    <font>
      <b/>
      <color rgb="FFFF0000"/>
      <name val="Arial"/>
      <scheme val="minor"/>
    </font>
    <font>
      <u/>
      <color rgb="FF0000FF"/>
      <name val="Roboto"/>
    </font>
    <font>
      <u/>
      <color rgb="FF0000FF"/>
      <name val="Roboto"/>
    </font>
    <font>
      <b/>
      <color rgb="FF1F1F1F"/>
      <name val="Roboto"/>
    </font>
    <font>
      <b/>
      <color rgb="FF434343"/>
      <name val="Roboto"/>
    </font>
    <font>
      <b/>
      <color theme="1"/>
      <name val="Arial"/>
      <scheme val="minor"/>
    </font>
  </fonts>
  <fills count="5">
    <fill>
      <patternFill patternType="none"/>
    </fill>
    <fill>
      <patternFill patternType="lightGray"/>
    </fill>
    <fill>
      <patternFill patternType="solid">
        <fgColor rgb="FFEFEFEF"/>
        <bgColor rgb="FFEFEFEF"/>
      </patternFill>
    </fill>
    <fill>
      <patternFill patternType="solid">
        <fgColor rgb="FFFFFF00"/>
        <bgColor rgb="FFFFFF00"/>
      </patternFill>
    </fill>
    <fill>
      <patternFill patternType="solid">
        <fgColor rgb="FFFFFFFF"/>
        <bgColor rgb="FFFFFFFF"/>
      </patternFill>
    </fill>
  </fills>
  <borders count="3">
    <border/>
    <border>
      <left style="thin">
        <color rgb="FFF8F9FA"/>
      </left>
      <right style="thin">
        <color rgb="FFF8F9FA"/>
      </right>
      <top style="thin">
        <color rgb="FFF8F9FA"/>
      </top>
      <bottom style="thin">
        <color rgb="FFF8F9FA"/>
      </bottom>
    </border>
    <border>
      <left style="thin">
        <color rgb="FFFFFFFF"/>
      </left>
      <right style="thin">
        <color rgb="FFF8F9FA"/>
      </right>
      <top style="thin">
        <color rgb="FFF8F9FA"/>
      </top>
      <bottom style="thin">
        <color rgb="FFF8F9FA"/>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2" fontId="2" numFmtId="0" xfId="0" applyAlignment="1" applyFill="1" applyFont="1">
      <alignment horizontal="left" readingOrder="0" shrinkToFit="0" vertical="center" wrapText="0"/>
    </xf>
    <xf borderId="0" fillId="0" fontId="3" numFmtId="0" xfId="0" applyAlignment="1" applyFont="1">
      <alignment readingOrder="0" shrinkToFit="0" vertical="center" wrapText="0"/>
    </xf>
    <xf borderId="0" fillId="3" fontId="4" numFmtId="0" xfId="0" applyAlignment="1" applyFill="1" applyFont="1">
      <alignment readingOrder="0" shrinkToFit="0" vertical="center" wrapText="0"/>
    </xf>
    <xf borderId="0" fillId="3" fontId="3" numFmtId="0" xfId="0" applyAlignment="1" applyFill="1" applyFont="1">
      <alignment readingOrder="0" shrinkToFit="0" vertical="center" wrapText="0"/>
    </xf>
    <xf borderId="0" fillId="3" fontId="5" numFmtId="0" xfId="0" applyAlignment="1" applyFill="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6" numFmtId="0" xfId="0" applyAlignment="1" applyFont="1">
      <alignment readingOrder="0" shrinkToFit="0" vertical="center" wrapText="0"/>
    </xf>
    <xf borderId="0" fillId="0" fontId="7" numFmtId="0" xfId="0" applyAlignment="1" applyFont="1">
      <alignment shrinkToFit="0" vertical="center" wrapText="0"/>
    </xf>
    <xf borderId="1" fillId="4" fontId="8" numFmtId="0" xfId="0" applyAlignment="1" applyBorder="1" applyFill="1" applyFont="1">
      <alignment shrinkToFit="0" vertical="center" wrapText="0"/>
    </xf>
    <xf borderId="2" fillId="4" fontId="9" numFmtId="0" xfId="0" applyAlignment="1" applyBorder="1" applyFill="1" applyFont="1">
      <alignment shrinkToFit="0" vertical="center" wrapText="0"/>
    </xf>
    <xf quotePrefix="1" borderId="0" fillId="0" fontId="1" numFmtId="0" xfId="0" applyAlignment="1" applyFont="1">
      <alignment readingOrder="0" shrinkToFit="0" vertical="center" wrapText="0"/>
    </xf>
    <xf borderId="0" fillId="0" fontId="10"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S3265" displayName="Search_Your_Name_Here" name="Search_Your_Name_Here" id="1">
  <tableColumns count="19">
    <tableColumn name="Timestamp" id="1"/>
    <tableColumn name="Name" id="2"/>
    <tableColumn name="Internship Domain" id="3"/>
    <tableColumn name="Internship Duration" id="4"/>
    <tableColumn name="Date of Joining" id="5"/>
    <tableColumn name="Date of Ending  " id="6"/>
    <tableColumn name="Email" id="7"/>
    <tableColumn name="Contact Number" id="8"/>
    <tableColumn name="Gender" id="9"/>
    <tableColumn name=" Interested in Requesting a Letter of Recommendation?  " id="10"/>
    <tableColumn name="Current Education" id="11"/>
    <tableColumn name="Current Year" id="12"/>
    <tableColumn name="College Name" id="13"/>
    <tableColumn name="How did you hear about this internship? " id="14"/>
    <tableColumn name="Do you enrolled in this internship domain?" id="15"/>
    <tableColumn name="Merged Doc ID - OFFER LETTER" id="16"/>
    <tableColumn name="Merged Doc URL - OFFER LETTER" id="17"/>
    <tableColumn name="Link to merged Doc - OFFER LETTER" id="18"/>
    <tableColumn name="Document Merge Status - OFFER LETTER" id="19"/>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drive.google.com/file/d/1Q53CTWk8kE8QVZmUHukvC67Uouus5bPw/view?usp=drivesdk" TargetMode="External"/><Relationship Id="rId391" Type="http://schemas.openxmlformats.org/officeDocument/2006/relationships/hyperlink" Target="https://drive.google.com/file/d/1YSi8vQvinIvNjEVs3TlRqfloy0oDaSGa/view?usp=drivesdk" TargetMode="External"/><Relationship Id="rId390" Type="http://schemas.openxmlformats.org/officeDocument/2006/relationships/hyperlink" Target="https://drive.google.com/file/d/1Vl4AVykG4A1bPKdKmQ0OdFgqJay3Byz6/view?usp=drivesdk" TargetMode="External"/><Relationship Id="rId2180" Type="http://schemas.openxmlformats.org/officeDocument/2006/relationships/hyperlink" Target="https://drive.google.com/file/d/1mUGOsCqEovqu0SLpu50cz30uVXU1Zl1S/view?usp=drivesdk" TargetMode="External"/><Relationship Id="rId2181" Type="http://schemas.openxmlformats.org/officeDocument/2006/relationships/hyperlink" Target="https://drive.google.com/file/d/18F-J97js5g_iZgMMcHf4-FBsD82KUoZd/view?usp=drivesdk" TargetMode="External"/><Relationship Id="rId2182" Type="http://schemas.openxmlformats.org/officeDocument/2006/relationships/hyperlink" Target="https://drive.google.com/file/d/1SIkMCPNkqTV3BIv_2nu3I851TE-2RQqI/view?usp=drivesdk" TargetMode="External"/><Relationship Id="rId2183" Type="http://schemas.openxmlformats.org/officeDocument/2006/relationships/hyperlink" Target="https://drive.google.com/file/d/1MyP1MikCx7ks6Fc96x2cuJV92jmhpzJ6/view?usp=drivesdk" TargetMode="External"/><Relationship Id="rId385" Type="http://schemas.openxmlformats.org/officeDocument/2006/relationships/hyperlink" Target="https://drive.google.com/file/d/1gucm-VfsozHfjSw34xLQNZSaliOz-kYx/view?usp=drivesdk" TargetMode="External"/><Relationship Id="rId2184" Type="http://schemas.openxmlformats.org/officeDocument/2006/relationships/hyperlink" Target="https://drive.google.com/file/d/1BWdJzKwBeqQ9jOr6PfzEFwpP7RSlijWp/view?usp=drivesdk" TargetMode="External"/><Relationship Id="rId384" Type="http://schemas.openxmlformats.org/officeDocument/2006/relationships/hyperlink" Target="https://drive.google.com/file/d/1gHTccs7eiXRaxP0K8vJjRvq2EySsqQ1H/view?usp=drivesdk" TargetMode="External"/><Relationship Id="rId2185" Type="http://schemas.openxmlformats.org/officeDocument/2006/relationships/hyperlink" Target="https://drive.google.com/file/d/1Bvo67LdrpnCpyo2-xiJ75icpwP1I5NBt/view?usp=drivesdk" TargetMode="External"/><Relationship Id="rId383" Type="http://schemas.openxmlformats.org/officeDocument/2006/relationships/hyperlink" Target="http://b.sc/B.Com" TargetMode="External"/><Relationship Id="rId2186" Type="http://schemas.openxmlformats.org/officeDocument/2006/relationships/hyperlink" Target="https://drive.google.com/file/d/1ekNLOY_TkeUsYwZw9DpZcpFV5qy6iNav/view?usp=drivesdk" TargetMode="External"/><Relationship Id="rId382" Type="http://schemas.openxmlformats.org/officeDocument/2006/relationships/hyperlink" Target="https://drive.google.com/file/d/160JomycThAkXu7OGjbtzWsy3fNt7e3Bf/view?usp=drivesdk" TargetMode="External"/><Relationship Id="rId2187" Type="http://schemas.openxmlformats.org/officeDocument/2006/relationships/hyperlink" Target="https://drive.google.com/file/d/1mg7QHKu2WanCnLbXiBEumSfYjkXWCgBp/view?usp=drivesdk" TargetMode="External"/><Relationship Id="rId389" Type="http://schemas.openxmlformats.org/officeDocument/2006/relationships/hyperlink" Target="https://drive.google.com/file/d/1j-iXJfjPz0Poa76UR6UL4OTgdS_tTj0A/view?usp=drivesdk" TargetMode="External"/><Relationship Id="rId2188" Type="http://schemas.openxmlformats.org/officeDocument/2006/relationships/hyperlink" Target="https://drive.google.com/file/d/1lM6EBMzBmSUB2bVzlj-81gBKLnsOfwy1/view?usp=drivesdk" TargetMode="External"/><Relationship Id="rId388" Type="http://schemas.openxmlformats.org/officeDocument/2006/relationships/hyperlink" Target="https://drive.google.com/file/d/1r3aLbwnYecPou3yDDCoMObq_hB3ul5tc/view?usp=drivesdk" TargetMode="External"/><Relationship Id="rId2189" Type="http://schemas.openxmlformats.org/officeDocument/2006/relationships/hyperlink" Target="https://drive.google.com/file/d/1GJZ_M-SZ9bbuZrFSJ7cBmXZ9J4ffuoGb/view?usp=drivesdk" TargetMode="External"/><Relationship Id="rId387" Type="http://schemas.openxmlformats.org/officeDocument/2006/relationships/hyperlink" Target="https://drive.google.com/file/d/1kIU3mKc1Q3oKfRb1f7Vq0s4kqRcoMN_x/view?usp=drivesdk" TargetMode="External"/><Relationship Id="rId386" Type="http://schemas.openxmlformats.org/officeDocument/2006/relationships/hyperlink" Target="https://drive.google.com/file/d/1WVWK2iERebJZf6D1cL3mkyfqVFGcokzs/view?usp=drivesdk" TargetMode="External"/><Relationship Id="rId381" Type="http://schemas.openxmlformats.org/officeDocument/2006/relationships/hyperlink" Target="https://drive.google.com/file/d/1Mp6Qqy4_MHjLpU9Gnogl0ZgocYFRLGG0/view?usp=drivesdk" TargetMode="External"/><Relationship Id="rId380" Type="http://schemas.openxmlformats.org/officeDocument/2006/relationships/hyperlink" Target="https://drive.google.com/file/d/1HyLxYHt8g9MM0CwweVuK-zqq_Y1kMtNE/view?usp=drivesdk" TargetMode="External"/><Relationship Id="rId379" Type="http://schemas.openxmlformats.org/officeDocument/2006/relationships/hyperlink" Target="https://drive.google.com/file/d/10jY-GOYCrs7_JuKGSzQAOtg75g5LmEb6/view?usp=drivesdk" TargetMode="External"/><Relationship Id="rId2170" Type="http://schemas.openxmlformats.org/officeDocument/2006/relationships/hyperlink" Target="https://drive.google.com/file/d/1AGmXVdFXL53bPfR2uWvcN_sDugJvidm2/view?usp=drivesdk" TargetMode="External"/><Relationship Id="rId2171" Type="http://schemas.openxmlformats.org/officeDocument/2006/relationships/hyperlink" Target="http://m.sc/M.Com" TargetMode="External"/><Relationship Id="rId2172" Type="http://schemas.openxmlformats.org/officeDocument/2006/relationships/hyperlink" Target="https://drive.google.com/file/d/1efThgZAt6Rpnrq4Uv3R42W2otAII4yRH/view?usp=drivesdk" TargetMode="External"/><Relationship Id="rId374" Type="http://schemas.openxmlformats.org/officeDocument/2006/relationships/hyperlink" Target="http://b.sc/B.Com" TargetMode="External"/><Relationship Id="rId2173" Type="http://schemas.openxmlformats.org/officeDocument/2006/relationships/hyperlink" Target="https://drive.google.com/file/d/1jNaObCNCOcQZoxLkGFGBo9fjF5HcYwSw/view?usp=drivesdk" TargetMode="External"/><Relationship Id="rId373" Type="http://schemas.openxmlformats.org/officeDocument/2006/relationships/hyperlink" Target="https://drive.google.com/file/d/1GEH4AaLeFHz5K0ehAOOTiH_ZlEXbFwQ6/view?usp=drivesdk" TargetMode="External"/><Relationship Id="rId2174" Type="http://schemas.openxmlformats.org/officeDocument/2006/relationships/hyperlink" Target="https://drive.google.com/file/d/19zxBCHa-zgacK7Z4XQGDvgEjj0ZrUBz5/view?usp=drivesdk" TargetMode="External"/><Relationship Id="rId372" Type="http://schemas.openxmlformats.org/officeDocument/2006/relationships/hyperlink" Target="https://drive.google.com/file/d/1rq2NTfr4POpRLa91Te41_jWSV2qVwHB8/view?usp=drivesdk" TargetMode="External"/><Relationship Id="rId2175" Type="http://schemas.openxmlformats.org/officeDocument/2006/relationships/hyperlink" Target="https://drive.google.com/file/d/185ymkdiuprNE_8y0plEfT-PxUl0lqBAF/view?usp=drivesdk" TargetMode="External"/><Relationship Id="rId371" Type="http://schemas.openxmlformats.org/officeDocument/2006/relationships/hyperlink" Target="https://drive.google.com/file/d/1avQCTlCX7EPMCatTucGmyggwwt8DHLgv/view?usp=drivesdk" TargetMode="External"/><Relationship Id="rId2176" Type="http://schemas.openxmlformats.org/officeDocument/2006/relationships/hyperlink" Target="https://drive.google.com/file/d/1PXIUawKLU1g6R47t-O8_li11oMv3CoDw/view?usp=drivesdk" TargetMode="External"/><Relationship Id="rId378" Type="http://schemas.openxmlformats.org/officeDocument/2006/relationships/hyperlink" Target="https://drive.google.com/file/d/1bEEFvqLfxGWc7JfKae6WW8r4UQfDXfQS/view?usp=drivesdk" TargetMode="External"/><Relationship Id="rId2177" Type="http://schemas.openxmlformats.org/officeDocument/2006/relationships/hyperlink" Target="https://drive.google.com/file/d/1BVftXhCTTLqSqI3ZEnwzzbCJRzACUaEr/view?usp=drivesdk" TargetMode="External"/><Relationship Id="rId377" Type="http://schemas.openxmlformats.org/officeDocument/2006/relationships/hyperlink" Target="https://drive.google.com/file/d/1PzvJss7pDQZsltGsYBveQ-rLj6J77mUq/view?usp=drivesdk" TargetMode="External"/><Relationship Id="rId2178" Type="http://schemas.openxmlformats.org/officeDocument/2006/relationships/hyperlink" Target="https://drive.google.com/file/d/13Z3ORNjDWYg8t7FySFU8nc7B1B-IwZa1/view?usp=drivesdk" TargetMode="External"/><Relationship Id="rId376" Type="http://schemas.openxmlformats.org/officeDocument/2006/relationships/hyperlink" Target="https://drive.google.com/file/d/1pWNp4xtuKE9WtEMhx7to4wbX1Ndt7i90/view?usp=drivesdk" TargetMode="External"/><Relationship Id="rId2179" Type="http://schemas.openxmlformats.org/officeDocument/2006/relationships/hyperlink" Target="http://m.sc/M.Com" TargetMode="External"/><Relationship Id="rId375" Type="http://schemas.openxmlformats.org/officeDocument/2006/relationships/hyperlink" Target="https://drive.google.com/file/d/1JNUWG5ribVz3N0QfCbv---ioVhh9SGKl/view?usp=drivesdk" TargetMode="External"/><Relationship Id="rId2190" Type="http://schemas.openxmlformats.org/officeDocument/2006/relationships/hyperlink" Target="https://drive.google.com/file/d/1-PigLqob8TLgpQxMCF7DW3V66L6R84L-/view?usp=drivesdk" TargetMode="External"/><Relationship Id="rId2191" Type="http://schemas.openxmlformats.org/officeDocument/2006/relationships/hyperlink" Target="https://drive.google.com/file/d/1DYmr-35BZ4xdn5Ux5ybR2fE5TymzUDwf/view?usp=drivesdk" TargetMode="External"/><Relationship Id="rId2192" Type="http://schemas.openxmlformats.org/officeDocument/2006/relationships/hyperlink" Target="https://drive.google.com/file/d/1pvU5Wt39V4wCmBatbMklF2L7eQI1_5gG/view?usp=drivesdk" TargetMode="External"/><Relationship Id="rId2193" Type="http://schemas.openxmlformats.org/officeDocument/2006/relationships/hyperlink" Target="https://drive.google.com/file/d/1Ob1sTziQL3ITEVSO5bYAzDplD9lOQmrO/view?usp=drivesdk" TargetMode="External"/><Relationship Id="rId2194" Type="http://schemas.openxmlformats.org/officeDocument/2006/relationships/hyperlink" Target="https://drive.google.com/file/d/1Q5yMDgaIThQjhzOsUOSsuNIWwUS6v976/view?usp=drivesdk" TargetMode="External"/><Relationship Id="rId396" Type="http://schemas.openxmlformats.org/officeDocument/2006/relationships/hyperlink" Target="https://drive.google.com/file/d/1Cf3GVpmtzdu9Tr3LKspNv-QTXLKKs_3p/view?usp=drivesdk" TargetMode="External"/><Relationship Id="rId2195" Type="http://schemas.openxmlformats.org/officeDocument/2006/relationships/hyperlink" Target="https://drive.google.com/file/d/1xFAv0rdt0RZXCc6RqFleHmBkI0mQAkaZ/view?usp=drivesdk" TargetMode="External"/><Relationship Id="rId395" Type="http://schemas.openxmlformats.org/officeDocument/2006/relationships/hyperlink" Target="https://drive.google.com/file/d/1HY6YeP50_fcJAxOLvq0r6ylUlhUt9R1T/view?usp=drivesdk" TargetMode="External"/><Relationship Id="rId2196" Type="http://schemas.openxmlformats.org/officeDocument/2006/relationships/hyperlink" Target="https://drive.google.com/file/d/1hqTCoMJL4gxW_zpeGzdsgYo3l_JPfXmg/view?usp=drivesdk" TargetMode="External"/><Relationship Id="rId394" Type="http://schemas.openxmlformats.org/officeDocument/2006/relationships/hyperlink" Target="https://drive.google.com/file/d/1-qKW82oWV-5hUhXxSqAwRoSnyCFLSmkU/view?usp=drivesdk" TargetMode="External"/><Relationship Id="rId2197" Type="http://schemas.openxmlformats.org/officeDocument/2006/relationships/hyperlink" Target="https://drive.google.com/file/d/1AjcQVtrkG3cdidLlp9IL40gVFTGey4JY/view?usp=drivesdk" TargetMode="External"/><Relationship Id="rId393" Type="http://schemas.openxmlformats.org/officeDocument/2006/relationships/hyperlink" Target="https://drive.google.com/file/d/1HQ9y0PkvziWiHJcQsIeooCGDta_KYw_H/view?usp=drivesdk" TargetMode="External"/><Relationship Id="rId2198" Type="http://schemas.openxmlformats.org/officeDocument/2006/relationships/hyperlink" Target="https://drive.google.com/file/d/1Cm7SWTX9Zo7zOtqY-Pkb8rG6ElCZtdVB/view?usp=drivesdk" TargetMode="External"/><Relationship Id="rId2199" Type="http://schemas.openxmlformats.org/officeDocument/2006/relationships/hyperlink" Target="https://drive.google.com/file/d/1dAgP5OBodwHLgmhOL_cO4u9M5RXf4Vn-/view?usp=drivesdk" TargetMode="External"/><Relationship Id="rId399" Type="http://schemas.openxmlformats.org/officeDocument/2006/relationships/hyperlink" Target="https://drive.google.com/file/d/1WgRJncR_gei7B_ROIJsOPnTVU2qpMz6Q/view?usp=drivesdk" TargetMode="External"/><Relationship Id="rId398" Type="http://schemas.openxmlformats.org/officeDocument/2006/relationships/hyperlink" Target="https://drive.google.com/file/d/1KJwy4jd-itCqasOTfbfFunLBpzS2i7xJ/view?usp=drivesdk" TargetMode="External"/><Relationship Id="rId397" Type="http://schemas.openxmlformats.org/officeDocument/2006/relationships/hyperlink" Target="https://drive.google.com/file/d/1F61vGyvIhvniBON0h6upHUaJVyQIkvgU/view?usp=drivesdk" TargetMode="External"/><Relationship Id="rId1730" Type="http://schemas.openxmlformats.org/officeDocument/2006/relationships/hyperlink" Target="https://drive.google.com/file/d/1DAyDMJkU2fECWyYa6sduMdvpVJzdjTEP/view?usp=drivesdk" TargetMode="External"/><Relationship Id="rId1731" Type="http://schemas.openxmlformats.org/officeDocument/2006/relationships/hyperlink" Target="https://drive.google.com/file/d/1G2SPkhXPEP88UZt8GI9XmwuwW_TN6ZBo/view?usp=drivesdk" TargetMode="External"/><Relationship Id="rId1732" Type="http://schemas.openxmlformats.org/officeDocument/2006/relationships/hyperlink" Target="https://drive.google.com/file/d/1YeNSZ4UtcNF3h-5YXmBtJpbbf8FsImkV/view?usp=drivesdk" TargetMode="External"/><Relationship Id="rId1733" Type="http://schemas.openxmlformats.org/officeDocument/2006/relationships/hyperlink" Target="https://drive.google.com/file/d/1EPw1c09eV7jkHsLLvRk102GPmDilsLGv/view?usp=drivesdk" TargetMode="External"/><Relationship Id="rId1734" Type="http://schemas.openxmlformats.org/officeDocument/2006/relationships/hyperlink" Target="https://drive.google.com/file/d/1mhnD-kBldZwfj29VMPpik1kBdm68XD-j/view?usp=drivesdk" TargetMode="External"/><Relationship Id="rId1735" Type="http://schemas.openxmlformats.org/officeDocument/2006/relationships/hyperlink" Target="https://drive.google.com/file/d/1lgNB49-vMVnQGR1iDetM7CttwU6jTCdG/view?usp=drivesdk" TargetMode="External"/><Relationship Id="rId1736" Type="http://schemas.openxmlformats.org/officeDocument/2006/relationships/hyperlink" Target="https://drive.google.com/file/d/1KgXe-L0AsgiBsxAQwXnqEFG6FVzNoy1g/view?usp=drivesdk" TargetMode="External"/><Relationship Id="rId1737" Type="http://schemas.openxmlformats.org/officeDocument/2006/relationships/hyperlink" Target="https://drive.google.com/file/d/1-yFgklnFmDFY8f71kyxolLTCE72vYtFK/view?usp=drivesdk" TargetMode="External"/><Relationship Id="rId1738" Type="http://schemas.openxmlformats.org/officeDocument/2006/relationships/hyperlink" Target="https://drive.google.com/file/d/1XgZNMt30jc_j2I-_f_Xcv9_g7DUUfC8c/view?usp=drivesdk" TargetMode="External"/><Relationship Id="rId1739" Type="http://schemas.openxmlformats.org/officeDocument/2006/relationships/hyperlink" Target="https://drive.google.com/file/d/1Q3SMSd8z-Qpl2fA9FGZKzjNE8GZgkme7/view?usp=drivesdk" TargetMode="External"/><Relationship Id="rId1720" Type="http://schemas.openxmlformats.org/officeDocument/2006/relationships/hyperlink" Target="https://drive.google.com/file/d/1Fq3dtMi91dz8kgwK1PtwM2hLdIREQBLP/view?usp=drivesdk" TargetMode="External"/><Relationship Id="rId1721" Type="http://schemas.openxmlformats.org/officeDocument/2006/relationships/hyperlink" Target="https://drive.google.com/file/d/10mEnQUJdOc9rEF7lf5Xlrynr-XL4UidL/view?usp=drivesdk" TargetMode="External"/><Relationship Id="rId1722" Type="http://schemas.openxmlformats.org/officeDocument/2006/relationships/hyperlink" Target="https://drive.google.com/file/d/1VJ4rG2uFdFSlOtlGeYWepm4w75B9HsfT/view?usp=drivesdk" TargetMode="External"/><Relationship Id="rId1723" Type="http://schemas.openxmlformats.org/officeDocument/2006/relationships/hyperlink" Target="https://drive.google.com/file/d/1L8dcPqrSUbpr30EPXVvK24DmQYBQ2Wej/view?usp=drivesdk" TargetMode="External"/><Relationship Id="rId1724" Type="http://schemas.openxmlformats.org/officeDocument/2006/relationships/hyperlink" Target="https://drive.google.com/file/d/1MKkOx-bX3sxue8GOuNCXNyXsDwuZml1O/view?usp=drivesdk" TargetMode="External"/><Relationship Id="rId1725" Type="http://schemas.openxmlformats.org/officeDocument/2006/relationships/hyperlink" Target="https://drive.google.com/file/d/1FWRj-XnFOXPLGs8EsnMNQ-AdI3AsW5fW/view?usp=drivesdk" TargetMode="External"/><Relationship Id="rId1726" Type="http://schemas.openxmlformats.org/officeDocument/2006/relationships/hyperlink" Target="https://drive.google.com/file/d/1qjX0hK_lhUdHL3eRhpyB8zpCL3ZvEpoB/view?usp=drivesdk" TargetMode="External"/><Relationship Id="rId1727" Type="http://schemas.openxmlformats.org/officeDocument/2006/relationships/hyperlink" Target="https://drive.google.com/file/d/14AIyPZhy0GHlcHrDy-hOJ9pwHqFYq4GC/view?usp=drivesdk" TargetMode="External"/><Relationship Id="rId1728" Type="http://schemas.openxmlformats.org/officeDocument/2006/relationships/hyperlink" Target="https://drive.google.com/file/d/14lhkSY0lKJqHRwIU8alcfvtW0mvHTINr/view?usp=drivesdk" TargetMode="External"/><Relationship Id="rId1729" Type="http://schemas.openxmlformats.org/officeDocument/2006/relationships/hyperlink" Target="https://drive.google.com/file/d/18napSdNMNXE3TpCv3lAQf8K-adDxa2uy/view?usp=drivesdk" TargetMode="External"/><Relationship Id="rId1752" Type="http://schemas.openxmlformats.org/officeDocument/2006/relationships/hyperlink" Target="https://drive.google.com/file/d/1E3FsNob-gIopSz6kRhcMlZjwPyghAwsn/view?usp=drivesdk" TargetMode="External"/><Relationship Id="rId1753" Type="http://schemas.openxmlformats.org/officeDocument/2006/relationships/hyperlink" Target="https://drive.google.com/file/d/1JsqdjJFHiufama7594VFeUeq_Bngfl8N/view?usp=drivesdk" TargetMode="External"/><Relationship Id="rId1754" Type="http://schemas.openxmlformats.org/officeDocument/2006/relationships/hyperlink" Target="https://drive.google.com/file/d/1Dgnr6viFciR2eJdntOXj2IhXU0Ed1j3w/view?usp=drivesdk" TargetMode="External"/><Relationship Id="rId1755" Type="http://schemas.openxmlformats.org/officeDocument/2006/relationships/hyperlink" Target="https://drive.google.com/file/d/1MmiBVHrFjegk8skcuNCxyekUeMA19m_A/view?usp=drivesdk" TargetMode="External"/><Relationship Id="rId1756" Type="http://schemas.openxmlformats.org/officeDocument/2006/relationships/hyperlink" Target="https://drive.google.com/file/d/10ZN7Cjl1gPG4LrFlKgY2DiDSPwv-FckA/view?usp=drivesdk" TargetMode="External"/><Relationship Id="rId1757" Type="http://schemas.openxmlformats.org/officeDocument/2006/relationships/hyperlink" Target="https://drive.google.com/file/d/1A5-dg0069F1W2k4k6mrEc7NuyWL8uN3r/view?usp=drivesdk" TargetMode="External"/><Relationship Id="rId1758" Type="http://schemas.openxmlformats.org/officeDocument/2006/relationships/hyperlink" Target="https://drive.google.com/file/d/1y3ADNwthoEe9An2SI1r7Plqy2ZFh_qrB/view?usp=drivesdk" TargetMode="External"/><Relationship Id="rId1759" Type="http://schemas.openxmlformats.org/officeDocument/2006/relationships/hyperlink" Target="https://drive.google.com/file/d/1VKa8FLnfbkfXM2UIhwSOEUaXGRjH_2ca/view?usp=drivesdk" TargetMode="External"/><Relationship Id="rId1750" Type="http://schemas.openxmlformats.org/officeDocument/2006/relationships/hyperlink" Target="https://drive.google.com/file/d/1_OphQ2fJCDUGeRZBCTTH6rVzm0TF6QlX/view?usp=drivesdk" TargetMode="External"/><Relationship Id="rId1751" Type="http://schemas.openxmlformats.org/officeDocument/2006/relationships/hyperlink" Target="https://drive.google.com/file/d/13ZuJtU-hLyaLisA-eAKfJjctK4jSFrMV/view?usp=drivesdk" TargetMode="External"/><Relationship Id="rId1741" Type="http://schemas.openxmlformats.org/officeDocument/2006/relationships/hyperlink" Target="https://drive.google.com/file/d/16quLb2-Gu4s6ywQSproz7voZAP0tViDi/view?usp=drivesdk" TargetMode="External"/><Relationship Id="rId1742" Type="http://schemas.openxmlformats.org/officeDocument/2006/relationships/hyperlink" Target="https://drive.google.com/file/d/1gdpn8LHqlQrdSLckpeDaDPBXO3DwHX6S/view?usp=drivesdk" TargetMode="External"/><Relationship Id="rId1743" Type="http://schemas.openxmlformats.org/officeDocument/2006/relationships/hyperlink" Target="http://b.sc/B.Com" TargetMode="External"/><Relationship Id="rId1744" Type="http://schemas.openxmlformats.org/officeDocument/2006/relationships/hyperlink" Target="https://drive.google.com/file/d/1b1kwg9VlOWP8Y-wcacEk8iOEcXwuvyQW/view?usp=drivesdk" TargetMode="External"/><Relationship Id="rId1745" Type="http://schemas.openxmlformats.org/officeDocument/2006/relationships/hyperlink" Target="https://drive.google.com/file/d/12EBPQQAcas6xeXFtY9Hij8wMCuENvb7d/view?usp=drivesdk" TargetMode="External"/><Relationship Id="rId1746" Type="http://schemas.openxmlformats.org/officeDocument/2006/relationships/hyperlink" Target="https://drive.google.com/file/d/1fJwQ5Jgfvk_SObKhfQzoSf2NY_mko7h7/view?usp=drivesdk" TargetMode="External"/><Relationship Id="rId1747" Type="http://schemas.openxmlformats.org/officeDocument/2006/relationships/hyperlink" Target="https://drive.google.com/file/d/1vh2UyF6rUBp4MzQ9vH35EfR1mdwQgubS/view?usp=drivesdk" TargetMode="External"/><Relationship Id="rId1748" Type="http://schemas.openxmlformats.org/officeDocument/2006/relationships/hyperlink" Target="https://drive.google.com/file/d/1ZiSn53hB02rL-4lcGjQfnVUF3sjrQSQ9/view?usp=drivesdk" TargetMode="External"/><Relationship Id="rId1749" Type="http://schemas.openxmlformats.org/officeDocument/2006/relationships/hyperlink" Target="https://drive.google.com/file/d/1r10tc92stzVEn6oF4BqDCk2H2lTMcuVP/view?usp=drivesdk" TargetMode="External"/><Relationship Id="rId1740" Type="http://schemas.openxmlformats.org/officeDocument/2006/relationships/hyperlink" Target="http://b.sc/B.Com" TargetMode="External"/><Relationship Id="rId1710" Type="http://schemas.openxmlformats.org/officeDocument/2006/relationships/hyperlink" Target="http://m.sc/M.Com" TargetMode="External"/><Relationship Id="rId1711" Type="http://schemas.openxmlformats.org/officeDocument/2006/relationships/hyperlink" Target="https://drive.google.com/file/d/1-tv6byBVuFMJqwgHLlUJIajmp5h73Nia/view?usp=drivesdk" TargetMode="External"/><Relationship Id="rId1712" Type="http://schemas.openxmlformats.org/officeDocument/2006/relationships/hyperlink" Target="https://drive.google.com/file/d/1PoRRMtmmaqfO0I7O98DjOh5ur6kG6tzu/view?usp=drivesdk" TargetMode="External"/><Relationship Id="rId1713" Type="http://schemas.openxmlformats.org/officeDocument/2006/relationships/hyperlink" Target="https://drive.google.com/file/d/18kLZEdlV1pn5vDCNww_tGJOH0t2gvvwx/view?usp=drivesdk" TargetMode="External"/><Relationship Id="rId1714" Type="http://schemas.openxmlformats.org/officeDocument/2006/relationships/hyperlink" Target="https://drive.google.com/file/d/1V7GLHwMJFjUE8BqaUyIkqcC6Hmf0jDWz/view?usp=drivesdk" TargetMode="External"/><Relationship Id="rId1715" Type="http://schemas.openxmlformats.org/officeDocument/2006/relationships/hyperlink" Target="https://drive.google.com/file/d/1zJgymy1U4qEDx8QsrSkDqcoGti2zwf30/view?usp=drivesdk" TargetMode="External"/><Relationship Id="rId1716" Type="http://schemas.openxmlformats.org/officeDocument/2006/relationships/hyperlink" Target="https://drive.google.com/file/d/1VX1PtiFXBm9CKEUdM6KR7g6wThNphK28/view?usp=drivesdk" TargetMode="External"/><Relationship Id="rId1717" Type="http://schemas.openxmlformats.org/officeDocument/2006/relationships/hyperlink" Target="https://drive.google.com/file/d/1iAizVyaMlm8Sp3a7UHaWkFCWUZZGMyRI/view?usp=drivesdk" TargetMode="External"/><Relationship Id="rId1718" Type="http://schemas.openxmlformats.org/officeDocument/2006/relationships/hyperlink" Target="https://drive.google.com/file/d/1Ke_iIbaKoOKhQUH3NoIv-seTIDaOXT_t/view?usp=drivesdk" TargetMode="External"/><Relationship Id="rId1719" Type="http://schemas.openxmlformats.org/officeDocument/2006/relationships/hyperlink" Target="https://drive.google.com/file/d/1eHS0vAuwDbXdvLtEsTn0C0CktHsPuXkl/view?usp=drivesdk" TargetMode="External"/><Relationship Id="rId1700" Type="http://schemas.openxmlformats.org/officeDocument/2006/relationships/hyperlink" Target="https://drive.google.com/file/d/1c4ejDlrcRBdQdU3xi9FPEjLYYKXUu5B0/view?usp=drivesdk" TargetMode="External"/><Relationship Id="rId1701" Type="http://schemas.openxmlformats.org/officeDocument/2006/relationships/hyperlink" Target="https://drive.google.com/file/d/1M9tbKIa6uuojPB4GBL590MXGqRrOYg1V/view?usp=drivesdk" TargetMode="External"/><Relationship Id="rId1702" Type="http://schemas.openxmlformats.org/officeDocument/2006/relationships/hyperlink" Target="https://drive.google.com/file/d/1_CXs8qz--pV_Q82g6j1fnnG9cd1OtjAi/view?usp=drivesdk" TargetMode="External"/><Relationship Id="rId1703" Type="http://schemas.openxmlformats.org/officeDocument/2006/relationships/hyperlink" Target="https://drive.google.com/file/d/1vYURL7mYEDI-3C5ucsrvmqncc2BTeNwg/view?usp=drivesdk" TargetMode="External"/><Relationship Id="rId1704" Type="http://schemas.openxmlformats.org/officeDocument/2006/relationships/hyperlink" Target="https://drive.google.com/file/d/1Rtn458SAd0hIDKWip1-sa0-PL4EaFUum/view?usp=drivesdk" TargetMode="External"/><Relationship Id="rId1705" Type="http://schemas.openxmlformats.org/officeDocument/2006/relationships/hyperlink" Target="https://drive.google.com/file/d/1hjBRXP79R9SO4orRZV1TLQvsg4b2rn0Q/view?usp=drivesdk" TargetMode="External"/><Relationship Id="rId1706" Type="http://schemas.openxmlformats.org/officeDocument/2006/relationships/hyperlink" Target="https://drive.google.com/file/d/1BE8uvRpZnyXOcbjJ-KtMEKqZKWWOitiF/view?usp=drivesdk" TargetMode="External"/><Relationship Id="rId1707" Type="http://schemas.openxmlformats.org/officeDocument/2006/relationships/hyperlink" Target="https://drive.google.com/file/d/1pSimfbhLbrwT175bX4z5VGpVW-rftkfd/view?usp=drivesdk" TargetMode="External"/><Relationship Id="rId1708" Type="http://schemas.openxmlformats.org/officeDocument/2006/relationships/hyperlink" Target="https://drive.google.com/file/d/1Ltiugl16LB4tR_z0vDnJyopEffxbYy4v/view?usp=drivesdk" TargetMode="External"/><Relationship Id="rId1709" Type="http://schemas.openxmlformats.org/officeDocument/2006/relationships/hyperlink" Target="https://drive.google.com/file/d/1Az04Qt8o6im-x6YBpKRPvfod2r9eQtOi/view?usp=drivesdk" TargetMode="External"/><Relationship Id="rId40" Type="http://schemas.openxmlformats.org/officeDocument/2006/relationships/hyperlink" Target="https://drive.google.com/file/d/19kDNgva3bb4wfHRxGLopDXQ-DLCvm32V/view?usp=drivesdk" TargetMode="External"/><Relationship Id="rId42" Type="http://schemas.openxmlformats.org/officeDocument/2006/relationships/hyperlink" Target="https://drive.google.com/file/d/1STVk-_RgQmEIIJZ3Ywj32w-dLGPOIs_B/view?usp=drivesdk" TargetMode="External"/><Relationship Id="rId41" Type="http://schemas.openxmlformats.org/officeDocument/2006/relationships/hyperlink" Target="https://drive.google.com/file/d/15-IVofeaCzdob-oNHz7bvuU_ZwcOFxmN/view?usp=drivesdk" TargetMode="External"/><Relationship Id="rId44" Type="http://schemas.openxmlformats.org/officeDocument/2006/relationships/hyperlink" Target="https://drive.google.com/file/d/1f4QBAogh-3_Q_UkaUwgA2hR-un4PVz_e/view?usp=drivesdk" TargetMode="External"/><Relationship Id="rId43" Type="http://schemas.openxmlformats.org/officeDocument/2006/relationships/hyperlink" Target="https://drive.google.com/file/d/1BJNRuxlPg9Ch1TN7Ej9EyYqC9xYv_u5b/view?usp=drivesdk" TargetMode="External"/><Relationship Id="rId46" Type="http://schemas.openxmlformats.org/officeDocument/2006/relationships/hyperlink" Target="https://drive.google.com/file/d/1LpR8jHlJ7eXJeGbeNwUJtlzY_yDRbNIw/view?usp=drivesdk" TargetMode="External"/><Relationship Id="rId45" Type="http://schemas.openxmlformats.org/officeDocument/2006/relationships/hyperlink" Target="https://drive.google.com/file/d/1x4XQsEsOVBgW-EbtStwR_5hVL0NKKGo_/view?usp=drivesdk" TargetMode="External"/><Relationship Id="rId48" Type="http://schemas.openxmlformats.org/officeDocument/2006/relationships/hyperlink" Target="https://drive.google.com/file/d/1pKlQwPoln7rDHGD670Yrc4XHFN45VMGW/view?usp=drivesdk" TargetMode="External"/><Relationship Id="rId47" Type="http://schemas.openxmlformats.org/officeDocument/2006/relationships/hyperlink" Target="https://drive.google.com/file/d/1O1unHcOv-vKUo8whFPjCz-sE7NdHk98-/view?usp=drivesdk" TargetMode="External"/><Relationship Id="rId49" Type="http://schemas.openxmlformats.org/officeDocument/2006/relationships/hyperlink" Target="https://drive.google.com/file/d/1aTlq9lSI2mC315-EdmJM2i6BfYm-WWs2/view?usp=drivesdk" TargetMode="External"/><Relationship Id="rId31" Type="http://schemas.openxmlformats.org/officeDocument/2006/relationships/hyperlink" Target="https://drive.google.com/file/d/1fFtAAEWVyS-ACkj19vpNurWm9TVCQxqv/view?usp=drivesdk" TargetMode="External"/><Relationship Id="rId30" Type="http://schemas.openxmlformats.org/officeDocument/2006/relationships/hyperlink" Target="https://drive.google.com/file/d/1zbZ6kwkcFPl3-AM7UtXA05K4fV_64Wf7/view?usp=drivesdk" TargetMode="External"/><Relationship Id="rId33" Type="http://schemas.openxmlformats.org/officeDocument/2006/relationships/hyperlink" Target="https://drive.google.com/file/d/1U8_HER9H3DiLUptGC5nOzI2eUf3EL-Q9/view?usp=drivesdk" TargetMode="External"/><Relationship Id="rId32" Type="http://schemas.openxmlformats.org/officeDocument/2006/relationships/hyperlink" Target="https://drive.google.com/file/d/1SAcI5iof4HahkrO8XKBWyCoF4tUWNHeB/view?usp=drivesdk" TargetMode="External"/><Relationship Id="rId35" Type="http://schemas.openxmlformats.org/officeDocument/2006/relationships/hyperlink" Target="https://drive.google.com/file/d/19PviKfnxxyqfq03jPQb5lNHyRjv_nbr4/view?usp=drivesdk" TargetMode="External"/><Relationship Id="rId34" Type="http://schemas.openxmlformats.org/officeDocument/2006/relationships/hyperlink" Target="https://drive.google.com/file/d/1x9sU0cQhMqDWUTx0L8CEgG753CA0aVOw/view?usp=drivesdk" TargetMode="External"/><Relationship Id="rId37" Type="http://schemas.openxmlformats.org/officeDocument/2006/relationships/hyperlink" Target="https://drive.google.com/file/d/1UTtEak660_EP0tpoBK_bmaoDeRV-54ZN/view?usp=drivesdk" TargetMode="External"/><Relationship Id="rId36" Type="http://schemas.openxmlformats.org/officeDocument/2006/relationships/hyperlink" Target="https://drive.google.com/file/d/1_DF0h3KZ4cRhvo8PPVFvqIH2WvvEEM9P/view?usp=drivesdk" TargetMode="External"/><Relationship Id="rId39" Type="http://schemas.openxmlformats.org/officeDocument/2006/relationships/hyperlink" Target="https://drive.google.com/file/d/1-PyRwrP4fq3ZypPuKdK4IMUNae6XrwM_/view?usp=drivesdk" TargetMode="External"/><Relationship Id="rId38" Type="http://schemas.openxmlformats.org/officeDocument/2006/relationships/hyperlink" Target="https://drive.google.com/file/d/1gD_rreMll8CQqqv0t6TvVX_xvWQIqllE/view?usp=drivesdk" TargetMode="External"/><Relationship Id="rId2203" Type="http://schemas.openxmlformats.org/officeDocument/2006/relationships/hyperlink" Target="https://drive.google.com/file/d/1Ki20kHeIvqkSI2-S6_gQFzcNlPo-mroX/view?usp=drivesdk" TargetMode="External"/><Relationship Id="rId2204" Type="http://schemas.openxmlformats.org/officeDocument/2006/relationships/hyperlink" Target="https://drive.google.com/file/d/1TFiATOnWekqpLHk70LWKIUYwaQxtWJud/view?usp=drivesdk" TargetMode="External"/><Relationship Id="rId20" Type="http://schemas.openxmlformats.org/officeDocument/2006/relationships/hyperlink" Target="https://drive.google.com/file/d/1iDoyI-r7ixhFrCmOA_ReA7Cvfykp_xyc/view?usp=drivesdk" TargetMode="External"/><Relationship Id="rId2205" Type="http://schemas.openxmlformats.org/officeDocument/2006/relationships/hyperlink" Target="https://drive.google.com/file/d/1PtDWcPuakdXaL1WCXjBz8AgFx0WXf8Kk/view?usp=drivesdk" TargetMode="External"/><Relationship Id="rId2206" Type="http://schemas.openxmlformats.org/officeDocument/2006/relationships/hyperlink" Target="https://drive.google.com/file/d/1hglC_RcZ8eQNZZk4ioHeN5HR1UiJaCY9/view?usp=drivesdk" TargetMode="External"/><Relationship Id="rId22" Type="http://schemas.openxmlformats.org/officeDocument/2006/relationships/hyperlink" Target="https://drive.google.com/file/d/1JmFujo5enrWa9bdn6UszAAh_iVGNWzyj/view?usp=drivesdk" TargetMode="External"/><Relationship Id="rId2207" Type="http://schemas.openxmlformats.org/officeDocument/2006/relationships/hyperlink" Target="https://drive.google.com/file/d/1iSofhchcs-wbUc5VGjUl84Xv5DAfbTKT/view?usp=drivesdk" TargetMode="External"/><Relationship Id="rId21" Type="http://schemas.openxmlformats.org/officeDocument/2006/relationships/hyperlink" Target="https://drive.google.com/file/d/1QUMy9dFwSjdehIbad6dkvRPDxZhakaHL/view?usp=drivesdk" TargetMode="External"/><Relationship Id="rId2208" Type="http://schemas.openxmlformats.org/officeDocument/2006/relationships/hyperlink" Target="https://drive.google.com/file/d/1NqB9QII_XoLfRYTA6VnoOD0eSCS2grRC/view?usp=drivesdk" TargetMode="External"/><Relationship Id="rId24" Type="http://schemas.openxmlformats.org/officeDocument/2006/relationships/hyperlink" Target="https://drive.google.com/file/d/1z22MeThJLeu-nLN4fWjGonID-ypcIq8e/view?usp=drivesdk" TargetMode="External"/><Relationship Id="rId2209" Type="http://schemas.openxmlformats.org/officeDocument/2006/relationships/hyperlink" Target="https://drive.google.com/file/d/1wP0LIYxn7SyHxeKie1YVV_uec6_IRU_O/view?usp=drivesdk" TargetMode="External"/><Relationship Id="rId23" Type="http://schemas.openxmlformats.org/officeDocument/2006/relationships/hyperlink" Target="https://drive.google.com/file/d/1EpU99q4kCt_IEdUXa60bBURLwz1bYIy2/view?usp=drivesdk" TargetMode="External"/><Relationship Id="rId26" Type="http://schemas.openxmlformats.org/officeDocument/2006/relationships/hyperlink" Target="https://drive.google.com/file/d/10NGET9yd_cLojvdVSBeyGbA2yaJfNf76/view?usp=drivesdk" TargetMode="External"/><Relationship Id="rId25" Type="http://schemas.openxmlformats.org/officeDocument/2006/relationships/hyperlink" Target="https://drive.google.com/file/d/1pzTumrCmX9hbxWrzFKU1MNCAHNIHtlfn/view?usp=drivesdk" TargetMode="External"/><Relationship Id="rId28" Type="http://schemas.openxmlformats.org/officeDocument/2006/relationships/hyperlink" Target="https://drive.google.com/file/d/14BhH_KqLpSYgcslkCsxxEascuXe5aOIU/view?usp=drivesdk" TargetMode="External"/><Relationship Id="rId27" Type="http://schemas.openxmlformats.org/officeDocument/2006/relationships/hyperlink" Target="https://drive.google.com/file/d/13gF6R3jigqfcsx0N6sjk2TYYaoAQPVwl/view?usp=drivesdk" TargetMode="External"/><Relationship Id="rId29" Type="http://schemas.openxmlformats.org/officeDocument/2006/relationships/hyperlink" Target="https://drive.google.com/file/d/1482KXppSVik1BAid8AvO3zPaw9NEMMOy/view?usp=drivesdk" TargetMode="External"/><Relationship Id="rId2200" Type="http://schemas.openxmlformats.org/officeDocument/2006/relationships/hyperlink" Target="https://drive.google.com/file/d/1XKZRd_DNODlTvECXabTf0PHkkQa9kJCa/view?usp=drivesdk" TargetMode="External"/><Relationship Id="rId2201" Type="http://schemas.openxmlformats.org/officeDocument/2006/relationships/hyperlink" Target="https://drive.google.com/file/d/1aJizsVTKCrgnny14XtxCu8JsYC6SJrwj/view?usp=drivesdk" TargetMode="External"/><Relationship Id="rId2202" Type="http://schemas.openxmlformats.org/officeDocument/2006/relationships/hyperlink" Target="https://drive.google.com/file/d/1zBlYbrW0Afsk8EkrIBVUZWRIaBasqe_-/view?usp=drivesdk" TargetMode="External"/><Relationship Id="rId11" Type="http://schemas.openxmlformats.org/officeDocument/2006/relationships/hyperlink" Target="https://drive.google.com/file/d/1ifwKR1SIivrqz4ovPA4NHjRUVP8WL0L0/view?usp=drivesdk" TargetMode="External"/><Relationship Id="rId10" Type="http://schemas.openxmlformats.org/officeDocument/2006/relationships/hyperlink" Target="https://drive.google.com/file/d/1CFxXsElGbHTUaH2Hr0m92uXc01B3NKxS/view?usp=drivesdk" TargetMode="External"/><Relationship Id="rId13" Type="http://schemas.openxmlformats.org/officeDocument/2006/relationships/hyperlink" Target="https://drive.google.com/file/d/1HeAeG8zkMtQRHnAYMc5ZFymXzF4_HZcT/view?usp=drivesdk" TargetMode="External"/><Relationship Id="rId12" Type="http://schemas.openxmlformats.org/officeDocument/2006/relationships/hyperlink" Target="https://drive.google.com/file/d/1RZ6IYCm2V8IjJ25WZJrkE5i2iJLqbj4h/view?usp=drivesdk" TargetMode="External"/><Relationship Id="rId15" Type="http://schemas.openxmlformats.org/officeDocument/2006/relationships/hyperlink" Target="https://drive.google.com/file/d/1bBwq0zwatmTTzTkshQ4s_nfT2RGHUY1h/view?usp=drivesdk" TargetMode="External"/><Relationship Id="rId14" Type="http://schemas.openxmlformats.org/officeDocument/2006/relationships/hyperlink" Target="https://drive.google.com/file/d/11UsfIaAtuMqe0xOTvecJus7dkjuGanTZ/view?usp=drivesdk" TargetMode="External"/><Relationship Id="rId17" Type="http://schemas.openxmlformats.org/officeDocument/2006/relationships/hyperlink" Target="https://drive.google.com/file/d/1eOd2jhXxcxD8PyTb49rx_eGapDRVuw7h/view?usp=drivesdk" TargetMode="External"/><Relationship Id="rId16" Type="http://schemas.openxmlformats.org/officeDocument/2006/relationships/hyperlink" Target="https://drive.google.com/file/d/1PWVfCJ0QUdPvoEp8G9L2ApPNJ0FIDtSW/view?usp=drivesdk" TargetMode="External"/><Relationship Id="rId19" Type="http://schemas.openxmlformats.org/officeDocument/2006/relationships/hyperlink" Target="https://drive.google.com/file/d/1PCjRqjA2kD1uLtN9h_JmhaJL1JK-GbWv/view?usp=drivesdk" TargetMode="External"/><Relationship Id="rId18" Type="http://schemas.openxmlformats.org/officeDocument/2006/relationships/hyperlink" Target="https://drive.google.com/file/d/18zyolrrLG6W3K2VpoUR5Oo6j_s4y7nWO/view?usp=drivesdk" TargetMode="External"/><Relationship Id="rId84" Type="http://schemas.openxmlformats.org/officeDocument/2006/relationships/hyperlink" Target="https://drive.google.com/file/d/1ecaZUba7-L3QL3hhX5tr7bwB6cXpSDoU/view?usp=drivesdk" TargetMode="External"/><Relationship Id="rId1774" Type="http://schemas.openxmlformats.org/officeDocument/2006/relationships/hyperlink" Target="https://drive.google.com/file/d/19dwesrUD7nYGKkwKtGeIxSGZeLXi9JDa/view?usp=drivesdk" TargetMode="External"/><Relationship Id="rId83" Type="http://schemas.openxmlformats.org/officeDocument/2006/relationships/hyperlink" Target="https://drive.google.com/file/d/1-8cejfcPI1BkPe5PuoJPgOUCVW78Ts7F/view?usp=drivesdk" TargetMode="External"/><Relationship Id="rId1775" Type="http://schemas.openxmlformats.org/officeDocument/2006/relationships/hyperlink" Target="https://drive.google.com/file/d/1HjS8z8K71N54HucYxKgdOQtYGMhc9Ow7/view?usp=drivesdk" TargetMode="External"/><Relationship Id="rId86" Type="http://schemas.openxmlformats.org/officeDocument/2006/relationships/hyperlink" Target="https://drive.google.com/file/d/1jU2MRoeCwCmmMGgSSQZf-sXNfxil1WoR/view?usp=drivesdk" TargetMode="External"/><Relationship Id="rId1776" Type="http://schemas.openxmlformats.org/officeDocument/2006/relationships/hyperlink" Target="https://drive.google.com/file/d/1XcQd6uBbw_lV9OqcMckKWsQGCDeCx4I9/view?usp=drivesdk" TargetMode="External"/><Relationship Id="rId85" Type="http://schemas.openxmlformats.org/officeDocument/2006/relationships/hyperlink" Target="https://drive.google.com/file/d/1ELKNuxoZH0hD1QGT6JIPFiyOQI2COK9q/view?usp=drivesdk" TargetMode="External"/><Relationship Id="rId1777" Type="http://schemas.openxmlformats.org/officeDocument/2006/relationships/hyperlink" Target="https://drive.google.com/file/d/17-iZPBlB8u3c80etzAenatFOSNswwEvr/view?usp=drivesdk" TargetMode="External"/><Relationship Id="rId88" Type="http://schemas.openxmlformats.org/officeDocument/2006/relationships/hyperlink" Target="https://drive.google.com/file/d/16Rp3S9cOZgAVNvhQ8yKGy6uUzuAgbkZY/view?usp=drivesdk" TargetMode="External"/><Relationship Id="rId1778" Type="http://schemas.openxmlformats.org/officeDocument/2006/relationships/hyperlink" Target="https://drive.google.com/file/d/1BtlwF9llgmL3AVRcJAozv-QIlBFW-Xsl/view?usp=drivesdk" TargetMode="External"/><Relationship Id="rId87" Type="http://schemas.openxmlformats.org/officeDocument/2006/relationships/hyperlink" Target="https://drive.google.com/file/d/1JnRtaS0hi-imKTWQ7_3oT-ekUSyTzt8R/view?usp=drivesdk" TargetMode="External"/><Relationship Id="rId1779" Type="http://schemas.openxmlformats.org/officeDocument/2006/relationships/hyperlink" Target="https://drive.google.com/file/d/1n07pdT6NLArtAs12vNoAbubBrn6PBir5/view?usp=drivesdk" TargetMode="External"/><Relationship Id="rId89" Type="http://schemas.openxmlformats.org/officeDocument/2006/relationships/hyperlink" Target="https://drive.google.com/file/d/1odr0Z2v_3rVxgNv8B0wreJuLEi-b_BsN/view?usp=drivesdk" TargetMode="External"/><Relationship Id="rId80" Type="http://schemas.openxmlformats.org/officeDocument/2006/relationships/hyperlink" Target="https://drive.google.com/file/d/1u4NVP1kdwDfhGAWl8uZ3GzJE5kFxeYmW/view?usp=drivesdk" TargetMode="External"/><Relationship Id="rId82" Type="http://schemas.openxmlformats.org/officeDocument/2006/relationships/hyperlink" Target="https://drive.google.com/file/d/101N2cuE6e5ykx_z90pSVz09Fzug-h1pw/view?usp=drivesdk" TargetMode="External"/><Relationship Id="rId81" Type="http://schemas.openxmlformats.org/officeDocument/2006/relationships/hyperlink" Target="https://drive.google.com/file/d/182efA5rR0LMl8upnNuEmnnjiTTfD5agg/view?usp=drivesdk" TargetMode="External"/><Relationship Id="rId1770" Type="http://schemas.openxmlformats.org/officeDocument/2006/relationships/hyperlink" Target="https://drive.google.com/file/d/1xA1ObQ-ejHDd49wGToMhu5EzzKllXuba/view?usp=drivesdk" TargetMode="External"/><Relationship Id="rId1771" Type="http://schemas.openxmlformats.org/officeDocument/2006/relationships/hyperlink" Target="https://drive.google.com/file/d/1AeTlQoIMXUGWm0aIkZw7kLEc2_y5vNGR/view?usp=drivesdk" TargetMode="External"/><Relationship Id="rId1772" Type="http://schemas.openxmlformats.org/officeDocument/2006/relationships/hyperlink" Target="https://drive.google.com/file/d/1RQNkCoqty_f720n1hmZWsFVmtuLa5A6L/view?usp=drivesdk" TargetMode="External"/><Relationship Id="rId1773" Type="http://schemas.openxmlformats.org/officeDocument/2006/relationships/hyperlink" Target="https://drive.google.com/file/d/14clyHJU91vb8l3p1oQ5Nvyaccwi4nb0V/view?usp=drivesdk" TargetMode="External"/><Relationship Id="rId73" Type="http://schemas.openxmlformats.org/officeDocument/2006/relationships/hyperlink" Target="https://drive.google.com/file/d/1i-Nive_8Ax1lUJWp6iUD39lqD15X3zxK/view?usp=drivesdk" TargetMode="External"/><Relationship Id="rId1763" Type="http://schemas.openxmlformats.org/officeDocument/2006/relationships/hyperlink" Target="https://drive.google.com/file/d/1NxN7zXK2nMmUBjLrJmZKeRW0Y1XODbae/view?usp=drivesdk" TargetMode="External"/><Relationship Id="rId72" Type="http://schemas.openxmlformats.org/officeDocument/2006/relationships/hyperlink" Target="https://drive.google.com/file/d/1e-Wt3yXpAJvw2OkfPcL_4Tn3inanW48G/view?usp=drivesdk" TargetMode="External"/><Relationship Id="rId1764" Type="http://schemas.openxmlformats.org/officeDocument/2006/relationships/hyperlink" Target="https://drive.google.com/file/d/14N1ds7ubca1YSZEDNJuCSwXOcW8Ej40k/view?usp=drivesdk" TargetMode="External"/><Relationship Id="rId75" Type="http://schemas.openxmlformats.org/officeDocument/2006/relationships/hyperlink" Target="https://drive.google.com/file/d/1Ws1ZUxtPcIduumgwTpoD4numIwqpnSZo/view?usp=drivesdk" TargetMode="External"/><Relationship Id="rId1765" Type="http://schemas.openxmlformats.org/officeDocument/2006/relationships/hyperlink" Target="https://drive.google.com/file/d/1rV0CMUCeBGkzDxEGRCFF9VrreUDxEUUQ/view?usp=drivesdk" TargetMode="External"/><Relationship Id="rId74" Type="http://schemas.openxmlformats.org/officeDocument/2006/relationships/hyperlink" Target="https://drive.google.com/file/d/1CleXOVST16CIiCHQ58dwhj7nFw9c-eIX/view?usp=drivesdk" TargetMode="External"/><Relationship Id="rId1766" Type="http://schemas.openxmlformats.org/officeDocument/2006/relationships/hyperlink" Target="https://drive.google.com/file/d/1g3fDTQ8SPsdkCkGQY7y4oiyw4VY9vNTh/view?usp=drivesdk" TargetMode="External"/><Relationship Id="rId77" Type="http://schemas.openxmlformats.org/officeDocument/2006/relationships/hyperlink" Target="https://drive.google.com/file/d/1Hss444XpTOI757iF47LG9h63hP8GNk5F/view?usp=drivesdk" TargetMode="External"/><Relationship Id="rId1767" Type="http://schemas.openxmlformats.org/officeDocument/2006/relationships/hyperlink" Target="https://drive.google.com/file/d/1wsc-s2cDg7r_jPz6Vkw8Fd5V8MXrakp1/view?usp=drivesdk" TargetMode="External"/><Relationship Id="rId76" Type="http://schemas.openxmlformats.org/officeDocument/2006/relationships/hyperlink" Target="https://drive.google.com/file/d/1BEKxWk3pq6Bkpd1HwrLDn0OYG2XDE6HV/view?usp=drivesdk" TargetMode="External"/><Relationship Id="rId1768" Type="http://schemas.openxmlformats.org/officeDocument/2006/relationships/hyperlink" Target="https://drive.google.com/file/d/1fIyjUtMFo9-1BYOu0jFgwB4hcuReGUvj/view?usp=drivesdk" TargetMode="External"/><Relationship Id="rId79" Type="http://schemas.openxmlformats.org/officeDocument/2006/relationships/hyperlink" Target="https://drive.google.com/file/d/1Xg6Pu38mI4FkxYU2rd2p6w2GA3FeO83L/view?usp=drivesdk" TargetMode="External"/><Relationship Id="rId1769" Type="http://schemas.openxmlformats.org/officeDocument/2006/relationships/hyperlink" Target="https://drive.google.com/file/d/1BfTooQgPDEQ86K1R5hj53u-OzBd5HfQH/view?usp=drivesdk" TargetMode="External"/><Relationship Id="rId78" Type="http://schemas.openxmlformats.org/officeDocument/2006/relationships/hyperlink" Target="https://drive.google.com/file/d/1zO0hiKAoda5VTm035ePdSW-4BwTA9GGz/view?usp=drivesdk" TargetMode="External"/><Relationship Id="rId71" Type="http://schemas.openxmlformats.org/officeDocument/2006/relationships/hyperlink" Target="https://drive.google.com/file/d/1_iY-o4ieHxoIL-QNLslYOGjM4TeK-ghm/view?usp=drivesdk" TargetMode="External"/><Relationship Id="rId70" Type="http://schemas.openxmlformats.org/officeDocument/2006/relationships/hyperlink" Target="https://drive.google.com/file/d/1WIpywABzWsEF0olXl9jsQDp4Dh-WlseU/view?usp=drivesdk" TargetMode="External"/><Relationship Id="rId1760" Type="http://schemas.openxmlformats.org/officeDocument/2006/relationships/hyperlink" Target="https://drive.google.com/file/d/12MTka1vbkOifqTvVmgaVpAZnO1fbjIVG/view?usp=drivesdk" TargetMode="External"/><Relationship Id="rId1761" Type="http://schemas.openxmlformats.org/officeDocument/2006/relationships/hyperlink" Target="https://drive.google.com/file/d/1ctl8ErqeKMO9u_1GixQnhMEywzRbzs2T/view?usp=drivesdk" TargetMode="External"/><Relationship Id="rId1762" Type="http://schemas.openxmlformats.org/officeDocument/2006/relationships/hyperlink" Target="https://drive.google.com/file/d/1mYeYn10cWrzuWYIYampTy64YibC-X86A/view?usp=drivesdk" TargetMode="External"/><Relationship Id="rId62" Type="http://schemas.openxmlformats.org/officeDocument/2006/relationships/hyperlink" Target="https://drive.google.com/file/d/1-UWtkcGESJmGBh7Pp8o9ujDSex6vxX8T/view?usp=drivesdk" TargetMode="External"/><Relationship Id="rId1796" Type="http://schemas.openxmlformats.org/officeDocument/2006/relationships/hyperlink" Target="https://drive.google.com/file/d/1ws9cMXN_TEZapzBTluPDqOWEfwlN40_E/view?usp=drivesdk" TargetMode="External"/><Relationship Id="rId61" Type="http://schemas.openxmlformats.org/officeDocument/2006/relationships/hyperlink" Target="https://drive.google.com/file/d/1Y03xVcJCPK3ANx97zdQX4cFE79KsBGCv/view?usp=drivesdk" TargetMode="External"/><Relationship Id="rId1797" Type="http://schemas.openxmlformats.org/officeDocument/2006/relationships/hyperlink" Target="https://drive.google.com/file/d/1yyaRectA56FWORENZOY_6lYF-nPfZYBD/view?usp=drivesdk" TargetMode="External"/><Relationship Id="rId64" Type="http://schemas.openxmlformats.org/officeDocument/2006/relationships/hyperlink" Target="https://drive.google.com/file/d/1FZYsa9gzlsdcO2Bu5nGuxblvIqoQWuF9/view?usp=drivesdk" TargetMode="External"/><Relationship Id="rId1798" Type="http://schemas.openxmlformats.org/officeDocument/2006/relationships/hyperlink" Target="https://drive.google.com/file/d/1G_R_Dox70_v1zTpYB1Aj00Xz29mdZILJ/view?usp=drivesdk" TargetMode="External"/><Relationship Id="rId63" Type="http://schemas.openxmlformats.org/officeDocument/2006/relationships/hyperlink" Target="https://drive.google.com/file/d/13npMvLYhEGkx5YXkRX7NVUQSU8_icYYC/view?usp=drivesdk" TargetMode="External"/><Relationship Id="rId1799" Type="http://schemas.openxmlformats.org/officeDocument/2006/relationships/hyperlink" Target="http://m.sc/M.Com" TargetMode="External"/><Relationship Id="rId66" Type="http://schemas.openxmlformats.org/officeDocument/2006/relationships/hyperlink" Target="https://drive.google.com/file/d/1sz9JwTyxIWSLlsk1CvCK7lh8jW0fMbYi/view?usp=drivesdk" TargetMode="External"/><Relationship Id="rId65" Type="http://schemas.openxmlformats.org/officeDocument/2006/relationships/hyperlink" Target="https://drive.google.com/file/d/1bDrEtVBruvk6FV8HqFKve339-ZfPMM_p/view?usp=drivesdk" TargetMode="External"/><Relationship Id="rId68" Type="http://schemas.openxmlformats.org/officeDocument/2006/relationships/hyperlink" Target="https://drive.google.com/file/d/1VzPdp4FeqP1QTQbJqQLEaPxtazM-cflY/view?usp=drivesdk" TargetMode="External"/><Relationship Id="rId67" Type="http://schemas.openxmlformats.org/officeDocument/2006/relationships/hyperlink" Target="https://drive.google.com/file/d/1i8hlj-ajdOEgZc8uuHuKdhXIPPs94GDN/view?usp=drivesdk" TargetMode="External"/><Relationship Id="rId60" Type="http://schemas.openxmlformats.org/officeDocument/2006/relationships/hyperlink" Target="https://drive.google.com/file/d/13LcQT4OVqaiZUvIEuvueOaoDGMJP24CB/view?usp=drivesdk" TargetMode="External"/><Relationship Id="rId69" Type="http://schemas.openxmlformats.org/officeDocument/2006/relationships/hyperlink" Target="https://drive.google.com/file/d/1AxwX3pjcsbyLbf2NqV_XEwTanj0uR59M/view?usp=drivesdk" TargetMode="External"/><Relationship Id="rId1790" Type="http://schemas.openxmlformats.org/officeDocument/2006/relationships/hyperlink" Target="https://drive.google.com/file/d/1LHnemlMJFiYA3sA_gO__Rc-4-zKSlYBf/view?usp=drivesdk" TargetMode="External"/><Relationship Id="rId1791" Type="http://schemas.openxmlformats.org/officeDocument/2006/relationships/hyperlink" Target="https://drive.google.com/file/d/1be6hwNGWX5SnMARzF70f-r5rLhJrHfXA/view?usp=drivesdk" TargetMode="External"/><Relationship Id="rId1792" Type="http://schemas.openxmlformats.org/officeDocument/2006/relationships/hyperlink" Target="https://drive.google.com/file/d/1XkRHiXKf3cfQtFyQPKSFGULS5MsN5QfR/view?usp=drivesdk" TargetMode="External"/><Relationship Id="rId1793" Type="http://schemas.openxmlformats.org/officeDocument/2006/relationships/hyperlink" Target="https://drive.google.com/file/d/1QcTWvz3z2pWp2Ok2f8jK1cL_bp-f-LPM/view?usp=drivesdk" TargetMode="External"/><Relationship Id="rId1794" Type="http://schemas.openxmlformats.org/officeDocument/2006/relationships/hyperlink" Target="https://drive.google.com/file/d/1QSOhGRBC0YJfw_Mdx4m-IKFMS_o2QRPQ/view?usp=drivesdk" TargetMode="External"/><Relationship Id="rId1795" Type="http://schemas.openxmlformats.org/officeDocument/2006/relationships/hyperlink" Target="https://drive.google.com/file/d/1BRpmAHlErmRkme6OZJS38sxRO_XB6PUl/view?usp=drivesdk" TargetMode="External"/><Relationship Id="rId51" Type="http://schemas.openxmlformats.org/officeDocument/2006/relationships/hyperlink" Target="https://drive.google.com/file/d/1tGdxrmkaIJ9ID5-rdglxxueO2H5HUKeN/view?usp=drivesdk" TargetMode="External"/><Relationship Id="rId1785" Type="http://schemas.openxmlformats.org/officeDocument/2006/relationships/hyperlink" Target="https://drive.google.com/file/d/12l1nF76cGoI-UQezAT9zu99NQE0nnr6s/view?usp=drivesdk" TargetMode="External"/><Relationship Id="rId50" Type="http://schemas.openxmlformats.org/officeDocument/2006/relationships/hyperlink" Target="https://drive.google.com/file/d/15Ek7X6wFVza3wEDFjgKwAdTUktamRimI/view?usp=drivesdk" TargetMode="External"/><Relationship Id="rId1786" Type="http://schemas.openxmlformats.org/officeDocument/2006/relationships/hyperlink" Target="https://drive.google.com/file/d/1D59sFgxzkJURHXPVWbLoUHXo6ClQ3n0n/view?usp=drivesdk" TargetMode="External"/><Relationship Id="rId53" Type="http://schemas.openxmlformats.org/officeDocument/2006/relationships/hyperlink" Target="https://drive.google.com/file/d/1kLyWFLxGEKmMzDWl6N5wLELQ8OlDu527/view?usp=drivesdk" TargetMode="External"/><Relationship Id="rId1787" Type="http://schemas.openxmlformats.org/officeDocument/2006/relationships/hyperlink" Target="https://drive.google.com/file/d/1Q8ax8DF-Hc0g1JflGdEqNbGCa_3h2XU0/view?usp=drivesdk" TargetMode="External"/><Relationship Id="rId52" Type="http://schemas.openxmlformats.org/officeDocument/2006/relationships/hyperlink" Target="https://drive.google.com/file/d/1JbOyFDuaP-6CUulRYhDoo8qlFCkMocVv/view?usp=drivesdk" TargetMode="External"/><Relationship Id="rId1788" Type="http://schemas.openxmlformats.org/officeDocument/2006/relationships/hyperlink" Target="https://drive.google.com/file/d/12W3J93XTcCmM6O--osCFPnbSsRjpguqu/view?usp=drivesdk" TargetMode="External"/><Relationship Id="rId55" Type="http://schemas.openxmlformats.org/officeDocument/2006/relationships/hyperlink" Target="https://drive.google.com/file/d/1-Meu4WfPOEOTj42cz9vv83ilsKySR9bG/view?usp=drivesdk" TargetMode="External"/><Relationship Id="rId1789" Type="http://schemas.openxmlformats.org/officeDocument/2006/relationships/hyperlink" Target="https://drive.google.com/file/d/1a0qv-fjF-VBxaoNu2lUa6OcSRcveTggV/view?usp=drivesdk" TargetMode="External"/><Relationship Id="rId54" Type="http://schemas.openxmlformats.org/officeDocument/2006/relationships/hyperlink" Target="https://drive.google.com/file/d/1jG8OFmOHv2pOMcsxIylNkPZg87v6a6iL/view?usp=drivesdk" TargetMode="External"/><Relationship Id="rId57" Type="http://schemas.openxmlformats.org/officeDocument/2006/relationships/hyperlink" Target="http://b.sc/B.Com" TargetMode="External"/><Relationship Id="rId56" Type="http://schemas.openxmlformats.org/officeDocument/2006/relationships/hyperlink" Target="https://drive.google.com/file/d/1c_FJM7dhnB3XAYwSvr6tahmXdPrjOFoo/view?usp=drivesdk" TargetMode="External"/><Relationship Id="rId59" Type="http://schemas.openxmlformats.org/officeDocument/2006/relationships/hyperlink" Target="https://drive.google.com/file/d/1a3PHrKNduNNyzS0vnkFRmZrnt_AH84-3/view?usp=drivesdk" TargetMode="External"/><Relationship Id="rId58" Type="http://schemas.openxmlformats.org/officeDocument/2006/relationships/hyperlink" Target="https://drive.google.com/file/d/1y7zrlX8Q_M2jtwDKPfY42zSX4DT1Z3dl/view?usp=drivesdk" TargetMode="External"/><Relationship Id="rId1780" Type="http://schemas.openxmlformats.org/officeDocument/2006/relationships/hyperlink" Target="https://drive.google.com/file/d/1Hfi4BN7jY8xaKpphVj3xDSweZsqVMDT3/view?usp=drivesdk" TargetMode="External"/><Relationship Id="rId1781" Type="http://schemas.openxmlformats.org/officeDocument/2006/relationships/hyperlink" Target="https://drive.google.com/file/d/1HlMapQumguiXmAXTV5tqME-9FGZrMGuQ/view?usp=drivesdk" TargetMode="External"/><Relationship Id="rId1782" Type="http://schemas.openxmlformats.org/officeDocument/2006/relationships/hyperlink" Target="https://drive.google.com/file/d/1LyaUomGD3Lqn2z7izC5MknLAIlbupNfE/view?usp=drivesdk" TargetMode="External"/><Relationship Id="rId1783" Type="http://schemas.openxmlformats.org/officeDocument/2006/relationships/hyperlink" Target="https://drive.google.com/file/d/1kC6K6tUuC2tpfP7XVTWj5YzyjV6sg5pP/view?usp=drivesdk" TargetMode="External"/><Relationship Id="rId1784" Type="http://schemas.openxmlformats.org/officeDocument/2006/relationships/hyperlink" Target="https://drive.google.com/file/d/1UImlcptZ41QuDmujNKJ5sCqWfpWUe4Ke/view?usp=drivesdk" TargetMode="External"/><Relationship Id="rId2269" Type="http://schemas.openxmlformats.org/officeDocument/2006/relationships/hyperlink" Target="https://drive.google.com/file/d/1_af6tGbcOITLWwL9_tUoFT8Hpmyf8vB1/view?usp=drivesdk" TargetMode="External"/><Relationship Id="rId349" Type="http://schemas.openxmlformats.org/officeDocument/2006/relationships/hyperlink" Target="https://drive.google.com/file/d/1fwHX-H7KX1NZPxC2JbB4OvZPgqzJsJLI/view?usp=drivesdk" TargetMode="External"/><Relationship Id="rId348" Type="http://schemas.openxmlformats.org/officeDocument/2006/relationships/hyperlink" Target="https://drive.google.com/file/d/1DrY0sSiXtLQLnL2L67_HI8OJXHIJ1QZz/view?usp=drivesdk" TargetMode="External"/><Relationship Id="rId347" Type="http://schemas.openxmlformats.org/officeDocument/2006/relationships/hyperlink" Target="https://drive.google.com/file/d/177gAzw4VfbmvkJviHH9vmSDsPWGo8vUT/view?usp=drivesdk" TargetMode="External"/><Relationship Id="rId346" Type="http://schemas.openxmlformats.org/officeDocument/2006/relationships/hyperlink" Target="https://drive.google.com/file/d/1O_VbVdKiprzAmYG3riiuhlrZJl3fcYp2/view?usp=drivesdk" TargetMode="External"/><Relationship Id="rId2260" Type="http://schemas.openxmlformats.org/officeDocument/2006/relationships/hyperlink" Target="https://drive.google.com/file/d/1FDLNzh-NfHYJiOmJlK_gsbXgaVwBzGIm/view?usp=drivesdk" TargetMode="External"/><Relationship Id="rId341" Type="http://schemas.openxmlformats.org/officeDocument/2006/relationships/hyperlink" Target="https://drive.google.com/file/d/1MseloFcnVWSpnNbyIX18PKiU9pEPp6Fw/view?usp=drivesdk" TargetMode="External"/><Relationship Id="rId2261" Type="http://schemas.openxmlformats.org/officeDocument/2006/relationships/hyperlink" Target="https://drive.google.com/file/d/16Ctmmok1Bh2BJDoKAHeGTM_gILtH9xa1/view?usp=drivesdk" TargetMode="External"/><Relationship Id="rId340" Type="http://schemas.openxmlformats.org/officeDocument/2006/relationships/hyperlink" Target="https://drive.google.com/file/d/1QYy1WjbUlWufEVnPmkg6bGLV1YvbpirV/view?usp=drivesdk" TargetMode="External"/><Relationship Id="rId2262" Type="http://schemas.openxmlformats.org/officeDocument/2006/relationships/hyperlink" Target="https://drive.google.com/file/d/1A90F-TjceikkuQGtYIfrCCkvW8hTyHbt/view?usp=drivesdk" TargetMode="External"/><Relationship Id="rId2263" Type="http://schemas.openxmlformats.org/officeDocument/2006/relationships/hyperlink" Target="https://drive.google.com/file/d/1mc9t689f77nTLg_x4-8f3NuInRW7eW79/view?usp=drivesdk" TargetMode="External"/><Relationship Id="rId2264" Type="http://schemas.openxmlformats.org/officeDocument/2006/relationships/hyperlink" Target="https://drive.google.com/file/d/1w3y-LiYWXtNwWdCosYuJOZarjMm3_ijg/view?usp=drivesdk" TargetMode="External"/><Relationship Id="rId345" Type="http://schemas.openxmlformats.org/officeDocument/2006/relationships/hyperlink" Target="https://drive.google.com/file/d/12-GL6hOa5jtol3AVdsFUlnCapYGve9-k/view?usp=drivesdk" TargetMode="External"/><Relationship Id="rId2265" Type="http://schemas.openxmlformats.org/officeDocument/2006/relationships/hyperlink" Target="https://drive.google.com/file/d/1vOHm7a5jTrFtsh6czdgp20Qub9E7E9Fm/view?usp=drivesdk" TargetMode="External"/><Relationship Id="rId344" Type="http://schemas.openxmlformats.org/officeDocument/2006/relationships/hyperlink" Target="https://drive.google.com/file/d/1j-jU0gZqBTmj6cDqNd9CB6n2NIMkdYB8/view?usp=drivesdk" TargetMode="External"/><Relationship Id="rId2266" Type="http://schemas.openxmlformats.org/officeDocument/2006/relationships/hyperlink" Target="https://drive.google.com/file/d/15t0UHe2qY_OhgEeiNelqhL4G5xW0HJUq/view?usp=drivesdk" TargetMode="External"/><Relationship Id="rId343" Type="http://schemas.openxmlformats.org/officeDocument/2006/relationships/hyperlink" Target="https://drive.google.com/file/d/1dvKspey4B491l8cp5MndUbySIuzeUI8e/view?usp=drivesdk" TargetMode="External"/><Relationship Id="rId2267" Type="http://schemas.openxmlformats.org/officeDocument/2006/relationships/hyperlink" Target="https://drive.google.com/file/d/1mHbWP-D-5StK65G-Y_h_wPtCYL6WhlNL/view?usp=drivesdk" TargetMode="External"/><Relationship Id="rId342" Type="http://schemas.openxmlformats.org/officeDocument/2006/relationships/hyperlink" Target="https://drive.google.com/file/d/15KakqDAowvlZvvmTWIjQq145P8paNlfX/view?usp=drivesdk" TargetMode="External"/><Relationship Id="rId2268" Type="http://schemas.openxmlformats.org/officeDocument/2006/relationships/hyperlink" Target="https://drive.google.com/file/d/16kPPkvlsyO5ClZi7BslliT0eiDNCIKqt/view?usp=drivesdk" TargetMode="External"/><Relationship Id="rId2258" Type="http://schemas.openxmlformats.org/officeDocument/2006/relationships/hyperlink" Target="https://drive.google.com/file/d/1japk55Yh07kpZVGwJW7M-RPXe-eWeRSn/view?usp=drivesdk" TargetMode="External"/><Relationship Id="rId2259" Type="http://schemas.openxmlformats.org/officeDocument/2006/relationships/hyperlink" Target="https://drive.google.com/file/d/1Ic6Opu2X-ydKduXMk4FHXwsp7BR6WXsy/view?usp=drivesdk" TargetMode="External"/><Relationship Id="rId338" Type="http://schemas.openxmlformats.org/officeDocument/2006/relationships/hyperlink" Target="https://drive.google.com/file/d/1CJT2KrA3hBUciQxGX1dgWcHXQP_noH9R/view?usp=drivesdk" TargetMode="External"/><Relationship Id="rId337" Type="http://schemas.openxmlformats.org/officeDocument/2006/relationships/hyperlink" Target="https://drive.google.com/file/d/131y3ql6OIwc80cj0svBnuRW68RcBkIM7/view?usp=drivesdk" TargetMode="External"/><Relationship Id="rId336" Type="http://schemas.openxmlformats.org/officeDocument/2006/relationships/hyperlink" Target="https://drive.google.com/file/d/1zDilo9N_ayXyTQUe2ZLu4FeP5Lrnl_zH/view?usp=drivesdk" TargetMode="External"/><Relationship Id="rId335" Type="http://schemas.openxmlformats.org/officeDocument/2006/relationships/hyperlink" Target="https://drive.google.com/file/d/1Cl22VTomLyx2D1R60jbYwvwMZRY3OmJp/view?usp=drivesdk" TargetMode="External"/><Relationship Id="rId339" Type="http://schemas.openxmlformats.org/officeDocument/2006/relationships/hyperlink" Target="https://drive.google.com/file/d/1wJq2RFyGJNtkZgsmDA2HOlge4FAF_XGt/view?usp=drivesdk" TargetMode="External"/><Relationship Id="rId330" Type="http://schemas.openxmlformats.org/officeDocument/2006/relationships/hyperlink" Target="https://drive.google.com/file/d/1IRVSYZWVjl8kx53HJVxHfbcYo8Xepq2b/view?usp=drivesdk" TargetMode="External"/><Relationship Id="rId2250" Type="http://schemas.openxmlformats.org/officeDocument/2006/relationships/hyperlink" Target="https://drive.google.com/file/d/1aKf_eJ4LDjh4b65H3rmro96Kq5CJ3zsI/view?usp=drivesdk" TargetMode="External"/><Relationship Id="rId2251" Type="http://schemas.openxmlformats.org/officeDocument/2006/relationships/hyperlink" Target="https://drive.google.com/file/d/1b9xrszlCW2jiP5bN3rGswjOO2aHOwQ4p/view?usp=drivesdk" TargetMode="External"/><Relationship Id="rId2252" Type="http://schemas.openxmlformats.org/officeDocument/2006/relationships/hyperlink" Target="https://drive.google.com/file/d/1gUUzTpEsj34qEeq4VzGIHM5SQx804C_1/view?usp=drivesdk" TargetMode="External"/><Relationship Id="rId2253" Type="http://schemas.openxmlformats.org/officeDocument/2006/relationships/hyperlink" Target="https://drive.google.com/file/d/13Pp_Wxao8Ppq4oJBxHb4H-LOAza7YkmT/view?usp=drivesdk" TargetMode="External"/><Relationship Id="rId334" Type="http://schemas.openxmlformats.org/officeDocument/2006/relationships/hyperlink" Target="https://drive.google.com/file/d/11noc2dmb75C5mzofkyKeEuqbot1JU7tc/view?usp=drivesdk" TargetMode="External"/><Relationship Id="rId2254" Type="http://schemas.openxmlformats.org/officeDocument/2006/relationships/hyperlink" Target="https://drive.google.com/file/d/1-awmVZJ1lRe_KktpZBlGmHowLcHCBP2k/view?usp=drivesdk" TargetMode="External"/><Relationship Id="rId333" Type="http://schemas.openxmlformats.org/officeDocument/2006/relationships/hyperlink" Target="https://drive.google.com/file/d/16A19w21drpLNKFxkdjbDLHaxITBhdn6q/view?usp=drivesdk" TargetMode="External"/><Relationship Id="rId2255" Type="http://schemas.openxmlformats.org/officeDocument/2006/relationships/hyperlink" Target="https://drive.google.com/file/d/1ZKNMExG6yg4SUIGafVIzKfUB7yPkoPM6/view?usp=drivesdk" TargetMode="External"/><Relationship Id="rId332" Type="http://schemas.openxmlformats.org/officeDocument/2006/relationships/hyperlink" Target="https://drive.google.com/file/d/1EwSOF8JketLEF3tmrPjheyJNB7qQT2fu/view?usp=drivesdk" TargetMode="External"/><Relationship Id="rId2256" Type="http://schemas.openxmlformats.org/officeDocument/2006/relationships/hyperlink" Target="https://drive.google.com/file/d/1bpixZTGN1T-GuCBwzTkGks-4ZIkphye_/view?usp=drivesdk" TargetMode="External"/><Relationship Id="rId331" Type="http://schemas.openxmlformats.org/officeDocument/2006/relationships/hyperlink" Target="https://drive.google.com/file/d/1CN2ZWZtrcJgKlzt62Kbts3368Iz6Dyjl/view?usp=drivesdk" TargetMode="External"/><Relationship Id="rId2257" Type="http://schemas.openxmlformats.org/officeDocument/2006/relationships/hyperlink" Target="https://drive.google.com/file/d/1RoMeFtf-WR2IDlfmoEormddfYfpCeSxw/view?usp=drivesdk" TargetMode="External"/><Relationship Id="rId370" Type="http://schemas.openxmlformats.org/officeDocument/2006/relationships/hyperlink" Target="https://drive.google.com/file/d/1YJjup1lucUGnJ7WVhReeJSFeJyEgLttk/view?usp=drivesdk" TargetMode="External"/><Relationship Id="rId369" Type="http://schemas.openxmlformats.org/officeDocument/2006/relationships/hyperlink" Target="https://drive.google.com/file/d/1f4G_BJ2680Ne8Y1Ac_cUGc6NbS3vkfYc/view?usp=drivesdk" TargetMode="External"/><Relationship Id="rId368" Type="http://schemas.openxmlformats.org/officeDocument/2006/relationships/hyperlink" Target="https://drive.google.com/file/d/1Er_9YuGsFA5tXFXFkoFt4MCMRqOf8m0u/view?usp=drivesdk" TargetMode="External"/><Relationship Id="rId2280" Type="http://schemas.openxmlformats.org/officeDocument/2006/relationships/hyperlink" Target="https://drive.google.com/file/d/1C_2i1mUYKQjHiy_q70yKHnvsZrpZ6mEd/view?usp=drivesdk" TargetMode="External"/><Relationship Id="rId2281" Type="http://schemas.openxmlformats.org/officeDocument/2006/relationships/hyperlink" Target="https://drive.google.com/file/d/1uoYaYmJbAeSRNrMDPdRmMUfzvPMmHTAb/view?usp=drivesdk" TargetMode="External"/><Relationship Id="rId2282" Type="http://schemas.openxmlformats.org/officeDocument/2006/relationships/hyperlink" Target="https://drive.google.com/file/d/1tyU8eoQ51D9zdNHwzpe1YAzhQlH_UNdV/view?usp=drivesdk" TargetMode="External"/><Relationship Id="rId363" Type="http://schemas.openxmlformats.org/officeDocument/2006/relationships/hyperlink" Target="https://drive.google.com/file/d/19VSQNInbzVobhiK0GI8IgbFczA2UOJSr/view?usp=drivesdk" TargetMode="External"/><Relationship Id="rId2283" Type="http://schemas.openxmlformats.org/officeDocument/2006/relationships/hyperlink" Target="https://drive.google.com/file/d/12CaZzNdJDS8jAaSX8Z9iRDeLwHTxJ1m_/view?usp=drivesdk" TargetMode="External"/><Relationship Id="rId362" Type="http://schemas.openxmlformats.org/officeDocument/2006/relationships/hyperlink" Target="https://drive.google.com/file/d/1zTfGioOM3-aofjcWgPhfk9xSson12FMz/view?usp=drivesdk" TargetMode="External"/><Relationship Id="rId2284" Type="http://schemas.openxmlformats.org/officeDocument/2006/relationships/hyperlink" Target="https://drive.google.com/file/d/1NJNc6LkalqOKLOZPhWYwrwQhIkuz6CX6/view?usp=drivesdk" TargetMode="External"/><Relationship Id="rId361" Type="http://schemas.openxmlformats.org/officeDocument/2006/relationships/hyperlink" Target="https://drive.google.com/file/d/1FjF1zPyzeM-vcusNThf-icd2_Es4oCGG/view?usp=drivesdk" TargetMode="External"/><Relationship Id="rId2285" Type="http://schemas.openxmlformats.org/officeDocument/2006/relationships/hyperlink" Target="https://drive.google.com/file/d/1JU6kgiN7k8lVXpEm4wuKnTAvzgYs37eY/view?usp=drivesdk" TargetMode="External"/><Relationship Id="rId360" Type="http://schemas.openxmlformats.org/officeDocument/2006/relationships/hyperlink" Target="https://drive.google.com/file/d/17jh7jei_x6kXZfncu1xnHE8FycKno_-U/view?usp=drivesdk" TargetMode="External"/><Relationship Id="rId2286" Type="http://schemas.openxmlformats.org/officeDocument/2006/relationships/hyperlink" Target="https://drive.google.com/file/d/1IFZ3CzfGa-YDaDnDhThENJjrjx39iJbF/view?usp=drivesdk" TargetMode="External"/><Relationship Id="rId367" Type="http://schemas.openxmlformats.org/officeDocument/2006/relationships/hyperlink" Target="https://drive.google.com/file/d/1FLj6rYPHFzoEDAhxeaUZiYsanZjIFCHg/view?usp=drivesdk" TargetMode="External"/><Relationship Id="rId2287" Type="http://schemas.openxmlformats.org/officeDocument/2006/relationships/hyperlink" Target="https://drive.google.com/file/d/1V92ZPkLBatVGpcZeUJsPYYW0Ad3c27ig/view?usp=drivesdk" TargetMode="External"/><Relationship Id="rId366" Type="http://schemas.openxmlformats.org/officeDocument/2006/relationships/hyperlink" Target="https://drive.google.com/file/d/12iN52ECGCFudbGg3iQY8tZo22frvshAI/view?usp=drivesdk" TargetMode="External"/><Relationship Id="rId2288" Type="http://schemas.openxmlformats.org/officeDocument/2006/relationships/hyperlink" Target="https://drive.google.com/file/d/1Lb7rvVp6dp1FtfgvxgHsRnMOJy4KF3xJ/view?usp=drivesdk" TargetMode="External"/><Relationship Id="rId365" Type="http://schemas.openxmlformats.org/officeDocument/2006/relationships/hyperlink" Target="https://drive.google.com/file/d/18vSvMZpDSjfNtYqJcr1Qw-uVNzVUGtG3/view?usp=drivesdk" TargetMode="External"/><Relationship Id="rId2289" Type="http://schemas.openxmlformats.org/officeDocument/2006/relationships/hyperlink" Target="https://drive.google.com/file/d/11VO1ElDMFgJSTmjvnn_F5GBOlWf08wln/view?usp=drivesdk" TargetMode="External"/><Relationship Id="rId364" Type="http://schemas.openxmlformats.org/officeDocument/2006/relationships/hyperlink" Target="https://drive.google.com/file/d/1Gj0fTyIUUoTtphQhTXbek7bZaTWhiMPe/view?usp=drivesdk" TargetMode="External"/><Relationship Id="rId95" Type="http://schemas.openxmlformats.org/officeDocument/2006/relationships/hyperlink" Target="https://drive.google.com/file/d/1tvwqs9jMvmsdfVf9X360qt2MSmCkaN15/view?usp=drivesdk" TargetMode="External"/><Relationship Id="rId94" Type="http://schemas.openxmlformats.org/officeDocument/2006/relationships/hyperlink" Target="https://drive.google.com/file/d/1Uavb4oUVpLRRdwLiHv5DTNwEK6-inqU4/view?usp=drivesdk" TargetMode="External"/><Relationship Id="rId97" Type="http://schemas.openxmlformats.org/officeDocument/2006/relationships/hyperlink" Target="https://drive.google.com/file/d/1ZGdTn8YYbqokJz5PAW2j2eDEl37BBORA/view?usp=drivesdk" TargetMode="External"/><Relationship Id="rId96" Type="http://schemas.openxmlformats.org/officeDocument/2006/relationships/hyperlink" Target="http://m.sc/M.Com" TargetMode="External"/><Relationship Id="rId99" Type="http://schemas.openxmlformats.org/officeDocument/2006/relationships/hyperlink" Target="https://drive.google.com/file/d/1CdrFM_My5zYyD-DUdqmijOBKBiDKQ50T/view?usp=drivesdk" TargetMode="External"/><Relationship Id="rId98" Type="http://schemas.openxmlformats.org/officeDocument/2006/relationships/hyperlink" Target="https://drive.google.com/file/d/1zyGB1PMI7T7YN3FR6xDdMD--v20GE87Q/view?usp=drivesdk" TargetMode="External"/><Relationship Id="rId91" Type="http://schemas.openxmlformats.org/officeDocument/2006/relationships/hyperlink" Target="https://drive.google.com/file/d/1fStPY3XYdrN-iS80EyWC3IxfQwc496Ug/view?usp=drivesdk" TargetMode="External"/><Relationship Id="rId90" Type="http://schemas.openxmlformats.org/officeDocument/2006/relationships/hyperlink" Target="https://drive.google.com/file/d/1d6qjr4mkWDeMpYmnX58qhU4_WkYqSi9X/view?usp=drivesdk" TargetMode="External"/><Relationship Id="rId93" Type="http://schemas.openxmlformats.org/officeDocument/2006/relationships/hyperlink" Target="https://drive.google.com/file/d/1FWRkSHgfOC5SVsjsIC0iPeCtm0DCCAbG/view?usp=drivesdk" TargetMode="External"/><Relationship Id="rId92" Type="http://schemas.openxmlformats.org/officeDocument/2006/relationships/hyperlink" Target="https://drive.google.com/file/d/1ICas30Jlsgrm35ZPqtPr1N0j8mIk06bm/view?usp=drivesdk" TargetMode="External"/><Relationship Id="rId359" Type="http://schemas.openxmlformats.org/officeDocument/2006/relationships/hyperlink" Target="https://drive.google.com/file/d/1FeB5qxBiyzAP79Hch5sQCOoYIQBUGuQZ/view?usp=drivesdk" TargetMode="External"/><Relationship Id="rId358" Type="http://schemas.openxmlformats.org/officeDocument/2006/relationships/hyperlink" Target="https://drive.google.com/file/d/1iDELeI4jLxcqn06xK1aYlxu_N5R07wBw/view?usp=drivesdk" TargetMode="External"/><Relationship Id="rId357" Type="http://schemas.openxmlformats.org/officeDocument/2006/relationships/hyperlink" Target="https://drive.google.com/file/d/1Sc2TUPhwdiLBLarRfO72eZMmePdwGWwj/view?usp=drivesdk" TargetMode="External"/><Relationship Id="rId2270" Type="http://schemas.openxmlformats.org/officeDocument/2006/relationships/hyperlink" Target="https://drive.google.com/file/d/1r2Ao9zQmc8U0GG0Nuoqt12YWQwFEoVOr/view?usp=drivesdk" TargetMode="External"/><Relationship Id="rId2271" Type="http://schemas.openxmlformats.org/officeDocument/2006/relationships/hyperlink" Target="https://drive.google.com/file/d/1ORxzvb1Wdnpdibsl3BZ-WqO6XQEfBES9/view?usp=drivesdk" TargetMode="External"/><Relationship Id="rId352" Type="http://schemas.openxmlformats.org/officeDocument/2006/relationships/hyperlink" Target="https://drive.google.com/file/d/1IY_zYl--HY_4Lj15iyw_P2rne6pDvd0J/view?usp=drivesdk" TargetMode="External"/><Relationship Id="rId2272" Type="http://schemas.openxmlformats.org/officeDocument/2006/relationships/hyperlink" Target="https://drive.google.com/file/d/1xbJWwGqZ7GH1GauXd695QHwVUFQqssUE/view?usp=drivesdk" TargetMode="External"/><Relationship Id="rId351" Type="http://schemas.openxmlformats.org/officeDocument/2006/relationships/hyperlink" Target="https://drive.google.com/file/d/1lj2WOQdvSR7uf2XWbVFsZUO0O50wTG58/view?usp=drivesdk" TargetMode="External"/><Relationship Id="rId2273" Type="http://schemas.openxmlformats.org/officeDocument/2006/relationships/hyperlink" Target="https://drive.google.com/file/d/1nc_1nJzdc-nvwHUKpIHdb5o-CX1wSRaI/view?usp=drivesdk" TargetMode="External"/><Relationship Id="rId350" Type="http://schemas.openxmlformats.org/officeDocument/2006/relationships/hyperlink" Target="https://drive.google.com/file/d/1KFaXeN7ha54ymHrAbmNNK4qIQHqgCtmd/view?usp=drivesdk" TargetMode="External"/><Relationship Id="rId2274" Type="http://schemas.openxmlformats.org/officeDocument/2006/relationships/hyperlink" Target="http://b.sc/B.Com" TargetMode="External"/><Relationship Id="rId2275" Type="http://schemas.openxmlformats.org/officeDocument/2006/relationships/hyperlink" Target="https://drive.google.com/file/d/1TccXIOI_-oBvD-8QjLyZquqy5uoDQl8u/view?usp=drivesdk" TargetMode="External"/><Relationship Id="rId356" Type="http://schemas.openxmlformats.org/officeDocument/2006/relationships/hyperlink" Target="https://drive.google.com/file/d/1xt0iHouKP_hBzWrZ3C5FUn8CUc9yxv_S/view?usp=drivesdk" TargetMode="External"/><Relationship Id="rId2276" Type="http://schemas.openxmlformats.org/officeDocument/2006/relationships/hyperlink" Target="http://b.sc/B.Com" TargetMode="External"/><Relationship Id="rId355" Type="http://schemas.openxmlformats.org/officeDocument/2006/relationships/hyperlink" Target="https://drive.google.com/file/d/1aYsx02WIvCEEW0ALwqhdyNBIao0YA-q7/view?usp=drivesdk" TargetMode="External"/><Relationship Id="rId2277" Type="http://schemas.openxmlformats.org/officeDocument/2006/relationships/hyperlink" Target="https://drive.google.com/file/d/1j2yMx9rIylJRXSEERimNeMfMVpDu0TJw/view?usp=drivesdk" TargetMode="External"/><Relationship Id="rId354" Type="http://schemas.openxmlformats.org/officeDocument/2006/relationships/hyperlink" Target="https://drive.google.com/file/d/13gzPUPm39UM87fLuPeYeTGLIYlFyN0A2/view?usp=drivesdk" TargetMode="External"/><Relationship Id="rId2278" Type="http://schemas.openxmlformats.org/officeDocument/2006/relationships/hyperlink" Target="https://drive.google.com/file/d/1EZlLzxPMvK8qUuu4a6C-p6-Vg8L0MA_o/view?usp=drivesdk" TargetMode="External"/><Relationship Id="rId353" Type="http://schemas.openxmlformats.org/officeDocument/2006/relationships/hyperlink" Target="https://drive.google.com/file/d/1tuVHvkzQw-YWuxN2MyrSP1MM081Tn3DY/view?usp=drivesdk" TargetMode="External"/><Relationship Id="rId2279" Type="http://schemas.openxmlformats.org/officeDocument/2006/relationships/hyperlink" Target="https://drive.google.com/file/d/1i4iP8h1HSL-nVkU92fvoSiEIVIUiNo6P/view?usp=drivesdk" TargetMode="External"/><Relationship Id="rId2225" Type="http://schemas.openxmlformats.org/officeDocument/2006/relationships/hyperlink" Target="https://drive.google.com/file/d/1ppU-vPFRDcSnoK3M4QyLaXO6Y6QRcVtv/view?usp=drivesdk" TargetMode="External"/><Relationship Id="rId2226" Type="http://schemas.openxmlformats.org/officeDocument/2006/relationships/hyperlink" Target="https://drive.google.com/file/d/1Ffx2zHTmfr3x-LuFQf7mhym2fnO5U6Ak/view?usp=drivesdk" TargetMode="External"/><Relationship Id="rId2227" Type="http://schemas.openxmlformats.org/officeDocument/2006/relationships/hyperlink" Target="https://drive.google.com/file/d/1YWqpkL-ox4n_uklE1jf_t0FQFli3zyXI/view?usp=drivesdk" TargetMode="External"/><Relationship Id="rId2228" Type="http://schemas.openxmlformats.org/officeDocument/2006/relationships/hyperlink" Target="https://drive.google.com/file/d/1lnHjIi3ywlmDcqfRF5eo8my_QiXtpgS4/view?usp=drivesdk" TargetMode="External"/><Relationship Id="rId2229" Type="http://schemas.openxmlformats.org/officeDocument/2006/relationships/hyperlink" Target="https://drive.google.com/file/d/11zWF0Rl98tUCVYDhEZU0levjn-_Z3apg/view?usp=drivesdk" TargetMode="External"/><Relationship Id="rId305" Type="http://schemas.openxmlformats.org/officeDocument/2006/relationships/hyperlink" Target="https://drive.google.com/file/d/19w4HLswQPFPznW7ZZq-d0M8IaM0arww8/view?usp=drivesdk" TargetMode="External"/><Relationship Id="rId304" Type="http://schemas.openxmlformats.org/officeDocument/2006/relationships/hyperlink" Target="https://drive.google.com/file/d/1ePInYkveNl3RKjDv0jasExHy39ARm_ZS/view?usp=drivesdk" TargetMode="External"/><Relationship Id="rId303" Type="http://schemas.openxmlformats.org/officeDocument/2006/relationships/hyperlink" Target="https://drive.google.com/file/d/1sgsixcIQ1O6Y7uS92wPXbIImMT_HxAJ1/view?usp=drivesdk" TargetMode="External"/><Relationship Id="rId302" Type="http://schemas.openxmlformats.org/officeDocument/2006/relationships/hyperlink" Target="https://drive.google.com/file/d/17Z9z0IiDOtKmq2qDfuV3ZHsD00j48SqY/view?usp=drivesdk" TargetMode="External"/><Relationship Id="rId309" Type="http://schemas.openxmlformats.org/officeDocument/2006/relationships/hyperlink" Target="https://drive.google.com/file/d/1_SOVSwRnmE3LiKXz6JQJ_d-iSxm9ki89/view?usp=drivesdk" TargetMode="External"/><Relationship Id="rId308" Type="http://schemas.openxmlformats.org/officeDocument/2006/relationships/hyperlink" Target="https://drive.google.com/file/d/1cl4RZqR-EM1Lbkio14lpVD3ZrOV7ZLRW/view?usp=drivesdk" TargetMode="External"/><Relationship Id="rId307" Type="http://schemas.openxmlformats.org/officeDocument/2006/relationships/hyperlink" Target="https://drive.google.com/file/d/1gr1YnNCUhLGEbm3mtOswoYoR4smcP9iY/view?usp=drivesdk" TargetMode="External"/><Relationship Id="rId306" Type="http://schemas.openxmlformats.org/officeDocument/2006/relationships/hyperlink" Target="https://drive.google.com/file/d/1GSEvgzrmfrbsxL3yq1atCVQBNiPAUXkB/view?usp=drivesdk" TargetMode="External"/><Relationship Id="rId2220" Type="http://schemas.openxmlformats.org/officeDocument/2006/relationships/hyperlink" Target="https://drive.google.com/file/d/10sBib2rirLu9LUfYOolhZGwwOM9D3LNl/view?usp=drivesdk" TargetMode="External"/><Relationship Id="rId301" Type="http://schemas.openxmlformats.org/officeDocument/2006/relationships/hyperlink" Target="https://drive.google.com/file/d/1qsswMBbjcky9f8vNg2iaTjc4QzNXzYXh/view?usp=drivesdk" TargetMode="External"/><Relationship Id="rId2221" Type="http://schemas.openxmlformats.org/officeDocument/2006/relationships/hyperlink" Target="https://drive.google.com/file/d/1ExkRt2FaReaIH3OU29--r-ss0rWEDbuZ/view?usp=drivesdk" TargetMode="External"/><Relationship Id="rId300" Type="http://schemas.openxmlformats.org/officeDocument/2006/relationships/hyperlink" Target="https://drive.google.com/file/d/1SzDylZ1Xt_mqj4FCQJA8HGyjgQDhitE2/view?usp=drivesdk" TargetMode="External"/><Relationship Id="rId2222" Type="http://schemas.openxmlformats.org/officeDocument/2006/relationships/hyperlink" Target="https://drive.google.com/file/d/1a_QCvPiEkjAK9ypME4ZyKtv8jlByILqy/view?usp=drivesdk" TargetMode="External"/><Relationship Id="rId2223" Type="http://schemas.openxmlformats.org/officeDocument/2006/relationships/hyperlink" Target="https://drive.google.com/file/d/1ZQwdHrNCD6KVF9OjvXtpWgKhlJRbuFHl/view?usp=drivesdk" TargetMode="External"/><Relationship Id="rId2224" Type="http://schemas.openxmlformats.org/officeDocument/2006/relationships/hyperlink" Target="https://drive.google.com/file/d/11S1DNA2mn3YIpfaxxNfHK4WnzSvsjS9u/view?usp=drivesdk" TargetMode="External"/><Relationship Id="rId2214" Type="http://schemas.openxmlformats.org/officeDocument/2006/relationships/hyperlink" Target="https://drive.google.com/file/d/132-cA7UsVeZIBf6k_DzCIqpzhBaVVkkz/view?usp=drivesdk" TargetMode="External"/><Relationship Id="rId2215" Type="http://schemas.openxmlformats.org/officeDocument/2006/relationships/hyperlink" Target="https://drive.google.com/file/d/1EkMIMRIrTwRmC3d-TlK0UBLADaDhzR7M/view?usp=drivesdk" TargetMode="External"/><Relationship Id="rId2216" Type="http://schemas.openxmlformats.org/officeDocument/2006/relationships/hyperlink" Target="https://drive.google.com/file/d/1UbEh5Epkg4jwhyYkAN8xnz_32qv3Jvzc/view?usp=drivesdk" TargetMode="External"/><Relationship Id="rId2217" Type="http://schemas.openxmlformats.org/officeDocument/2006/relationships/hyperlink" Target="https://drive.google.com/file/d/1WZ-meruqZkDAM2lloQ66V-xZfzz4L3_x/view?usp=drivesdk" TargetMode="External"/><Relationship Id="rId2218" Type="http://schemas.openxmlformats.org/officeDocument/2006/relationships/hyperlink" Target="https://drive.google.com/file/d/1_fC8xuHdNvCLweEYJy5fiJGkkS-RbvL8/view?usp=drivesdk" TargetMode="External"/><Relationship Id="rId2219" Type="http://schemas.openxmlformats.org/officeDocument/2006/relationships/hyperlink" Target="https://drive.google.com/file/d/1FNdgWFps4935qRJHM2XITjh5Kdv7x1Zu/view?usp=drivesdk" TargetMode="External"/><Relationship Id="rId2210" Type="http://schemas.openxmlformats.org/officeDocument/2006/relationships/hyperlink" Target="https://drive.google.com/file/d/1JCIeotbPGBQv1rkFZs5EEoMqVyrKjeyE/view?usp=drivesdk" TargetMode="External"/><Relationship Id="rId2211" Type="http://schemas.openxmlformats.org/officeDocument/2006/relationships/hyperlink" Target="https://drive.google.com/file/d/11K7MEXM8iXBOr-XVuC_FaPNjLbd7tTPL/view?usp=drivesdk" TargetMode="External"/><Relationship Id="rId2212" Type="http://schemas.openxmlformats.org/officeDocument/2006/relationships/hyperlink" Target="https://drive.google.com/file/d/1WbmbhEf2FAbam25Rlp-DcBneo3tVsWM1/view?usp=drivesdk" TargetMode="External"/><Relationship Id="rId2213" Type="http://schemas.openxmlformats.org/officeDocument/2006/relationships/hyperlink" Target="https://drive.google.com/file/d/14YZKrojmHqGzDJqL_T59AwgBVPKkIx7f/view?usp=drivesdk" TargetMode="External"/><Relationship Id="rId2247" Type="http://schemas.openxmlformats.org/officeDocument/2006/relationships/hyperlink" Target="https://drive.google.com/file/d/12CZVYSSP7SjwbaMOeAcIGMBXFE9JIAQU/view?usp=drivesdk" TargetMode="External"/><Relationship Id="rId2248" Type="http://schemas.openxmlformats.org/officeDocument/2006/relationships/hyperlink" Target="https://drive.google.com/file/d/1buhkCIwvJ-DLwrA2nJ5XJqdySjPx_kuU/view?usp=drivesdk" TargetMode="External"/><Relationship Id="rId2249" Type="http://schemas.openxmlformats.org/officeDocument/2006/relationships/hyperlink" Target="https://drive.google.com/file/d/1GaH-uGCIu2IFopAfRwIvr-ZbwNnBNu2H/view?usp=drivesdk" TargetMode="External"/><Relationship Id="rId327" Type="http://schemas.openxmlformats.org/officeDocument/2006/relationships/hyperlink" Target="https://drive.google.com/file/d/1f4GhCymprQCdf7eOi_qX8L92xktL4tJe/view?usp=drivesdk" TargetMode="External"/><Relationship Id="rId326" Type="http://schemas.openxmlformats.org/officeDocument/2006/relationships/hyperlink" Target="https://drive.google.com/file/d/1rubBeG0wEN7Akuge36aGZmWebD4acypY/view?usp=drivesdk" TargetMode="External"/><Relationship Id="rId325" Type="http://schemas.openxmlformats.org/officeDocument/2006/relationships/hyperlink" Target="https://drive.google.com/file/d/1dzed1AdCZXW0J-JZqq3bAFI4X00W7lnD/view?usp=drivesdk" TargetMode="External"/><Relationship Id="rId324" Type="http://schemas.openxmlformats.org/officeDocument/2006/relationships/hyperlink" Target="https://drive.google.com/file/d/1tZPE8OSeo5FmIqBsXKx2kGDpM22u2Omt/view?usp=drivesdk" TargetMode="External"/><Relationship Id="rId329" Type="http://schemas.openxmlformats.org/officeDocument/2006/relationships/hyperlink" Target="https://drive.google.com/file/d/14DlxXVbWLKg7MRCCRQxsCcKnY0k96JIm/view?usp=drivesdk" TargetMode="External"/><Relationship Id="rId328" Type="http://schemas.openxmlformats.org/officeDocument/2006/relationships/hyperlink" Target="https://drive.google.com/file/d/1xTUdoYYOoJuRmwTYaXqvTTgF3TelCEmn/view?usp=drivesdk" TargetMode="External"/><Relationship Id="rId2240" Type="http://schemas.openxmlformats.org/officeDocument/2006/relationships/hyperlink" Target="https://drive.google.com/file/d/1I79ojr1R9pRJjKcIfdyPcA-3IAzqE22T/view?usp=drivesdk" TargetMode="External"/><Relationship Id="rId2241" Type="http://schemas.openxmlformats.org/officeDocument/2006/relationships/hyperlink" Target="https://drive.google.com/file/d/1vgOBv4XFo7P8iHsMi1qLLcE5sZTLoMcJ/view?usp=drivesdk" TargetMode="External"/><Relationship Id="rId2242" Type="http://schemas.openxmlformats.org/officeDocument/2006/relationships/hyperlink" Target="https://drive.google.com/file/d/1GzFyEyWNlQ6FJVaVT651ADtBpS_aiQZy/view?usp=drivesdk" TargetMode="External"/><Relationship Id="rId323" Type="http://schemas.openxmlformats.org/officeDocument/2006/relationships/hyperlink" Target="https://drive.google.com/file/d/1Q0A0dMRn3euIEvuF0_yZBoha1hkc38O4/view?usp=drivesdk" TargetMode="External"/><Relationship Id="rId2243" Type="http://schemas.openxmlformats.org/officeDocument/2006/relationships/hyperlink" Target="https://drive.google.com/file/d/1U4KkpplMTTDZ2HMgqkHuJCw-XBUISfQz/view?usp=drivesdk" TargetMode="External"/><Relationship Id="rId322" Type="http://schemas.openxmlformats.org/officeDocument/2006/relationships/hyperlink" Target="https://drive.google.com/file/d/1sP1Vb08593lFe7XvKAkAV1-uv19cLgYD/view?usp=drivesdk" TargetMode="External"/><Relationship Id="rId2244" Type="http://schemas.openxmlformats.org/officeDocument/2006/relationships/hyperlink" Target="https://drive.google.com/file/d/1Nhiv-uYU_cLPxXcBAYv1yoXO93XVW-hB/view?usp=drivesdk" TargetMode="External"/><Relationship Id="rId321" Type="http://schemas.openxmlformats.org/officeDocument/2006/relationships/hyperlink" Target="https://drive.google.com/file/d/1gr5eYxXM1rqxzA1sjuk37LnThPM85vo-/view?usp=drivesdk" TargetMode="External"/><Relationship Id="rId2245" Type="http://schemas.openxmlformats.org/officeDocument/2006/relationships/hyperlink" Target="https://drive.google.com/file/d/1SrlInwlmi6Qk7NSYFb4Ee2VsrjUcvfOc/view?usp=drivesdk" TargetMode="External"/><Relationship Id="rId320" Type="http://schemas.openxmlformats.org/officeDocument/2006/relationships/hyperlink" Target="https://drive.google.com/file/d/1pGBpwqcNg7HS2oo-AW43nFakRM30LNqo/view?usp=drivesdk" TargetMode="External"/><Relationship Id="rId2246" Type="http://schemas.openxmlformats.org/officeDocument/2006/relationships/hyperlink" Target="https://drive.google.com/file/d/1v2VKLsarm71K2fh_GM551vqWdodm7xM5/view?usp=drivesdk" TargetMode="External"/><Relationship Id="rId2236" Type="http://schemas.openxmlformats.org/officeDocument/2006/relationships/hyperlink" Target="https://drive.google.com/file/d/1BA0NJUutw5-HfNLfimkmxxGuB94TD7eN/view?usp=drivesdk" TargetMode="External"/><Relationship Id="rId2237" Type="http://schemas.openxmlformats.org/officeDocument/2006/relationships/hyperlink" Target="https://drive.google.com/file/d/1_B6eShe5P5pA88LniJWI1jsha-78TW15/view?usp=drivesdk" TargetMode="External"/><Relationship Id="rId2238" Type="http://schemas.openxmlformats.org/officeDocument/2006/relationships/hyperlink" Target="https://drive.google.com/file/d/1v2T_WQNtgwC9f0SIow_f3m8OhD1I3_7U/view?usp=drivesdk" TargetMode="External"/><Relationship Id="rId2239" Type="http://schemas.openxmlformats.org/officeDocument/2006/relationships/hyperlink" Target="https://drive.google.com/file/d/1__Az4JeayGs2lvRqQ8SR25DPKrW9hQcQ/view?usp=drivesdk" TargetMode="External"/><Relationship Id="rId316" Type="http://schemas.openxmlformats.org/officeDocument/2006/relationships/hyperlink" Target="https://drive.google.com/file/d/1ox8NuT-5MRXWOJFSnEiulTAVj6CmU7o7/view?usp=drivesdk" TargetMode="External"/><Relationship Id="rId315" Type="http://schemas.openxmlformats.org/officeDocument/2006/relationships/hyperlink" Target="https://drive.google.com/file/d/1NJIb8fcfJXxnaqT62CT1xUQRu2xBmKAO/view?usp=drivesdk" TargetMode="External"/><Relationship Id="rId314" Type="http://schemas.openxmlformats.org/officeDocument/2006/relationships/hyperlink" Target="https://drive.google.com/file/d/1sZqoZpQMaLq2EOPNtrfjhVhHn5Jm-6Nw/view?usp=drivesdk" TargetMode="External"/><Relationship Id="rId313" Type="http://schemas.openxmlformats.org/officeDocument/2006/relationships/hyperlink" Target="https://drive.google.com/file/d/1RCYFBBLZaPBGro4T-x3Ly88UWhSUnPED/view?usp=drivesdk" TargetMode="External"/><Relationship Id="rId319" Type="http://schemas.openxmlformats.org/officeDocument/2006/relationships/hyperlink" Target="https://drive.google.com/file/d/1gJLGrHWm7bq_c3t2OE0NC5CsnPu2h-lq/view?usp=drivesdk" TargetMode="External"/><Relationship Id="rId318" Type="http://schemas.openxmlformats.org/officeDocument/2006/relationships/hyperlink" Target="https://drive.google.com/file/d/1tLK-y1BhTkNsD8BoRh8Ni-TgG42JqK8t/view?usp=drivesdk" TargetMode="External"/><Relationship Id="rId317" Type="http://schemas.openxmlformats.org/officeDocument/2006/relationships/hyperlink" Target="https://drive.google.com/file/d/10gHu8rNZom-a8dph0b0iaqUr75JdndY4/view?usp=drivesdk" TargetMode="External"/><Relationship Id="rId2230" Type="http://schemas.openxmlformats.org/officeDocument/2006/relationships/hyperlink" Target="https://drive.google.com/file/d/1b5aLV94H1TgJ8Y-4RrJPdD5HYApq4AAQ/view?usp=drivesdk" TargetMode="External"/><Relationship Id="rId2231" Type="http://schemas.openxmlformats.org/officeDocument/2006/relationships/hyperlink" Target="https://drive.google.com/file/d/1eOp0Yah4oaQzjszQkJunQJQjrAcgK3RP/view?usp=drivesdk" TargetMode="External"/><Relationship Id="rId312" Type="http://schemas.openxmlformats.org/officeDocument/2006/relationships/hyperlink" Target="https://drive.google.com/file/d/19EWYAihW6G83IGaaSD5bKwxT0yE-Mt6I/view?usp=drivesdk" TargetMode="External"/><Relationship Id="rId2232" Type="http://schemas.openxmlformats.org/officeDocument/2006/relationships/hyperlink" Target="https://drive.google.com/file/d/1AyB-aTq560sUlvrnGKEhy3TJRrihfHeR/view?usp=drivesdk" TargetMode="External"/><Relationship Id="rId311" Type="http://schemas.openxmlformats.org/officeDocument/2006/relationships/hyperlink" Target="https://drive.google.com/file/d/1TRWAkuGWn8y9HzJLrcYUtNeeK4qv4ZSn/view?usp=drivesdk" TargetMode="External"/><Relationship Id="rId2233" Type="http://schemas.openxmlformats.org/officeDocument/2006/relationships/hyperlink" Target="https://drive.google.com/file/d/1FGNWZEXDBy54sx9CqfD012OWdO2xK9S0/view?usp=drivesdk" TargetMode="External"/><Relationship Id="rId310" Type="http://schemas.openxmlformats.org/officeDocument/2006/relationships/hyperlink" Target="https://drive.google.com/file/d/1RzGOZCOS5wZyeFw7IWMe4Q8DDo_t1i4e/view?usp=drivesdk" TargetMode="External"/><Relationship Id="rId2234" Type="http://schemas.openxmlformats.org/officeDocument/2006/relationships/hyperlink" Target="https://drive.google.com/file/d/1Y5p2qNqWjxCHVoH9DKDMbPsgGY5vEM7X/view?usp=drivesdk" TargetMode="External"/><Relationship Id="rId2235" Type="http://schemas.openxmlformats.org/officeDocument/2006/relationships/hyperlink" Target="https://drive.google.com/file/d/1LjR_LQ-klfgdXudSKOcfkZDsYKMN667X/view?usp=drivesdk" TargetMode="External"/><Relationship Id="rId297" Type="http://schemas.openxmlformats.org/officeDocument/2006/relationships/hyperlink" Target="https://drive.google.com/file/d/1U1OvhK3DktpDIbMA-7dvW7seZ2XifuKJ/view?usp=drivesdk" TargetMode="External"/><Relationship Id="rId296" Type="http://schemas.openxmlformats.org/officeDocument/2006/relationships/hyperlink" Target="https://drive.google.com/file/d/1QT8-MDFxJ4GiI43pjPdrrD_jnBj2gFLv/view?usp=drivesdk" TargetMode="External"/><Relationship Id="rId295" Type="http://schemas.openxmlformats.org/officeDocument/2006/relationships/hyperlink" Target="https://drive.google.com/file/d/1AskXyBqN7fhQIsZJwEplEgCySwXhfl9o/view?usp=drivesdk" TargetMode="External"/><Relationship Id="rId294" Type="http://schemas.openxmlformats.org/officeDocument/2006/relationships/hyperlink" Target="https://drive.google.com/file/d/1N-_pVkyX1mVe7IWDOCvzHbsWX9xdW-_i/view?usp=drivesdk" TargetMode="External"/><Relationship Id="rId299" Type="http://schemas.openxmlformats.org/officeDocument/2006/relationships/hyperlink" Target="https://drive.google.com/file/d/1LAw_Jd7kh6K4Bmm_Rx7Vh8dp49R16yZE/view?usp=drivesdk" TargetMode="External"/><Relationship Id="rId298" Type="http://schemas.openxmlformats.org/officeDocument/2006/relationships/hyperlink" Target="https://drive.google.com/file/d/1PqqMsi_SNkHYZ-G1tAIewyTK0rqp739p/view?usp=drivesdk" TargetMode="External"/><Relationship Id="rId271" Type="http://schemas.openxmlformats.org/officeDocument/2006/relationships/hyperlink" Target="https://drive.google.com/file/d/11Mp5OfUtcBPUaNlQcPCvY9jvIInGiEng/view?usp=drivesdk" TargetMode="External"/><Relationship Id="rId270" Type="http://schemas.openxmlformats.org/officeDocument/2006/relationships/hyperlink" Target="http://b.sc/B.Com" TargetMode="External"/><Relationship Id="rId269" Type="http://schemas.openxmlformats.org/officeDocument/2006/relationships/hyperlink" Target="https://drive.google.com/file/d/1E2CfRK7DbTFSoRXU_yHdM0UdE0vJZlMZ/view?usp=drivesdk" TargetMode="External"/><Relationship Id="rId264" Type="http://schemas.openxmlformats.org/officeDocument/2006/relationships/hyperlink" Target="https://drive.google.com/file/d/15CUcHPo-dC5QHV1fipAykkYgg9GKyZ2t/view?usp=drivesdk" TargetMode="External"/><Relationship Id="rId263" Type="http://schemas.openxmlformats.org/officeDocument/2006/relationships/hyperlink" Target="http://b.sc/B.Com" TargetMode="External"/><Relationship Id="rId262" Type="http://schemas.openxmlformats.org/officeDocument/2006/relationships/hyperlink" Target="https://drive.google.com/file/d/1tKF12urxD1nDzXci-HukjjS9hSW3fi00/view?usp=drivesdk" TargetMode="External"/><Relationship Id="rId261" Type="http://schemas.openxmlformats.org/officeDocument/2006/relationships/hyperlink" Target="https://drive.google.com/file/d/1h4PO5_KU9rTCMDS8ljMkZA0jq3XlVxSU/view?usp=drivesdk" TargetMode="External"/><Relationship Id="rId268" Type="http://schemas.openxmlformats.org/officeDocument/2006/relationships/hyperlink" Target="https://drive.google.com/file/d/1M6gnyeOG-BAqspjMLdM11LTL9xkDAI0-/view?usp=drivesdk" TargetMode="External"/><Relationship Id="rId267" Type="http://schemas.openxmlformats.org/officeDocument/2006/relationships/hyperlink" Target="https://drive.google.com/file/d/1dybI4VBswJ_m_zII5jMujQJNc9lDECz1/view?usp=drivesdk" TargetMode="External"/><Relationship Id="rId266" Type="http://schemas.openxmlformats.org/officeDocument/2006/relationships/hyperlink" Target="https://drive.google.com/file/d/1OytnX6MOaX1GlRXjQERSHBNjY1WOboux/view?usp=drivesdk" TargetMode="External"/><Relationship Id="rId265" Type="http://schemas.openxmlformats.org/officeDocument/2006/relationships/hyperlink" Target="https://drive.google.com/file/d/1bBNfpZ79q6PNaY7ZN_zEQ-D1s_Fbtu36/view?usp=drivesdk" TargetMode="External"/><Relationship Id="rId260" Type="http://schemas.openxmlformats.org/officeDocument/2006/relationships/hyperlink" Target="https://drive.google.com/file/d/1d1PZ-BNl_X-1eC0D08KJISYBDO7wUHyM/view?usp=drivesdk" TargetMode="External"/><Relationship Id="rId259" Type="http://schemas.openxmlformats.org/officeDocument/2006/relationships/hyperlink" Target="https://drive.google.com/file/d/1EIGnKhwXpGJ2l0XLXz-_nU95cyyQ-2bl/view?usp=drivesdk" TargetMode="External"/><Relationship Id="rId258" Type="http://schemas.openxmlformats.org/officeDocument/2006/relationships/hyperlink" Target="https://drive.google.com/file/d/1XwwlgK-ijqrm3Bwxkh8O5Qp-2DhwQarw/view?usp=drivesdk" TargetMode="External"/><Relationship Id="rId2290" Type="http://schemas.openxmlformats.org/officeDocument/2006/relationships/hyperlink" Target="https://drive.google.com/file/d/1UXumU46mvJLKq0Aue-RifVl8EFZpRHmI/view?usp=drivesdk" TargetMode="External"/><Relationship Id="rId2291" Type="http://schemas.openxmlformats.org/officeDocument/2006/relationships/hyperlink" Target="https://drive.google.com/file/d/1NIrOk4SwI0-JXAJu0oUAQu53P0vmu5J0/view?usp=drivesdk" TargetMode="External"/><Relationship Id="rId2292" Type="http://schemas.openxmlformats.org/officeDocument/2006/relationships/hyperlink" Target="https://drive.google.com/file/d/1NiEICHHJ0tZ6J8Vr0dB1EMebWL136uQ5/view?usp=drivesdk" TargetMode="External"/><Relationship Id="rId2293" Type="http://schemas.openxmlformats.org/officeDocument/2006/relationships/hyperlink" Target="https://drive.google.com/file/d/1oGI1pX9OLq8_VLpNIA9WMMH7TZX13EnH/view?usp=drivesdk" TargetMode="External"/><Relationship Id="rId253" Type="http://schemas.openxmlformats.org/officeDocument/2006/relationships/hyperlink" Target="https://drive.google.com/file/d/1GU0OUjbBzWjT0ZkuJt_IkoEvG_3LnFBN/view?usp=drivesdk" TargetMode="External"/><Relationship Id="rId2294" Type="http://schemas.openxmlformats.org/officeDocument/2006/relationships/hyperlink" Target="https://drive.google.com/file/d/1L3x0bvUeHC_KHF9axN1402pZ5CvOvLr5/view?usp=drivesdk" TargetMode="External"/><Relationship Id="rId252" Type="http://schemas.openxmlformats.org/officeDocument/2006/relationships/hyperlink" Target="https://drive.google.com/file/d/1Q1CSS0iQJykkiQE9X27vAphz1293QiEL/view?usp=drivesdk" TargetMode="External"/><Relationship Id="rId2295" Type="http://schemas.openxmlformats.org/officeDocument/2006/relationships/hyperlink" Target="https://drive.google.com/file/d/1rPseWM490EI5fs2D4C3wdVYbg_6oe_h4/view?usp=drivesdk" TargetMode="External"/><Relationship Id="rId251" Type="http://schemas.openxmlformats.org/officeDocument/2006/relationships/hyperlink" Target="https://drive.google.com/file/d/1Lu78KavKbTGsT6AuGXWBE9kIrcJBXdtQ/view?usp=drivesdk" TargetMode="External"/><Relationship Id="rId2296" Type="http://schemas.openxmlformats.org/officeDocument/2006/relationships/hyperlink" Target="https://drive.google.com/file/d/1L1XXG1MBCNrhyD1XRm-Emd3y_YxHCoS7/view?usp=drivesdk" TargetMode="External"/><Relationship Id="rId250" Type="http://schemas.openxmlformats.org/officeDocument/2006/relationships/hyperlink" Target="https://drive.google.com/file/d/19xcaQ7pO1wmyx36rCI0EWYGJtGVIfPBo/view?usp=drivesdk" TargetMode="External"/><Relationship Id="rId2297" Type="http://schemas.openxmlformats.org/officeDocument/2006/relationships/hyperlink" Target="https://drive.google.com/file/d/1hkMOXQJho6ZoZyEQW5tovgMCAr5f_7Qy/view?usp=drivesdk" TargetMode="External"/><Relationship Id="rId257" Type="http://schemas.openxmlformats.org/officeDocument/2006/relationships/hyperlink" Target="https://drive.google.com/file/d/1U-2jk-V7L57gnRLnzIcLznEQaqbwRwTd/view?usp=drivesdk" TargetMode="External"/><Relationship Id="rId2298" Type="http://schemas.openxmlformats.org/officeDocument/2006/relationships/hyperlink" Target="https://drive.google.com/file/d/1M9WrB_fvOvL0GHWkBovfpDqbDX8yLYzh/view?usp=drivesdk" TargetMode="External"/><Relationship Id="rId256" Type="http://schemas.openxmlformats.org/officeDocument/2006/relationships/hyperlink" Target="https://drive.google.com/file/d/14FbYCI3iT5MxJQboHPovNywunu1yTWg6/view?usp=drivesdk" TargetMode="External"/><Relationship Id="rId2299" Type="http://schemas.openxmlformats.org/officeDocument/2006/relationships/hyperlink" Target="https://drive.google.com/file/d/1gTF7F5RoELtiiseHSYM5iEEJPcu5pYlf/view?usp=drivesdk" TargetMode="External"/><Relationship Id="rId255" Type="http://schemas.openxmlformats.org/officeDocument/2006/relationships/hyperlink" Target="https://drive.google.com/file/d/1jpkHuDSVq71tq7hzFbZCgZS8Vf5aar1R/view?usp=drivesdk" TargetMode="External"/><Relationship Id="rId254" Type="http://schemas.openxmlformats.org/officeDocument/2006/relationships/hyperlink" Target="https://drive.google.com/file/d/18vQMoZ2FOX4cLuaz5f--TQFQOjCFZg6b/view?usp=drivesdk" TargetMode="External"/><Relationship Id="rId293" Type="http://schemas.openxmlformats.org/officeDocument/2006/relationships/hyperlink" Target="https://drive.google.com/file/d/1I1zLuu304WNXsn8xSsS2Nzt58L18YGzb/view?usp=drivesdk" TargetMode="External"/><Relationship Id="rId292" Type="http://schemas.openxmlformats.org/officeDocument/2006/relationships/hyperlink" Target="https://drive.google.com/file/d/1ZX5jJea0LsFPF8T_ZViuOACF5lQBjwx-/view?usp=drivesdk" TargetMode="External"/><Relationship Id="rId291" Type="http://schemas.openxmlformats.org/officeDocument/2006/relationships/hyperlink" Target="https://drive.google.com/file/d/1nR3caE3RqEOf8hgc7tyGHN9m8Jz3nBLS/view?usp=drivesdk" TargetMode="External"/><Relationship Id="rId290" Type="http://schemas.openxmlformats.org/officeDocument/2006/relationships/hyperlink" Target="https://drive.google.com/file/d/1SPXNRIl64IxIJ11lNiiRIAJV7WlhVZ8L/view?usp=drivesdk" TargetMode="External"/><Relationship Id="rId286" Type="http://schemas.openxmlformats.org/officeDocument/2006/relationships/hyperlink" Target="https://drive.google.com/file/d/1WJ0DpBb-SReyhfG_zO_fABUrQQPft727/view?usp=drivesdk" TargetMode="External"/><Relationship Id="rId285" Type="http://schemas.openxmlformats.org/officeDocument/2006/relationships/hyperlink" Target="https://drive.google.com/file/d/1SaFYjbaiUiOs-QbSsno-Plhv_PAGrvru/view?usp=drivesdk" TargetMode="External"/><Relationship Id="rId284" Type="http://schemas.openxmlformats.org/officeDocument/2006/relationships/hyperlink" Target="https://drive.google.com/file/d/1JegyzForqZo9k9lsiXrWDx4DQ-z8_zHR/view?usp=drivesdk" TargetMode="External"/><Relationship Id="rId283" Type="http://schemas.openxmlformats.org/officeDocument/2006/relationships/hyperlink" Target="https://drive.google.com/file/d/1XzVHQFVDQURgG-KY5M9SzW-gdkyjuOIF/view?usp=drivesdk" TargetMode="External"/><Relationship Id="rId289" Type="http://schemas.openxmlformats.org/officeDocument/2006/relationships/hyperlink" Target="https://drive.google.com/file/d/1-3XDxbef053ak1bl33x7CzGQvhDd-OOm/view?usp=drivesdk" TargetMode="External"/><Relationship Id="rId288" Type="http://schemas.openxmlformats.org/officeDocument/2006/relationships/hyperlink" Target="https://drive.google.com/file/d/1WV7AKaLU5ZXSRg5GnFAk-S_5mEJlDuna/view?usp=drivesdk" TargetMode="External"/><Relationship Id="rId287" Type="http://schemas.openxmlformats.org/officeDocument/2006/relationships/hyperlink" Target="https://drive.google.com/file/d/1hNLd6W5Z0jpI_rfbXaXrlPi7sN681VFz/view?usp=drivesdk" TargetMode="External"/><Relationship Id="rId282" Type="http://schemas.openxmlformats.org/officeDocument/2006/relationships/hyperlink" Target="http://b.sc/B.Com" TargetMode="External"/><Relationship Id="rId281" Type="http://schemas.openxmlformats.org/officeDocument/2006/relationships/hyperlink" Target="https://drive.google.com/file/d/1mj-ANdRUE9eUweqabC8BzpjxXgU-ZVXO/view?usp=drivesdk" TargetMode="External"/><Relationship Id="rId280" Type="http://schemas.openxmlformats.org/officeDocument/2006/relationships/hyperlink" Target="https://drive.google.com/file/d/1Wz4d5N7tXVW_Tv1TMtVsb1irNlcYT5tf/view?usp=drivesdk" TargetMode="External"/><Relationship Id="rId275" Type="http://schemas.openxmlformats.org/officeDocument/2006/relationships/hyperlink" Target="https://drive.google.com/file/d/1S-ps-3j585b-Hew-9mwTmwPK9WRT7Qlw/view?usp=drivesdk" TargetMode="External"/><Relationship Id="rId274" Type="http://schemas.openxmlformats.org/officeDocument/2006/relationships/hyperlink" Target="https://drive.google.com/file/d/1M228qqJYx-KeSZ0C1Kliw6ZcuH8Qckjf/view?usp=drivesdk" TargetMode="External"/><Relationship Id="rId273" Type="http://schemas.openxmlformats.org/officeDocument/2006/relationships/hyperlink" Target="https://drive.google.com/file/d/18zYiupWbd7nEINBirrZOrEnXAP9dz4VZ/view?usp=drivesdk" TargetMode="External"/><Relationship Id="rId272" Type="http://schemas.openxmlformats.org/officeDocument/2006/relationships/hyperlink" Target="https://drive.google.com/file/d/1uM3N264L-uCIx-J0-EZiZDx25W5GwVl4/view?usp=drivesdk" TargetMode="External"/><Relationship Id="rId279" Type="http://schemas.openxmlformats.org/officeDocument/2006/relationships/hyperlink" Target="https://drive.google.com/file/d/1ftnTYeLz0OkcSZKFr03_8Kc9mPmcUjtj/view?usp=drivesdk" TargetMode="External"/><Relationship Id="rId278" Type="http://schemas.openxmlformats.org/officeDocument/2006/relationships/hyperlink" Target="https://drive.google.com/file/d/120Efl1sOzOIlcQ5CmCRcleb7JxA94OQs/view?usp=drivesdk" TargetMode="External"/><Relationship Id="rId277" Type="http://schemas.openxmlformats.org/officeDocument/2006/relationships/hyperlink" Target="https://drive.google.com/file/d/1eZ-yks9eGZ9f-NmfzcEM5yCp0PRai8y3/view?usp=drivesdk" TargetMode="External"/><Relationship Id="rId276" Type="http://schemas.openxmlformats.org/officeDocument/2006/relationships/hyperlink" Target="https://drive.google.com/file/d/1lTKXCVgweIk0oMNbOTZpA-1UIPOuqvd6/view?usp=drivesdk" TargetMode="External"/><Relationship Id="rId1851" Type="http://schemas.openxmlformats.org/officeDocument/2006/relationships/hyperlink" Target="https://drive.google.com/file/d/1ua4xGLgZHOfinexlJgvotkcb7eMCOgJy/view?usp=drivesdk" TargetMode="External"/><Relationship Id="rId1852" Type="http://schemas.openxmlformats.org/officeDocument/2006/relationships/hyperlink" Target="https://drive.google.com/file/d/180kuQLcuNlJ4bHqkKwprLzg4nsHYNF7A/view?usp=drivesdk" TargetMode="External"/><Relationship Id="rId1853" Type="http://schemas.openxmlformats.org/officeDocument/2006/relationships/hyperlink" Target="https://drive.google.com/file/d/17Pu3SWgn0kQqkAyaS6TrjFIRS31yCjzs/view?usp=drivesdk" TargetMode="External"/><Relationship Id="rId1854" Type="http://schemas.openxmlformats.org/officeDocument/2006/relationships/hyperlink" Target="https://drive.google.com/file/d/1i8yN5ll9BapNBH6B-Ht5EASRa1R9BcMj/view?usp=drivesdk" TargetMode="External"/><Relationship Id="rId1855" Type="http://schemas.openxmlformats.org/officeDocument/2006/relationships/hyperlink" Target="https://drive.google.com/file/d/1mGO9jldEdxCW_zlDmZ4cpfjixvxRhO_y/view?usp=drivesdk" TargetMode="External"/><Relationship Id="rId1856" Type="http://schemas.openxmlformats.org/officeDocument/2006/relationships/hyperlink" Target="https://drive.google.com/file/d/1S5USyRQbLPOhQmV-fi0GfslcqrXFkIfv/view?usp=drivesdk" TargetMode="External"/><Relationship Id="rId1857" Type="http://schemas.openxmlformats.org/officeDocument/2006/relationships/hyperlink" Target="https://drive.google.com/file/d/1jiXz8voQEJ8beuIR8HXk3J3vP2O9UU_W/view?usp=drivesdk" TargetMode="External"/><Relationship Id="rId1858" Type="http://schemas.openxmlformats.org/officeDocument/2006/relationships/hyperlink" Target="https://drive.google.com/file/d/1SG4rd0MokvHDQWiWiJ--W85JKrhH8-kM/view?usp=drivesdk" TargetMode="External"/><Relationship Id="rId1859" Type="http://schemas.openxmlformats.org/officeDocument/2006/relationships/hyperlink" Target="https://drive.google.com/file/d/1F3PxWnRANTHsK0Q1h8H0A1IreTnGroJw/view?usp=drivesdk" TargetMode="External"/><Relationship Id="rId1850" Type="http://schemas.openxmlformats.org/officeDocument/2006/relationships/hyperlink" Target="https://drive.google.com/file/d/1N4MjVrvr1L7g8wgEuu1XmzsZyrPGWgZr/view?usp=drivesdk" TargetMode="External"/><Relationship Id="rId1840" Type="http://schemas.openxmlformats.org/officeDocument/2006/relationships/hyperlink" Target="https://drive.google.com/file/d/1FqHQKMG2pjlqvOtsmJcZ0KXbCihef22z/view?usp=drivesdk" TargetMode="External"/><Relationship Id="rId1841" Type="http://schemas.openxmlformats.org/officeDocument/2006/relationships/hyperlink" Target="https://drive.google.com/file/d/1TacurrLSu_dld0lX2nxMa3C5qnHFeM7p/view?usp=drivesdk" TargetMode="External"/><Relationship Id="rId1842" Type="http://schemas.openxmlformats.org/officeDocument/2006/relationships/hyperlink" Target="https://drive.google.com/file/d/1_V8PJ6NSowC4plVzbj6f4_H3H0hnehuF/view?usp=drivesdk" TargetMode="External"/><Relationship Id="rId1843" Type="http://schemas.openxmlformats.org/officeDocument/2006/relationships/hyperlink" Target="http://b.sc/B.Com" TargetMode="External"/><Relationship Id="rId1844" Type="http://schemas.openxmlformats.org/officeDocument/2006/relationships/hyperlink" Target="https://drive.google.com/file/d/1pE-6nngD0s47dBnPoOXXJU56LCJEUCi_/view?usp=drivesdk" TargetMode="External"/><Relationship Id="rId1845" Type="http://schemas.openxmlformats.org/officeDocument/2006/relationships/hyperlink" Target="https://drive.google.com/file/d/1HmxdtmrE1_Hm19h4utV8d9pN8OCR5b24/view?usp=drivesdk" TargetMode="External"/><Relationship Id="rId1846" Type="http://schemas.openxmlformats.org/officeDocument/2006/relationships/hyperlink" Target="https://drive.google.com/file/d/1PSAsSg24IU4lUlrGCL_b5bfNENGMTlyJ/view?usp=drivesdk" TargetMode="External"/><Relationship Id="rId1847" Type="http://schemas.openxmlformats.org/officeDocument/2006/relationships/hyperlink" Target="https://drive.google.com/file/d/1XNUcWT6PMZyRwF4yqNTow5Rqd6IYvp-1/view?usp=drivesdk" TargetMode="External"/><Relationship Id="rId1848" Type="http://schemas.openxmlformats.org/officeDocument/2006/relationships/hyperlink" Target="https://drive.google.com/file/d/12wtsbPvn_OTjrHiFA809pSvy5laITj9f/view?usp=drivesdk" TargetMode="External"/><Relationship Id="rId1849" Type="http://schemas.openxmlformats.org/officeDocument/2006/relationships/hyperlink" Target="https://drive.google.com/file/d/1Wr-7BWJN7QelP0xsPTiF0l9AIxGVWogQ/view?usp=drivesdk" TargetMode="External"/><Relationship Id="rId1873" Type="http://schemas.openxmlformats.org/officeDocument/2006/relationships/hyperlink" Target="https://drive.google.com/file/d/1pS_kAx2FO0b7bFEsLoVfnyrQGrHpiL8k/view?usp=drivesdk" TargetMode="External"/><Relationship Id="rId1874" Type="http://schemas.openxmlformats.org/officeDocument/2006/relationships/hyperlink" Target="https://drive.google.com/file/d/1C1MgQcD4czw5sEb3wOmgGvyqwasgcq7v/view?usp=drivesdk" TargetMode="External"/><Relationship Id="rId1875" Type="http://schemas.openxmlformats.org/officeDocument/2006/relationships/hyperlink" Target="https://drive.google.com/file/d/1-MwPvJZVdzdde83uGBjVVnMbsjd-fMFk/view?usp=drivesdk" TargetMode="External"/><Relationship Id="rId1876" Type="http://schemas.openxmlformats.org/officeDocument/2006/relationships/hyperlink" Target="https://drive.google.com/file/d/1XOCM47N1xLG0P8b9X-UoEHSQpaXB-YpH/view?usp=drivesdk" TargetMode="External"/><Relationship Id="rId1877" Type="http://schemas.openxmlformats.org/officeDocument/2006/relationships/hyperlink" Target="https://drive.google.com/file/d/1ca1oMAv92mbFXrTktDE-rOgm3cbmBQU_/view?usp=drivesdk" TargetMode="External"/><Relationship Id="rId1878" Type="http://schemas.openxmlformats.org/officeDocument/2006/relationships/hyperlink" Target="https://drive.google.com/file/d/1Rhwgopqqk17ej1SjjAgdZUJqSw9Wg6SH/view?usp=drivesdk" TargetMode="External"/><Relationship Id="rId1879" Type="http://schemas.openxmlformats.org/officeDocument/2006/relationships/hyperlink" Target="https://drive.google.com/file/d/18Tgv63fhWfHzJT645QnaovRRz1HC1e80/view?usp=drivesdk" TargetMode="External"/><Relationship Id="rId1870" Type="http://schemas.openxmlformats.org/officeDocument/2006/relationships/hyperlink" Target="https://drive.google.com/file/d/1XDifEsCBZp8hd3R9ahBDzUcxL3VQ8ZUR/view?usp=drivesdk" TargetMode="External"/><Relationship Id="rId1871" Type="http://schemas.openxmlformats.org/officeDocument/2006/relationships/hyperlink" Target="https://drive.google.com/file/d/1KAfUlVPd1PCKluBZmYF_nUk8iJ2leU4A/view?usp=drivesdk" TargetMode="External"/><Relationship Id="rId1872" Type="http://schemas.openxmlformats.org/officeDocument/2006/relationships/hyperlink" Target="https://drive.google.com/file/d/1xl0M6EH2J-1eEooMKud8fFYmjr7MBWeG/view?usp=drivesdk" TargetMode="External"/><Relationship Id="rId1862" Type="http://schemas.openxmlformats.org/officeDocument/2006/relationships/hyperlink" Target="https://drive.google.com/file/d/1YG4B0WW2sYjSTMmT7P9zKBM6gr90l0yR/view?usp=drivesdk" TargetMode="External"/><Relationship Id="rId1863" Type="http://schemas.openxmlformats.org/officeDocument/2006/relationships/hyperlink" Target="https://drive.google.com/file/d/1lNtAZgjNh5GSFHBHmPJvFvdy1AwxU0J6/view?usp=drivesdk" TargetMode="External"/><Relationship Id="rId1864" Type="http://schemas.openxmlformats.org/officeDocument/2006/relationships/hyperlink" Target="https://drive.google.com/file/d/1pswLEPYA2IvSaiu6kZA9Ef0H5aVtVoKK/view?usp=drivesdk" TargetMode="External"/><Relationship Id="rId1865" Type="http://schemas.openxmlformats.org/officeDocument/2006/relationships/hyperlink" Target="https://drive.google.com/file/d/1cVkXFU5RotYnHd9W4f6dvGR4dGSb6G6D/view?usp=drivesdk" TargetMode="External"/><Relationship Id="rId1866" Type="http://schemas.openxmlformats.org/officeDocument/2006/relationships/hyperlink" Target="https://drive.google.com/file/d/1IhLU06RQv8TbQNVyk392NPtivwn6qSXT/view?usp=drivesdk" TargetMode="External"/><Relationship Id="rId1867" Type="http://schemas.openxmlformats.org/officeDocument/2006/relationships/hyperlink" Target="https://drive.google.com/file/d/1h7NM3ey9B4UGvZf6TM8sYfEy9pZy-kig/view?usp=drivesdk" TargetMode="External"/><Relationship Id="rId1868" Type="http://schemas.openxmlformats.org/officeDocument/2006/relationships/hyperlink" Target="https://drive.google.com/file/d/1kLQgZ4GnHnXMthmNbZzM4qtnDSVXu-vX/view?usp=drivesdk" TargetMode="External"/><Relationship Id="rId1869" Type="http://schemas.openxmlformats.org/officeDocument/2006/relationships/hyperlink" Target="https://drive.google.com/file/d/17lwlN6p4SLHAYnUEqty0wvb9gJotgJsX/view?usp=drivesdk" TargetMode="External"/><Relationship Id="rId1860" Type="http://schemas.openxmlformats.org/officeDocument/2006/relationships/hyperlink" Target="https://drive.google.com/file/d/1j7q_Lqe1idJbbk0uVe5Tv357qpHD2cGZ/view?usp=drivesdk" TargetMode="External"/><Relationship Id="rId1861" Type="http://schemas.openxmlformats.org/officeDocument/2006/relationships/hyperlink" Target="https://drive.google.com/file/d/1MxA98bPQLa5D30ZppEN5ZMfaq0QR3L3-/view?usp=drivesdk" TargetMode="External"/><Relationship Id="rId1810" Type="http://schemas.openxmlformats.org/officeDocument/2006/relationships/hyperlink" Target="https://drive.google.com/file/d/1oZA74QeiZLC22GlcdrOuag9ETC9DjbUc/view?usp=drivesdk" TargetMode="External"/><Relationship Id="rId1811" Type="http://schemas.openxmlformats.org/officeDocument/2006/relationships/hyperlink" Target="https://drive.google.com/file/d/1amcDYaj6yUjnHiE9jP2dPzdIdXw4qSHh/view?usp=drivesdk" TargetMode="External"/><Relationship Id="rId1812" Type="http://schemas.openxmlformats.org/officeDocument/2006/relationships/hyperlink" Target="https://drive.google.com/file/d/1aDAuG5AFGtxuA6KCrYGtTgIAJyMW_GYI/view?usp=drivesdk" TargetMode="External"/><Relationship Id="rId1813" Type="http://schemas.openxmlformats.org/officeDocument/2006/relationships/hyperlink" Target="https://drive.google.com/file/d/1GpUAV8ZcRny65ILi3Z4wtZ6ToOIlxXgF/view?usp=drivesdk" TargetMode="External"/><Relationship Id="rId1814" Type="http://schemas.openxmlformats.org/officeDocument/2006/relationships/hyperlink" Target="https://drive.google.com/file/d/1z1OSLg-AN2RAyyxVgcWQ_DCGOhFusE9t/view?usp=drivesdk" TargetMode="External"/><Relationship Id="rId1815" Type="http://schemas.openxmlformats.org/officeDocument/2006/relationships/hyperlink" Target="https://drive.google.com/file/d/1nxIMFUgdwfOkFEqu4OY2aFaWCm_Q2xbK/view?usp=drivesdk" TargetMode="External"/><Relationship Id="rId1816" Type="http://schemas.openxmlformats.org/officeDocument/2006/relationships/hyperlink" Target="https://drive.google.com/file/d/1UokWTbV9I324bsgPSkK3Z9BFpsMhjcrV/view?usp=drivesdk" TargetMode="External"/><Relationship Id="rId1817" Type="http://schemas.openxmlformats.org/officeDocument/2006/relationships/hyperlink" Target="https://drive.google.com/file/d/1PmdBxwk1Ep80pEnLJNOUEvQgBavT22-j/view?usp=drivesdk" TargetMode="External"/><Relationship Id="rId1818" Type="http://schemas.openxmlformats.org/officeDocument/2006/relationships/hyperlink" Target="https://drive.google.com/file/d/18uL_HKiUEi0y1MjtqK4_kvln4kw_UTWU/view?usp=drivesdk" TargetMode="External"/><Relationship Id="rId1819" Type="http://schemas.openxmlformats.org/officeDocument/2006/relationships/hyperlink" Target="https://drive.google.com/file/d/1TRvG0MW8556V6d3AjXPoSHqWqjhZQ7o_/view?usp=drivesdk" TargetMode="External"/><Relationship Id="rId1800" Type="http://schemas.openxmlformats.org/officeDocument/2006/relationships/hyperlink" Target="https://drive.google.com/file/d/13HHIa-04CBsi0njsrqyeVu88z-UWvSg7/view?usp=drivesdk" TargetMode="External"/><Relationship Id="rId1801" Type="http://schemas.openxmlformats.org/officeDocument/2006/relationships/hyperlink" Target="https://drive.google.com/file/d/1mi2KoUVtk_blHRDBw3QLjZJ_4aEq6l2d/view?usp=drivesdk" TargetMode="External"/><Relationship Id="rId1802" Type="http://schemas.openxmlformats.org/officeDocument/2006/relationships/hyperlink" Target="https://drive.google.com/file/d/17ixm1cmGYEpf4KmklIw8_ko1WBCdeeT2/view?usp=drivesdk" TargetMode="External"/><Relationship Id="rId1803" Type="http://schemas.openxmlformats.org/officeDocument/2006/relationships/hyperlink" Target="https://drive.google.com/file/d/1DOprJBxI_jlXlUC55Ub9zbuyYhOi2p89/view?usp=drivesdk" TargetMode="External"/><Relationship Id="rId1804" Type="http://schemas.openxmlformats.org/officeDocument/2006/relationships/hyperlink" Target="https://drive.google.com/file/d/12wL9Eefa1tfTqX2r5MOpUFpfhF9OOlpH/view?usp=drivesdk" TargetMode="External"/><Relationship Id="rId1805" Type="http://schemas.openxmlformats.org/officeDocument/2006/relationships/hyperlink" Target="https://drive.google.com/file/d/18AVf8XWPCEW6uV08WYv6k8ow1Cb6E4eE/view?usp=drivesdk" TargetMode="External"/><Relationship Id="rId1806" Type="http://schemas.openxmlformats.org/officeDocument/2006/relationships/hyperlink" Target="https://drive.google.com/file/d/1aJL4DCpU28n2iInSNrjPtoct28aZ9WSv/view?usp=drivesdk" TargetMode="External"/><Relationship Id="rId1807" Type="http://schemas.openxmlformats.org/officeDocument/2006/relationships/hyperlink" Target="https://drive.google.com/file/d/1fCggCPWfzVfqNGJMCRj-3vdwDljU-Ctw/view?usp=drivesdk" TargetMode="External"/><Relationship Id="rId1808" Type="http://schemas.openxmlformats.org/officeDocument/2006/relationships/hyperlink" Target="https://drive.google.com/file/d/1ay2x-7lA0J__FzkuzontfM_4BBQpPspN/view?usp=drivesdk" TargetMode="External"/><Relationship Id="rId1809" Type="http://schemas.openxmlformats.org/officeDocument/2006/relationships/hyperlink" Target="https://drive.google.com/file/d/1kVbDPhtPpv4IvfgHQZI2FjAQk_NnOh7I/view?usp=drivesdk" TargetMode="External"/><Relationship Id="rId1830" Type="http://schemas.openxmlformats.org/officeDocument/2006/relationships/hyperlink" Target="https://drive.google.com/file/d/1Zuq0HYJPUFTZATabBbDo37AsQN8vb36P/view?usp=drivesdk" TargetMode="External"/><Relationship Id="rId1831" Type="http://schemas.openxmlformats.org/officeDocument/2006/relationships/hyperlink" Target="https://drive.google.com/file/d/1106bQbjL0j4rzfqkj-EYnx7u6KaaRAz0/view?usp=drivesdk" TargetMode="External"/><Relationship Id="rId1832" Type="http://schemas.openxmlformats.org/officeDocument/2006/relationships/hyperlink" Target="https://drive.google.com/file/d/1zYC4aAqrqUQAkI8bgaX2i2VLIKg_nE-s/view?usp=drivesdk" TargetMode="External"/><Relationship Id="rId1833" Type="http://schemas.openxmlformats.org/officeDocument/2006/relationships/hyperlink" Target="https://drive.google.com/file/d/1EIvlzWY1ATqLucC_Lbm_bTXxS3-VF2Vw/view?usp=drivesdk" TargetMode="External"/><Relationship Id="rId1834" Type="http://schemas.openxmlformats.org/officeDocument/2006/relationships/hyperlink" Target="https://drive.google.com/file/d/13d1vQt0kLweuBJlZP1lAH5n8FeA8z69E/view?usp=drivesdk" TargetMode="External"/><Relationship Id="rId1835" Type="http://schemas.openxmlformats.org/officeDocument/2006/relationships/hyperlink" Target="https://drive.google.com/file/d/1W-FOHSVKaFgCsLalYaISGeOarD_kbJQh/view?usp=drivesdk" TargetMode="External"/><Relationship Id="rId1836" Type="http://schemas.openxmlformats.org/officeDocument/2006/relationships/hyperlink" Target="https://drive.google.com/file/d/1Luzb6j_eZmazqXZda01vq_MTMc__ODzF/view?usp=drivesdk" TargetMode="External"/><Relationship Id="rId1837" Type="http://schemas.openxmlformats.org/officeDocument/2006/relationships/hyperlink" Target="https://drive.google.com/file/d/12OSPLd-UFjcjhsEEvI_izddJTLdkK32F/view?usp=drivesdk" TargetMode="External"/><Relationship Id="rId1838" Type="http://schemas.openxmlformats.org/officeDocument/2006/relationships/hyperlink" Target="https://drive.google.com/file/d/1a0e52mO88m0TQVLB6lXPPO67Jrcxi6YB/view?usp=drivesdk" TargetMode="External"/><Relationship Id="rId1839" Type="http://schemas.openxmlformats.org/officeDocument/2006/relationships/hyperlink" Target="https://drive.google.com/file/d/1usIBsYrF9GkBedp43gx_DOPmeT-CGfLG/view?usp=drivesdk" TargetMode="External"/><Relationship Id="rId1820" Type="http://schemas.openxmlformats.org/officeDocument/2006/relationships/hyperlink" Target="https://drive.google.com/file/d/1jsqc4Nw8ZVUNtJvxPMXZ2WxLOeCAzvC2/view?usp=drivesdk" TargetMode="External"/><Relationship Id="rId1821" Type="http://schemas.openxmlformats.org/officeDocument/2006/relationships/hyperlink" Target="https://drive.google.com/file/d/1UZjfWxUn02pE0KaC6XoSII1nn-FitGBH/view?usp=drivesdk" TargetMode="External"/><Relationship Id="rId1822" Type="http://schemas.openxmlformats.org/officeDocument/2006/relationships/hyperlink" Target="https://drive.google.com/file/d/17DVMtKpkt-zmqZ8qD_4RDKRzmTygqhQn/view?usp=drivesdk" TargetMode="External"/><Relationship Id="rId1823" Type="http://schemas.openxmlformats.org/officeDocument/2006/relationships/hyperlink" Target="https://drive.google.com/file/d/1NQktMkbpACkD4VI6sKHLjnQbJiWCu-VR/view?usp=drivesdk" TargetMode="External"/><Relationship Id="rId1824" Type="http://schemas.openxmlformats.org/officeDocument/2006/relationships/hyperlink" Target="https://drive.google.com/file/d/1Lqo_rP_ugl524oshD7tB2ePNTjcJKHnw/view?usp=drivesdk" TargetMode="External"/><Relationship Id="rId1825" Type="http://schemas.openxmlformats.org/officeDocument/2006/relationships/hyperlink" Target="https://drive.google.com/file/d/1Q9TRkDHw4VrOkYlzgPzTI7Ue0RYW8e5q/view?usp=drivesdk" TargetMode="External"/><Relationship Id="rId1826" Type="http://schemas.openxmlformats.org/officeDocument/2006/relationships/hyperlink" Target="https://drive.google.com/file/d/1zCFkbztpW6v3zXgFXGUlTrsPohqonIjq/view?usp=drivesdk" TargetMode="External"/><Relationship Id="rId1827" Type="http://schemas.openxmlformats.org/officeDocument/2006/relationships/hyperlink" Target="https://drive.google.com/file/d/16bBSZUKbCNOKPi7fjyyE5KkdNpK50Ds6/view?usp=drivesdk" TargetMode="External"/><Relationship Id="rId1828" Type="http://schemas.openxmlformats.org/officeDocument/2006/relationships/hyperlink" Target="https://drive.google.com/file/d/147Bg81ddB9NDCGSQasUO1AUyJHEOW9iY/view?usp=drivesdk" TargetMode="External"/><Relationship Id="rId1829" Type="http://schemas.openxmlformats.org/officeDocument/2006/relationships/hyperlink" Target="https://drive.google.com/file/d/1ubcjp-IxtLI7FzAy36NyUeOyQEI_vuS7/view?usp=drivesdk" TargetMode="External"/><Relationship Id="rId2302" Type="http://schemas.openxmlformats.org/officeDocument/2006/relationships/hyperlink" Target="https://drive.google.com/file/d/16RZDAW49J_MgePCOS2MRR6Q0vCIlfeHK/view?usp=drivesdk" TargetMode="External"/><Relationship Id="rId2303" Type="http://schemas.openxmlformats.org/officeDocument/2006/relationships/hyperlink" Target="https://drive.google.com/file/d/1_0e1sG_IsN1u7JgvZStK2EQoeuvkYViu/view?usp=drivesdk" TargetMode="External"/><Relationship Id="rId2304" Type="http://schemas.openxmlformats.org/officeDocument/2006/relationships/hyperlink" Target="https://drive.google.com/file/d/1-MZ-N12oypxnLQfDoZbYrGDEw6wbXjAp/view?usp=drivesdk" TargetMode="External"/><Relationship Id="rId2305" Type="http://schemas.openxmlformats.org/officeDocument/2006/relationships/hyperlink" Target="https://drive.google.com/file/d/1coh1n65MTUr87MDEyHfbB09h4YDC-r8x/view?usp=drivesdk" TargetMode="External"/><Relationship Id="rId2306" Type="http://schemas.openxmlformats.org/officeDocument/2006/relationships/hyperlink" Target="https://drive.google.com/file/d/1RjEVDJWEV8Xxsahs2BjNxUVguatvIA20/view?usp=drivesdk" TargetMode="External"/><Relationship Id="rId2307" Type="http://schemas.openxmlformats.org/officeDocument/2006/relationships/hyperlink" Target="https://drive.google.com/file/d/1744XOx8DEsVmmpX_D5LsuVvfoYFHGaW0/view?usp=drivesdk" TargetMode="External"/><Relationship Id="rId2308" Type="http://schemas.openxmlformats.org/officeDocument/2006/relationships/hyperlink" Target="https://drive.google.com/file/d/1lHt6LbBA1f3U9xdQdhOGcrzotS8431YM/view?usp=drivesdk" TargetMode="External"/><Relationship Id="rId2309" Type="http://schemas.openxmlformats.org/officeDocument/2006/relationships/hyperlink" Target="https://drive.google.com/file/d/1c_Hgxfh3NmiJ5PVH115VwciMndVxod6W/view?usp=drivesdk" TargetMode="External"/><Relationship Id="rId2300" Type="http://schemas.openxmlformats.org/officeDocument/2006/relationships/hyperlink" Target="https://drive.google.com/file/d/1KuHfyOybdC2NCs9Up0JZr76ndo8JCMQf/view?usp=drivesdk" TargetMode="External"/><Relationship Id="rId2301" Type="http://schemas.openxmlformats.org/officeDocument/2006/relationships/hyperlink" Target="https://drive.google.com/file/d/1pTMLzc4PBC1Mq0rfoh2tnmrXPC5dVp_p/view?usp=drivesdk" TargetMode="External"/><Relationship Id="rId2324" Type="http://schemas.openxmlformats.org/officeDocument/2006/relationships/hyperlink" Target="https://drive.google.com/file/d/14dCdMq92-f76L2crqEFekILoOlZoLmFN/view?usp=drivesdk" TargetMode="External"/><Relationship Id="rId2325" Type="http://schemas.openxmlformats.org/officeDocument/2006/relationships/hyperlink" Target="https://drive.google.com/file/d/13u05DXpTGolV-plFtfxuzJ9THR-FzwBm/view?usp=drivesdk" TargetMode="External"/><Relationship Id="rId2326" Type="http://schemas.openxmlformats.org/officeDocument/2006/relationships/hyperlink" Target="https://drive.google.com/file/d/104GuJ8v6TlHG5v-Y6lMleiTLiIEgMcKX/view?usp=drivesdk" TargetMode="External"/><Relationship Id="rId2327" Type="http://schemas.openxmlformats.org/officeDocument/2006/relationships/hyperlink" Target="https://drive.google.com/file/d/1dyNVe39nobE4tlNuZp-g8SbaB3cVN63F/view?usp=drivesdk" TargetMode="External"/><Relationship Id="rId2328" Type="http://schemas.openxmlformats.org/officeDocument/2006/relationships/hyperlink" Target="https://drive.google.com/file/d/1wNswP_a09T1tCvY--MvamlRTsyan9e-u/view?usp=drivesdk" TargetMode="External"/><Relationship Id="rId2329" Type="http://schemas.openxmlformats.org/officeDocument/2006/relationships/hyperlink" Target="https://drive.google.com/file/d/1Ptumtl9Fm6oMCQGqS2Wn3ux92c21HsZV/view?usp=drivesdk" TargetMode="External"/><Relationship Id="rId2320" Type="http://schemas.openxmlformats.org/officeDocument/2006/relationships/hyperlink" Target="https://drive.google.com/file/d/1Py0OnHcMa9nDvRSxR6iePhzRdZrMaCjJ/view?usp=drivesdk" TargetMode="External"/><Relationship Id="rId2321" Type="http://schemas.openxmlformats.org/officeDocument/2006/relationships/hyperlink" Target="https://drive.google.com/file/d/1E314OtBhEMgjIBqvBY8gxwvKk8355qmJ/view?usp=drivesdk" TargetMode="External"/><Relationship Id="rId2322" Type="http://schemas.openxmlformats.org/officeDocument/2006/relationships/hyperlink" Target="https://drive.google.com/file/d/1NtzyHxKkLmomHRuMCnfa4jiBriwLkLhO/view?usp=drivesdk" TargetMode="External"/><Relationship Id="rId2323" Type="http://schemas.openxmlformats.org/officeDocument/2006/relationships/hyperlink" Target="https://drive.google.com/file/d/1ABGq25Q1ATLLIsqruHNgM7XFYtRLI5XA/view?usp=drivesdk" TargetMode="External"/><Relationship Id="rId2313" Type="http://schemas.openxmlformats.org/officeDocument/2006/relationships/hyperlink" Target="https://drive.google.com/file/d/1vprfTZU-vSE76-1E1mWhG_NmzEPFCOJy/view?usp=drivesdk" TargetMode="External"/><Relationship Id="rId2314" Type="http://schemas.openxmlformats.org/officeDocument/2006/relationships/hyperlink" Target="https://drive.google.com/file/d/1LEcXq_4P1S8O9IjbzlNnBefngoNhqfMZ/view?usp=drivesdk" TargetMode="External"/><Relationship Id="rId2315" Type="http://schemas.openxmlformats.org/officeDocument/2006/relationships/hyperlink" Target="https://drive.google.com/file/d/1aQbluc8edf6woVSRAjl8DribX9Q1lwMq/view?usp=drivesdk" TargetMode="External"/><Relationship Id="rId2316" Type="http://schemas.openxmlformats.org/officeDocument/2006/relationships/hyperlink" Target="https://drive.google.com/file/d/1ksk_49CDtjy78bBc-5d6Wp94QsDRCPtH/view?usp=drivesdk" TargetMode="External"/><Relationship Id="rId2317" Type="http://schemas.openxmlformats.org/officeDocument/2006/relationships/hyperlink" Target="https://drive.google.com/file/d/1ELqy9Qs3HA6JL7r7nEwF7SppUFCjNfuS/view?usp=drivesdk" TargetMode="External"/><Relationship Id="rId2318" Type="http://schemas.openxmlformats.org/officeDocument/2006/relationships/hyperlink" Target="https://drive.google.com/file/d/1XOuZFs_pNNmR2Pg-VP-NoTjS-l0wwo7z/view?usp=drivesdk" TargetMode="External"/><Relationship Id="rId2319" Type="http://schemas.openxmlformats.org/officeDocument/2006/relationships/hyperlink" Target="https://drive.google.com/file/d/1lxtfApTxtTN-M53rolUHnD9lQuVCGaLC/view?usp=drivesdk" TargetMode="External"/><Relationship Id="rId2310" Type="http://schemas.openxmlformats.org/officeDocument/2006/relationships/hyperlink" Target="https://drive.google.com/file/d/1y7yGvATdO34uGOpVp9lz0UtbGpjbwgd-/view?usp=drivesdk" TargetMode="External"/><Relationship Id="rId2311" Type="http://schemas.openxmlformats.org/officeDocument/2006/relationships/hyperlink" Target="https://drive.google.com/file/d/1O3_Y4aA8Jv5CR0gWcok1CVEmMqAhPJMT/view?usp=drivesdk" TargetMode="External"/><Relationship Id="rId2312" Type="http://schemas.openxmlformats.org/officeDocument/2006/relationships/hyperlink" Target="https://drive.google.com/file/d/1MqPeUPqWSqlHnm3Iq3WU9FB4MmRMvi8k/view?usp=drivesdk" TargetMode="External"/><Relationship Id="rId1895" Type="http://schemas.openxmlformats.org/officeDocument/2006/relationships/hyperlink" Target="https://drive.google.com/file/d/1AgsGb4WtJjFVu1Balg-u7-TsmcKXn2BY/view?usp=drivesdk" TargetMode="External"/><Relationship Id="rId1896" Type="http://schemas.openxmlformats.org/officeDocument/2006/relationships/hyperlink" Target="https://drive.google.com/file/d/14GDwka5WXo01MRrZjxyWucHufF4-v6LD/view?usp=drivesdk" TargetMode="External"/><Relationship Id="rId1897" Type="http://schemas.openxmlformats.org/officeDocument/2006/relationships/hyperlink" Target="https://drive.google.com/file/d/1Cr-qe0lZtCD2FMVk1u6SVmb5AcUr2qDH/view?usp=drivesdk" TargetMode="External"/><Relationship Id="rId1898" Type="http://schemas.openxmlformats.org/officeDocument/2006/relationships/hyperlink" Target="https://drive.google.com/file/d/1ZeqX6nAO_yrHa6hzzGh784dC24lN3SVg/view?usp=drivesdk" TargetMode="External"/><Relationship Id="rId1899" Type="http://schemas.openxmlformats.org/officeDocument/2006/relationships/hyperlink" Target="https://drive.google.com/file/d/1yoJLVxJf7sK5lyhRHzBpQUbD1u65SBfP/view?usp=drivesdk" TargetMode="External"/><Relationship Id="rId1890" Type="http://schemas.openxmlformats.org/officeDocument/2006/relationships/hyperlink" Target="https://drive.google.com/file/d/14PZKdfWSU_kva2Q63MCyWUMbs-9y03Nb/view?usp=drivesdk" TargetMode="External"/><Relationship Id="rId1891" Type="http://schemas.openxmlformats.org/officeDocument/2006/relationships/hyperlink" Target="https://drive.google.com/file/d/1q2ptt5psGZii9Gl5DhVp2Si-SeCXDSev/view?usp=drivesdk" TargetMode="External"/><Relationship Id="rId1892" Type="http://schemas.openxmlformats.org/officeDocument/2006/relationships/hyperlink" Target="https://drive.google.com/file/d/1qO1MT43kg_DQ2Yjb99QDlakBxFj0iL6W/view?usp=drivesdk" TargetMode="External"/><Relationship Id="rId1893" Type="http://schemas.openxmlformats.org/officeDocument/2006/relationships/hyperlink" Target="https://drive.google.com/file/d/1otd8tag3Sg8_46MScQ-zNxgAli6gxZEI/view?usp=drivesdk" TargetMode="External"/><Relationship Id="rId1894" Type="http://schemas.openxmlformats.org/officeDocument/2006/relationships/hyperlink" Target="https://drive.google.com/file/d/1XLcJzkvKrqoMKsiDwWfWZuK3vwe5wnmi/view?usp=drivesdk" TargetMode="External"/><Relationship Id="rId1884" Type="http://schemas.openxmlformats.org/officeDocument/2006/relationships/hyperlink" Target="https://drive.google.com/file/d/1UL3kEgKJndY_8XYSPZentTvLB2K2Z9XH/view?usp=drivesdk" TargetMode="External"/><Relationship Id="rId1885" Type="http://schemas.openxmlformats.org/officeDocument/2006/relationships/hyperlink" Target="https://drive.google.com/file/d/1fbJj4HE1iAbR8a-t9twuoLJotbE1qJMH/view?usp=drivesdk" TargetMode="External"/><Relationship Id="rId1886" Type="http://schemas.openxmlformats.org/officeDocument/2006/relationships/hyperlink" Target="https://drive.google.com/file/d/19XbqlWcLAMMxVSHNojeU9dgGwkr8Qw9g/view?usp=drivesdk" TargetMode="External"/><Relationship Id="rId1887" Type="http://schemas.openxmlformats.org/officeDocument/2006/relationships/hyperlink" Target="https://drive.google.com/file/d/1cyO16rixYtU4y2gvmTQma1qk2h81SBGQ/view?usp=drivesdk" TargetMode="External"/><Relationship Id="rId1888" Type="http://schemas.openxmlformats.org/officeDocument/2006/relationships/hyperlink" Target="https://drive.google.com/file/d/1rzKesF8QsB8lcE-zOSZCh7ATSU5-uhVK/view?usp=drivesdk" TargetMode="External"/><Relationship Id="rId1889" Type="http://schemas.openxmlformats.org/officeDocument/2006/relationships/hyperlink" Target="https://drive.google.com/file/d/1F8X-nRCVtwRBAzwb8EHeo_q-gNn6CopR/view?usp=drivesdk" TargetMode="External"/><Relationship Id="rId1880" Type="http://schemas.openxmlformats.org/officeDocument/2006/relationships/hyperlink" Target="https://drive.google.com/file/d/1cbluUwsEfnekK-RTvINgVWQ40k41DexL/view?usp=drivesdk" TargetMode="External"/><Relationship Id="rId1881" Type="http://schemas.openxmlformats.org/officeDocument/2006/relationships/hyperlink" Target="https://drive.google.com/file/d/19BSti7IdjNCopot1MGDHdmkAXVabAeOY/view?usp=drivesdk" TargetMode="External"/><Relationship Id="rId1882" Type="http://schemas.openxmlformats.org/officeDocument/2006/relationships/hyperlink" Target="https://drive.google.com/file/d/11i8QpQP4x8uUWv9SJ8C6VUp5PsN9IDty/view?usp=drivesdk" TargetMode="External"/><Relationship Id="rId1883" Type="http://schemas.openxmlformats.org/officeDocument/2006/relationships/hyperlink" Target="https://drive.google.com/file/d/1YtM6HlerVkd8BeGviKU5lebr3qhoNWen/view?usp=drivesdk" TargetMode="External"/><Relationship Id="rId1059" Type="http://schemas.openxmlformats.org/officeDocument/2006/relationships/hyperlink" Target="https://drive.google.com/file/d/1h4E4x76ImfP_Sp9gP90EbQfd0Lpd0z8a/view?usp=drivesdk" TargetMode="External"/><Relationship Id="rId228" Type="http://schemas.openxmlformats.org/officeDocument/2006/relationships/hyperlink" Target="https://drive.google.com/file/d/1eIXBUwDW49BOMxr0toRxF26mOK-Iy9D4/view?usp=drivesdk" TargetMode="External"/><Relationship Id="rId227" Type="http://schemas.openxmlformats.org/officeDocument/2006/relationships/hyperlink" Target="https://drive.google.com/file/d/1sUv1I7urJMEOFbVVVtOpT2pPY4TQ-znm/view?usp=drivesdk" TargetMode="External"/><Relationship Id="rId226" Type="http://schemas.openxmlformats.org/officeDocument/2006/relationships/hyperlink" Target="https://drive.google.com/file/d/1Uwrl-iB25xi743VVk_kjoiZWVOvWrvTP/view?usp=drivesdk" TargetMode="External"/><Relationship Id="rId225" Type="http://schemas.openxmlformats.org/officeDocument/2006/relationships/hyperlink" Target="https://drive.google.com/file/d/1tDA2un6ofqSGvczgfE61bs2LVqn6rny2/view?usp=drivesdk" TargetMode="External"/><Relationship Id="rId2380" Type="http://schemas.openxmlformats.org/officeDocument/2006/relationships/hyperlink" Target="https://drive.google.com/file/d/1JQl73ZhkjRRuFB8KNt7DJgIoWQHYtGe-/view?usp=drivesdk" TargetMode="External"/><Relationship Id="rId229" Type="http://schemas.openxmlformats.org/officeDocument/2006/relationships/hyperlink" Target="https://drive.google.com/file/d/1a8v4D4hv4AKMjkyFo-73DnrRnHekb_h9/view?usp=drivesdk" TargetMode="External"/><Relationship Id="rId1050" Type="http://schemas.openxmlformats.org/officeDocument/2006/relationships/hyperlink" Target="https://drive.google.com/file/d/1WrVcg7W51fNDZDDbUp1eLfHLzW3Jb36u/view?usp=drivesdk" TargetMode="External"/><Relationship Id="rId2381" Type="http://schemas.openxmlformats.org/officeDocument/2006/relationships/hyperlink" Target="https://drive.google.com/file/d/19oRMQgnY7IoelzsIC0bZBVni8MbWDaaa/view?usp=drivesdk" TargetMode="External"/><Relationship Id="rId220" Type="http://schemas.openxmlformats.org/officeDocument/2006/relationships/hyperlink" Target="https://drive.google.com/file/d/1VfxiaLclD1xiwEnL9JHWxD88MYo2ygHa/view?usp=drivesdk" TargetMode="External"/><Relationship Id="rId1051" Type="http://schemas.openxmlformats.org/officeDocument/2006/relationships/hyperlink" Target="https://drive.google.com/file/d/1eHkxjPpK_rVZKF3BuMAqTzzCmee1pbXo/view?usp=drivesdk" TargetMode="External"/><Relationship Id="rId2382" Type="http://schemas.openxmlformats.org/officeDocument/2006/relationships/hyperlink" Target="https://drive.google.com/file/d/1xEzOJppSXQ_OfCz7JmThswdO-0NBUH1J/view?usp=drivesdk" TargetMode="External"/><Relationship Id="rId1052" Type="http://schemas.openxmlformats.org/officeDocument/2006/relationships/hyperlink" Target="https://drive.google.com/file/d/1qQ5M8HpSr6LmZ9XXI0UOb9Db7663bCD5/view?usp=drivesdk" TargetMode="External"/><Relationship Id="rId2383" Type="http://schemas.openxmlformats.org/officeDocument/2006/relationships/hyperlink" Target="https://drive.google.com/file/d/1eKu4moG3wHVr3i_8gnQ8r_fzp799MwNX/view?usp=drivesdk" TargetMode="External"/><Relationship Id="rId1053" Type="http://schemas.openxmlformats.org/officeDocument/2006/relationships/hyperlink" Target="https://drive.google.com/file/d/19XrshoZKTpzuYARwenneTtMkAEeI0FUc/view?usp=drivesdk" TargetMode="External"/><Relationship Id="rId2384" Type="http://schemas.openxmlformats.org/officeDocument/2006/relationships/hyperlink" Target="https://drive.google.com/file/d/1YgSEUb4GVhsTyg6RVMTv04FW8__knOBp/view?usp=drivesdk" TargetMode="External"/><Relationship Id="rId1054" Type="http://schemas.openxmlformats.org/officeDocument/2006/relationships/hyperlink" Target="https://drive.google.com/file/d/1t-1oxYlBiFoGBO2lB0gWuCQKEwoGxg3-/view?usp=drivesdk" TargetMode="External"/><Relationship Id="rId2385" Type="http://schemas.openxmlformats.org/officeDocument/2006/relationships/hyperlink" Target="https://drive.google.com/file/d/1dvfqLN1f-Yzjz39Pp_jbxzxEoBwH_A2D/view?usp=drivesdk" TargetMode="External"/><Relationship Id="rId224" Type="http://schemas.openxmlformats.org/officeDocument/2006/relationships/hyperlink" Target="https://drive.google.com/file/d/16jAQbMbw61rV1b2JcuwrikbliWWPVftT/view?usp=drivesdk" TargetMode="External"/><Relationship Id="rId1055" Type="http://schemas.openxmlformats.org/officeDocument/2006/relationships/hyperlink" Target="https://drive.google.com/file/d/1cuywEiec4eC1pwnBxFdhV1bMnQni6s1X/view?usp=drivesdk" TargetMode="External"/><Relationship Id="rId2386" Type="http://schemas.openxmlformats.org/officeDocument/2006/relationships/hyperlink" Target="https://drive.google.com/file/d/1NavCp7qEnNgsV9Bi43_tjalkc7uLIRfA/view?usp=drivesdk" TargetMode="External"/><Relationship Id="rId223" Type="http://schemas.openxmlformats.org/officeDocument/2006/relationships/hyperlink" Target="https://drive.google.com/file/d/1VfSxWRMEq813LLr4_CM3icW-LJmJ6NyN/view?usp=drivesdk" TargetMode="External"/><Relationship Id="rId1056" Type="http://schemas.openxmlformats.org/officeDocument/2006/relationships/hyperlink" Target="https://drive.google.com/file/d/1ZatiU1Q_NnHIDtaz3ijqf7f0TfvZ9N8P/view?usp=drivesdk" TargetMode="External"/><Relationship Id="rId2387" Type="http://schemas.openxmlformats.org/officeDocument/2006/relationships/hyperlink" Target="https://drive.google.com/file/d/1FxQurkCHLf4pcA90Mu17qcSbezbf2glt/view?usp=drivesdk" TargetMode="External"/><Relationship Id="rId222" Type="http://schemas.openxmlformats.org/officeDocument/2006/relationships/hyperlink" Target="https://drive.google.com/file/d/1uWQpbF0HgWhLvX2bgTF7aVh_Y9cds22W/view?usp=drivesdk" TargetMode="External"/><Relationship Id="rId1057" Type="http://schemas.openxmlformats.org/officeDocument/2006/relationships/hyperlink" Target="https://drive.google.com/file/d/1uzq5_GcE66QjjgVvxJdTuOPtNsJmHKVc/view?usp=drivesdk" TargetMode="External"/><Relationship Id="rId2388" Type="http://schemas.openxmlformats.org/officeDocument/2006/relationships/hyperlink" Target="https://drive.google.com/file/d/1H7CRgyE0iT_XyIwiK2lHuSZ5ncZR4r1S/view?usp=drivesdk" TargetMode="External"/><Relationship Id="rId221" Type="http://schemas.openxmlformats.org/officeDocument/2006/relationships/hyperlink" Target="https://drive.google.com/file/d/1YnMHEC_ts0etaYlOm44LlWSwOOFnACHT/view?usp=drivesdk" TargetMode="External"/><Relationship Id="rId1058" Type="http://schemas.openxmlformats.org/officeDocument/2006/relationships/hyperlink" Target="https://drive.google.com/file/d/1NrMrsCBaEuWV2q2v2gR08P2s_ftAN5fT/view?usp=drivesdk" TargetMode="External"/><Relationship Id="rId2389" Type="http://schemas.openxmlformats.org/officeDocument/2006/relationships/hyperlink" Target="https://drive.google.com/file/d/1z1Zey5L-cc7ecETTieN8hzVyFk3_RSik/view?usp=drivesdk" TargetMode="External"/><Relationship Id="rId1048" Type="http://schemas.openxmlformats.org/officeDocument/2006/relationships/hyperlink" Target="https://drive.google.com/file/d/1uWvO8NEr5L6XnYJ4cGZlBAXC_uvP3iCt/view?usp=drivesdk" TargetMode="External"/><Relationship Id="rId2379" Type="http://schemas.openxmlformats.org/officeDocument/2006/relationships/hyperlink" Target="https://drive.google.com/file/d/1urMPGjsNCzzzAHj9Pb8hkGaJPKdaCi-u/view?usp=drivesdk" TargetMode="External"/><Relationship Id="rId1049" Type="http://schemas.openxmlformats.org/officeDocument/2006/relationships/hyperlink" Target="https://drive.google.com/file/d/1Uq2V6mK3jzICA-7PDAm-uLMjue1mmh0H/view?usp=drivesdk" TargetMode="External"/><Relationship Id="rId217" Type="http://schemas.openxmlformats.org/officeDocument/2006/relationships/hyperlink" Target="https://drive.google.com/file/d/14IuqSPEe-HUqne8KVM17NYUcmlyjPdYu/view?usp=drivesdk" TargetMode="External"/><Relationship Id="rId216" Type="http://schemas.openxmlformats.org/officeDocument/2006/relationships/hyperlink" Target="https://drive.google.com/file/d/1LYnYu7Q4phKYap_UXp8Eqlxxa56pfpbB/view?usp=drivesdk" TargetMode="External"/><Relationship Id="rId215" Type="http://schemas.openxmlformats.org/officeDocument/2006/relationships/hyperlink" Target="https://drive.google.com/file/d/1seICD6AKFTIyV0bNTnx--EX8o-rVPC3e/view?usp=drivesdk" TargetMode="External"/><Relationship Id="rId214" Type="http://schemas.openxmlformats.org/officeDocument/2006/relationships/hyperlink" Target="https://drive.google.com/file/d/1n2Mjn2TK5_aSkct1pS3ng7gb7GRXHjtM/view?usp=drivesdk" TargetMode="External"/><Relationship Id="rId219" Type="http://schemas.openxmlformats.org/officeDocument/2006/relationships/hyperlink" Target="https://drive.google.com/file/d/1gbjeqcMum4SBSV8oy601E4gVeYwgci0i/view?usp=drivesdk" TargetMode="External"/><Relationship Id="rId218" Type="http://schemas.openxmlformats.org/officeDocument/2006/relationships/hyperlink" Target="https://drive.google.com/file/d/1MSCqOkl60_azo9mQ4NbfFdAemX4pyAOn/view?usp=drivesdk" TargetMode="External"/><Relationship Id="rId2370" Type="http://schemas.openxmlformats.org/officeDocument/2006/relationships/hyperlink" Target="https://drive.google.com/file/d/1rSNFK5RXAHn7cAYAHlD7LdDR3jqFtpV0/view?usp=drivesdk" TargetMode="External"/><Relationship Id="rId1040" Type="http://schemas.openxmlformats.org/officeDocument/2006/relationships/hyperlink" Target="https://drive.google.com/file/d/1mQuaFaXLSnoJGwsJ0FzlIb9Em-aevTJ9/view?usp=drivesdk" TargetMode="External"/><Relationship Id="rId2371" Type="http://schemas.openxmlformats.org/officeDocument/2006/relationships/hyperlink" Target="https://drive.google.com/file/d/1l-_5HGsduRn8WDNZutEo4LJ4CUchpc05/view?usp=drivesdk" TargetMode="External"/><Relationship Id="rId1041" Type="http://schemas.openxmlformats.org/officeDocument/2006/relationships/hyperlink" Target="https://drive.google.com/file/d/1MkrsOtT6Tte0j3hkKvI9hRASa_qtXbbH/view?usp=drivesdk" TargetMode="External"/><Relationship Id="rId2372" Type="http://schemas.openxmlformats.org/officeDocument/2006/relationships/hyperlink" Target="https://drive.google.com/file/d/1_PXzwIPlEMyOTPme53rdq_bAucgDiAM5/view?usp=drivesdk" TargetMode="External"/><Relationship Id="rId1042" Type="http://schemas.openxmlformats.org/officeDocument/2006/relationships/hyperlink" Target="https://drive.google.com/file/d/1a3AYXuEamo9Br8ebYVClbj3FGBD0FmtS/view?usp=drivesdk" TargetMode="External"/><Relationship Id="rId2373" Type="http://schemas.openxmlformats.org/officeDocument/2006/relationships/hyperlink" Target="https://drive.google.com/file/d/1kfWh1p3nbKjxcBOQnERY5IFL82kj_EoR/view?usp=drivesdk" TargetMode="External"/><Relationship Id="rId1043" Type="http://schemas.openxmlformats.org/officeDocument/2006/relationships/hyperlink" Target="https://drive.google.com/file/d/1bMukRQYuTPhYKpSkJ7Lmfggh9R87kneE/view?usp=drivesdk" TargetMode="External"/><Relationship Id="rId2374" Type="http://schemas.openxmlformats.org/officeDocument/2006/relationships/hyperlink" Target="https://drive.google.com/file/d/18Q4p8SulZaj9PZEEO_Vk5VNHbyE0Wj6H/view?usp=drivesdk" TargetMode="External"/><Relationship Id="rId213" Type="http://schemas.openxmlformats.org/officeDocument/2006/relationships/hyperlink" Target="https://drive.google.com/file/d/10bM3X6Wu_8Qj_qgPuHSbZ6Z9i8Ye544E/view?usp=drivesdk" TargetMode="External"/><Relationship Id="rId1044" Type="http://schemas.openxmlformats.org/officeDocument/2006/relationships/hyperlink" Target="http://b.sc/B.Com" TargetMode="External"/><Relationship Id="rId2375" Type="http://schemas.openxmlformats.org/officeDocument/2006/relationships/hyperlink" Target="https://drive.google.com/file/d/1vV89eIfkih1tuJVx7FFk6S6APIKtd0c2/view?usp=drivesdk" TargetMode="External"/><Relationship Id="rId212" Type="http://schemas.openxmlformats.org/officeDocument/2006/relationships/hyperlink" Target="https://drive.google.com/file/d/19XjMmmborxE4DwBj0rGf9Bs0zG62Obca/view?usp=drivesdk" TargetMode="External"/><Relationship Id="rId1045" Type="http://schemas.openxmlformats.org/officeDocument/2006/relationships/hyperlink" Target="https://drive.google.com/file/d/1f6n6FBStLpR4KDeUtCiIA8f-rUHKy3s8/view?usp=drivesdk" TargetMode="External"/><Relationship Id="rId2376" Type="http://schemas.openxmlformats.org/officeDocument/2006/relationships/hyperlink" Target="https://drive.google.com/file/d/1e6r87PWB2JEOimS8I1biXPypGmVQO_QI/view?usp=drivesdk" TargetMode="External"/><Relationship Id="rId211" Type="http://schemas.openxmlformats.org/officeDocument/2006/relationships/hyperlink" Target="https://drive.google.com/file/d/1W-3u4Y7A8deDZ40pemHIGkVlU20-q2-Z/view?usp=drivesdk" TargetMode="External"/><Relationship Id="rId1046" Type="http://schemas.openxmlformats.org/officeDocument/2006/relationships/hyperlink" Target="https://drive.google.com/file/d/1AYIt27dyw0dODcbmHvphKIk0Dynf7-i1/view?usp=drivesdk" TargetMode="External"/><Relationship Id="rId2377" Type="http://schemas.openxmlformats.org/officeDocument/2006/relationships/hyperlink" Target="https://drive.google.com/file/d/163-y9iKqjVaftTwfl65l7toElsnv_ebL/view?usp=drivesdk" TargetMode="External"/><Relationship Id="rId210" Type="http://schemas.openxmlformats.org/officeDocument/2006/relationships/hyperlink" Target="https://drive.google.com/file/d/1rteDbCAQAVxS5yUduYN5j7qfmAVxK0X1/view?usp=drivesdk" TargetMode="External"/><Relationship Id="rId1047" Type="http://schemas.openxmlformats.org/officeDocument/2006/relationships/hyperlink" Target="https://drive.google.com/file/d/1v4psLIAbElIWpazX_UtusHeALSAhZlNq/view?usp=drivesdk" TargetMode="External"/><Relationship Id="rId2378" Type="http://schemas.openxmlformats.org/officeDocument/2006/relationships/hyperlink" Target="https://drive.google.com/file/d/1eYckRM2Yu2Kj5oK04q8ptG2fWqLs7sIG/view?usp=drivesdk" TargetMode="External"/><Relationship Id="rId249" Type="http://schemas.openxmlformats.org/officeDocument/2006/relationships/hyperlink" Target="https://drive.google.com/file/d/11NBIoPhmEU4g4CfbKFzOTJXoW60uruhk/view?usp=drivesdk" TargetMode="External"/><Relationship Id="rId248" Type="http://schemas.openxmlformats.org/officeDocument/2006/relationships/hyperlink" Target="https://drive.google.com/file/d/1Ilm0jT9L4qzmkJ568KYy-Hy6CjPXXPr0/view?usp=drivesdk" TargetMode="External"/><Relationship Id="rId247" Type="http://schemas.openxmlformats.org/officeDocument/2006/relationships/hyperlink" Target="https://drive.google.com/file/d/1J6TVW3mOe6vFswtiGrjnECkzCzNsQtNc/view?usp=drivesdk" TargetMode="External"/><Relationship Id="rId1070" Type="http://schemas.openxmlformats.org/officeDocument/2006/relationships/hyperlink" Target="https://drive.google.com/file/d/18ymFZG4lGDLU28yOnH1zpOLmujUNUws2/view?usp=drivesdk" TargetMode="External"/><Relationship Id="rId1071" Type="http://schemas.openxmlformats.org/officeDocument/2006/relationships/hyperlink" Target="https://drive.google.com/file/d/1svmWOmLWshx_kjp4gY8YroUEOw78Phrh/view?usp=drivesdk" TargetMode="External"/><Relationship Id="rId1072" Type="http://schemas.openxmlformats.org/officeDocument/2006/relationships/hyperlink" Target="http://b.sc/B.Com" TargetMode="External"/><Relationship Id="rId242" Type="http://schemas.openxmlformats.org/officeDocument/2006/relationships/hyperlink" Target="https://drive.google.com/file/d/1495SGFuVEYH3RRYPtRFz5yrt3tMdF0pQ/view?usp=drivesdk" TargetMode="External"/><Relationship Id="rId1073" Type="http://schemas.openxmlformats.org/officeDocument/2006/relationships/hyperlink" Target="https://drive.google.com/file/d/15H3c9Xwl56j664m4GWAf8LYLNTDDptqc/view?usp=drivesdk" TargetMode="External"/><Relationship Id="rId241" Type="http://schemas.openxmlformats.org/officeDocument/2006/relationships/hyperlink" Target="https://drive.google.com/file/d/1mt-SEGPAVEaONdVvaRTBCdEk5z2aJJsA/view?usp=drivesdk" TargetMode="External"/><Relationship Id="rId1074" Type="http://schemas.openxmlformats.org/officeDocument/2006/relationships/hyperlink" Target="https://drive.google.com/file/d/1A1opbalOJLSy5Q1u4pGmUts9uBFTjwjW/view?usp=drivesdk" TargetMode="External"/><Relationship Id="rId240" Type="http://schemas.openxmlformats.org/officeDocument/2006/relationships/hyperlink" Target="https://drive.google.com/file/d/1CddWx4ehBwkV0oBj1WtJq-8Z2wRpnQCp/view?usp=drivesdk" TargetMode="External"/><Relationship Id="rId1075" Type="http://schemas.openxmlformats.org/officeDocument/2006/relationships/hyperlink" Target="https://drive.google.com/file/d/1P4LUtSUZ1Tk6Ug2nCc2ZShHZFiQgXijS/view?usp=drivesdk" TargetMode="External"/><Relationship Id="rId1076" Type="http://schemas.openxmlformats.org/officeDocument/2006/relationships/hyperlink" Target="http://b.sc/B.Com" TargetMode="External"/><Relationship Id="rId246" Type="http://schemas.openxmlformats.org/officeDocument/2006/relationships/hyperlink" Target="https://drive.google.com/file/d/114zkms7y1eGJeqRWnlN7ul2TqsuJh_Nj/view?usp=drivesdk" TargetMode="External"/><Relationship Id="rId1077" Type="http://schemas.openxmlformats.org/officeDocument/2006/relationships/hyperlink" Target="https://drive.google.com/file/d/13UE7s2ry_1MdWIou0E0tMfiq_XKcTHzX/view?usp=drivesdk" TargetMode="External"/><Relationship Id="rId245" Type="http://schemas.openxmlformats.org/officeDocument/2006/relationships/hyperlink" Target="https://drive.google.com/file/d/10usYM0r3Ka1qNfp8Q584NY6BhbXRsUG2/view?usp=drivesdk" TargetMode="External"/><Relationship Id="rId1078" Type="http://schemas.openxmlformats.org/officeDocument/2006/relationships/hyperlink" Target="https://drive.google.com/file/d/1hpuouGh029pO8LQRD1DpGilmHI0GY29T/view?usp=drivesdk" TargetMode="External"/><Relationship Id="rId244" Type="http://schemas.openxmlformats.org/officeDocument/2006/relationships/hyperlink" Target="https://drive.google.com/file/d/1X9pqmuW1Yn9ByWnAqwaOJvoSmw_K27QL/view?usp=drivesdk" TargetMode="External"/><Relationship Id="rId1079" Type="http://schemas.openxmlformats.org/officeDocument/2006/relationships/hyperlink" Target="https://drive.google.com/file/d/1zdefRwpdkwW4H-4QBcXIJBQc86qGbYTv/view?usp=drivesdk" TargetMode="External"/><Relationship Id="rId243" Type="http://schemas.openxmlformats.org/officeDocument/2006/relationships/hyperlink" Target="https://drive.google.com/file/d/1_26WS5fAzPRgZhLYyMEY90IG7b3wkx0n/view?usp=drivesdk" TargetMode="External"/><Relationship Id="rId239" Type="http://schemas.openxmlformats.org/officeDocument/2006/relationships/hyperlink" Target="https://drive.google.com/file/d/1wZyFzwDYaWg4mvaDUt8WqOtbVPePZjf_/view?usp=drivesdk" TargetMode="External"/><Relationship Id="rId238" Type="http://schemas.openxmlformats.org/officeDocument/2006/relationships/hyperlink" Target="https://drive.google.com/file/d/1fvezPxA-UDSZamwMptl0odDJiPATVGbl/view?usp=drivesdk" TargetMode="External"/><Relationship Id="rId237" Type="http://schemas.openxmlformats.org/officeDocument/2006/relationships/hyperlink" Target="https://drive.google.com/file/d/1gfr9svi5UDoqw2l6oYYK2J8DBlUbEfWZ/view?usp=drivesdk" TargetMode="External"/><Relationship Id="rId236" Type="http://schemas.openxmlformats.org/officeDocument/2006/relationships/hyperlink" Target="https://drive.google.com/file/d/16uIEAtVE-3rqtCqxRd4CZTfOyFgYhPEn/view?usp=drivesdk" TargetMode="External"/><Relationship Id="rId2390" Type="http://schemas.openxmlformats.org/officeDocument/2006/relationships/hyperlink" Target="https://drive.google.com/file/d/1q151COqKDuDqNN76cuvCUMaSEVEXodgo/view?usp=drivesdk" TargetMode="External"/><Relationship Id="rId1060" Type="http://schemas.openxmlformats.org/officeDocument/2006/relationships/hyperlink" Target="https://drive.google.com/file/d/1c2VWpFe65_oJGeLOKP1NlYc-dMkpu2Xr/view?usp=drivesdk" TargetMode="External"/><Relationship Id="rId2391" Type="http://schemas.openxmlformats.org/officeDocument/2006/relationships/hyperlink" Target="https://drive.google.com/file/d/1CuMP8l6TsVIJe90Gj1oF-9PQ78jRaDBg/view?usp=drivesdk" TargetMode="External"/><Relationship Id="rId1061" Type="http://schemas.openxmlformats.org/officeDocument/2006/relationships/hyperlink" Target="http://b.sc/B.Com" TargetMode="External"/><Relationship Id="rId2392" Type="http://schemas.openxmlformats.org/officeDocument/2006/relationships/hyperlink" Target="https://drive.google.com/file/d/1Wvsh74H6B_T5fauhvBc6O09ZbzEuFChU/view?usp=drivesdk" TargetMode="External"/><Relationship Id="rId231" Type="http://schemas.openxmlformats.org/officeDocument/2006/relationships/hyperlink" Target="https://drive.google.com/file/d/1k_CQc_5P1kcY6rhHqXOLWVq0s4rzUcfL/view?usp=drivesdk" TargetMode="External"/><Relationship Id="rId1062" Type="http://schemas.openxmlformats.org/officeDocument/2006/relationships/hyperlink" Target="https://drive.google.com/file/d/1liiX48xhntVJ1VEUN5VvoOzoOilBZvtm/view?usp=drivesdk" TargetMode="External"/><Relationship Id="rId2393" Type="http://schemas.openxmlformats.org/officeDocument/2006/relationships/hyperlink" Target="https://drive.google.com/file/d/1nJcPAznzM_Wk_tkN85zOaecNK5pjV8_-/view?usp=drivesdk" TargetMode="External"/><Relationship Id="rId230" Type="http://schemas.openxmlformats.org/officeDocument/2006/relationships/hyperlink" Target="https://drive.google.com/file/d/1kmP0a9t5t_i_S7MRwFbCyGykA0MSus6j/view?usp=drivesdk" TargetMode="External"/><Relationship Id="rId1063" Type="http://schemas.openxmlformats.org/officeDocument/2006/relationships/hyperlink" Target="https://drive.google.com/file/d/1ZC2sbx8mZT6Hq05SN_DjSxGf5rjM3R1r/view?usp=drivesdk" TargetMode="External"/><Relationship Id="rId2394" Type="http://schemas.openxmlformats.org/officeDocument/2006/relationships/hyperlink" Target="https://drive.google.com/file/d/1suUsQCnt1ySR74SbZ359JqT1AE9VGiW-/view?usp=drivesdk" TargetMode="External"/><Relationship Id="rId1064" Type="http://schemas.openxmlformats.org/officeDocument/2006/relationships/hyperlink" Target="https://drive.google.com/file/d/1zC4cGDPbmdEA8gVZSa165K5mBL62iB0O/view?usp=drivesdk" TargetMode="External"/><Relationship Id="rId2395" Type="http://schemas.openxmlformats.org/officeDocument/2006/relationships/hyperlink" Target="https://drive.google.com/file/d/1BP_HrhDHJVf3Df_PIIhKvQ7kEW0TNos3/view?usp=drivesdk" TargetMode="External"/><Relationship Id="rId1065" Type="http://schemas.openxmlformats.org/officeDocument/2006/relationships/hyperlink" Target="http://b.sc/B.Com" TargetMode="External"/><Relationship Id="rId2396" Type="http://schemas.openxmlformats.org/officeDocument/2006/relationships/hyperlink" Target="https://drive.google.com/file/d/15vLUFVALlCeM7fzKx_KT7gxAaYAQmbLM/view?usp=drivesdk" TargetMode="External"/><Relationship Id="rId235" Type="http://schemas.openxmlformats.org/officeDocument/2006/relationships/hyperlink" Target="https://drive.google.com/file/d/1QIanJFcaWxK8wwBHi75E0TKUI_v4gtWB/view?usp=drivesdk" TargetMode="External"/><Relationship Id="rId1066" Type="http://schemas.openxmlformats.org/officeDocument/2006/relationships/hyperlink" Target="https://drive.google.com/file/d/1ZKgJCKluQMecMHdlgn7NCpdvHk9bZi1B/view?usp=drivesdk" TargetMode="External"/><Relationship Id="rId2397" Type="http://schemas.openxmlformats.org/officeDocument/2006/relationships/hyperlink" Target="https://drive.google.com/file/d/1w4GCptOl0ZGdEvTctS-7U5PSX0SCOM-q/view?usp=drivesdk" TargetMode="External"/><Relationship Id="rId234" Type="http://schemas.openxmlformats.org/officeDocument/2006/relationships/hyperlink" Target="https://drive.google.com/file/d/198kE0RMrYJlCdk6HgvUJLnZYOrmpseuj/view?usp=drivesdk" TargetMode="External"/><Relationship Id="rId1067" Type="http://schemas.openxmlformats.org/officeDocument/2006/relationships/hyperlink" Target="https://drive.google.com/file/d/1TAxbP2ojOoWKAMnTeGJF-6fH5N33X4xl/view?usp=drivesdk" TargetMode="External"/><Relationship Id="rId2398" Type="http://schemas.openxmlformats.org/officeDocument/2006/relationships/hyperlink" Target="https://drive.google.com/file/d/1wAsoR5NGGg6TRzLJt_2xzwjqXhnu3h6p/view?usp=drivesdk" TargetMode="External"/><Relationship Id="rId233" Type="http://schemas.openxmlformats.org/officeDocument/2006/relationships/hyperlink" Target="https://drive.google.com/file/d/1lflRoxYbCjwI7OwPrXCfZ3ywXiBvJXSE/view?usp=drivesdk" TargetMode="External"/><Relationship Id="rId1068" Type="http://schemas.openxmlformats.org/officeDocument/2006/relationships/hyperlink" Target="https://drive.google.com/file/d/1op7YWkrGCV8fWVhiq7_6BqANDaetjQ-r/view?usp=drivesdk" TargetMode="External"/><Relationship Id="rId2399" Type="http://schemas.openxmlformats.org/officeDocument/2006/relationships/hyperlink" Target="http://b.sc/B.Com" TargetMode="External"/><Relationship Id="rId232" Type="http://schemas.openxmlformats.org/officeDocument/2006/relationships/hyperlink" Target="https://drive.google.com/file/d/18AWOvSG-Vv5Z5v76D3GW3mMlZcqtzdY0/view?usp=drivesdk" TargetMode="External"/><Relationship Id="rId1069" Type="http://schemas.openxmlformats.org/officeDocument/2006/relationships/hyperlink" Target="https://drive.google.com/file/d/1FJpUfq83awMba6a2-XiH3zgXI0Geub3E/view?usp=drivesdk" TargetMode="External"/><Relationship Id="rId1015" Type="http://schemas.openxmlformats.org/officeDocument/2006/relationships/hyperlink" Target="https://drive.google.com/file/d/1qWoL0BuuzAhWHCVJBQV6xinob0Te5Tz0/view?usp=drivesdk" TargetMode="External"/><Relationship Id="rId2346" Type="http://schemas.openxmlformats.org/officeDocument/2006/relationships/hyperlink" Target="https://drive.google.com/file/d/1szsqdzkjMVxILpvmGcwTCF3zGAPrubKX/view?usp=drivesdk" TargetMode="External"/><Relationship Id="rId1016" Type="http://schemas.openxmlformats.org/officeDocument/2006/relationships/hyperlink" Target="https://drive.google.com/file/d/1gtk33TxdF6XwV1c9IDQIA4NgZP8pms1X/view?usp=drivesdk" TargetMode="External"/><Relationship Id="rId2347" Type="http://schemas.openxmlformats.org/officeDocument/2006/relationships/hyperlink" Target="https://drive.google.com/file/d/1_PEuxJh_i1TLcQSRQQ4GA3gvYTgljptP/view?usp=drivesdk" TargetMode="External"/><Relationship Id="rId1017" Type="http://schemas.openxmlformats.org/officeDocument/2006/relationships/hyperlink" Target="https://drive.google.com/file/d/1CsZxz-q0MMf0xDMbi4whkF6GPWFgqzR7/view?usp=drivesdk" TargetMode="External"/><Relationship Id="rId2348" Type="http://schemas.openxmlformats.org/officeDocument/2006/relationships/hyperlink" Target="https://drive.google.com/file/d/1cBwoJQZadX9Ujfa90my66q5KlDHxKTQZ/view?usp=drivesdk" TargetMode="External"/><Relationship Id="rId1018" Type="http://schemas.openxmlformats.org/officeDocument/2006/relationships/hyperlink" Target="https://drive.google.com/file/d/1BByF_Ab_8tXG7Jb_AJlNhMXYtgz9WUVt/view?usp=drivesdk" TargetMode="External"/><Relationship Id="rId2349" Type="http://schemas.openxmlformats.org/officeDocument/2006/relationships/hyperlink" Target="https://drive.google.com/file/d/1fgRAAfAaAI_MZgBl0yuiMXL1JcRh_4Tw/view?usp=drivesdk" TargetMode="External"/><Relationship Id="rId1019" Type="http://schemas.openxmlformats.org/officeDocument/2006/relationships/hyperlink" Target="https://drive.google.com/file/d/1q9ay-ATXRsIZfu1Rpd3PV3P81j15fxL8/view?usp=drivesdk" TargetMode="External"/><Relationship Id="rId2340" Type="http://schemas.openxmlformats.org/officeDocument/2006/relationships/hyperlink" Target="https://drive.google.com/file/d/1JGeIY9gM0tOvHij_WbZu2MXv2tSHp0Or/view?usp=drivesdk" TargetMode="External"/><Relationship Id="rId1010" Type="http://schemas.openxmlformats.org/officeDocument/2006/relationships/hyperlink" Target="https://drive.google.com/file/d/1pqWHZv7xY3M2gHTDl5JG0ICuGoyc7fPe/view?usp=drivesdk" TargetMode="External"/><Relationship Id="rId2341" Type="http://schemas.openxmlformats.org/officeDocument/2006/relationships/hyperlink" Target="https://drive.google.com/file/d/1VA1ncCJMGgRnYYtCxhpjpa4zSflPW1Mr/view?usp=drivesdk" TargetMode="External"/><Relationship Id="rId1011" Type="http://schemas.openxmlformats.org/officeDocument/2006/relationships/hyperlink" Target="https://drive.google.com/file/d/1n9tNSmqA1CryGzNEevO1ELApnLcOvlUg/view?usp=drivesdk" TargetMode="External"/><Relationship Id="rId2342" Type="http://schemas.openxmlformats.org/officeDocument/2006/relationships/hyperlink" Target="https://drive.google.com/file/d/1mw3XaUEHXtMAvgAgLhRVpWEhwztb8zZ-/view?usp=drivesdk" TargetMode="External"/><Relationship Id="rId1012" Type="http://schemas.openxmlformats.org/officeDocument/2006/relationships/hyperlink" Target="https://drive.google.com/file/d/1D4M3L4pSJCxAVZjGkBYKzu_txUfoRPTx/view?usp=drivesdk" TargetMode="External"/><Relationship Id="rId2343" Type="http://schemas.openxmlformats.org/officeDocument/2006/relationships/hyperlink" Target="https://drive.google.com/file/d/1hh-D3GquDP0zciomhuLtrN6fBhnzwP-7/view?usp=drivesdk" TargetMode="External"/><Relationship Id="rId1013" Type="http://schemas.openxmlformats.org/officeDocument/2006/relationships/hyperlink" Target="https://drive.google.com/file/d/19k1WF2n3aJmjhToclM1CixsEN8G7w1Bk/view?usp=drivesdk" TargetMode="External"/><Relationship Id="rId2344" Type="http://schemas.openxmlformats.org/officeDocument/2006/relationships/hyperlink" Target="https://drive.google.com/file/d/1ZOsmkTDtgJ4frYLgAurwCP_7xtjPn8Kk/view?usp=drivesdk" TargetMode="External"/><Relationship Id="rId1014" Type="http://schemas.openxmlformats.org/officeDocument/2006/relationships/hyperlink" Target="https://drive.google.com/file/d/1ewKwdj9Bsgo3Plbixj_yPyxrUwYTn3RM/view?usp=drivesdk" TargetMode="External"/><Relationship Id="rId2345" Type="http://schemas.openxmlformats.org/officeDocument/2006/relationships/hyperlink" Target="https://drive.google.com/file/d/1xT84P-Y03vqz91gwunBqy_96NE3mLFtn/view?usp=drivesdk" TargetMode="External"/><Relationship Id="rId1004" Type="http://schemas.openxmlformats.org/officeDocument/2006/relationships/hyperlink" Target="https://drive.google.com/file/d/11Bpx6-aATFpgypjJvtuVqxyaFz8NJJwk/view?usp=drivesdk" TargetMode="External"/><Relationship Id="rId2335" Type="http://schemas.openxmlformats.org/officeDocument/2006/relationships/hyperlink" Target="https://drive.google.com/file/d/1CvgVQ_5_DEFmmOtNixnyt_4IvoWPFL0A/view?usp=drivesdk" TargetMode="External"/><Relationship Id="rId1005" Type="http://schemas.openxmlformats.org/officeDocument/2006/relationships/hyperlink" Target="https://drive.google.com/file/d/1Ou3nwWrQbCk_wn3liwpr4kC6hf5ewLkL/view?usp=drivesdk" TargetMode="External"/><Relationship Id="rId2336" Type="http://schemas.openxmlformats.org/officeDocument/2006/relationships/hyperlink" Target="https://drive.google.com/file/d/18Gh7fmhUqF5aZwtrTW0DH7H36r8lI3ou/view?usp=drivesdk" TargetMode="External"/><Relationship Id="rId1006" Type="http://schemas.openxmlformats.org/officeDocument/2006/relationships/hyperlink" Target="https://drive.google.com/file/d/1DwGeBfyU52u6ojIn15ZGadrgXRkD3rB9/view?usp=drivesdk" TargetMode="External"/><Relationship Id="rId2337" Type="http://schemas.openxmlformats.org/officeDocument/2006/relationships/hyperlink" Target="https://drive.google.com/file/d/1rai-JambBzGtRl1AyIbwm9i9t1VXqrZN/view?usp=drivesdk" TargetMode="External"/><Relationship Id="rId1007" Type="http://schemas.openxmlformats.org/officeDocument/2006/relationships/hyperlink" Target="https://drive.google.com/file/d/1xwjimXWw_bMendfv6D3EtpTVwdKfp5qX/view?usp=drivesdk" TargetMode="External"/><Relationship Id="rId2338" Type="http://schemas.openxmlformats.org/officeDocument/2006/relationships/hyperlink" Target="https://drive.google.com/file/d/1KP4CNrq0SgbB8fyqOSzOz5tTLi6vcXzV/view?usp=drivesdk" TargetMode="External"/><Relationship Id="rId1008" Type="http://schemas.openxmlformats.org/officeDocument/2006/relationships/hyperlink" Target="https://drive.google.com/file/d/1tEUJsx6Tq9EFWcmTdkEp7TmgW2DXRcVQ/view?usp=drivesdk" TargetMode="External"/><Relationship Id="rId2339" Type="http://schemas.openxmlformats.org/officeDocument/2006/relationships/hyperlink" Target="https://drive.google.com/file/d/1Kl4xrnNzUJfctxJoQ6xAJ72AnkuDUeeQ/view?usp=drivesdk" TargetMode="External"/><Relationship Id="rId1009" Type="http://schemas.openxmlformats.org/officeDocument/2006/relationships/hyperlink" Target="http://b.sc/B.Com" TargetMode="External"/><Relationship Id="rId2330" Type="http://schemas.openxmlformats.org/officeDocument/2006/relationships/hyperlink" Target="https://drive.google.com/file/d/1DTVxFCO1AzzjkfzYq9YI_oM6-lXQ6oe_/view?usp=drivesdk" TargetMode="External"/><Relationship Id="rId1000" Type="http://schemas.openxmlformats.org/officeDocument/2006/relationships/hyperlink" Target="https://drive.google.com/file/d/1BVLAG3cy5Wl3KzF1wWmLXmbEW71b2NTK/view?usp=drivesdk" TargetMode="External"/><Relationship Id="rId2331" Type="http://schemas.openxmlformats.org/officeDocument/2006/relationships/hyperlink" Target="https://drive.google.com/file/d/1brJlG8SyOQ-d-mg2Tv0XLDYxYuHKOmVm/view?usp=drivesdk" TargetMode="External"/><Relationship Id="rId1001" Type="http://schemas.openxmlformats.org/officeDocument/2006/relationships/hyperlink" Target="https://drive.google.com/file/d/1y_5KGH0_hMCgQQWv7tfEU8mnUIa9y5lz/view?usp=drivesdk" TargetMode="External"/><Relationship Id="rId2332" Type="http://schemas.openxmlformats.org/officeDocument/2006/relationships/hyperlink" Target="https://drive.google.com/file/d/1L4pfjPsjjGEn5IVoUSaKjN8kXPDIZMCF/view?usp=drivesdk" TargetMode="External"/><Relationship Id="rId1002" Type="http://schemas.openxmlformats.org/officeDocument/2006/relationships/hyperlink" Target="https://drive.google.com/file/d/1I0rDgnUeMwlE6hdri-lL8QYwyMQV0diE/view?usp=drivesdk" TargetMode="External"/><Relationship Id="rId2333" Type="http://schemas.openxmlformats.org/officeDocument/2006/relationships/hyperlink" Target="https://drive.google.com/file/d/1ZgeItwOe8Rz0fPnG766GUBU23aLeFWGf/view?usp=drivesdk" TargetMode="External"/><Relationship Id="rId1003" Type="http://schemas.openxmlformats.org/officeDocument/2006/relationships/hyperlink" Target="https://drive.google.com/file/d/10MYbNJGw4hHtW5yJ1Szm3cmnakGifcXN/view?usp=drivesdk" TargetMode="External"/><Relationship Id="rId2334" Type="http://schemas.openxmlformats.org/officeDocument/2006/relationships/hyperlink" Target="https://drive.google.com/file/d/1tlY5UCxZT--5sJaeZFdkYET5A0QMA-b3/view?usp=drivesdk" TargetMode="External"/><Relationship Id="rId1037" Type="http://schemas.openxmlformats.org/officeDocument/2006/relationships/hyperlink" Target="https://drive.google.com/file/d/1ne6v8ppZT1qRCY76lX23fBGRmRfLnUI7/view?usp=drivesdk" TargetMode="External"/><Relationship Id="rId2368" Type="http://schemas.openxmlformats.org/officeDocument/2006/relationships/hyperlink" Target="http://b.sc/B.Com" TargetMode="External"/><Relationship Id="rId1038" Type="http://schemas.openxmlformats.org/officeDocument/2006/relationships/hyperlink" Target="https://drive.google.com/file/d/1Hw3ifoCDnfSkL9hNS1UfQQgE6UV8l3J2/view?usp=drivesdk" TargetMode="External"/><Relationship Id="rId2369" Type="http://schemas.openxmlformats.org/officeDocument/2006/relationships/hyperlink" Target="https://drive.google.com/file/d/1piqctq4DyziGVKTAv77tHIqu1sAHWTTk/view?usp=drivesdk" TargetMode="External"/><Relationship Id="rId1039" Type="http://schemas.openxmlformats.org/officeDocument/2006/relationships/hyperlink" Target="https://drive.google.com/file/d/1nJceadWwwFfOdlIUnnobqCa9W7h9jm6e/view?usp=drivesdk" TargetMode="External"/><Relationship Id="rId206" Type="http://schemas.openxmlformats.org/officeDocument/2006/relationships/hyperlink" Target="https://drive.google.com/file/d/1KSMOCsQldeGKWcWZI0EiYuJoGOH87tBX/view?usp=drivesdk" TargetMode="External"/><Relationship Id="rId205" Type="http://schemas.openxmlformats.org/officeDocument/2006/relationships/hyperlink" Target="https://drive.google.com/file/d/1EFRi_gu8hPwQrZDPxy1StBNTT6tdyzOi/view?usp=drivesdk" TargetMode="External"/><Relationship Id="rId204" Type="http://schemas.openxmlformats.org/officeDocument/2006/relationships/hyperlink" Target="https://drive.google.com/file/d/1uUmlAB6zslgi3acRxYmxEJzATADeF1Et/view?usp=drivesdk" TargetMode="External"/><Relationship Id="rId203" Type="http://schemas.openxmlformats.org/officeDocument/2006/relationships/hyperlink" Target="https://drive.google.com/file/d/1Hv-HW7nQienol4PVmd07LR46Koy_5GT-/view?usp=drivesdk" TargetMode="External"/><Relationship Id="rId209" Type="http://schemas.openxmlformats.org/officeDocument/2006/relationships/hyperlink" Target="https://drive.google.com/file/d/1uuQ8aO1-IEA6nZK1XdAofVxJYfLXD8Lc/view?usp=drivesdk" TargetMode="External"/><Relationship Id="rId208" Type="http://schemas.openxmlformats.org/officeDocument/2006/relationships/hyperlink" Target="https://drive.google.com/file/d/1xAdvYjTAP_ItEjwKprG0g-Z0xhT90zlZ/view?usp=drivesdk" TargetMode="External"/><Relationship Id="rId207" Type="http://schemas.openxmlformats.org/officeDocument/2006/relationships/hyperlink" Target="https://drive.google.com/file/d/1aFK0YuIv-x_dHC6EkZoyf8ebwy9Rwgfv/view?usp=drivesdk" TargetMode="External"/><Relationship Id="rId2360" Type="http://schemas.openxmlformats.org/officeDocument/2006/relationships/hyperlink" Target="https://drive.google.com/file/d/1a-gDJFtlLaMcr9u-4ZNeCGn_gjPleVku/view?usp=drivesdk" TargetMode="External"/><Relationship Id="rId1030" Type="http://schemas.openxmlformats.org/officeDocument/2006/relationships/hyperlink" Target="https://drive.google.com/file/d/1zrsPLLIbE-aZ2-1qtEDnGOfSmP0Hjhqg/view?usp=drivesdk" TargetMode="External"/><Relationship Id="rId2361" Type="http://schemas.openxmlformats.org/officeDocument/2006/relationships/hyperlink" Target="https://drive.google.com/file/d/1M29cEYmban33WXytCiuVK_-GX8gYmzvj/view?usp=drivesdk" TargetMode="External"/><Relationship Id="rId1031" Type="http://schemas.openxmlformats.org/officeDocument/2006/relationships/hyperlink" Target="https://drive.google.com/file/d/1qqGZOPXuIquHKykb3Nc15o_KXCiYQlx4/view?usp=drivesdk" TargetMode="External"/><Relationship Id="rId2362" Type="http://schemas.openxmlformats.org/officeDocument/2006/relationships/hyperlink" Target="https://drive.google.com/file/d/1B2TlIwf3rgm-k2hCPe562Utm9Yksd9i2/view?usp=drivesdk" TargetMode="External"/><Relationship Id="rId1032" Type="http://schemas.openxmlformats.org/officeDocument/2006/relationships/hyperlink" Target="https://drive.google.com/file/d/1zn9PEwmzltYLF9pYuKIP3m2X0y1dK3ug/view?usp=drivesdk" TargetMode="External"/><Relationship Id="rId2363" Type="http://schemas.openxmlformats.org/officeDocument/2006/relationships/hyperlink" Target="https://drive.google.com/file/d/1zLG4tgK3ptylCLRIrQs24D5Jull-DafD/view?usp=drivesdk" TargetMode="External"/><Relationship Id="rId202" Type="http://schemas.openxmlformats.org/officeDocument/2006/relationships/hyperlink" Target="https://drive.google.com/file/d/1nSLnwFBZNuHdmh7PcT1NpqPTTThUmOhZ/view?usp=drivesdk" TargetMode="External"/><Relationship Id="rId1033" Type="http://schemas.openxmlformats.org/officeDocument/2006/relationships/hyperlink" Target="https://drive.google.com/file/d/15g35ZlZMJ8e7nA4VSCPvy3kPODJzvYWd/view?usp=drivesdk" TargetMode="External"/><Relationship Id="rId2364" Type="http://schemas.openxmlformats.org/officeDocument/2006/relationships/hyperlink" Target="https://drive.google.com/file/d/1qkuxV-A9FfqMv-Yn6WA7uN_1HA8MAuBY/view?usp=drivesdk" TargetMode="External"/><Relationship Id="rId201" Type="http://schemas.openxmlformats.org/officeDocument/2006/relationships/hyperlink" Target="https://drive.google.com/file/d/19nDyZwL2RWgEvDYMoDFBS4T8rp38gnGV/view?usp=drivesdk" TargetMode="External"/><Relationship Id="rId1034" Type="http://schemas.openxmlformats.org/officeDocument/2006/relationships/hyperlink" Target="https://drive.google.com/file/d/1OYgWlxzkT6ty9h6slOjKVr1kir2BVSuy/view?usp=drivesdk" TargetMode="External"/><Relationship Id="rId2365" Type="http://schemas.openxmlformats.org/officeDocument/2006/relationships/hyperlink" Target="https://drive.google.com/file/d/1ipV1-yJJrT4EytkKP8qLvSxhUvdR8i0S/view?usp=drivesdk" TargetMode="External"/><Relationship Id="rId200" Type="http://schemas.openxmlformats.org/officeDocument/2006/relationships/hyperlink" Target="https://drive.google.com/file/d/1njuahimG8nJFZIsmwu_jX37qCauOypy7/view?usp=drivesdk" TargetMode="External"/><Relationship Id="rId1035" Type="http://schemas.openxmlformats.org/officeDocument/2006/relationships/hyperlink" Target="https://drive.google.com/file/d/1ZpUMqPKPb0qoZHQAElg79hgXuGNr9HWH/view?usp=drivesdk" TargetMode="External"/><Relationship Id="rId2366" Type="http://schemas.openxmlformats.org/officeDocument/2006/relationships/hyperlink" Target="https://drive.google.com/file/d/1LsmAcxtl51tdBIPoUSPGXm_3IouqX1HS/view?usp=drivesdk" TargetMode="External"/><Relationship Id="rId1036" Type="http://schemas.openxmlformats.org/officeDocument/2006/relationships/hyperlink" Target="https://drive.google.com/file/d/1AE8I6WAIcCPmQ_0natCXgKwN2LCp5Z3F/view?usp=drivesdk" TargetMode="External"/><Relationship Id="rId2367" Type="http://schemas.openxmlformats.org/officeDocument/2006/relationships/hyperlink" Target="https://drive.google.com/file/d/1WJt54ObOxKdwbvxlz5dHEBvmrrBERVO2/view?usp=drivesdk" TargetMode="External"/><Relationship Id="rId1026" Type="http://schemas.openxmlformats.org/officeDocument/2006/relationships/hyperlink" Target="https://drive.google.com/file/d/1ZeHn7qcFVjkq2m1-zMOhYlHr6Yx-nAH_/view?usp=drivesdk" TargetMode="External"/><Relationship Id="rId2357" Type="http://schemas.openxmlformats.org/officeDocument/2006/relationships/hyperlink" Target="https://drive.google.com/file/d/1DKrZIOO57WQxNO3NyDb6YrMCKnozUawW/view?usp=drivesdk" TargetMode="External"/><Relationship Id="rId1027" Type="http://schemas.openxmlformats.org/officeDocument/2006/relationships/hyperlink" Target="https://drive.google.com/file/d/1Yc2MgdATcTTHD6cW7s6LexHnZpjjX8R6/view?usp=drivesdk" TargetMode="External"/><Relationship Id="rId2358" Type="http://schemas.openxmlformats.org/officeDocument/2006/relationships/hyperlink" Target="https://drive.google.com/file/d/1c09pjxrxcExMdtOu5wwcWmVe2l0NObXf/view?usp=drivesdk" TargetMode="External"/><Relationship Id="rId1028" Type="http://schemas.openxmlformats.org/officeDocument/2006/relationships/hyperlink" Target="https://drive.google.com/file/d/1IDzghbMJ55cMJw3MZDdEZ9KwVUhorxfe/view?usp=drivesdk" TargetMode="External"/><Relationship Id="rId2359" Type="http://schemas.openxmlformats.org/officeDocument/2006/relationships/hyperlink" Target="https://drive.google.com/file/d/1nLzTrPHTPc3UKLTfjv2haQ8H9qt3zYfI/view?usp=drivesdk" TargetMode="External"/><Relationship Id="rId1029" Type="http://schemas.openxmlformats.org/officeDocument/2006/relationships/hyperlink" Target="https://drive.google.com/file/d/1Ah-npvc67wTmGmkGLjUbc00CfQXQxszl/view?usp=drivesdk" TargetMode="External"/><Relationship Id="rId2350" Type="http://schemas.openxmlformats.org/officeDocument/2006/relationships/hyperlink" Target="https://drive.google.com/file/d/1hkDAazWTn7tcdzlEJk9G860mEbt4AAbw/view?usp=drivesdk" TargetMode="External"/><Relationship Id="rId1020" Type="http://schemas.openxmlformats.org/officeDocument/2006/relationships/hyperlink" Target="https://drive.google.com/file/d/1fsF-OSHNZKsy9DwO86Xr0icU2tR1WVKF/view?usp=drivesdk" TargetMode="External"/><Relationship Id="rId2351" Type="http://schemas.openxmlformats.org/officeDocument/2006/relationships/hyperlink" Target="https://drive.google.com/file/d/16IUBZztZEH09Chfy7LuEFeX2dwdJiar-/view?usp=drivesdk" TargetMode="External"/><Relationship Id="rId1021" Type="http://schemas.openxmlformats.org/officeDocument/2006/relationships/hyperlink" Target="https://drive.google.com/file/d/1w6xDhDEfDVjyaWwJHhxbUVcrCiQpkISc/view?usp=drivesdk" TargetMode="External"/><Relationship Id="rId2352" Type="http://schemas.openxmlformats.org/officeDocument/2006/relationships/hyperlink" Target="https://drive.google.com/file/d/1M8dR_hbMkXvEYsgJ2QI_FSU8TtsZWsiz/view?usp=drivesdk" TargetMode="External"/><Relationship Id="rId1022" Type="http://schemas.openxmlformats.org/officeDocument/2006/relationships/hyperlink" Target="https://drive.google.com/file/d/1GlZl9UhgFrwGrWij8aOnCkWf7I6-8A1M/view?usp=drivesdk" TargetMode="External"/><Relationship Id="rId2353" Type="http://schemas.openxmlformats.org/officeDocument/2006/relationships/hyperlink" Target="https://drive.google.com/file/d/1eafqtU5OlZL4Pe7LkXPen392pPvP_K9I/view?usp=drivesdk" TargetMode="External"/><Relationship Id="rId1023" Type="http://schemas.openxmlformats.org/officeDocument/2006/relationships/hyperlink" Target="https://drive.google.com/file/d/1n2qoXSU22GOG7zIJWF8CFg17F-PL79qj/view?usp=drivesdk" TargetMode="External"/><Relationship Id="rId2354" Type="http://schemas.openxmlformats.org/officeDocument/2006/relationships/hyperlink" Target="https://drive.google.com/file/d/1-eDG7bREQV_gdMQT1yj-Qp-AE54VqbJ9/view?usp=drivesdk" TargetMode="External"/><Relationship Id="rId1024" Type="http://schemas.openxmlformats.org/officeDocument/2006/relationships/hyperlink" Target="https://drive.google.com/file/d/1is-kVUQYl_LsXiyquWfYIGRQf9ZROLfv/view?usp=drivesdk" TargetMode="External"/><Relationship Id="rId2355" Type="http://schemas.openxmlformats.org/officeDocument/2006/relationships/hyperlink" Target="https://drive.google.com/file/d/1U9pGt2LU4pCTHoqAFcK7MC0a13TFGMIJ/view?usp=drivesdk" TargetMode="External"/><Relationship Id="rId1025" Type="http://schemas.openxmlformats.org/officeDocument/2006/relationships/hyperlink" Target="https://drive.google.com/file/d/1cIbas8hqAfrhQvgSEvUUrAijZoYY60R8/view?usp=drivesdk" TargetMode="External"/><Relationship Id="rId2356" Type="http://schemas.openxmlformats.org/officeDocument/2006/relationships/hyperlink" Target="https://drive.google.com/file/d/1-wytQ4pTMwpZPqPm8mB7tVGZHTOcPGY8/view?usp=drivesdk" TargetMode="External"/><Relationship Id="rId1910" Type="http://schemas.openxmlformats.org/officeDocument/2006/relationships/hyperlink" Target="https://drive.google.com/file/d/1BRzNAiCVTTzoOFmMmkWZYssRaIAZjbMr/view?usp=drivesdk" TargetMode="External"/><Relationship Id="rId1911" Type="http://schemas.openxmlformats.org/officeDocument/2006/relationships/hyperlink" Target="https://drive.google.com/file/d/1bcFQDNofy80mXKO2gko7z5KIHqsS3vrb/view?usp=drivesdk" TargetMode="External"/><Relationship Id="rId1912" Type="http://schemas.openxmlformats.org/officeDocument/2006/relationships/hyperlink" Target="https://drive.google.com/file/d/10ztpsk_hy9mdSxwO0Nn8iONd14pSVcB9/view?usp=drivesdk" TargetMode="External"/><Relationship Id="rId1913" Type="http://schemas.openxmlformats.org/officeDocument/2006/relationships/hyperlink" Target="https://drive.google.com/file/d/1JTnyNuNAsFODpaWMFktkRp7ymuc6084R/view?usp=drivesdk" TargetMode="External"/><Relationship Id="rId1914" Type="http://schemas.openxmlformats.org/officeDocument/2006/relationships/hyperlink" Target="https://drive.google.com/file/d/1whJZhuKjAThGbE-PPY3auUbcrOT1W_4-/view?usp=drivesdk" TargetMode="External"/><Relationship Id="rId1915" Type="http://schemas.openxmlformats.org/officeDocument/2006/relationships/hyperlink" Target="https://drive.google.com/file/d/1C7Z_4vck2SrFq17fe0PO81ajrzeT1mF1/view?usp=drivesdk" TargetMode="External"/><Relationship Id="rId1916" Type="http://schemas.openxmlformats.org/officeDocument/2006/relationships/hyperlink" Target="https://drive.google.com/file/d/1aV51NLZ6YKOl0kqujxU8y2H8YC8Pn9v_/view?usp=drivesdk" TargetMode="External"/><Relationship Id="rId1917" Type="http://schemas.openxmlformats.org/officeDocument/2006/relationships/hyperlink" Target="https://drive.google.com/file/d/1DCH3wY22i_uhQc78dPKPVEahCnJ8QObo/view?usp=drivesdk" TargetMode="External"/><Relationship Id="rId1918" Type="http://schemas.openxmlformats.org/officeDocument/2006/relationships/hyperlink" Target="https://drive.google.com/file/d/1qAEO9e6eKUm_wW404oX4uX28ms1vvz3Q/view?usp=drivesdk" TargetMode="External"/><Relationship Id="rId1919" Type="http://schemas.openxmlformats.org/officeDocument/2006/relationships/hyperlink" Target="https://drive.google.com/file/d/1Wx419s6qSQ4_uY3EfBxTdWz10lQnhYQ-/view?usp=drivesdk" TargetMode="External"/><Relationship Id="rId1900" Type="http://schemas.openxmlformats.org/officeDocument/2006/relationships/hyperlink" Target="https://drive.google.com/file/d/15PaWQNDSxLEP1IHhH-uc46D9HiQ46Qso/view?usp=drivesdk" TargetMode="External"/><Relationship Id="rId1901" Type="http://schemas.openxmlformats.org/officeDocument/2006/relationships/hyperlink" Target="https://drive.google.com/file/d/10CrBmqPdYCjZMqYIc8sDxmyUPR729vzW/view?usp=drivesdk" TargetMode="External"/><Relationship Id="rId1902" Type="http://schemas.openxmlformats.org/officeDocument/2006/relationships/hyperlink" Target="https://drive.google.com/file/d/1Z1g0Pb6a8voclW3hsipRuesBukPy7AMW/view?usp=drivesdk" TargetMode="External"/><Relationship Id="rId1903" Type="http://schemas.openxmlformats.org/officeDocument/2006/relationships/hyperlink" Target="https://drive.google.com/file/d/1R5OG4NZc5deQ9vHNbMKWNsNdvZrXqFMp/view?usp=drivesdk" TargetMode="External"/><Relationship Id="rId1904" Type="http://schemas.openxmlformats.org/officeDocument/2006/relationships/hyperlink" Target="https://drive.google.com/file/d/1lNP_2eEqmPYtlwQExTExI-V9ljhJx9dM/view?usp=drivesdk" TargetMode="External"/><Relationship Id="rId1905" Type="http://schemas.openxmlformats.org/officeDocument/2006/relationships/hyperlink" Target="https://drive.google.com/file/d/1CVK3bK2ysJEjv-HYfhhAObvG7mbsMVHW/view?usp=drivesdk" TargetMode="External"/><Relationship Id="rId1906" Type="http://schemas.openxmlformats.org/officeDocument/2006/relationships/hyperlink" Target="https://drive.google.com/file/d/16B0xEt8_W2kqHSfy_plEn87P8NYCZDMg/view?usp=drivesdk" TargetMode="External"/><Relationship Id="rId1907" Type="http://schemas.openxmlformats.org/officeDocument/2006/relationships/hyperlink" Target="https://drive.google.com/file/d/1AsKs6E-EwOxxsXtZ85ct5uF56WiHc3E8/view?usp=drivesdk" TargetMode="External"/><Relationship Id="rId1908" Type="http://schemas.openxmlformats.org/officeDocument/2006/relationships/hyperlink" Target="https://drive.google.com/file/d/18yH-hVmUgpkF-CCPxGG1z8WsdgIMlK0O/view?usp=drivesdk" TargetMode="External"/><Relationship Id="rId1909" Type="http://schemas.openxmlformats.org/officeDocument/2006/relationships/hyperlink" Target="https://drive.google.com/file/d/1WjXezzm8sfr8RI8UuPU5w1dWK5lkwzzb/view?usp=drivesdk" TargetMode="External"/><Relationship Id="rId1090" Type="http://schemas.openxmlformats.org/officeDocument/2006/relationships/hyperlink" Target="https://drive.google.com/file/d/12pkZkhvukerdrNosNTw-BwCvibsDCaLJ/view?usp=drivesdk" TargetMode="External"/><Relationship Id="rId1091" Type="http://schemas.openxmlformats.org/officeDocument/2006/relationships/hyperlink" Target="http://b.sc/B.Com" TargetMode="External"/><Relationship Id="rId1092" Type="http://schemas.openxmlformats.org/officeDocument/2006/relationships/hyperlink" Target="https://drive.google.com/file/d/1F1iHazWaI4m8JJeKFvAVsgnV8O_ptr6L/view?usp=drivesdk" TargetMode="External"/><Relationship Id="rId1093" Type="http://schemas.openxmlformats.org/officeDocument/2006/relationships/hyperlink" Target="https://drive.google.com/file/d/1Q1vXgOuoZSS7iJElsst2PcKRq7hWuChO/view?usp=drivesdk" TargetMode="External"/><Relationship Id="rId1094" Type="http://schemas.openxmlformats.org/officeDocument/2006/relationships/hyperlink" Target="https://drive.google.com/file/d/158kAJ3V54JRdJS9n0yVDeYJA-tBsGnBI/view?usp=drivesdk" TargetMode="External"/><Relationship Id="rId1095" Type="http://schemas.openxmlformats.org/officeDocument/2006/relationships/hyperlink" Target="https://drive.google.com/file/d/1e4iEdYc4SvtJZltthd2DrsVX4FmozNgg/view?usp=drivesdk" TargetMode="External"/><Relationship Id="rId1096" Type="http://schemas.openxmlformats.org/officeDocument/2006/relationships/hyperlink" Target="https://drive.google.com/file/d/16OvvakAESpiIqMsa54FWiKlDVwjVm_dn/view?usp=drivesdk" TargetMode="External"/><Relationship Id="rId1097" Type="http://schemas.openxmlformats.org/officeDocument/2006/relationships/hyperlink" Target="https://drive.google.com/file/d/1Y9TwF-2Os3-ocGNXCDEaxaVYJCRaFiA1/view?usp=drivesdk" TargetMode="External"/><Relationship Id="rId1098" Type="http://schemas.openxmlformats.org/officeDocument/2006/relationships/hyperlink" Target="https://drive.google.com/file/d/12ISVZ7Sxjs0blgPzjNP-fknMCIawa4eh/view?usp=drivesdk" TargetMode="External"/><Relationship Id="rId1099" Type="http://schemas.openxmlformats.org/officeDocument/2006/relationships/hyperlink" Target="https://drive.google.com/file/d/1vz_VK7CXG-kR0JpKvLJvzm8Mbz88cE4q/view?usp=drivesdk" TargetMode="External"/><Relationship Id="rId1080" Type="http://schemas.openxmlformats.org/officeDocument/2006/relationships/hyperlink" Target="https://drive.google.com/file/d/1Re1ej8OytbsVF8_bRcjSHYY4NtD0rltw/view?usp=drivesdk" TargetMode="External"/><Relationship Id="rId1081" Type="http://schemas.openxmlformats.org/officeDocument/2006/relationships/hyperlink" Target="https://drive.google.com/file/d/1MauR-Qb5IJ4g-0qedDyMqAxIaSKR-YCO/view?usp=drivesdk" TargetMode="External"/><Relationship Id="rId1082" Type="http://schemas.openxmlformats.org/officeDocument/2006/relationships/hyperlink" Target="https://drive.google.com/file/d/1N1sOWfXVPWiiHtrZZL7zDowLC1G2A0_H/view?usp=drivesdk" TargetMode="External"/><Relationship Id="rId1083" Type="http://schemas.openxmlformats.org/officeDocument/2006/relationships/hyperlink" Target="https://drive.google.com/file/d/1Ne-nzlpvfLsVR39Na_gIb6AOTV91AGw-/view?usp=drivesdk" TargetMode="External"/><Relationship Id="rId1084" Type="http://schemas.openxmlformats.org/officeDocument/2006/relationships/hyperlink" Target="https://drive.google.com/file/d/1dxfjqbIe389MnZIaol3913Zih7Thp5aT/view?usp=drivesdk" TargetMode="External"/><Relationship Id="rId1085" Type="http://schemas.openxmlformats.org/officeDocument/2006/relationships/hyperlink" Target="https://drive.google.com/file/d/1uiy0M_ldRewfa23UrWxA4PaQgPAZ0dbb/view?usp=drivesdk" TargetMode="External"/><Relationship Id="rId1086" Type="http://schemas.openxmlformats.org/officeDocument/2006/relationships/hyperlink" Target="https://drive.google.com/file/d/1-KeBuC2bEOoe56oSDWU0mHds9qMNnlYu/view?usp=drivesdk" TargetMode="External"/><Relationship Id="rId1087" Type="http://schemas.openxmlformats.org/officeDocument/2006/relationships/hyperlink" Target="https://drive.google.com/file/d/1bYJqADdjwLM-7vK6k9Ro5sa0k1mXMYBl/view?usp=drivesdk" TargetMode="External"/><Relationship Id="rId1088" Type="http://schemas.openxmlformats.org/officeDocument/2006/relationships/hyperlink" Target="https://drive.google.com/file/d/1gC_h9nMIOj8RcP0hHcOrgLJqXV73zxlR/view?usp=drivesdk" TargetMode="External"/><Relationship Id="rId1089" Type="http://schemas.openxmlformats.org/officeDocument/2006/relationships/hyperlink" Target="https://drive.google.com/file/d/19Uo4OTBOh134MtJvLImR-RTC76BfwrGy/view?usp=drivesdk" TargetMode="External"/><Relationship Id="rId1972" Type="http://schemas.openxmlformats.org/officeDocument/2006/relationships/hyperlink" Target="https://drive.google.com/file/d/1_8oKcKdANgS5DK0GQPxJPETR15xLRIQ9/view?usp=drivesdk" TargetMode="External"/><Relationship Id="rId1973" Type="http://schemas.openxmlformats.org/officeDocument/2006/relationships/hyperlink" Target="https://drive.google.com/file/d/1DjXiC6465MJqP6y6tvmqZiebZzxW5ubQ/view?usp=drivesdk" TargetMode="External"/><Relationship Id="rId1974" Type="http://schemas.openxmlformats.org/officeDocument/2006/relationships/hyperlink" Target="https://drive.google.com/file/d/1rqMb5ml2-cbtecA6uR4n6ganPzttXfqs/view?usp=drivesdk" TargetMode="External"/><Relationship Id="rId1975" Type="http://schemas.openxmlformats.org/officeDocument/2006/relationships/hyperlink" Target="https://drive.google.com/file/d/1iUdwXBDNPKM_9Y47qab5n5gSeSKvDAPx/view?usp=drivesdk" TargetMode="External"/><Relationship Id="rId1976" Type="http://schemas.openxmlformats.org/officeDocument/2006/relationships/hyperlink" Target="https://drive.google.com/file/d/1-Nf3aHyYsbJS9Sl25fZkqUvJO8ZCTkSt/view?usp=drivesdk" TargetMode="External"/><Relationship Id="rId1977" Type="http://schemas.openxmlformats.org/officeDocument/2006/relationships/hyperlink" Target="https://drive.google.com/file/d/1g_glAsTt3zwVBm6aQQfAwsaEKcOGXeaZ/view?usp=drivesdk" TargetMode="External"/><Relationship Id="rId1978" Type="http://schemas.openxmlformats.org/officeDocument/2006/relationships/hyperlink" Target="https://drive.google.com/file/d/1dnjjql4ENWULVq84Fvy4TzNw0q7GF1W9/view?usp=drivesdk" TargetMode="External"/><Relationship Id="rId1979" Type="http://schemas.openxmlformats.org/officeDocument/2006/relationships/hyperlink" Target="https://drive.google.com/file/d/16KIYrbHtAN2OV1d_TSQ-IYErP_7oSK8c/view?usp=drivesdk" TargetMode="External"/><Relationship Id="rId1970" Type="http://schemas.openxmlformats.org/officeDocument/2006/relationships/hyperlink" Target="https://drive.google.com/file/d/1j3I5SEtas8HXIv0p4HUeY06X3B4ricQE/view?usp=drivesdk" TargetMode="External"/><Relationship Id="rId1971" Type="http://schemas.openxmlformats.org/officeDocument/2006/relationships/hyperlink" Target="https://drive.google.com/file/d/1DvHPdP2vuYYN1u8S7R2o4nYhfrkUgoNP/view?usp=drivesdk" TargetMode="External"/><Relationship Id="rId1961" Type="http://schemas.openxmlformats.org/officeDocument/2006/relationships/hyperlink" Target="https://drive.google.com/file/d/1Vf_d82gm5yvcgDfIFR4y7pwvS6BOSUPA/view?usp=drivesdk" TargetMode="External"/><Relationship Id="rId1962" Type="http://schemas.openxmlformats.org/officeDocument/2006/relationships/hyperlink" Target="https://drive.google.com/file/d/1MRxpINBbnyp3rR41899dBT2YUY9auLwm/view?usp=drivesdk" TargetMode="External"/><Relationship Id="rId1963" Type="http://schemas.openxmlformats.org/officeDocument/2006/relationships/hyperlink" Target="https://drive.google.com/file/d/12SD8ynr0Eqgsp1DFaMlOMVV9WnrzX1rB/view?usp=drivesdk" TargetMode="External"/><Relationship Id="rId1964" Type="http://schemas.openxmlformats.org/officeDocument/2006/relationships/hyperlink" Target="https://drive.google.com/file/d/1rOG_cBnNP6jRPX4l2PrgeCLXBe3eqUtv/view?usp=drivesdk" TargetMode="External"/><Relationship Id="rId1965" Type="http://schemas.openxmlformats.org/officeDocument/2006/relationships/hyperlink" Target="https://drive.google.com/file/d/1mZEYT752-fYQEHyhzG6JSRzvv1oscf-8/view?usp=drivesdk" TargetMode="External"/><Relationship Id="rId1966" Type="http://schemas.openxmlformats.org/officeDocument/2006/relationships/hyperlink" Target="https://drive.google.com/file/d/1F3B9gheHiyw_CyE1ilNBxhRE0VAQxH5x/view?usp=drivesdk" TargetMode="External"/><Relationship Id="rId1967" Type="http://schemas.openxmlformats.org/officeDocument/2006/relationships/hyperlink" Target="https://drive.google.com/file/d/1s4yy-jMWtAJOzTgzTJQgy3ZRbctiijrM/view?usp=drivesdk" TargetMode="External"/><Relationship Id="rId1968" Type="http://schemas.openxmlformats.org/officeDocument/2006/relationships/hyperlink" Target="https://drive.google.com/file/d/1AMIwkGT8yR-1C10esIuzN4l-spzLi3Rf/view?usp=drivesdk" TargetMode="External"/><Relationship Id="rId1969" Type="http://schemas.openxmlformats.org/officeDocument/2006/relationships/hyperlink" Target="https://drive.google.com/file/d/11kI-HTup4b0F_70XxT520lfTAEvEBCuc/view?usp=drivesdk" TargetMode="External"/><Relationship Id="rId1960" Type="http://schemas.openxmlformats.org/officeDocument/2006/relationships/hyperlink" Target="https://drive.google.com/file/d/1OK46uV6IQ2vc97alKPJSeeK5_4y7E4xh/view?usp=drivesdk" TargetMode="External"/><Relationship Id="rId1994" Type="http://schemas.openxmlformats.org/officeDocument/2006/relationships/hyperlink" Target="https://drive.google.com/file/d/12Fumd2wk_vDHxAYkAICvl5T_NwTFi9zl/view?usp=drivesdk" TargetMode="External"/><Relationship Id="rId1995" Type="http://schemas.openxmlformats.org/officeDocument/2006/relationships/hyperlink" Target="https://drive.google.com/file/d/1NdmScYJ_caAcv-G5r_3OvvLyMqUV46Cq/view?usp=drivesdk" TargetMode="External"/><Relationship Id="rId1996" Type="http://schemas.openxmlformats.org/officeDocument/2006/relationships/hyperlink" Target="https://drive.google.com/file/d/1WP5GFHkbhXJQTOSJbMSVk-tsvwSwCtFD/view?usp=drivesdk" TargetMode="External"/><Relationship Id="rId1997" Type="http://schemas.openxmlformats.org/officeDocument/2006/relationships/hyperlink" Target="https://drive.google.com/file/d/1OLRWEqdk92mH8AlDYYUncxVENoWbN0zf/view?usp=drivesdk" TargetMode="External"/><Relationship Id="rId1998" Type="http://schemas.openxmlformats.org/officeDocument/2006/relationships/hyperlink" Target="https://drive.google.com/file/d/1MrJrZOA1WYTtSslhdkhQWseGQ5GuEbhB/view?usp=drivesdk" TargetMode="External"/><Relationship Id="rId1999" Type="http://schemas.openxmlformats.org/officeDocument/2006/relationships/hyperlink" Target="https://drive.google.com/file/d/12aDj0k1UfJeg08LPSDH-g_0ugDzbOuRl/view?usp=drivesdk" TargetMode="External"/><Relationship Id="rId1990" Type="http://schemas.openxmlformats.org/officeDocument/2006/relationships/hyperlink" Target="https://drive.google.com/file/d/1LiXYZL7_NaBDUC6h0T8SjJWzt-DHicnh/view?usp=drivesdk" TargetMode="External"/><Relationship Id="rId1991" Type="http://schemas.openxmlformats.org/officeDocument/2006/relationships/hyperlink" Target="https://drive.google.com/file/d/158vp7AHQMEeddiYQO_gDLUEKWUtkmcfv/view?usp=drivesdk" TargetMode="External"/><Relationship Id="rId1992" Type="http://schemas.openxmlformats.org/officeDocument/2006/relationships/hyperlink" Target="https://drive.google.com/file/d/1kkG1-C2Vv_ma_OpVyya9EAPm2Mv4jZzU/view?usp=drivesdk" TargetMode="External"/><Relationship Id="rId1993" Type="http://schemas.openxmlformats.org/officeDocument/2006/relationships/hyperlink" Target="https://drive.google.com/file/d/1dlMBcw4MPRdBVfZRpvaT2Z8T8_fb0Xfd/view?usp=drivesdk" TargetMode="External"/><Relationship Id="rId1983" Type="http://schemas.openxmlformats.org/officeDocument/2006/relationships/hyperlink" Target="https://drive.google.com/file/d/1UUqguLPK9OVLeVTXA1Nd3UJB7B0YcPZ_/view?usp=drivesdk" TargetMode="External"/><Relationship Id="rId1984" Type="http://schemas.openxmlformats.org/officeDocument/2006/relationships/hyperlink" Target="https://drive.google.com/file/d/16ZOKBkonyHYR7EL5GWaosRajb-rx4aTB/view?usp=drivesdk" TargetMode="External"/><Relationship Id="rId1985" Type="http://schemas.openxmlformats.org/officeDocument/2006/relationships/hyperlink" Target="https://drive.google.com/file/d/10TkOwxiPyEik3GYStMGhGSl69UMYw6Vn/view?usp=drivesdk" TargetMode="External"/><Relationship Id="rId1986" Type="http://schemas.openxmlformats.org/officeDocument/2006/relationships/hyperlink" Target="https://drive.google.com/file/d/189UQarNMIloHCyYZxf4JLNy6diyZcjcm/view?usp=drivesdk" TargetMode="External"/><Relationship Id="rId1987" Type="http://schemas.openxmlformats.org/officeDocument/2006/relationships/hyperlink" Target="https://drive.google.com/file/d/18zP5rLJIL_7SuKNLTzeubVrbDz8znKYE/view?usp=drivesdk" TargetMode="External"/><Relationship Id="rId1988" Type="http://schemas.openxmlformats.org/officeDocument/2006/relationships/hyperlink" Target="https://drive.google.com/file/d/1yWESnoWVWig50g7pH4GYZtdPoiKEjo7U/view?usp=drivesdk" TargetMode="External"/><Relationship Id="rId1989" Type="http://schemas.openxmlformats.org/officeDocument/2006/relationships/hyperlink" Target="https://drive.google.com/file/d/1js_x8IUBLyi1L7XeDKOsZW3yiHIzhPha/view?usp=drivesdk" TargetMode="External"/><Relationship Id="rId1980" Type="http://schemas.openxmlformats.org/officeDocument/2006/relationships/hyperlink" Target="https://drive.google.com/file/d/1nDeJON72qe0E3ch5rXi6njmmLRx3xRCA/view?usp=drivesdk" TargetMode="External"/><Relationship Id="rId1981" Type="http://schemas.openxmlformats.org/officeDocument/2006/relationships/hyperlink" Target="https://drive.google.com/file/d/1kaImrMGB3dMa0jwWw224nm6oJQjb7Q84/view?usp=drivesdk" TargetMode="External"/><Relationship Id="rId1982" Type="http://schemas.openxmlformats.org/officeDocument/2006/relationships/hyperlink" Target="https://drive.google.com/file/d/1Y8FA8fK4JKlYW08416aF5NAI_bONyrNm/view?usp=drivesdk" TargetMode="External"/><Relationship Id="rId1930" Type="http://schemas.openxmlformats.org/officeDocument/2006/relationships/hyperlink" Target="https://drive.google.com/file/d/1YW87D2lR65TpLvMCWBLxopE8l6QKJ2JD/view?usp=drivesdk" TargetMode="External"/><Relationship Id="rId1931" Type="http://schemas.openxmlformats.org/officeDocument/2006/relationships/hyperlink" Target="https://drive.google.com/file/d/1uzFfVMaQbyRdPgYl2O_uZ--Xrfvf42M6/view?usp=drivesdk" TargetMode="External"/><Relationship Id="rId1932" Type="http://schemas.openxmlformats.org/officeDocument/2006/relationships/hyperlink" Target="https://drive.google.com/file/d/15p0kV0kQZep8See4wuoupuWR3yQYHF1g/view?usp=drivesdk" TargetMode="External"/><Relationship Id="rId1933" Type="http://schemas.openxmlformats.org/officeDocument/2006/relationships/hyperlink" Target="https://drive.google.com/file/d/1Ms5A6nAKa-sKf4uxmXHV_sbIDPqMVSLM/view?usp=drivesdk" TargetMode="External"/><Relationship Id="rId1934" Type="http://schemas.openxmlformats.org/officeDocument/2006/relationships/hyperlink" Target="https://drive.google.com/file/d/1cNlmpRBLiby0FvCXHjuDkLtT5q9IhKCu/view?usp=drivesdk" TargetMode="External"/><Relationship Id="rId1935" Type="http://schemas.openxmlformats.org/officeDocument/2006/relationships/hyperlink" Target="https://drive.google.com/file/d/1Et-Mkn9kTn-XucWAYBDHl7_9zLvjpYoY/view?usp=drivesdk" TargetMode="External"/><Relationship Id="rId1936" Type="http://schemas.openxmlformats.org/officeDocument/2006/relationships/hyperlink" Target="https://drive.google.com/file/d/1iYRIi2xsgBpxp2sL3wHWBT-rg81tNZ7x/view?usp=drivesdk" TargetMode="External"/><Relationship Id="rId1937" Type="http://schemas.openxmlformats.org/officeDocument/2006/relationships/hyperlink" Target="https://drive.google.com/file/d/1oY4hUY2_9sflEO9yYYSd7l_NrqVQVmq9/view?usp=drivesdk" TargetMode="External"/><Relationship Id="rId1938" Type="http://schemas.openxmlformats.org/officeDocument/2006/relationships/hyperlink" Target="https://drive.google.com/file/d/11zaSCeDrqb1Q27-CrSzdRLHFRWU9vira/view?usp=drivesdk" TargetMode="External"/><Relationship Id="rId1939" Type="http://schemas.openxmlformats.org/officeDocument/2006/relationships/hyperlink" Target="https://drive.google.com/file/d/1uhjKvYz3-Ju4sLRHJGu9FpCWC2cajYpx/view?usp=drivesdk" TargetMode="External"/><Relationship Id="rId1920" Type="http://schemas.openxmlformats.org/officeDocument/2006/relationships/hyperlink" Target="https://drive.google.com/file/d/1sYEnvLHpxsSF3OSwnIyMSRE6zeSJ7AYs/view?usp=drivesdk" TargetMode="External"/><Relationship Id="rId1921" Type="http://schemas.openxmlformats.org/officeDocument/2006/relationships/hyperlink" Target="https://drive.google.com/file/d/18_qLeOFhZR5gccoLQ4jS-0_Uti8Qitnq/view?usp=drivesdk" TargetMode="External"/><Relationship Id="rId1922" Type="http://schemas.openxmlformats.org/officeDocument/2006/relationships/hyperlink" Target="https://drive.google.com/file/d/1jk-X6B_e5wTejxU43RWBHM_nspXIGMT9/view?usp=drivesdk" TargetMode="External"/><Relationship Id="rId1923" Type="http://schemas.openxmlformats.org/officeDocument/2006/relationships/hyperlink" Target="https://drive.google.com/file/d/1QuU4fXxs7QCFTJ4wnIhjmidwEfhl6LWc/view?usp=drivesdk" TargetMode="External"/><Relationship Id="rId1924" Type="http://schemas.openxmlformats.org/officeDocument/2006/relationships/hyperlink" Target="https://drive.google.com/file/d/1ICk2DSEyEKf39lhaWV_0itI0CgUzqExk/view?usp=drivesdk" TargetMode="External"/><Relationship Id="rId1925" Type="http://schemas.openxmlformats.org/officeDocument/2006/relationships/hyperlink" Target="https://drive.google.com/file/d/1pQBvEdTQTB-RCSBiNsYSjdwTu_naTs0S/view?usp=drivesdk" TargetMode="External"/><Relationship Id="rId1926" Type="http://schemas.openxmlformats.org/officeDocument/2006/relationships/hyperlink" Target="https://drive.google.com/file/d/1IQnXY1SWFEyRVoF-GvwgahcpbiUzWzY2/view?usp=drivesdk" TargetMode="External"/><Relationship Id="rId1927" Type="http://schemas.openxmlformats.org/officeDocument/2006/relationships/hyperlink" Target="https://drive.google.com/file/d/13i7ox2NwUhFrmASFdI2RF3IJSgkGoTAA/view?usp=drivesdk" TargetMode="External"/><Relationship Id="rId1928" Type="http://schemas.openxmlformats.org/officeDocument/2006/relationships/hyperlink" Target="https://drive.google.com/file/d/1QlIzVCbWHXU-IN6FhbirNfIUIijHpGY4/view?usp=drivesdk" TargetMode="External"/><Relationship Id="rId1929" Type="http://schemas.openxmlformats.org/officeDocument/2006/relationships/hyperlink" Target="https://drive.google.com/file/d/1AMmW6xDicYI11YEJP0VcU5FoNV0TVw8E/view?usp=drivesdk" TargetMode="External"/><Relationship Id="rId1950" Type="http://schemas.openxmlformats.org/officeDocument/2006/relationships/hyperlink" Target="https://drive.google.com/file/d/1ZLc49sEjSORL7DEUnSjHMYSvhZtBoyJo/view?usp=drivesdk" TargetMode="External"/><Relationship Id="rId1951" Type="http://schemas.openxmlformats.org/officeDocument/2006/relationships/hyperlink" Target="https://drive.google.com/file/d/1Jk3OGQxROHsIrR7oEUYGGlBNq-xQQfYF/view?usp=drivesdk" TargetMode="External"/><Relationship Id="rId1952" Type="http://schemas.openxmlformats.org/officeDocument/2006/relationships/hyperlink" Target="https://drive.google.com/file/d/1UWWR7mqT-QPwC3FdXytSJJRdzW-ZeOmM/view?usp=drivesdk" TargetMode="External"/><Relationship Id="rId1953" Type="http://schemas.openxmlformats.org/officeDocument/2006/relationships/hyperlink" Target="https://drive.google.com/file/d/1T6tg8D76gIRLZjrJM-W8oH5HBizj8awx/view?usp=drivesdk" TargetMode="External"/><Relationship Id="rId1954" Type="http://schemas.openxmlformats.org/officeDocument/2006/relationships/hyperlink" Target="https://drive.google.com/file/d/1-tbO460_CNxxxyKaOodQX4QIgawEckZ2/view?usp=drivesdk" TargetMode="External"/><Relationship Id="rId1955" Type="http://schemas.openxmlformats.org/officeDocument/2006/relationships/hyperlink" Target="https://drive.google.com/file/d/1gbjtq3xJdO0bl9zLh92t83FdTyFcN5c0/view?usp=drivesdk" TargetMode="External"/><Relationship Id="rId1956" Type="http://schemas.openxmlformats.org/officeDocument/2006/relationships/hyperlink" Target="https://drive.google.com/file/d/1Yn6bp7o917U4gJl5OoE6r9oJ8V1eoU6K/view?usp=drivesdk" TargetMode="External"/><Relationship Id="rId1957" Type="http://schemas.openxmlformats.org/officeDocument/2006/relationships/hyperlink" Target="https://drive.google.com/file/d/1vdoOwT7zpHJiWSgpNtnmZXxI2frFHtpE/view?usp=drivesdk" TargetMode="External"/><Relationship Id="rId1958" Type="http://schemas.openxmlformats.org/officeDocument/2006/relationships/hyperlink" Target="https://drive.google.com/file/d/12knrn_eDrEpMbF9kfEOw7c7FjAXWSxpl/view?usp=drivesdk" TargetMode="External"/><Relationship Id="rId1959" Type="http://schemas.openxmlformats.org/officeDocument/2006/relationships/hyperlink" Target="https://drive.google.com/file/d/1luOdGs6R8a_0-HDkNn2yIAE5HAjD96ou/view?usp=drivesdk" TargetMode="External"/><Relationship Id="rId1940" Type="http://schemas.openxmlformats.org/officeDocument/2006/relationships/hyperlink" Target="https://drive.google.com/file/d/1Frsp1ERe0TZcOtwfR5TPi-8z17MyT1dM/view?usp=drivesdk" TargetMode="External"/><Relationship Id="rId1941" Type="http://schemas.openxmlformats.org/officeDocument/2006/relationships/hyperlink" Target="https://drive.google.com/file/d/1UtZUmIRHEOp2P_7w5IWBkFzAG-fBAOSE/view?usp=drivesdk" TargetMode="External"/><Relationship Id="rId1942" Type="http://schemas.openxmlformats.org/officeDocument/2006/relationships/hyperlink" Target="https://drive.google.com/file/d/1SreU_xb-p0qFbq23m2HaZCxeb_a_5zzs/view?usp=drivesdk" TargetMode="External"/><Relationship Id="rId1943" Type="http://schemas.openxmlformats.org/officeDocument/2006/relationships/hyperlink" Target="https://drive.google.com/file/d/1PWmAajIgJroDS_X57-wo38ILzdsRz9bD/view?usp=drivesdk" TargetMode="External"/><Relationship Id="rId1944" Type="http://schemas.openxmlformats.org/officeDocument/2006/relationships/hyperlink" Target="https://drive.google.com/file/d/1_X6xS1ZjwBG5swDxd-1howaKAAw4iWlt/view?usp=drivesdk" TargetMode="External"/><Relationship Id="rId1945" Type="http://schemas.openxmlformats.org/officeDocument/2006/relationships/hyperlink" Target="https://drive.google.com/file/d/16HfOYW3NdlLejya_wJd8dvU2mFNZBhVs/view?usp=drivesdk" TargetMode="External"/><Relationship Id="rId1946" Type="http://schemas.openxmlformats.org/officeDocument/2006/relationships/hyperlink" Target="https://drive.google.com/file/d/1UBCU1xBferm316qcmJoUHqwYE4_H5zWE/view?usp=drivesdk" TargetMode="External"/><Relationship Id="rId1947" Type="http://schemas.openxmlformats.org/officeDocument/2006/relationships/hyperlink" Target="https://drive.google.com/file/d/1iZ6Td3DLAoY5X-QoXhJlHcjhxEBkU9KY/view?usp=drivesdk" TargetMode="External"/><Relationship Id="rId1948" Type="http://schemas.openxmlformats.org/officeDocument/2006/relationships/hyperlink" Target="https://drive.google.com/file/d/1Vq57he1otbvR-i9OUSBsOSxQrV-89ciX/view?usp=drivesdk" TargetMode="External"/><Relationship Id="rId1949" Type="http://schemas.openxmlformats.org/officeDocument/2006/relationships/hyperlink" Target="https://drive.google.com/file/d/1PcZw9oQ8uaU1mq7-tbYrUXDDZ2uT2L69/view?usp=drivesdk" TargetMode="External"/><Relationship Id="rId2423" Type="http://schemas.openxmlformats.org/officeDocument/2006/relationships/hyperlink" Target="https://drive.google.com/file/d/1kvLV3eWwNvhEIfRQtk6JBoQh0k7Xud0F/view?usp=drivesdk" TargetMode="External"/><Relationship Id="rId2424" Type="http://schemas.openxmlformats.org/officeDocument/2006/relationships/hyperlink" Target="https://drive.google.com/file/d/1SX717wG6ZWjYmvnFxgWiRkI-M1qY3EV2/view?usp=drivesdk" TargetMode="External"/><Relationship Id="rId2425" Type="http://schemas.openxmlformats.org/officeDocument/2006/relationships/hyperlink" Target="https://drive.google.com/file/d/1VyjxwHvG8SUZQTG6hc-0q4R8IZuCP93W/view?usp=drivesdk" TargetMode="External"/><Relationship Id="rId2426" Type="http://schemas.openxmlformats.org/officeDocument/2006/relationships/hyperlink" Target="https://drive.google.com/file/d/157094q5BPQgVoATcTzlhA5p_rwlMwbC2/view?usp=drivesdk" TargetMode="External"/><Relationship Id="rId2427" Type="http://schemas.openxmlformats.org/officeDocument/2006/relationships/hyperlink" Target="https://drive.google.com/file/d/1Vo_Kc82tgJEqmIDYGNux3rxJpNjLG8an/view?usp=drivesdk" TargetMode="External"/><Relationship Id="rId2428" Type="http://schemas.openxmlformats.org/officeDocument/2006/relationships/hyperlink" Target="http://b.sc/B.Com" TargetMode="External"/><Relationship Id="rId2429" Type="http://schemas.openxmlformats.org/officeDocument/2006/relationships/hyperlink" Target="https://drive.google.com/file/d/1fYGBrN3byXjUWRdHH8H34NIBqyvM08FE/view?usp=drivesdk" TargetMode="External"/><Relationship Id="rId509" Type="http://schemas.openxmlformats.org/officeDocument/2006/relationships/hyperlink" Target="https://drive.google.com/file/d/1xlg5GKcokaiTypUbSRPP4V_169X26Ip6/view?usp=drivesdk" TargetMode="External"/><Relationship Id="rId508" Type="http://schemas.openxmlformats.org/officeDocument/2006/relationships/hyperlink" Target="http://b.sc/B.Com" TargetMode="External"/><Relationship Id="rId503" Type="http://schemas.openxmlformats.org/officeDocument/2006/relationships/hyperlink" Target="https://drive.google.com/file/d/1FeHWs1VX8bBsF_bbgFGxLFOHztMPJdV3/view?usp=drivesdk" TargetMode="External"/><Relationship Id="rId502" Type="http://schemas.openxmlformats.org/officeDocument/2006/relationships/hyperlink" Target="https://drive.google.com/file/d/1OT9nfqrPqmcYWS9rdixyLEKXaMN4TWLY/view?usp=drivesdk" TargetMode="External"/><Relationship Id="rId501" Type="http://schemas.openxmlformats.org/officeDocument/2006/relationships/hyperlink" Target="https://drive.google.com/file/d/12uRqwXqsMqo_yGGY-f-1SD2hMjaz4YIX/view?usp=drivesdk" TargetMode="External"/><Relationship Id="rId500" Type="http://schemas.openxmlformats.org/officeDocument/2006/relationships/hyperlink" Target="https://drive.google.com/file/d/18T0zGteo50NlsbTwFtVG7k2LY4oWvDaU/view?usp=drivesdk" TargetMode="External"/><Relationship Id="rId507" Type="http://schemas.openxmlformats.org/officeDocument/2006/relationships/hyperlink" Target="https://drive.google.com/file/d/1hBv7-57iURlmrJvpB8PazLIemxBuG8BK/view?usp=drivesdk" TargetMode="External"/><Relationship Id="rId506" Type="http://schemas.openxmlformats.org/officeDocument/2006/relationships/hyperlink" Target="https://drive.google.com/file/d/1amGahWXJcAsTrdj2f3OghVd-c9wymSV9/view?usp=drivesdk" TargetMode="External"/><Relationship Id="rId505" Type="http://schemas.openxmlformats.org/officeDocument/2006/relationships/hyperlink" Target="https://drive.google.com/file/d/1aKBg689-RXqNzsWhgJEaBNa8P6Rkn_j0/view?usp=drivesdk" TargetMode="External"/><Relationship Id="rId504" Type="http://schemas.openxmlformats.org/officeDocument/2006/relationships/hyperlink" Target="https://drive.google.com/file/d/1HQ5uTaOaDDiGfW4EKIfXWM3oFaLUPf2I/view?usp=drivesdk" TargetMode="External"/><Relationship Id="rId2420" Type="http://schemas.openxmlformats.org/officeDocument/2006/relationships/hyperlink" Target="https://drive.google.com/file/d/1ySLV_NMQjWtDVGi0h9tvaczAvsT2-8RP/view?usp=drivesdk" TargetMode="External"/><Relationship Id="rId2421" Type="http://schemas.openxmlformats.org/officeDocument/2006/relationships/hyperlink" Target="https://drive.google.com/file/d/1CQwlqdM84d5ejZO5l7_wA4iDcO8jnn6I/view?usp=drivesdk" TargetMode="External"/><Relationship Id="rId2422" Type="http://schemas.openxmlformats.org/officeDocument/2006/relationships/hyperlink" Target="https://drive.google.com/file/d/1G4KW9bCWV4_9_dsi9DefhT7KytkDuJWc/view?usp=drivesdk" TargetMode="External"/><Relationship Id="rId2412" Type="http://schemas.openxmlformats.org/officeDocument/2006/relationships/hyperlink" Target="https://drive.google.com/file/d/11N_3qps3r7SAwSX4UXzgDU6tNLY_ashZ/view?usp=drivesdk" TargetMode="External"/><Relationship Id="rId2413" Type="http://schemas.openxmlformats.org/officeDocument/2006/relationships/hyperlink" Target="https://drive.google.com/file/d/1bZYmVPsKDLHc5MM9F9jRRO177HMl0LGN/view?usp=drivesdk" TargetMode="External"/><Relationship Id="rId2414" Type="http://schemas.openxmlformats.org/officeDocument/2006/relationships/hyperlink" Target="https://drive.google.com/file/d/179xDF8jK-N0eYvYR0PoG-SUBe7vjNQed/view?usp=drivesdk" TargetMode="External"/><Relationship Id="rId2415" Type="http://schemas.openxmlformats.org/officeDocument/2006/relationships/hyperlink" Target="https://drive.google.com/file/d/1OwMIKn1WqmNt3jvZ218NdTMf8ASXvB9L/view?usp=drivesdk" TargetMode="External"/><Relationship Id="rId2416" Type="http://schemas.openxmlformats.org/officeDocument/2006/relationships/hyperlink" Target="https://drive.google.com/file/d/1f6AhT77E_tWCMIltSkMXqqZOLQmGPIB2/view?usp=drivesdk" TargetMode="External"/><Relationship Id="rId2417" Type="http://schemas.openxmlformats.org/officeDocument/2006/relationships/hyperlink" Target="https://drive.google.com/file/d/1fNJrz5n7ZJ9JTDks7JScM-9Fc7vfkyoh/view?usp=drivesdk" TargetMode="External"/><Relationship Id="rId2418" Type="http://schemas.openxmlformats.org/officeDocument/2006/relationships/hyperlink" Target="https://drive.google.com/file/d/17JOcBPETRzaPBe69YWuliJpyODFnP8WO/view?usp=drivesdk" TargetMode="External"/><Relationship Id="rId2419" Type="http://schemas.openxmlformats.org/officeDocument/2006/relationships/hyperlink" Target="https://drive.google.com/file/d/1suWSA0WHkM89sx2TyrOArT48kKopAadg/view?usp=drivesdk" TargetMode="External"/><Relationship Id="rId2410" Type="http://schemas.openxmlformats.org/officeDocument/2006/relationships/hyperlink" Target="https://drive.google.com/file/d/1P2nhdqhFGabqUzip1tlIYkwl9wsHeqIt/view?usp=drivesdk" TargetMode="External"/><Relationship Id="rId2411" Type="http://schemas.openxmlformats.org/officeDocument/2006/relationships/hyperlink" Target="https://drive.google.com/file/d/1pouE9CwmrBxhvCkF4fr4zRH9gw5wwyTV/view?usp=drivesdk" TargetMode="External"/><Relationship Id="rId1114" Type="http://schemas.openxmlformats.org/officeDocument/2006/relationships/hyperlink" Target="https://drive.google.com/file/d/1cUmcO6Jxmu1f6ozBIQ8hHNeqv5R9Kc1f/view?usp=drivesdk" TargetMode="External"/><Relationship Id="rId2445" Type="http://schemas.openxmlformats.org/officeDocument/2006/relationships/hyperlink" Target="https://drive.google.com/file/d/1Zhr2qmj7kKesKekz7u9U8iOPLGmf-HCX/view?usp=drivesdk" TargetMode="External"/><Relationship Id="rId1115" Type="http://schemas.openxmlformats.org/officeDocument/2006/relationships/hyperlink" Target="https://drive.google.com/file/d/18wwuiX0LhEuscmCkaiIEpG1nMsgWuivY/view?usp=drivesdk" TargetMode="External"/><Relationship Id="rId2446" Type="http://schemas.openxmlformats.org/officeDocument/2006/relationships/hyperlink" Target="http://b.sc/B.Com" TargetMode="External"/><Relationship Id="rId1116" Type="http://schemas.openxmlformats.org/officeDocument/2006/relationships/hyperlink" Target="https://drive.google.com/file/d/1LeJ8wdQURFkeu-RjkUm4A4ua6WyizGSO/view?usp=drivesdk" TargetMode="External"/><Relationship Id="rId2447" Type="http://schemas.openxmlformats.org/officeDocument/2006/relationships/hyperlink" Target="https://drive.google.com/file/d/1QQLkD4MXndSF2VDT5oYWXFCcqqe2m5IC/view?usp=drivesdk" TargetMode="External"/><Relationship Id="rId1117" Type="http://schemas.openxmlformats.org/officeDocument/2006/relationships/hyperlink" Target="https://drive.google.com/file/d/1kt0rHuwNx8vmQ_kH7vNaj_CYqagq17PC/view?usp=drivesdk" TargetMode="External"/><Relationship Id="rId2448" Type="http://schemas.openxmlformats.org/officeDocument/2006/relationships/hyperlink" Target="https://drive.google.com/file/d/1_qZzV3lyCrFGEpQA9_VStkpB9q0ArbOs/view?usp=drivesdk" TargetMode="External"/><Relationship Id="rId1118" Type="http://schemas.openxmlformats.org/officeDocument/2006/relationships/hyperlink" Target="https://drive.google.com/file/d/1yOsA_dDTlf8oAmoc-Dq8GCZya8k-aK74/view?usp=drivesdk" TargetMode="External"/><Relationship Id="rId2449" Type="http://schemas.openxmlformats.org/officeDocument/2006/relationships/hyperlink" Target="https://drive.google.com/file/d/1MrFpqnVjg0J892OHuCSx8JuGOA4-8Dnn/view?usp=drivesdk" TargetMode="External"/><Relationship Id="rId1119" Type="http://schemas.openxmlformats.org/officeDocument/2006/relationships/hyperlink" Target="https://drive.google.com/file/d/1jxEE1OSERbZclIH5bOcVCFD5kC4bSq0K/view?usp=drivesdk" TargetMode="External"/><Relationship Id="rId525" Type="http://schemas.openxmlformats.org/officeDocument/2006/relationships/hyperlink" Target="https://drive.google.com/file/d/1csJtBdlLPJJYsLSSK7Fhya960RAt6yBI/view?usp=drivesdk" TargetMode="External"/><Relationship Id="rId524" Type="http://schemas.openxmlformats.org/officeDocument/2006/relationships/hyperlink" Target="https://drive.google.com/file/d/14fKglvqHBuIUgfs29wlHrW4q96N2FDYq/view?usp=drivesdk" TargetMode="External"/><Relationship Id="rId523" Type="http://schemas.openxmlformats.org/officeDocument/2006/relationships/hyperlink" Target="https://drive.google.com/file/d/1YifuIEK_k3pvO1_f7SakYvfOgWweS5db/view?usp=drivesdk" TargetMode="External"/><Relationship Id="rId522" Type="http://schemas.openxmlformats.org/officeDocument/2006/relationships/hyperlink" Target="https://drive.google.com/file/d/1xwS-iwIjM9_7B2Yv0jNCe5NBsyQAQO9p/view?usp=drivesdk" TargetMode="External"/><Relationship Id="rId529" Type="http://schemas.openxmlformats.org/officeDocument/2006/relationships/hyperlink" Target="https://drive.google.com/file/d/1goJIPG-ikHctoqYwMiLnzFStnsh3oFfT/view?usp=drivesdk" TargetMode="External"/><Relationship Id="rId528" Type="http://schemas.openxmlformats.org/officeDocument/2006/relationships/hyperlink" Target="https://drive.google.com/file/d/1vIv0UcgfA7ptBPl383DlyvyQA3caj7PK/view?usp=drivesdk" TargetMode="External"/><Relationship Id="rId527" Type="http://schemas.openxmlformats.org/officeDocument/2006/relationships/hyperlink" Target="https://drive.google.com/file/d/1ubw1fPJ9DXbbPuwCGfZzcVPOGcSQzv3I/view?usp=drivesdk" TargetMode="External"/><Relationship Id="rId526" Type="http://schemas.openxmlformats.org/officeDocument/2006/relationships/hyperlink" Target="https://drive.google.com/file/d/1aDhgfwO8HmfSuUzwyPvGzoD94SL3aEFE/view?usp=drivesdk" TargetMode="External"/><Relationship Id="rId2440" Type="http://schemas.openxmlformats.org/officeDocument/2006/relationships/hyperlink" Target="https://drive.google.com/file/d/1aI533H9BRtA2qK3GAmMQSDlklRBdPfET/view?usp=drivesdk" TargetMode="External"/><Relationship Id="rId521" Type="http://schemas.openxmlformats.org/officeDocument/2006/relationships/hyperlink" Target="https://drive.google.com/file/d/1jd1dRo8Ao3-AQoAWUJCSkL9v02jYWliM/view?usp=drivesdk" TargetMode="External"/><Relationship Id="rId1110" Type="http://schemas.openxmlformats.org/officeDocument/2006/relationships/hyperlink" Target="https://drive.google.com/file/d/1DC6-RyBgzpgAgNkCjguws7DO3eJPQad6/view?usp=drivesdk" TargetMode="External"/><Relationship Id="rId2441" Type="http://schemas.openxmlformats.org/officeDocument/2006/relationships/hyperlink" Target="https://drive.google.com/file/d/1Mj8kKnSDdPryZ2YOg96tCt43BA0ODIP4/view?usp=drivesdk" TargetMode="External"/><Relationship Id="rId520" Type="http://schemas.openxmlformats.org/officeDocument/2006/relationships/hyperlink" Target="https://drive.google.com/file/d/1oUj87_PxbhEwFYblD9iWXSupzUhSs96X/view?usp=drivesdk" TargetMode="External"/><Relationship Id="rId1111" Type="http://schemas.openxmlformats.org/officeDocument/2006/relationships/hyperlink" Target="https://drive.google.com/file/d/10AMEsaCwQvF2hmutxVJcidBbDjCNkbYF/view?usp=drivesdk" TargetMode="External"/><Relationship Id="rId2442" Type="http://schemas.openxmlformats.org/officeDocument/2006/relationships/hyperlink" Target="https://drive.google.com/file/d/1BnVZ-FMxu_AhD40Q2HhuO3KiQpCdiFpU/view?usp=drivesdk" TargetMode="External"/><Relationship Id="rId1112" Type="http://schemas.openxmlformats.org/officeDocument/2006/relationships/hyperlink" Target="https://drive.google.com/file/d/1mFs8pDJXqygovC2YgeK2Qpxqf4Q-oE0P/view?usp=drivesdk" TargetMode="External"/><Relationship Id="rId2443" Type="http://schemas.openxmlformats.org/officeDocument/2006/relationships/hyperlink" Target="https://drive.google.com/file/d/105J8G1dD68yhIm7horbf53r16F-qu-59/view?usp=drivesdk" TargetMode="External"/><Relationship Id="rId1113" Type="http://schemas.openxmlformats.org/officeDocument/2006/relationships/hyperlink" Target="https://drive.google.com/file/d/198tRFH2EIy3S1gs8vgGL6XtVyju78SrZ/view?usp=drivesdk" TargetMode="External"/><Relationship Id="rId2444" Type="http://schemas.openxmlformats.org/officeDocument/2006/relationships/hyperlink" Target="https://drive.google.com/file/d/18NZMAm7zWg0q_ojqc72q-EQFwk5KMTx7/view?usp=drivesdk" TargetMode="External"/><Relationship Id="rId1103" Type="http://schemas.openxmlformats.org/officeDocument/2006/relationships/hyperlink" Target="https://drive.google.com/file/d/1oPLVrBYJMqOMYx1GVzxTDq9fsep2bZvr/view?usp=drivesdk" TargetMode="External"/><Relationship Id="rId2434" Type="http://schemas.openxmlformats.org/officeDocument/2006/relationships/hyperlink" Target="https://drive.google.com/file/d/1vz1nRUaXxYTgkyQQ_5bq87vvycGZVwCr/view?usp=drivesdk" TargetMode="External"/><Relationship Id="rId1104" Type="http://schemas.openxmlformats.org/officeDocument/2006/relationships/hyperlink" Target="http://b.sc/B.Com" TargetMode="External"/><Relationship Id="rId2435" Type="http://schemas.openxmlformats.org/officeDocument/2006/relationships/hyperlink" Target="https://drive.google.com/file/d/1h3Y05z9HLP_OruMPGsR61WtTrJaklixR/view?usp=drivesdk" TargetMode="External"/><Relationship Id="rId1105" Type="http://schemas.openxmlformats.org/officeDocument/2006/relationships/hyperlink" Target="https://drive.google.com/file/d/1XIp9VS0tyjw1vxBXj7jgJ1uJCqqQQbOV/view?usp=drivesdk" TargetMode="External"/><Relationship Id="rId2436" Type="http://schemas.openxmlformats.org/officeDocument/2006/relationships/hyperlink" Target="https://drive.google.com/file/d/1M4T0GJOvzEbzFsJHYN9CZoWQOuhFTrzF/view?usp=drivesdk" TargetMode="External"/><Relationship Id="rId1106" Type="http://schemas.openxmlformats.org/officeDocument/2006/relationships/hyperlink" Target="https://drive.google.com/file/d/192rQAUnFrKNZZfzoDr5TElUpjBEzVOUh/view?usp=drivesdk" TargetMode="External"/><Relationship Id="rId2437" Type="http://schemas.openxmlformats.org/officeDocument/2006/relationships/hyperlink" Target="https://drive.google.com/file/d/1Z-IOjGr-gA_Tsx4IzVby-T8HWk8UdUQP/view?usp=drivesdk" TargetMode="External"/><Relationship Id="rId1107" Type="http://schemas.openxmlformats.org/officeDocument/2006/relationships/hyperlink" Target="http://b.sc/B.Com" TargetMode="External"/><Relationship Id="rId2438" Type="http://schemas.openxmlformats.org/officeDocument/2006/relationships/hyperlink" Target="https://drive.google.com/file/d/1gd4UhGR0DTY6WrsChyh64KU7-Juk-Y_t/view?usp=drivesdk" TargetMode="External"/><Relationship Id="rId1108" Type="http://schemas.openxmlformats.org/officeDocument/2006/relationships/hyperlink" Target="https://drive.google.com/file/d/10vxKjRtqsjfxK4pEGyCakcwGHxN01bV_/view?usp=drivesdk" TargetMode="External"/><Relationship Id="rId2439" Type="http://schemas.openxmlformats.org/officeDocument/2006/relationships/hyperlink" Target="https://drive.google.com/file/d/1jKgYv9nGepfSdXDnfWlH6nmb2lKSY9BD/view?usp=drivesdk" TargetMode="External"/><Relationship Id="rId1109" Type="http://schemas.openxmlformats.org/officeDocument/2006/relationships/hyperlink" Target="https://drive.google.com/file/d/1r2iU2pNLDB0INxdqWC74CWVk-HYRFLRp/view?usp=drivesdk" TargetMode="External"/><Relationship Id="rId519" Type="http://schemas.openxmlformats.org/officeDocument/2006/relationships/hyperlink" Target="https://drive.google.com/file/d/1gCfYQFQ3EABp0KjAm6W9QlW9df33XU6l/view?usp=drivesdk" TargetMode="External"/><Relationship Id="rId514" Type="http://schemas.openxmlformats.org/officeDocument/2006/relationships/hyperlink" Target="https://drive.google.com/file/d/1sHqFvdndzcoRhgahBI3D291YD3WxzbeW/view?usp=drivesdk" TargetMode="External"/><Relationship Id="rId513" Type="http://schemas.openxmlformats.org/officeDocument/2006/relationships/hyperlink" Target="https://drive.google.com/file/d/1zBJ85tgrRp6AFqEj5OYQDo-6AkXoYgua/view?usp=drivesdk" TargetMode="External"/><Relationship Id="rId512" Type="http://schemas.openxmlformats.org/officeDocument/2006/relationships/hyperlink" Target="https://drive.google.com/file/d/1Smq07XFLMHqTSmdNwcFE6K9quw6R7fCV/view?usp=drivesdk" TargetMode="External"/><Relationship Id="rId511" Type="http://schemas.openxmlformats.org/officeDocument/2006/relationships/hyperlink" Target="https://drive.google.com/file/d/1t2utuZPzIeCep7Z_vV06F3k2TeawzIOm/view?usp=drivesdk" TargetMode="External"/><Relationship Id="rId518" Type="http://schemas.openxmlformats.org/officeDocument/2006/relationships/hyperlink" Target="https://drive.google.com/file/d/1GyJ1fWKhAKgE--KLp0WYT1C7w8mnOOJP/view?usp=drivesdk" TargetMode="External"/><Relationship Id="rId517" Type="http://schemas.openxmlformats.org/officeDocument/2006/relationships/hyperlink" Target="https://drive.google.com/file/d/1gss19cyYbZY78gd0CxQjdKYAUEVcwhXL/view?usp=drivesdk" TargetMode="External"/><Relationship Id="rId516" Type="http://schemas.openxmlformats.org/officeDocument/2006/relationships/hyperlink" Target="https://drive.google.com/file/d/1vqdstU6-jX_hYa56FL5be-v2LuQIhtcb/view?usp=drivesdk" TargetMode="External"/><Relationship Id="rId515" Type="http://schemas.openxmlformats.org/officeDocument/2006/relationships/hyperlink" Target="https://drive.google.com/file/d/1uzJ6PfW0ly0vT5zU4GiZmWajBDOMNcKY/view?usp=drivesdk" TargetMode="External"/><Relationship Id="rId510" Type="http://schemas.openxmlformats.org/officeDocument/2006/relationships/hyperlink" Target="https://drive.google.com/file/d/10joNNWDN--zEEUioZClbM04kZE5_mgxL/view?usp=drivesdk" TargetMode="External"/><Relationship Id="rId2430" Type="http://schemas.openxmlformats.org/officeDocument/2006/relationships/hyperlink" Target="https://drive.google.com/file/d/154poXiPoyjKWfq9tKHQMbSzaYYvOcvy3/view?usp=drivesdk" TargetMode="External"/><Relationship Id="rId1100" Type="http://schemas.openxmlformats.org/officeDocument/2006/relationships/hyperlink" Target="https://drive.google.com/file/d/12AEVwkm-Doj2CC1Ds_Mtrb98Z2RgCRem/view?usp=drivesdk" TargetMode="External"/><Relationship Id="rId2431" Type="http://schemas.openxmlformats.org/officeDocument/2006/relationships/hyperlink" Target="https://drive.google.com/file/d/1QTmQb-hU-hIyfW5Tc83zichqqSz2LwG9/view?usp=drivesdk" TargetMode="External"/><Relationship Id="rId1101" Type="http://schemas.openxmlformats.org/officeDocument/2006/relationships/hyperlink" Target="https://drive.google.com/file/d/1V-SPoFok2UbjflJkzoUnkDKdpFFsSG0Q/view?usp=drivesdk" TargetMode="External"/><Relationship Id="rId2432" Type="http://schemas.openxmlformats.org/officeDocument/2006/relationships/hyperlink" Target="https://drive.google.com/file/d/12nkXKo0JOJAiKCHly8IWH7A-dCpN1fFs/view?usp=drivesdk" TargetMode="External"/><Relationship Id="rId1102" Type="http://schemas.openxmlformats.org/officeDocument/2006/relationships/hyperlink" Target="https://drive.google.com/file/d/1D-X1zaw2c-HDMvDyvvYJ-_4_R0prdIPE/view?usp=drivesdk" TargetMode="External"/><Relationship Id="rId2433" Type="http://schemas.openxmlformats.org/officeDocument/2006/relationships/hyperlink" Target="https://drive.google.com/file/d/1bz7QScbCt91crJS1J-eLAmHxtodhxLQC/view?usp=drivesdk" TargetMode="External"/><Relationship Id="rId2401" Type="http://schemas.openxmlformats.org/officeDocument/2006/relationships/hyperlink" Target="https://drive.google.com/file/d/1wBTUqwOwbcnOH-AHzAHW7Wb-OoSxbnVX/view?usp=drivesdk" TargetMode="External"/><Relationship Id="rId2402" Type="http://schemas.openxmlformats.org/officeDocument/2006/relationships/hyperlink" Target="https://drive.google.com/file/d/1z6D-WxbaTEBJ29I46WtQ5TMrsvHOo4yJ/view?usp=drivesdk" TargetMode="External"/><Relationship Id="rId2403" Type="http://schemas.openxmlformats.org/officeDocument/2006/relationships/hyperlink" Target="http://b.sc/B.Com" TargetMode="External"/><Relationship Id="rId2404" Type="http://schemas.openxmlformats.org/officeDocument/2006/relationships/hyperlink" Target="https://drive.google.com/file/d/1kaIfi7RFeJi7p7VeKqYbT2RVpbRHmggz/view?usp=drivesdk" TargetMode="External"/><Relationship Id="rId2405" Type="http://schemas.openxmlformats.org/officeDocument/2006/relationships/hyperlink" Target="https://drive.google.com/file/d/1L1H3-mQyKa5-6Q0cS6enl5cb7iErxxte/view?usp=drivesdk" TargetMode="External"/><Relationship Id="rId2406" Type="http://schemas.openxmlformats.org/officeDocument/2006/relationships/hyperlink" Target="https://drive.google.com/file/d/1BQTWSUgfL9pJy9t05qP7es-3CRzkpdXZ/view?usp=drivesdk" TargetMode="External"/><Relationship Id="rId2407" Type="http://schemas.openxmlformats.org/officeDocument/2006/relationships/hyperlink" Target="https://drive.google.com/file/d/1UjlalwBy0HESOaf9ZgE7Rq_WP__m4CCR/view?usp=drivesdk" TargetMode="External"/><Relationship Id="rId2408" Type="http://schemas.openxmlformats.org/officeDocument/2006/relationships/hyperlink" Target="https://drive.google.com/file/d/1AzLPoWs54y5naGGydhQSRrwKe5AOmrs1/view?usp=drivesdk" TargetMode="External"/><Relationship Id="rId2409" Type="http://schemas.openxmlformats.org/officeDocument/2006/relationships/hyperlink" Target="https://drive.google.com/file/d/1OR8Mlny_LUfYyL_Bsu-W9KA-ZKunvtzv/view?usp=drivesdk" TargetMode="External"/><Relationship Id="rId2400" Type="http://schemas.openxmlformats.org/officeDocument/2006/relationships/hyperlink" Target="https://drive.google.com/file/d/1NGyZoOsWCBt_xFoxBzjoxAdXTTuE2Foy/view?usp=drivesdk" TargetMode="External"/><Relationship Id="rId590" Type="http://schemas.openxmlformats.org/officeDocument/2006/relationships/hyperlink" Target="https://drive.google.com/file/d/1wMdWNB90VBD_dcjKgOgK2W6ImVNLRZ_Q/view?usp=drivesdk" TargetMode="External"/><Relationship Id="rId589" Type="http://schemas.openxmlformats.org/officeDocument/2006/relationships/hyperlink" Target="https://drive.google.com/file/d/1ZNoo7zw9M3oGkqCZFlZ_Txwf_fZuoxpP/view?usp=drivesdk" TargetMode="External"/><Relationship Id="rId588" Type="http://schemas.openxmlformats.org/officeDocument/2006/relationships/hyperlink" Target="https://drive.google.com/file/d/1xZaiyIT2nsI5dzT9sSd3HhBIdmvsRX3j/view?usp=drivesdk" TargetMode="External"/><Relationship Id="rId1170" Type="http://schemas.openxmlformats.org/officeDocument/2006/relationships/hyperlink" Target="https://drive.google.com/file/d/1KhW5Dgu9tjWHkXE-jOdrpg_YhOtisZoT/view?usp=drivesdk" TargetMode="External"/><Relationship Id="rId1171" Type="http://schemas.openxmlformats.org/officeDocument/2006/relationships/hyperlink" Target="https://drive.google.com/file/d/1N6GZ38WOoyRnvtVJm9hQBmYZ--AntH6C/view?usp=drivesdk" TargetMode="External"/><Relationship Id="rId583" Type="http://schemas.openxmlformats.org/officeDocument/2006/relationships/hyperlink" Target="https://drive.google.com/file/d/1NiotFbClGHmbXgS0guuIlSfYTVBqMmvW/view?usp=drivesdk" TargetMode="External"/><Relationship Id="rId1172" Type="http://schemas.openxmlformats.org/officeDocument/2006/relationships/hyperlink" Target="https://drive.google.com/file/d/1cA3LeVbEmg0fwz0HAlnDz4Zoml-7ziVW/view?usp=drivesdk" TargetMode="External"/><Relationship Id="rId582" Type="http://schemas.openxmlformats.org/officeDocument/2006/relationships/hyperlink" Target="https://drive.google.com/file/d/1nT8TJ_RoLQjiVbJl4Rb3HuDWCXWWEBjX/view?usp=drivesdk" TargetMode="External"/><Relationship Id="rId1173" Type="http://schemas.openxmlformats.org/officeDocument/2006/relationships/hyperlink" Target="https://drive.google.com/file/d/1qqx400HbBOGPp6554NR1M4A-le9nrwdx/view?usp=drivesdk" TargetMode="External"/><Relationship Id="rId581" Type="http://schemas.openxmlformats.org/officeDocument/2006/relationships/hyperlink" Target="https://drive.google.com/file/d/1UB0a-RQKtefO59whWJe5C3q8UjioL61k/view?usp=drivesdk" TargetMode="External"/><Relationship Id="rId1174" Type="http://schemas.openxmlformats.org/officeDocument/2006/relationships/hyperlink" Target="https://drive.google.com/file/d/1yFG-sjWbkh_6QXMIBcuZXRm_cVmFBxZO/view?usp=drivesdk" TargetMode="External"/><Relationship Id="rId580" Type="http://schemas.openxmlformats.org/officeDocument/2006/relationships/hyperlink" Target="https://drive.google.com/file/d/19-3Y9inU71c69-xgqjNFRmVVm0yc6EvU/view?usp=drivesdk" TargetMode="External"/><Relationship Id="rId1175" Type="http://schemas.openxmlformats.org/officeDocument/2006/relationships/hyperlink" Target="https://drive.google.com/file/d/1Ai9lDWEs-HR2ru59Ia4IZZHm6KoaHeqX/view?usp=drivesdk" TargetMode="External"/><Relationship Id="rId587" Type="http://schemas.openxmlformats.org/officeDocument/2006/relationships/hyperlink" Target="https://drive.google.com/file/d/1vUi8tG9D56vQD4-ZE8WuDJN0aXUbb31n/view?usp=drivesdk" TargetMode="External"/><Relationship Id="rId1176" Type="http://schemas.openxmlformats.org/officeDocument/2006/relationships/hyperlink" Target="https://drive.google.com/file/d/1kqbhbIZ5TZD5AEtiNUUEetAhkWNpkRFp/view?usp=drivesdk" TargetMode="External"/><Relationship Id="rId586" Type="http://schemas.openxmlformats.org/officeDocument/2006/relationships/hyperlink" Target="http://b.sc/B.Com" TargetMode="External"/><Relationship Id="rId1177" Type="http://schemas.openxmlformats.org/officeDocument/2006/relationships/hyperlink" Target="https://drive.google.com/file/d/1aKF4IV0d93Fl_7u6liFr-KcIKm2TOUqC/view?usp=drivesdk" TargetMode="External"/><Relationship Id="rId585" Type="http://schemas.openxmlformats.org/officeDocument/2006/relationships/hyperlink" Target="https://drive.google.com/file/d/1Vt5iL418EIkUnlcEmRe69-FUdLIpgR84/view?usp=drivesdk" TargetMode="External"/><Relationship Id="rId1178" Type="http://schemas.openxmlformats.org/officeDocument/2006/relationships/hyperlink" Target="https://drive.google.com/file/d/1keuMHwHI3hMogrPGN88DzNZiePKoXrNI/view?usp=drivesdk" TargetMode="External"/><Relationship Id="rId584" Type="http://schemas.openxmlformats.org/officeDocument/2006/relationships/hyperlink" Target="https://drive.google.com/file/d/15TGcZh_z5mHuSTmS402ib1yj-0uoa_XZ/view?usp=drivesdk" TargetMode="External"/><Relationship Id="rId1179" Type="http://schemas.openxmlformats.org/officeDocument/2006/relationships/hyperlink" Target="https://drive.google.com/file/d/156E1CrkNxEAv11vOAt3S829VxyJI3Jfv/view?usp=drivesdk" TargetMode="External"/><Relationship Id="rId1169" Type="http://schemas.openxmlformats.org/officeDocument/2006/relationships/hyperlink" Target="https://drive.google.com/file/d/1DQ6gfwShqJTetsbvBB4AbTKllF6OLkNM/view?usp=drivesdk" TargetMode="External"/><Relationship Id="rId579" Type="http://schemas.openxmlformats.org/officeDocument/2006/relationships/hyperlink" Target="https://drive.google.com/file/d/1w1Fba1Tg_cpYFMix3nak1VUFK42nS-AF/view?usp=drivesdk" TargetMode="External"/><Relationship Id="rId578" Type="http://schemas.openxmlformats.org/officeDocument/2006/relationships/hyperlink" Target="https://drive.google.com/file/d/183HIze7Gp1kjmPMcbnB4zZOwxY3EnN4R/view?usp=drivesdk" TargetMode="External"/><Relationship Id="rId577" Type="http://schemas.openxmlformats.org/officeDocument/2006/relationships/hyperlink" Target="https://drive.google.com/file/d/1kHFl4-TgJTa62as1INERrLVEcFTWhZD9/view?usp=drivesdk" TargetMode="External"/><Relationship Id="rId2490" Type="http://schemas.openxmlformats.org/officeDocument/2006/relationships/hyperlink" Target="https://drive.google.com/file/d/15mZOa7y6WiTqu0b35LZAy9zgmGRsOT1S/view?usp=drivesdk" TargetMode="External"/><Relationship Id="rId1160" Type="http://schemas.openxmlformats.org/officeDocument/2006/relationships/hyperlink" Target="https://drive.google.com/file/d/1RveacVabv5iXSZXLLo6cBWStHYT4I5Uq/view?usp=drivesdk" TargetMode="External"/><Relationship Id="rId2491" Type="http://schemas.openxmlformats.org/officeDocument/2006/relationships/hyperlink" Target="https://drive.google.com/file/d/1zon_YcbD2vj5Rb2TN4F1ut5JizAnDVxO/view?usp=drivesdk" TargetMode="External"/><Relationship Id="rId572" Type="http://schemas.openxmlformats.org/officeDocument/2006/relationships/hyperlink" Target="https://drive.google.com/file/d/1w7HnD-PggAUuqBHEWh1XZyexblz-bkRu/view?usp=drivesdk" TargetMode="External"/><Relationship Id="rId1161" Type="http://schemas.openxmlformats.org/officeDocument/2006/relationships/hyperlink" Target="https://drive.google.com/file/d/1FjA9pvF5LnqlLzjaCQXf47CMFjcY0OZL/view?usp=drivesdk" TargetMode="External"/><Relationship Id="rId2492" Type="http://schemas.openxmlformats.org/officeDocument/2006/relationships/hyperlink" Target="https://drive.google.com/file/d/1qDroFHqxxJu1aqkkIo9_nSeC47B0_ySB/view?usp=drivesdk" TargetMode="External"/><Relationship Id="rId571" Type="http://schemas.openxmlformats.org/officeDocument/2006/relationships/hyperlink" Target="https://drive.google.com/file/d/1qWsXuloh6gjVlWmBRpnbIuokY9wf-WG0/view?usp=drivesdk" TargetMode="External"/><Relationship Id="rId1162" Type="http://schemas.openxmlformats.org/officeDocument/2006/relationships/hyperlink" Target="https://drive.google.com/file/d/1sJE3IxK3zdijTRdavw7gUtEn_VQrNKzd/view?usp=drivesdk" TargetMode="External"/><Relationship Id="rId2493" Type="http://schemas.openxmlformats.org/officeDocument/2006/relationships/hyperlink" Target="https://drive.google.com/file/d/1jlRTiiNywqwOW4Ts2awkrGwNCkTv1XBI/view?usp=drivesdk" TargetMode="External"/><Relationship Id="rId570" Type="http://schemas.openxmlformats.org/officeDocument/2006/relationships/hyperlink" Target="https://drive.google.com/file/d/1HKFsgJChp4pdISMIY83YEWdsc6kClGJw/view?usp=drivesdk" TargetMode="External"/><Relationship Id="rId1163" Type="http://schemas.openxmlformats.org/officeDocument/2006/relationships/hyperlink" Target="https://drive.google.com/file/d/1wmhg1nicRHoaoGnwzHFqLqX8bxvHm-Pb/view?usp=drivesdk" TargetMode="External"/><Relationship Id="rId2494" Type="http://schemas.openxmlformats.org/officeDocument/2006/relationships/hyperlink" Target="https://drive.google.com/file/d/10yYfWgN1j0Hjm1cc5w5k40l_LvcvPp33/view?usp=drivesdk" TargetMode="External"/><Relationship Id="rId1164" Type="http://schemas.openxmlformats.org/officeDocument/2006/relationships/hyperlink" Target="https://drive.google.com/file/d/1ZgTLA8FsPzSPOn28pagQ6sZ0aADZA9y2/view?usp=drivesdk" TargetMode="External"/><Relationship Id="rId2495" Type="http://schemas.openxmlformats.org/officeDocument/2006/relationships/hyperlink" Target="https://drive.google.com/file/d/1O6cvn3JWN_O3zfvRd28QycfQ7UhTeNqy/view?usp=drivesdk" TargetMode="External"/><Relationship Id="rId576" Type="http://schemas.openxmlformats.org/officeDocument/2006/relationships/hyperlink" Target="https://drive.google.com/file/d/1ks5rpaHRNLA3r5niGrjOb3-r4K1tZJUU/view?usp=drivesdk" TargetMode="External"/><Relationship Id="rId1165" Type="http://schemas.openxmlformats.org/officeDocument/2006/relationships/hyperlink" Target="https://drive.google.com/file/d/1HDjv7WVd1ZCsAjyciBZs6AXqXuiB0iWa/view?usp=drivesdk" TargetMode="External"/><Relationship Id="rId2496" Type="http://schemas.openxmlformats.org/officeDocument/2006/relationships/hyperlink" Target="https://drive.google.com/file/d/1F2_cM6rJ6H3CBgqVaSTwpzOe-ADC3W04/view?usp=drivesdk" TargetMode="External"/><Relationship Id="rId575" Type="http://schemas.openxmlformats.org/officeDocument/2006/relationships/hyperlink" Target="http://m.sc/M.Com" TargetMode="External"/><Relationship Id="rId1166" Type="http://schemas.openxmlformats.org/officeDocument/2006/relationships/hyperlink" Target="https://drive.google.com/file/d/13OYbT9-dlHc273JnC37qJdMLnCR7Ymlj/view?usp=drivesdk" TargetMode="External"/><Relationship Id="rId2497" Type="http://schemas.openxmlformats.org/officeDocument/2006/relationships/hyperlink" Target="https://drive.google.com/file/d/1yhR0jCP7doXCckS9GnMhbkbrnb-ZqHui/view?usp=drivesdk" TargetMode="External"/><Relationship Id="rId574" Type="http://schemas.openxmlformats.org/officeDocument/2006/relationships/hyperlink" Target="https://drive.google.com/file/d/10GnkaSLb_H22TFjzC_0TDYuiWfTmNIv2/view?usp=drivesdk" TargetMode="External"/><Relationship Id="rId1167" Type="http://schemas.openxmlformats.org/officeDocument/2006/relationships/hyperlink" Target="https://drive.google.com/file/d/1dnm2hwzuTN4tFd8X-3ZjSG7QWaAy5Fzn/view?usp=drivesdk" TargetMode="External"/><Relationship Id="rId2498" Type="http://schemas.openxmlformats.org/officeDocument/2006/relationships/hyperlink" Target="https://drive.google.com/file/d/1Tnvh5Q07IQHxQCCCVGWDCmsZA0knssAp/view?usp=drivesdk" TargetMode="External"/><Relationship Id="rId573" Type="http://schemas.openxmlformats.org/officeDocument/2006/relationships/hyperlink" Target="https://drive.google.com/file/d/1m9ys8Vztq0fHqinQnj2DyKEncE8c9Pw3/view?usp=drivesdk" TargetMode="External"/><Relationship Id="rId1168" Type="http://schemas.openxmlformats.org/officeDocument/2006/relationships/hyperlink" Target="https://drive.google.com/file/d/1kAII4NgHjeg9IYPTPz8Z3vCoKkTpFQ6U/view?usp=drivesdk" TargetMode="External"/><Relationship Id="rId2499" Type="http://schemas.openxmlformats.org/officeDocument/2006/relationships/hyperlink" Target="https://drive.google.com/file/d/1NldESGzAG8hqow8kEhfN_s7w_qol9_6I/view?usp=drivesdk" TargetMode="External"/><Relationship Id="rId1190" Type="http://schemas.openxmlformats.org/officeDocument/2006/relationships/hyperlink" Target="https://drive.google.com/file/d/1fkqKmGYQerwnxM3HW1fwri0pvCrBjIp7/view?usp=drivesdk" TargetMode="External"/><Relationship Id="rId1191" Type="http://schemas.openxmlformats.org/officeDocument/2006/relationships/hyperlink" Target="http://b.sc/B.Com" TargetMode="External"/><Relationship Id="rId1192" Type="http://schemas.openxmlformats.org/officeDocument/2006/relationships/hyperlink" Target="https://drive.google.com/file/d/1mnptLUiXalaw9ZmxdcPmgCKbIitur-fJ/view?usp=drivesdk" TargetMode="External"/><Relationship Id="rId1193" Type="http://schemas.openxmlformats.org/officeDocument/2006/relationships/hyperlink" Target="https://drive.google.com/file/d/16bR1kAOy1qN3VtVOyMSIAStt48U_aLvM/view?usp=drivesdk" TargetMode="External"/><Relationship Id="rId1194" Type="http://schemas.openxmlformats.org/officeDocument/2006/relationships/hyperlink" Target="https://drive.google.com/file/d/1R8xS5DYoBXpGXOErb95XglpjgOT3C0b8/view?usp=drivesdk" TargetMode="External"/><Relationship Id="rId1195" Type="http://schemas.openxmlformats.org/officeDocument/2006/relationships/hyperlink" Target="https://drive.google.com/file/d/16OLc_3NSULo5v1oCLouyQpLerS5HNB7y/view?usp=drivesdk" TargetMode="External"/><Relationship Id="rId1196" Type="http://schemas.openxmlformats.org/officeDocument/2006/relationships/hyperlink" Target="https://drive.google.com/file/d/1T91giX8sBNYUDTqfCjUa1dsN9f6YAvS7/view?usp=drivesdk" TargetMode="External"/><Relationship Id="rId1197" Type="http://schemas.openxmlformats.org/officeDocument/2006/relationships/hyperlink" Target="https://drive.google.com/file/d/1CHmgKmFu23bdaxsa_UDYisNTMH_1fXxl/view?usp=drivesdk" TargetMode="External"/><Relationship Id="rId1198" Type="http://schemas.openxmlformats.org/officeDocument/2006/relationships/hyperlink" Target="https://drive.google.com/file/d/1-rYEXWXymr0Ws5U0p_YtQnKahuAd1rng/view?usp=drivesdk" TargetMode="External"/><Relationship Id="rId1199" Type="http://schemas.openxmlformats.org/officeDocument/2006/relationships/hyperlink" Target="https://drive.google.com/file/d/1rnt-zTYBzdWL-KA5GMK3FMCHvnBY7Mjn/view?usp=drivesdk" TargetMode="External"/><Relationship Id="rId599" Type="http://schemas.openxmlformats.org/officeDocument/2006/relationships/hyperlink" Target="https://drive.google.com/file/d/1IL28rqijh6vYSIXu0uHAkazcoWCcMYNf/view?usp=drivesdk" TargetMode="External"/><Relationship Id="rId1180" Type="http://schemas.openxmlformats.org/officeDocument/2006/relationships/hyperlink" Target="https://drive.google.com/file/d/1aNW-3lEw0_320x0vVdrOJ5vZ78KhxAjX/view?usp=drivesdk" TargetMode="External"/><Relationship Id="rId1181" Type="http://schemas.openxmlformats.org/officeDocument/2006/relationships/hyperlink" Target="https://drive.google.com/file/d/1b3UHeaC9T8FRcj-1bImLkuIoiyBPuR7S/view?usp=drivesdk" TargetMode="External"/><Relationship Id="rId1182" Type="http://schemas.openxmlformats.org/officeDocument/2006/relationships/hyperlink" Target="https://drive.google.com/file/d/1K6Zx8a7zpOBwTXsTU0YYUGcQ_IpAvV8x/view?usp=drivesdk" TargetMode="External"/><Relationship Id="rId594" Type="http://schemas.openxmlformats.org/officeDocument/2006/relationships/hyperlink" Target="https://drive.google.com/file/d/1PMPij2YxaeqDlSycu7r3aMNLdozWTsX6/view?usp=drivesdk" TargetMode="External"/><Relationship Id="rId1183" Type="http://schemas.openxmlformats.org/officeDocument/2006/relationships/hyperlink" Target="https://drive.google.com/file/d/1Hk2prQsiL2P0uNLG77YueYXy7weciRFM/view?usp=drivesdk" TargetMode="External"/><Relationship Id="rId593" Type="http://schemas.openxmlformats.org/officeDocument/2006/relationships/hyperlink" Target="https://drive.google.com/file/d/1U9d8WRsJHBjZ8-eflgq69vqvVideJYcR/view?usp=drivesdk" TargetMode="External"/><Relationship Id="rId1184" Type="http://schemas.openxmlformats.org/officeDocument/2006/relationships/hyperlink" Target="https://drive.google.com/file/d/1h87_A2eGr5kMp_6kP92QKQCijN6Y15Y0/view?usp=drivesdk" TargetMode="External"/><Relationship Id="rId592" Type="http://schemas.openxmlformats.org/officeDocument/2006/relationships/hyperlink" Target="http://b.sc/B.Com" TargetMode="External"/><Relationship Id="rId1185" Type="http://schemas.openxmlformats.org/officeDocument/2006/relationships/hyperlink" Target="https://drive.google.com/file/d/1Qaah8C170S9SNpFeJt9zOIw1NuuZFlyy/view?usp=drivesdk" TargetMode="External"/><Relationship Id="rId591" Type="http://schemas.openxmlformats.org/officeDocument/2006/relationships/hyperlink" Target="https://drive.google.com/file/d/1mrn8a8roxPysX2ibtYz18J0_KVS-S8St/view?usp=drivesdk" TargetMode="External"/><Relationship Id="rId1186" Type="http://schemas.openxmlformats.org/officeDocument/2006/relationships/hyperlink" Target="https://drive.google.com/file/d/1UABjywxOiWdHrg1bK7ySu41hw6RhBvuk/view?usp=drivesdk" TargetMode="External"/><Relationship Id="rId598" Type="http://schemas.openxmlformats.org/officeDocument/2006/relationships/hyperlink" Target="https://drive.google.com/file/d/1GfbtupGIJ13cL5WKjyELiATxxe86Al6d/view?usp=drivesdk" TargetMode="External"/><Relationship Id="rId1187" Type="http://schemas.openxmlformats.org/officeDocument/2006/relationships/hyperlink" Target="https://drive.google.com/file/d/1zmDxz_sMPhQboriWvtIKxYXxm_VgAE2g/view?usp=drivesdk" TargetMode="External"/><Relationship Id="rId597" Type="http://schemas.openxmlformats.org/officeDocument/2006/relationships/hyperlink" Target="https://drive.google.com/file/d/10hoULf_p6ZExr8YZWiqFHF42Erm7m0HB/view?usp=drivesdk" TargetMode="External"/><Relationship Id="rId1188" Type="http://schemas.openxmlformats.org/officeDocument/2006/relationships/hyperlink" Target="https://drive.google.com/file/d/11ofGktpPnE9x6vaLGPTEh5gw3uKbR5zV/view?usp=drivesdk" TargetMode="External"/><Relationship Id="rId596" Type="http://schemas.openxmlformats.org/officeDocument/2006/relationships/hyperlink" Target="https://drive.google.com/file/d/1Ljzd11HkW5bksH4J-YubQlemmyQdZQO4/view?usp=drivesdk" TargetMode="External"/><Relationship Id="rId1189" Type="http://schemas.openxmlformats.org/officeDocument/2006/relationships/hyperlink" Target="https://drive.google.com/file/d/19_QIF16jGZ9926zdddWxA_az5NQsWl3m/view?usp=drivesdk" TargetMode="External"/><Relationship Id="rId595" Type="http://schemas.openxmlformats.org/officeDocument/2006/relationships/hyperlink" Target="https://drive.google.com/file/d/1z-KNUhFYNTjumAPTd1BB8-P2nuXt3xXZ/view?usp=drivesdk" TargetMode="External"/><Relationship Id="rId1136" Type="http://schemas.openxmlformats.org/officeDocument/2006/relationships/hyperlink" Target="https://drive.google.com/file/d/1DlA1KiJIobe-V6ZLCn7wgo_ZqOG_bKjG/view?usp=drivesdk" TargetMode="External"/><Relationship Id="rId2467" Type="http://schemas.openxmlformats.org/officeDocument/2006/relationships/hyperlink" Target="https://drive.google.com/file/d/1JYTgjnhtrHBn9vfnBMwHPcF1hoBzjXlX/view?usp=drivesdk" TargetMode="External"/><Relationship Id="rId1137" Type="http://schemas.openxmlformats.org/officeDocument/2006/relationships/hyperlink" Target="https://drive.google.com/file/d/14dpPAH4cQxO6beSM4uG4Em3VdAAAfs_U/view?usp=drivesdk" TargetMode="External"/><Relationship Id="rId2468" Type="http://schemas.openxmlformats.org/officeDocument/2006/relationships/hyperlink" Target="https://drive.google.com/file/d/1XO9czq_K97dSK3lupPkZPZXAuoWEFL6g/view?usp=drivesdk" TargetMode="External"/><Relationship Id="rId1138" Type="http://schemas.openxmlformats.org/officeDocument/2006/relationships/hyperlink" Target="https://drive.google.com/file/d/11prdFtKZoe8VA1ufif3FcaVNN4tLr6rG/view?usp=drivesdk" TargetMode="External"/><Relationship Id="rId2469" Type="http://schemas.openxmlformats.org/officeDocument/2006/relationships/hyperlink" Target="https://drive.google.com/file/d/1j5THMMhoiv1q1PoxQiLbhhro_Dr_aKP2/view?usp=drivesdk" TargetMode="External"/><Relationship Id="rId1139" Type="http://schemas.openxmlformats.org/officeDocument/2006/relationships/hyperlink" Target="https://drive.google.com/file/d/1dU_KDE0xfrCh4Btvuzf_uNpKViRcwFEo/view?usp=drivesdk" TargetMode="External"/><Relationship Id="rId547" Type="http://schemas.openxmlformats.org/officeDocument/2006/relationships/hyperlink" Target="https://drive.google.com/file/d/1SQyg_BrLDY6e2233bZxiGy6xmQ8af8cQ/view?usp=drivesdk" TargetMode="External"/><Relationship Id="rId546" Type="http://schemas.openxmlformats.org/officeDocument/2006/relationships/hyperlink" Target="https://drive.google.com/file/d/1VdTHHI3sOAu9_SViZL8DORLm2udpG0dA/view?usp=drivesdk" TargetMode="External"/><Relationship Id="rId545" Type="http://schemas.openxmlformats.org/officeDocument/2006/relationships/hyperlink" Target="https://drive.google.com/file/d/1a4bSX7LWgj6RG1mbuQv0ktrfjxTTypyO/view?usp=drivesdk" TargetMode="External"/><Relationship Id="rId544" Type="http://schemas.openxmlformats.org/officeDocument/2006/relationships/hyperlink" Target="https://drive.google.com/file/d/1mgAzZsXVjwvQfTx4pgqIuOgGoUrRx1mX/view?usp=drivesdk" TargetMode="External"/><Relationship Id="rId549" Type="http://schemas.openxmlformats.org/officeDocument/2006/relationships/hyperlink" Target="https://drive.google.com/file/d/1iRMjQgGnVVvWv7umHHkiF00BbFT-adZX/view?usp=drivesdk" TargetMode="External"/><Relationship Id="rId548" Type="http://schemas.openxmlformats.org/officeDocument/2006/relationships/hyperlink" Target="http://b.sc/B.Com" TargetMode="External"/><Relationship Id="rId2460" Type="http://schemas.openxmlformats.org/officeDocument/2006/relationships/hyperlink" Target="https://drive.google.com/file/d/1agu7s7BM77EeH7LOb6dEwiLFZ3JDAyI5/view?usp=drivesdk" TargetMode="External"/><Relationship Id="rId1130" Type="http://schemas.openxmlformats.org/officeDocument/2006/relationships/hyperlink" Target="https://drive.google.com/file/d/1qPysJzOGmOhlvlUuCedgOfJzsH3AdNgb/view?usp=drivesdk" TargetMode="External"/><Relationship Id="rId2461" Type="http://schemas.openxmlformats.org/officeDocument/2006/relationships/hyperlink" Target="https://drive.google.com/file/d/14CKhYl-8kavbh9jZVSxKhN_BtrCqX0OE/view?usp=drivesdk" TargetMode="External"/><Relationship Id="rId1131" Type="http://schemas.openxmlformats.org/officeDocument/2006/relationships/hyperlink" Target="https://drive.google.com/file/d/1LWjCMVInrgHSm7JjXwmlKmBPxPg3U41c/view?usp=drivesdk" TargetMode="External"/><Relationship Id="rId2462" Type="http://schemas.openxmlformats.org/officeDocument/2006/relationships/hyperlink" Target="https://drive.google.com/file/d/1tEQmvDCgcfc6j6_MLMe2nU_2Z5x6y2YE/view?usp=drivesdk" TargetMode="External"/><Relationship Id="rId543" Type="http://schemas.openxmlformats.org/officeDocument/2006/relationships/hyperlink" Target="https://drive.google.com/file/d/1sgifRMffPmFD3wQ11X7DrSpf2rMbWThd/view?usp=drivesdk" TargetMode="External"/><Relationship Id="rId1132" Type="http://schemas.openxmlformats.org/officeDocument/2006/relationships/hyperlink" Target="https://drive.google.com/file/d/1rh5SQhpkgQGmRDT-kOusPz6xnVIk8tDg/view?usp=drivesdk" TargetMode="External"/><Relationship Id="rId2463" Type="http://schemas.openxmlformats.org/officeDocument/2006/relationships/hyperlink" Target="https://drive.google.com/file/d/1VduYksvgK0uPpQwtg09_fS9nWhEZxB-o/view?usp=drivesdk" TargetMode="External"/><Relationship Id="rId542" Type="http://schemas.openxmlformats.org/officeDocument/2006/relationships/hyperlink" Target="https://drive.google.com/file/d/1vZpYHW5qHxC49iNbMe2pG_AI0IHyhv6L/view?usp=drivesdk" TargetMode="External"/><Relationship Id="rId1133" Type="http://schemas.openxmlformats.org/officeDocument/2006/relationships/hyperlink" Target="https://drive.google.com/file/d/1sYOZd4Ilrrjv45R0-_W57GdGjxBKM3ES/view?usp=drivesdk" TargetMode="External"/><Relationship Id="rId2464" Type="http://schemas.openxmlformats.org/officeDocument/2006/relationships/hyperlink" Target="https://drive.google.com/file/d/10u5JT-N6QZyz7qYCVHUd7_FK8Jqx-Xsw/view?usp=drivesdk" TargetMode="External"/><Relationship Id="rId541" Type="http://schemas.openxmlformats.org/officeDocument/2006/relationships/hyperlink" Target="https://drive.google.com/file/d/1GdtfgXnK9Pk0GB5ec_D_8tyR3LrvioB5/view?usp=drivesdk" TargetMode="External"/><Relationship Id="rId1134" Type="http://schemas.openxmlformats.org/officeDocument/2006/relationships/hyperlink" Target="https://drive.google.com/file/d/1lnnmzKvyF0dV9rTQjNdeBK-JF0AaF1xJ/view?usp=drivesdk" TargetMode="External"/><Relationship Id="rId2465" Type="http://schemas.openxmlformats.org/officeDocument/2006/relationships/hyperlink" Target="https://drive.google.com/file/d/1qu8-bAXoi4PFLQpu9sHTmv1lrtQoFchI/view?usp=drivesdk" TargetMode="External"/><Relationship Id="rId540" Type="http://schemas.openxmlformats.org/officeDocument/2006/relationships/hyperlink" Target="https://drive.google.com/file/d/1aYM9TRfzYxp6vFQaWgCmcgD7nBPX0oS7/view?usp=drivesdk" TargetMode="External"/><Relationship Id="rId1135" Type="http://schemas.openxmlformats.org/officeDocument/2006/relationships/hyperlink" Target="https://drive.google.com/file/d/1Su7VyYqtW3E07If18NzCq3FRx7GfImnE/view?usp=drivesdk" TargetMode="External"/><Relationship Id="rId2466" Type="http://schemas.openxmlformats.org/officeDocument/2006/relationships/hyperlink" Target="https://drive.google.com/file/d/1xcT0SyTW3hIdn_9w7C1xTjLpE0eTKUgF/view?usp=drivesdk" TargetMode="External"/><Relationship Id="rId1125" Type="http://schemas.openxmlformats.org/officeDocument/2006/relationships/hyperlink" Target="https://drive.google.com/file/d/1JSOjGsUqjrp21Z7ai6NZCr8WRdvbrjFy/view?usp=drivesdk" TargetMode="External"/><Relationship Id="rId2456" Type="http://schemas.openxmlformats.org/officeDocument/2006/relationships/hyperlink" Target="http://b.sc/B.Com" TargetMode="External"/><Relationship Id="rId1126" Type="http://schemas.openxmlformats.org/officeDocument/2006/relationships/hyperlink" Target="https://drive.google.com/file/d/182Klm-re_a3I8uTD45kpRHjTZOootl_v/view?usp=drivesdk" TargetMode="External"/><Relationship Id="rId2457" Type="http://schemas.openxmlformats.org/officeDocument/2006/relationships/hyperlink" Target="https://drive.google.com/file/d/1GoRvzEYuIJeIPmkFzZpPwWf3qEl4EKvH/view?usp=drivesdk" TargetMode="External"/><Relationship Id="rId1127" Type="http://schemas.openxmlformats.org/officeDocument/2006/relationships/hyperlink" Target="https://drive.google.com/file/d/12Gh_xfbugSFwN5u2G9BiC3RYBVaTuCe9/view?usp=drivesdk" TargetMode="External"/><Relationship Id="rId2458" Type="http://schemas.openxmlformats.org/officeDocument/2006/relationships/hyperlink" Target="https://drive.google.com/file/d/1VSUSY0Dd-VOMAq0a7KCzrC4_73voXbSM/view?usp=drivesdk" TargetMode="External"/><Relationship Id="rId1128" Type="http://schemas.openxmlformats.org/officeDocument/2006/relationships/hyperlink" Target="https://drive.google.com/file/d/1LP_Aj97IiRLdG-mzLMs1HNmFe_-ycRPZ/view?usp=drivesdk" TargetMode="External"/><Relationship Id="rId2459" Type="http://schemas.openxmlformats.org/officeDocument/2006/relationships/hyperlink" Target="https://drive.google.com/file/d/1lrG1PPaRcVAmTUd_3Y2krveacC7M3XqE/view?usp=drivesdk" TargetMode="External"/><Relationship Id="rId1129" Type="http://schemas.openxmlformats.org/officeDocument/2006/relationships/hyperlink" Target="https://drive.google.com/file/d/1C05S_9_CsF_6-n-GputO-1IaFJcLrrc6/view?usp=drivesdk" TargetMode="External"/><Relationship Id="rId536" Type="http://schemas.openxmlformats.org/officeDocument/2006/relationships/hyperlink" Target="https://drive.google.com/file/d/1JoSW3OV8_8UPpLQPvguhdWRUk-qs0S8b/view?usp=drivesdk" TargetMode="External"/><Relationship Id="rId535" Type="http://schemas.openxmlformats.org/officeDocument/2006/relationships/hyperlink" Target="https://drive.google.com/file/d/1LHQ3RpmT3G6n3lBMDZ9bt-yqUWSWIkPx/view?usp=drivesdk" TargetMode="External"/><Relationship Id="rId534" Type="http://schemas.openxmlformats.org/officeDocument/2006/relationships/hyperlink" Target="https://drive.google.com/file/d/1gJSg4RHaRj5DMz8dCtSeARlymI2emGVS/view?usp=drivesdk" TargetMode="External"/><Relationship Id="rId533" Type="http://schemas.openxmlformats.org/officeDocument/2006/relationships/hyperlink" Target="http://b.sc/B.Com" TargetMode="External"/><Relationship Id="rId539" Type="http://schemas.openxmlformats.org/officeDocument/2006/relationships/hyperlink" Target="https://drive.google.com/file/d/1o08yC5RGFREY1BLFbZXHhrp1kF19CXmT/view?usp=drivesdk" TargetMode="External"/><Relationship Id="rId538" Type="http://schemas.openxmlformats.org/officeDocument/2006/relationships/hyperlink" Target="https://drive.google.com/file/d/1IUbFG2f1PtYoIJrnMWSRyMuiZ1Qhp4Ox/view?usp=drivesdk" TargetMode="External"/><Relationship Id="rId537" Type="http://schemas.openxmlformats.org/officeDocument/2006/relationships/hyperlink" Target="https://drive.google.com/file/d/1ZLJw3U31LsErM-vUEaZAqRAC4rt7wB0b/view?usp=drivesdk" TargetMode="External"/><Relationship Id="rId2450" Type="http://schemas.openxmlformats.org/officeDocument/2006/relationships/hyperlink" Target="https://drive.google.com/file/d/1rZQyzCLT81hAWkCG9QT5i58UkXvR8Wld/view?usp=drivesdk" TargetMode="External"/><Relationship Id="rId1120" Type="http://schemas.openxmlformats.org/officeDocument/2006/relationships/hyperlink" Target="https://drive.google.com/file/d/1vc-uCYaVtLipo1JXiy-tBccSTrNAUs53/view?usp=drivesdk" TargetMode="External"/><Relationship Id="rId2451" Type="http://schemas.openxmlformats.org/officeDocument/2006/relationships/hyperlink" Target="https://drive.google.com/file/d/1ne_bCvqjK-6OKOFRbDWaGVj5nngdn7-F/view?usp=drivesdk" TargetMode="External"/><Relationship Id="rId532" Type="http://schemas.openxmlformats.org/officeDocument/2006/relationships/hyperlink" Target="https://drive.google.com/file/d/1LPawPXntT8zIWdZWdAhblJNy39r-nuKe/view?usp=drivesdk" TargetMode="External"/><Relationship Id="rId1121" Type="http://schemas.openxmlformats.org/officeDocument/2006/relationships/hyperlink" Target="https://drive.google.com/file/d/1LG5OuoagT0CJTqkgqKtuFZRLQ0uHlPxi/view?usp=drivesdk" TargetMode="External"/><Relationship Id="rId2452" Type="http://schemas.openxmlformats.org/officeDocument/2006/relationships/hyperlink" Target="https://drive.google.com/file/d/1ceRkc1SDjS45a4ZFz_FOirc1jensVdf4/view?usp=drivesdk" TargetMode="External"/><Relationship Id="rId531" Type="http://schemas.openxmlformats.org/officeDocument/2006/relationships/hyperlink" Target="https://drive.google.com/file/d/1N6VqSqxbr1dGMAGKg15OcbYiQjyv2FB4/view?usp=drivesdk" TargetMode="External"/><Relationship Id="rId1122" Type="http://schemas.openxmlformats.org/officeDocument/2006/relationships/hyperlink" Target="https://drive.google.com/file/d/1705OA3n7xM1F83V9TkDf945RYpmHAzgu/view?usp=drivesdk" TargetMode="External"/><Relationship Id="rId2453" Type="http://schemas.openxmlformats.org/officeDocument/2006/relationships/hyperlink" Target="https://drive.google.com/file/d/16yx5reQKuEXnH1Ev5Snj27omb92CZMhl/view?usp=drivesdk" TargetMode="External"/><Relationship Id="rId530" Type="http://schemas.openxmlformats.org/officeDocument/2006/relationships/hyperlink" Target="https://drive.google.com/file/d/1wIum15Y5xjL8R3CjvA0S0uz-g3NEwz-3/view?usp=drivesdk" TargetMode="External"/><Relationship Id="rId1123" Type="http://schemas.openxmlformats.org/officeDocument/2006/relationships/hyperlink" Target="https://drive.google.com/file/d/176EYX9qqlsKN5EcR8BRD3AXpvNk2gczP/view?usp=drivesdk" TargetMode="External"/><Relationship Id="rId2454" Type="http://schemas.openxmlformats.org/officeDocument/2006/relationships/hyperlink" Target="https://drive.google.com/file/d/1RxqoBumC2mnhpFn2DBBM7sGwk8zY0yy8/view?usp=drivesdk" TargetMode="External"/><Relationship Id="rId1124" Type="http://schemas.openxmlformats.org/officeDocument/2006/relationships/hyperlink" Target="https://drive.google.com/file/d/1d8LtudH6O8pVD6O1lDCZVfCESRCNEOLp/view?usp=drivesdk" TargetMode="External"/><Relationship Id="rId2455" Type="http://schemas.openxmlformats.org/officeDocument/2006/relationships/hyperlink" Target="https://drive.google.com/file/d/1XkTSza2gWjrMSriJyWN6XlN9vPQtWSv4/view?usp=drivesdk" TargetMode="External"/><Relationship Id="rId1158" Type="http://schemas.openxmlformats.org/officeDocument/2006/relationships/hyperlink" Target="https://drive.google.com/file/d/1CHm29qgihwF5bist3X3g-L4N0CN4DjEN/view?usp=drivesdk" TargetMode="External"/><Relationship Id="rId2489" Type="http://schemas.openxmlformats.org/officeDocument/2006/relationships/hyperlink" Target="https://drive.google.com/file/d/1MQclG_iiWOlD4iFD9leAqpxCMPgMncG5/view?usp=drivesdk" TargetMode="External"/><Relationship Id="rId1159" Type="http://schemas.openxmlformats.org/officeDocument/2006/relationships/hyperlink" Target="https://drive.google.com/file/d/1LnKBrNFiK6O8Fc_J5KeJdTM3Gb1homya/view?usp=drivesdk" TargetMode="External"/><Relationship Id="rId569" Type="http://schemas.openxmlformats.org/officeDocument/2006/relationships/hyperlink" Target="https://drive.google.com/file/d/1PK1a_ad2uXUbik2X8iRf2mwz5byM2-4t/view?usp=drivesdk" TargetMode="External"/><Relationship Id="rId568" Type="http://schemas.openxmlformats.org/officeDocument/2006/relationships/hyperlink" Target="https://drive.google.com/file/d/15FW7m5ARH8V8XQEd0jU1zith3c9t5jlI/view?usp=drivesdk" TargetMode="External"/><Relationship Id="rId567" Type="http://schemas.openxmlformats.org/officeDocument/2006/relationships/hyperlink" Target="https://drive.google.com/file/d/1ViBVgS3bERtHP_VPlL7sNKJA1iOJUvOT/view?usp=drivesdk" TargetMode="External"/><Relationship Id="rId566" Type="http://schemas.openxmlformats.org/officeDocument/2006/relationships/hyperlink" Target="https://drive.google.com/file/d/1Lzcf4Zwlqd-x0hiiUmHxE9VpF7CHoITQ/view?usp=drivesdk" TargetMode="External"/><Relationship Id="rId2480" Type="http://schemas.openxmlformats.org/officeDocument/2006/relationships/hyperlink" Target="https://drive.google.com/file/d/1J5iGAILEObhCz7fOkx1w-TkLRAKs9fGi/view?usp=drivesdk" TargetMode="External"/><Relationship Id="rId561" Type="http://schemas.openxmlformats.org/officeDocument/2006/relationships/hyperlink" Target="https://drive.google.com/file/d/1MzjLpKi0HKJzayXpIDqMDfZOyXuDRGQP/view?usp=drivesdk" TargetMode="External"/><Relationship Id="rId1150" Type="http://schemas.openxmlformats.org/officeDocument/2006/relationships/hyperlink" Target="https://drive.google.com/file/d/10r54ftBwxjWLDG4-2j8ib6CtNbllWmOO/view?usp=drivesdk" TargetMode="External"/><Relationship Id="rId2481" Type="http://schemas.openxmlformats.org/officeDocument/2006/relationships/hyperlink" Target="https://drive.google.com/file/d/18Rc0IoWYDaVyqrEWRCyF3pnukrXyfUhR/view?usp=drivesdk" TargetMode="External"/><Relationship Id="rId560" Type="http://schemas.openxmlformats.org/officeDocument/2006/relationships/hyperlink" Target="https://drive.google.com/file/d/1EOxyYQpLsO2ZNTgoi5o9lv0i_UqOsX1o/view?usp=drivesdk" TargetMode="External"/><Relationship Id="rId1151" Type="http://schemas.openxmlformats.org/officeDocument/2006/relationships/hyperlink" Target="https://drive.google.com/file/d/1Va-i_2-WWvw5u-9iKN2iMji8hwfeSDNX/view?usp=drivesdk" TargetMode="External"/><Relationship Id="rId2482" Type="http://schemas.openxmlformats.org/officeDocument/2006/relationships/hyperlink" Target="https://drive.google.com/file/d/1KvNIGmIhJrxdF_k5R83Bx3I2EE1Ax7Qp/view?usp=drivesdk" TargetMode="External"/><Relationship Id="rId1152" Type="http://schemas.openxmlformats.org/officeDocument/2006/relationships/hyperlink" Target="https://drive.google.com/file/d/1E4b3irmpQfK95stILSTIcBucvqIztWMc/view?usp=drivesdk" TargetMode="External"/><Relationship Id="rId2483" Type="http://schemas.openxmlformats.org/officeDocument/2006/relationships/hyperlink" Target="https://drive.google.com/file/d/15h7kJrtErFUNovOm6zaQ8yfcT91utjFS/view?usp=drivesdk" TargetMode="External"/><Relationship Id="rId1153" Type="http://schemas.openxmlformats.org/officeDocument/2006/relationships/hyperlink" Target="https://drive.google.com/file/d/1FXf6_9jcVD3PFLCGR4l63BPi5EW0om0G/view?usp=drivesdk" TargetMode="External"/><Relationship Id="rId2484" Type="http://schemas.openxmlformats.org/officeDocument/2006/relationships/hyperlink" Target="https://drive.google.com/file/d/1ENdjvMov-FHNXzhQDRkg1L3-F73zBCx-/view?usp=drivesdk" TargetMode="External"/><Relationship Id="rId565" Type="http://schemas.openxmlformats.org/officeDocument/2006/relationships/hyperlink" Target="https://drive.google.com/file/d/1ntYa8Jg4icus6byVNg5qKGS_up8UZvU1/view?usp=drivesdk" TargetMode="External"/><Relationship Id="rId1154" Type="http://schemas.openxmlformats.org/officeDocument/2006/relationships/hyperlink" Target="https://drive.google.com/file/d/1N1PVHXEnx7onB-m5lOm2ZvG-PU3z9cp8/view?usp=drivesdk" TargetMode="External"/><Relationship Id="rId2485" Type="http://schemas.openxmlformats.org/officeDocument/2006/relationships/hyperlink" Target="https://drive.google.com/file/d/1D31RWS7MPCRWHwqJvTD6oBk9Bd6rg1vA/view?usp=drivesdk" TargetMode="External"/><Relationship Id="rId564" Type="http://schemas.openxmlformats.org/officeDocument/2006/relationships/hyperlink" Target="https://drive.google.com/file/d/1T78vpM4rtdetA7HYZRQYJb-_FmMUZx2e/view?usp=drivesdk" TargetMode="External"/><Relationship Id="rId1155" Type="http://schemas.openxmlformats.org/officeDocument/2006/relationships/hyperlink" Target="https://drive.google.com/file/d/1jphlXr3oKKZb8Nt_dJ4JAhYWcTeNPCPs/view?usp=drivesdk" TargetMode="External"/><Relationship Id="rId2486" Type="http://schemas.openxmlformats.org/officeDocument/2006/relationships/hyperlink" Target="https://drive.google.com/file/d/1wnWV0A_onROgLtqNLP5B2FR3hZ161KyD/view?usp=drivesdk" TargetMode="External"/><Relationship Id="rId563" Type="http://schemas.openxmlformats.org/officeDocument/2006/relationships/hyperlink" Target="https://drive.google.com/file/d/1txJsyD8T7VxgLRgtvz6lNirnmGbKriBY/view?usp=drivesdk" TargetMode="External"/><Relationship Id="rId1156" Type="http://schemas.openxmlformats.org/officeDocument/2006/relationships/hyperlink" Target="https://drive.google.com/file/d/1vE3NUaa43gYWizFDoBLBRbaNF9GUGgGx/view?usp=drivesdk" TargetMode="External"/><Relationship Id="rId2487" Type="http://schemas.openxmlformats.org/officeDocument/2006/relationships/hyperlink" Target="https://drive.google.com/file/d/1cgPH_-3MJEt_XACyE_VNRQQ09QIt8_r1/view?usp=drivesdk" TargetMode="External"/><Relationship Id="rId562" Type="http://schemas.openxmlformats.org/officeDocument/2006/relationships/hyperlink" Target="https://drive.google.com/file/d/1t8SfaNnnEhVJKB8-1qkHkoOIGFsHufbj/view?usp=drivesdk" TargetMode="External"/><Relationship Id="rId1157" Type="http://schemas.openxmlformats.org/officeDocument/2006/relationships/hyperlink" Target="https://drive.google.com/file/d/1wlnZJeHh5ow1QIf2UkFSL16IKM-K-JCT/view?usp=drivesdk" TargetMode="External"/><Relationship Id="rId2488" Type="http://schemas.openxmlformats.org/officeDocument/2006/relationships/hyperlink" Target="https://drive.google.com/file/d/1P2w0DGLgLJadDOppBbSHbVsB2XWlLxVV/view?usp=drivesdk" TargetMode="External"/><Relationship Id="rId1147" Type="http://schemas.openxmlformats.org/officeDocument/2006/relationships/hyperlink" Target="https://drive.google.com/file/d/1cFaPBRXyUL-3czSO4-Kp4q95E6670b2u/view?usp=drivesdk" TargetMode="External"/><Relationship Id="rId2478" Type="http://schemas.openxmlformats.org/officeDocument/2006/relationships/hyperlink" Target="https://drive.google.com/file/d/1VYEXSSkUnJlVJQjA804KMKZQm84lEx_D/view?usp=drivesdk" TargetMode="External"/><Relationship Id="rId1148" Type="http://schemas.openxmlformats.org/officeDocument/2006/relationships/hyperlink" Target="https://drive.google.com/file/d/1Uv3RCJsa-O18xPUTzsSsm8v_CuR7hVU7/view?usp=drivesdk" TargetMode="External"/><Relationship Id="rId2479" Type="http://schemas.openxmlformats.org/officeDocument/2006/relationships/hyperlink" Target="https://drive.google.com/file/d/1Uc6G8KW9_nQq8N8CcXLgPIKQbzft0VsT/view?usp=drivesdk" TargetMode="External"/><Relationship Id="rId1149" Type="http://schemas.openxmlformats.org/officeDocument/2006/relationships/hyperlink" Target="https://drive.google.com/file/d/10JBwmfCCnln2Z4ClZRWwRfdjkKyFq3vZ/view?usp=drivesdk" TargetMode="External"/><Relationship Id="rId558" Type="http://schemas.openxmlformats.org/officeDocument/2006/relationships/hyperlink" Target="https://drive.google.com/file/d/1SNpqlU99r13mKSlyp2foR5ixQcsuH7GF/view?usp=drivesdk" TargetMode="External"/><Relationship Id="rId557" Type="http://schemas.openxmlformats.org/officeDocument/2006/relationships/hyperlink" Target="https://drive.google.com/file/d/1ParNSCZ925L48BSLpIaitpNXQ1hi5DV5/view?usp=drivesdk" TargetMode="External"/><Relationship Id="rId556" Type="http://schemas.openxmlformats.org/officeDocument/2006/relationships/hyperlink" Target="https://drive.google.com/file/d/181rMWUChgewkyRzOldG65gqV-q3BFlw0/view?usp=drivesdk" TargetMode="External"/><Relationship Id="rId555" Type="http://schemas.openxmlformats.org/officeDocument/2006/relationships/hyperlink" Target="https://drive.google.com/file/d/1Luc9X1nQIjwuY0fHB2lDHZYE15fbIOVU/view?usp=drivesdk" TargetMode="External"/><Relationship Id="rId559" Type="http://schemas.openxmlformats.org/officeDocument/2006/relationships/hyperlink" Target="https://drive.google.com/file/d/11k_atros7wlyi5lA1HecFE1b90t7pb8w/view?usp=drivesdk" TargetMode="External"/><Relationship Id="rId550" Type="http://schemas.openxmlformats.org/officeDocument/2006/relationships/hyperlink" Target="https://drive.google.com/file/d/1amL7wKBaFKaD3HSI90PAmFzhqMRINwPz/view?usp=drivesdk" TargetMode="External"/><Relationship Id="rId2470" Type="http://schemas.openxmlformats.org/officeDocument/2006/relationships/hyperlink" Target="https://drive.google.com/file/d/17m2J_f4DS7fXwa3Vld5_RYCA-ey1KRBL/view?usp=drivesdk" TargetMode="External"/><Relationship Id="rId1140" Type="http://schemas.openxmlformats.org/officeDocument/2006/relationships/hyperlink" Target="https://drive.google.com/file/d/122b_IENoZE3Fv9ltHe0foIM9dVrBBuWY/view?usp=drivesdk" TargetMode="External"/><Relationship Id="rId2471" Type="http://schemas.openxmlformats.org/officeDocument/2006/relationships/hyperlink" Target="https://drive.google.com/file/d/1Zk1n9fm6uOf6RZMiUKZyblfr3qO6jzJ9/view?usp=drivesdk" TargetMode="External"/><Relationship Id="rId1141" Type="http://schemas.openxmlformats.org/officeDocument/2006/relationships/hyperlink" Target="https://drive.google.com/file/d/1wCZIulf5lF-peSjPzJOg74Tfk9GiyKLo/view?usp=drivesdk" TargetMode="External"/><Relationship Id="rId2472" Type="http://schemas.openxmlformats.org/officeDocument/2006/relationships/hyperlink" Target="https://drive.google.com/file/d/1MzVACrzf_VDaTL3Z3Id3dmIjW1z4ql2T/view?usp=drivesdk" TargetMode="External"/><Relationship Id="rId1142" Type="http://schemas.openxmlformats.org/officeDocument/2006/relationships/hyperlink" Target="https://drive.google.com/file/d/1AE17vnbd-gKWnxcxiu8LN4odRZNgoJc-/view?usp=drivesdk" TargetMode="External"/><Relationship Id="rId2473" Type="http://schemas.openxmlformats.org/officeDocument/2006/relationships/hyperlink" Target="https://drive.google.com/file/d/1qv_Ekhd3SRqJ3fwfmQhuNlI-KSPNKurW/view?usp=drivesdk" TargetMode="External"/><Relationship Id="rId554" Type="http://schemas.openxmlformats.org/officeDocument/2006/relationships/hyperlink" Target="https://drive.google.com/file/d/1XFuzvpvHsOmtjTtQpOBAHbysI0gmp53L/view?usp=drivesdk" TargetMode="External"/><Relationship Id="rId1143" Type="http://schemas.openxmlformats.org/officeDocument/2006/relationships/hyperlink" Target="https://drive.google.com/file/d/16DcCasIO945fSzQL9ZX3w0VDJ2iIS9mG/view?usp=drivesdk" TargetMode="External"/><Relationship Id="rId2474" Type="http://schemas.openxmlformats.org/officeDocument/2006/relationships/hyperlink" Target="https://drive.google.com/file/d/1YDfXO1-hIZOMs6P2Z_p5GHdndzaHJWvO/view?usp=drivesdk" TargetMode="External"/><Relationship Id="rId553" Type="http://schemas.openxmlformats.org/officeDocument/2006/relationships/hyperlink" Target="https://drive.google.com/file/d/1EcpiDDg6Vj6VGKwwIsbL34UvTQb98ojU/view?usp=drivesdk" TargetMode="External"/><Relationship Id="rId1144" Type="http://schemas.openxmlformats.org/officeDocument/2006/relationships/hyperlink" Target="https://drive.google.com/file/d/1a-gKvGw2HLpmiCakrnF68VJFf6qscw-t/view?usp=drivesdk" TargetMode="External"/><Relationship Id="rId2475" Type="http://schemas.openxmlformats.org/officeDocument/2006/relationships/hyperlink" Target="https://drive.google.com/file/d/1XjfPAXgzHEGqloA1A9AK7ZY0RyJvEQ7Y/view?usp=drivesdk" TargetMode="External"/><Relationship Id="rId552" Type="http://schemas.openxmlformats.org/officeDocument/2006/relationships/hyperlink" Target="https://drive.google.com/file/d/1Fy0X4ItJ9heT0141PPeVdEKnA5QuVC2v/view?usp=drivesdk" TargetMode="External"/><Relationship Id="rId1145" Type="http://schemas.openxmlformats.org/officeDocument/2006/relationships/hyperlink" Target="http://m.sc/M.Com" TargetMode="External"/><Relationship Id="rId2476" Type="http://schemas.openxmlformats.org/officeDocument/2006/relationships/hyperlink" Target="https://drive.google.com/file/d/1WosQ-jlx1yXvogg1cLxN-ci7WWRFBS4d/view?usp=drivesdk" TargetMode="External"/><Relationship Id="rId551" Type="http://schemas.openxmlformats.org/officeDocument/2006/relationships/hyperlink" Target="https://drive.google.com/file/d/1MWkTus8uZWoMmdZJob9MkJ6hVrax5PtR/view?usp=drivesdk" TargetMode="External"/><Relationship Id="rId1146" Type="http://schemas.openxmlformats.org/officeDocument/2006/relationships/hyperlink" Target="https://drive.google.com/file/d/1I7NP_yNzFhLIQ0_0PJyPsGN6Uoqt3LBz/view?usp=drivesdk" TargetMode="External"/><Relationship Id="rId2477" Type="http://schemas.openxmlformats.org/officeDocument/2006/relationships/hyperlink" Target="https://drive.google.com/file/d/1C3B8MXLB3hKm64roPAIRy7zVhKzyQoaW/view?usp=drivesdk" TargetMode="External"/><Relationship Id="rId495" Type="http://schemas.openxmlformats.org/officeDocument/2006/relationships/hyperlink" Target="https://drive.google.com/file/d/1UK-DczwHBA3OclAWGqxmuT022R1cB-Tn/view?usp=drivesdk" TargetMode="External"/><Relationship Id="rId494" Type="http://schemas.openxmlformats.org/officeDocument/2006/relationships/hyperlink" Target="https://drive.google.com/file/d/1fklwtBCrvAgpA02dA4324PAFb5nurQzX/view?usp=drivesdk" TargetMode="External"/><Relationship Id="rId493" Type="http://schemas.openxmlformats.org/officeDocument/2006/relationships/hyperlink" Target="https://drive.google.com/file/d/1iLFhAm1oNTi58UlHnmI7wdTQXv_nADwz/view?usp=drivesdk" TargetMode="External"/><Relationship Id="rId492" Type="http://schemas.openxmlformats.org/officeDocument/2006/relationships/hyperlink" Target="https://drive.google.com/file/d/1L1Sa0kPeN1XUEzrTjYL0GPi_bCOiJfqP/view?usp=drivesdk" TargetMode="External"/><Relationship Id="rId499" Type="http://schemas.openxmlformats.org/officeDocument/2006/relationships/hyperlink" Target="https://drive.google.com/file/d/1yFgV-w7yvx87b8BHx1ebibSWm1Gr9lT_/view?usp=drivesdk" TargetMode="External"/><Relationship Id="rId498" Type="http://schemas.openxmlformats.org/officeDocument/2006/relationships/hyperlink" Target="https://drive.google.com/file/d/1SmclVWf6V9f3ggCONq28YHGZIyPTDdun/view?usp=drivesdk" TargetMode="External"/><Relationship Id="rId497" Type="http://schemas.openxmlformats.org/officeDocument/2006/relationships/hyperlink" Target="https://drive.google.com/file/d/1wd9GmhoUI9cRODVR6KsCgjvzzM0VLPS7/view?usp=drivesdk" TargetMode="External"/><Relationship Id="rId496" Type="http://schemas.openxmlformats.org/officeDocument/2006/relationships/hyperlink" Target="https://drive.google.com/file/d/1Gm3XZLZKSAqp0Q62iTZOaKBUUReKbak3/view?usp=drivesdk" TargetMode="External"/><Relationship Id="rId1213" Type="http://schemas.openxmlformats.org/officeDocument/2006/relationships/hyperlink" Target="https://drive.google.com/file/d/1BMK_9_uEyAfZZKoyakOqlKW-v_CoP27I/view?usp=drivesdk" TargetMode="External"/><Relationship Id="rId2544" Type="http://schemas.openxmlformats.org/officeDocument/2006/relationships/hyperlink" Target="https://drive.google.com/file/d/1dWZy4Ew5PHdZkJiBfyepYIhveALjc3RR/view?usp=drivesdk" TargetMode="External"/><Relationship Id="rId1214" Type="http://schemas.openxmlformats.org/officeDocument/2006/relationships/hyperlink" Target="https://drive.google.com/file/d/19hX2iQc5yKaZ8AxBHL82A4giCcpKF4WG/view?usp=drivesdk" TargetMode="External"/><Relationship Id="rId2545" Type="http://schemas.openxmlformats.org/officeDocument/2006/relationships/hyperlink" Target="https://drive.google.com/file/d/11pzyb5sd6zlYnNCALfpQyNx4Is_TVT0P/view?usp=drivesdk" TargetMode="External"/><Relationship Id="rId1215" Type="http://schemas.openxmlformats.org/officeDocument/2006/relationships/hyperlink" Target="https://drive.google.com/file/d/1no8l6QRcr7i35G53yrgRCwPql_Mz4jqa/view?usp=drivesdk" TargetMode="External"/><Relationship Id="rId2546" Type="http://schemas.openxmlformats.org/officeDocument/2006/relationships/hyperlink" Target="https://drive.google.com/file/d/1P3FPB8IBqTd8txHaYUagO9e0YJyrrJk1/view?usp=drivesdk" TargetMode="External"/><Relationship Id="rId1216" Type="http://schemas.openxmlformats.org/officeDocument/2006/relationships/hyperlink" Target="https://drive.google.com/file/d/1yeBil-kiDYqruKrHMxlgRKgDY5ldrJYY/view?usp=drivesdk" TargetMode="External"/><Relationship Id="rId2547" Type="http://schemas.openxmlformats.org/officeDocument/2006/relationships/hyperlink" Target="https://drive.google.com/file/d/157Vwlyb13EBJSwWL9I0AcFN2dYz71kUE/view?usp=drivesdk" TargetMode="External"/><Relationship Id="rId1217" Type="http://schemas.openxmlformats.org/officeDocument/2006/relationships/hyperlink" Target="https://drive.google.com/file/d/1uOyMZoGoxZWBVSIMuacnHFgzt_RaNDvD/view?usp=drivesdk" TargetMode="External"/><Relationship Id="rId2548" Type="http://schemas.openxmlformats.org/officeDocument/2006/relationships/hyperlink" Target="https://drive.google.com/file/d/1Q0kZUKMeTbBQ1jIqw3_FdxnPUHfE1d-d/view?usp=drivesdk" TargetMode="External"/><Relationship Id="rId1218" Type="http://schemas.openxmlformats.org/officeDocument/2006/relationships/hyperlink" Target="https://drive.google.com/file/d/1w5xUmhMtABFv0l9n_oVqBIK2Ba7W19Zc/view?usp=drivesdk" TargetMode="External"/><Relationship Id="rId2549" Type="http://schemas.openxmlformats.org/officeDocument/2006/relationships/hyperlink" Target="https://drive.google.com/file/d/1vfY-MgX8uB_VZytRl4FP1MMzWSwDiTGf/view?usp=drivesdk" TargetMode="External"/><Relationship Id="rId1219" Type="http://schemas.openxmlformats.org/officeDocument/2006/relationships/hyperlink" Target="https://drive.google.com/file/d/1LqiWEo5-RC99h5KbRDmmOnYtkkVerpNE/view?usp=drivesdk" TargetMode="External"/><Relationship Id="rId2540" Type="http://schemas.openxmlformats.org/officeDocument/2006/relationships/hyperlink" Target="https://drive.google.com/file/d/1Nmx6WQnoBJoL9FXwxLHwm9WFy99t5uR1/view?usp=drivesdk" TargetMode="External"/><Relationship Id="rId1210" Type="http://schemas.openxmlformats.org/officeDocument/2006/relationships/hyperlink" Target="https://drive.google.com/file/d/1xmi-viF0o4YT7ib5gTWfWvB4_qbbkJlv/view?usp=drivesdk" TargetMode="External"/><Relationship Id="rId2541" Type="http://schemas.openxmlformats.org/officeDocument/2006/relationships/hyperlink" Target="https://drive.google.com/file/d/1nvolYUjYeitEtEj8A6MjBkXzouw-m6Ll/view?usp=drivesdk" TargetMode="External"/><Relationship Id="rId1211" Type="http://schemas.openxmlformats.org/officeDocument/2006/relationships/hyperlink" Target="https://drive.google.com/file/d/142E7n7xkfk9W89EWHdaHH9eKrLTZxZhv/view?usp=drivesdk" TargetMode="External"/><Relationship Id="rId2542" Type="http://schemas.openxmlformats.org/officeDocument/2006/relationships/hyperlink" Target="https://drive.google.com/file/d/10RsxH3XNXLmLE-IRSnODzTdb6HFOU2cq/view?usp=drivesdk" TargetMode="External"/><Relationship Id="rId1212" Type="http://schemas.openxmlformats.org/officeDocument/2006/relationships/hyperlink" Target="https://drive.google.com/file/d/10W6EtvLGbrHOeq9sctBzFfLGlj71N0xE/view?usp=drivesdk" TargetMode="External"/><Relationship Id="rId2543" Type="http://schemas.openxmlformats.org/officeDocument/2006/relationships/hyperlink" Target="https://drive.google.com/file/d/1XIvjq9KpCup2ZIdhvW_cvadiGb4e_M0l/view?usp=drivesdk" TargetMode="External"/><Relationship Id="rId1202" Type="http://schemas.openxmlformats.org/officeDocument/2006/relationships/hyperlink" Target="https://drive.google.com/file/d/1k-E4BniDHOPgy0CK-U4mXtMHqwU83RTw/view?usp=drivesdk" TargetMode="External"/><Relationship Id="rId2533" Type="http://schemas.openxmlformats.org/officeDocument/2006/relationships/hyperlink" Target="https://drive.google.com/file/d/1c56zrq3MXXoHUr6qZVrvgmeeElLQ95oY/view?usp=drivesdk" TargetMode="External"/><Relationship Id="rId1203" Type="http://schemas.openxmlformats.org/officeDocument/2006/relationships/hyperlink" Target="https://drive.google.com/file/d/118m2-uRJRm1k54qbxNfOJBw3ZzbwoGCM/view?usp=drivesdk" TargetMode="External"/><Relationship Id="rId2534" Type="http://schemas.openxmlformats.org/officeDocument/2006/relationships/hyperlink" Target="https://drive.google.com/file/d/19sJsNx607R36uxZURDH2-OeZrkkI4zc8/view?usp=drivesdk" TargetMode="External"/><Relationship Id="rId1204" Type="http://schemas.openxmlformats.org/officeDocument/2006/relationships/hyperlink" Target="https://drive.google.com/file/d/189qHGIisq5uiVfplStY9RlgSYm6YCNyI/view?usp=drivesdk" TargetMode="External"/><Relationship Id="rId2535" Type="http://schemas.openxmlformats.org/officeDocument/2006/relationships/hyperlink" Target="https://drive.google.com/file/d/1QZIH-5iNNNb2oSFy5gb-MJSXFilZ7iSx/view?usp=drivesdk" TargetMode="External"/><Relationship Id="rId1205" Type="http://schemas.openxmlformats.org/officeDocument/2006/relationships/hyperlink" Target="https://drive.google.com/file/d/1D4zg1FxwpFxfAqL9lT-LKps9q6qYpeYe/view?usp=drivesdk" TargetMode="External"/><Relationship Id="rId2536" Type="http://schemas.openxmlformats.org/officeDocument/2006/relationships/hyperlink" Target="https://drive.google.com/file/d/1VsstF3Tc__7agMSzOb4iqntvT2N5M3ZD/view?usp=drivesdk" TargetMode="External"/><Relationship Id="rId1206" Type="http://schemas.openxmlformats.org/officeDocument/2006/relationships/hyperlink" Target="https://drive.google.com/file/d/1uUoeQlP5tX7lixhWhV6KDqaOnJI8Oxe2/view?usp=drivesdk" TargetMode="External"/><Relationship Id="rId2537" Type="http://schemas.openxmlformats.org/officeDocument/2006/relationships/hyperlink" Target="https://drive.google.com/file/d/1-yT_Tzc9JiR_kIfDziW33jrgSEF6lEhG/view?usp=drivesdk" TargetMode="External"/><Relationship Id="rId1207" Type="http://schemas.openxmlformats.org/officeDocument/2006/relationships/hyperlink" Target="https://drive.google.com/file/d/1b7ri1OEtvoD_jqTZoM2Dmif0XwSQu4Af/view?usp=drivesdk" TargetMode="External"/><Relationship Id="rId2538" Type="http://schemas.openxmlformats.org/officeDocument/2006/relationships/hyperlink" Target="https://drive.google.com/file/d/1YWaX-l-RgLMc2KhRSJpj-jN8L2BdCbl7/view?usp=drivesdk" TargetMode="External"/><Relationship Id="rId1208" Type="http://schemas.openxmlformats.org/officeDocument/2006/relationships/hyperlink" Target="https://drive.google.com/file/d/1vOENMz6TQPONJcx6Hp-ONQIx_8TPNdwg/view?usp=drivesdk" TargetMode="External"/><Relationship Id="rId2539" Type="http://schemas.openxmlformats.org/officeDocument/2006/relationships/hyperlink" Target="https://drive.google.com/file/d/1NAou-3GHHwM4pQsD2GU3-CngZ-KLAHer/view?usp=drivesdk" TargetMode="External"/><Relationship Id="rId1209" Type="http://schemas.openxmlformats.org/officeDocument/2006/relationships/hyperlink" Target="https://drive.google.com/file/d/1nB38ZGTPbJfED4_4Tp0J14n1cdi8YfQ9/view?usp=drivesdk" TargetMode="External"/><Relationship Id="rId2530" Type="http://schemas.openxmlformats.org/officeDocument/2006/relationships/hyperlink" Target="https://drive.google.com/file/d/1OhIqI4L5wQlbLv9VfxphyLNKqNZkbwNQ/view?usp=drivesdk" TargetMode="External"/><Relationship Id="rId1200" Type="http://schemas.openxmlformats.org/officeDocument/2006/relationships/hyperlink" Target="https://drive.google.com/file/d/1kVmWGdGp2xQ022UkpH0UW1DGxEVWwBkX/view?usp=drivesdk" TargetMode="External"/><Relationship Id="rId2531" Type="http://schemas.openxmlformats.org/officeDocument/2006/relationships/hyperlink" Target="https://drive.google.com/file/d/1fU8R-QwKXuNvBdqH_x42b9bgKsMzRS8l/view?usp=drivesdk" TargetMode="External"/><Relationship Id="rId1201" Type="http://schemas.openxmlformats.org/officeDocument/2006/relationships/hyperlink" Target="https://drive.google.com/file/d/1gNKqYUmCAjxRTkfoJ5EdKKxwOGXtYYqT/view?usp=drivesdk" TargetMode="External"/><Relationship Id="rId2532" Type="http://schemas.openxmlformats.org/officeDocument/2006/relationships/hyperlink" Target="https://drive.google.com/file/d/1I2H3XqaWUILuJdkBn8T74OjzpZIjniMQ/view?usp=drivesdk" TargetMode="External"/><Relationship Id="rId1235" Type="http://schemas.openxmlformats.org/officeDocument/2006/relationships/hyperlink" Target="https://drive.google.com/file/d/1iVMw5ZmIzaA-uxs7oiT8buIV4JTCT0-G/view?usp=drivesdk" TargetMode="External"/><Relationship Id="rId2566" Type="http://schemas.openxmlformats.org/officeDocument/2006/relationships/hyperlink" Target="https://drive.google.com/file/d/1Ouwktawa7wn6jqPifXKsPrJBZx_ljh5-/view?usp=drivesdk" TargetMode="External"/><Relationship Id="rId1236" Type="http://schemas.openxmlformats.org/officeDocument/2006/relationships/hyperlink" Target="https://drive.google.com/file/d/1ZvuysyQiNYMSqJRiH8QsTotWbPLvn5Ku/view?usp=drivesdk" TargetMode="External"/><Relationship Id="rId2567" Type="http://schemas.openxmlformats.org/officeDocument/2006/relationships/hyperlink" Target="https://drive.google.com/file/d/1jrgGQ4_oB9Mq_0OhfeHJFopFxbgrJ-_U/view?usp=drivesdk" TargetMode="External"/><Relationship Id="rId1237" Type="http://schemas.openxmlformats.org/officeDocument/2006/relationships/hyperlink" Target="https://drive.google.com/file/d/1m2wQJ3B6B6UYTjTEAhAilHcCMxswPsKe/view?usp=drivesdk" TargetMode="External"/><Relationship Id="rId2568" Type="http://schemas.openxmlformats.org/officeDocument/2006/relationships/hyperlink" Target="https://drive.google.com/file/d/1yu2HembaeXDHQeAaRMORNxB54f7SqnD3/view?usp=drivesdk" TargetMode="External"/><Relationship Id="rId1238" Type="http://schemas.openxmlformats.org/officeDocument/2006/relationships/hyperlink" Target="https://drive.google.com/file/d/18ZZscKZBQorFy8UvOhuLefp1ySCZJN1B/view?usp=drivesdk" TargetMode="External"/><Relationship Id="rId2569" Type="http://schemas.openxmlformats.org/officeDocument/2006/relationships/hyperlink" Target="https://drive.google.com/file/d/1qNUiq6-3lZNyrQ9uy2E8jtAU5rZP4rP-/view?usp=drivesdk" TargetMode="External"/><Relationship Id="rId1239" Type="http://schemas.openxmlformats.org/officeDocument/2006/relationships/hyperlink" Target="https://drive.google.com/file/d/1E4mvdGjR__Q7NJUGIAaezHPG2OiTHxMp/view?usp=drivesdk" TargetMode="External"/><Relationship Id="rId409" Type="http://schemas.openxmlformats.org/officeDocument/2006/relationships/hyperlink" Target="https://drive.google.com/file/d/1MsdqQqNwl7t1MJOEzxzZxFlDce5e4xro/view?usp=drivesdk" TargetMode="External"/><Relationship Id="rId404" Type="http://schemas.openxmlformats.org/officeDocument/2006/relationships/hyperlink" Target="https://drive.google.com/file/d/1Q_Wtrj3bEPJ-_P3GWOeHfqNCgMI1G3I5/view?usp=drivesdk" TargetMode="External"/><Relationship Id="rId403" Type="http://schemas.openxmlformats.org/officeDocument/2006/relationships/hyperlink" Target="https://drive.google.com/file/d/1f06VQPCvCE2c4G9lm1cJm_7wtHYcOEgl/view?usp=drivesdk" TargetMode="External"/><Relationship Id="rId402" Type="http://schemas.openxmlformats.org/officeDocument/2006/relationships/hyperlink" Target="https://drive.google.com/file/d/10nrEMFQpjENaxpa0j7oxY2JjW7TGtAPF/view?usp=drivesdk" TargetMode="External"/><Relationship Id="rId401" Type="http://schemas.openxmlformats.org/officeDocument/2006/relationships/hyperlink" Target="https://drive.google.com/file/d/191-C2HoTJVACixmDwtQBU2voOjwmrpqL/view?usp=drivesdk" TargetMode="External"/><Relationship Id="rId408" Type="http://schemas.openxmlformats.org/officeDocument/2006/relationships/hyperlink" Target="https://drive.google.com/file/d/1td-GPLOcgvN_8HqLhpVfXXoijeD5XanX/view?usp=drivesdk" TargetMode="External"/><Relationship Id="rId407" Type="http://schemas.openxmlformats.org/officeDocument/2006/relationships/hyperlink" Target="https://drive.google.com/file/d/1Nj4bxWXnfNIuVeZXBl_gxnAq9tW7808R/view?usp=drivesdk" TargetMode="External"/><Relationship Id="rId406" Type="http://schemas.openxmlformats.org/officeDocument/2006/relationships/hyperlink" Target="https://drive.google.com/file/d/1CmG5HRUQDugsw8iiz5YqQOc9aDfPZ2MX/view?usp=drivesdk" TargetMode="External"/><Relationship Id="rId405" Type="http://schemas.openxmlformats.org/officeDocument/2006/relationships/hyperlink" Target="https://drive.google.com/file/d/180-WPFpd3k6z-TmsWDt5WhuqLdavAPVS/view?usp=drivesdk" TargetMode="External"/><Relationship Id="rId2560" Type="http://schemas.openxmlformats.org/officeDocument/2006/relationships/hyperlink" Target="https://drive.google.com/file/d/1H_rHTAa72Pt4L__YPm7cY3YQY-QCKEMb/view?usp=drivesdk" TargetMode="External"/><Relationship Id="rId1230" Type="http://schemas.openxmlformats.org/officeDocument/2006/relationships/hyperlink" Target="https://drive.google.com/file/d/1A5fzFWCRVAU4qNJQnKh_7z6PYyUAoYt_/view?usp=drivesdk" TargetMode="External"/><Relationship Id="rId2561" Type="http://schemas.openxmlformats.org/officeDocument/2006/relationships/hyperlink" Target="https://drive.google.com/file/d/1qnNV-fxBUiMsFxeZAVvhIHRAjiRGdgMC/view?usp=drivesdk" TargetMode="External"/><Relationship Id="rId400" Type="http://schemas.openxmlformats.org/officeDocument/2006/relationships/hyperlink" Target="https://drive.google.com/file/d/1pxl_K95GqvNj67SF634AcPuXFo9UpEev/view?usp=drivesdk" TargetMode="External"/><Relationship Id="rId1231" Type="http://schemas.openxmlformats.org/officeDocument/2006/relationships/hyperlink" Target="https://drive.google.com/file/d/1wTWw_gquqJ0Sfv73S4QMtYCEL9mfxtBo/view?usp=drivesdk" TargetMode="External"/><Relationship Id="rId2562" Type="http://schemas.openxmlformats.org/officeDocument/2006/relationships/hyperlink" Target="https://drive.google.com/file/d/1c5rcQrcUXt7kWx5K3S0z1qWL0u05aXJe/view?usp=drivesdk" TargetMode="External"/><Relationship Id="rId1232" Type="http://schemas.openxmlformats.org/officeDocument/2006/relationships/hyperlink" Target="https://drive.google.com/file/d/1tt1XYQJTpYf1C356wqkzayRm4XnDYCR5/view?usp=drivesdk" TargetMode="External"/><Relationship Id="rId2563" Type="http://schemas.openxmlformats.org/officeDocument/2006/relationships/hyperlink" Target="https://drive.google.com/file/d/1cJ0N0CtGcWC_NbUPVsPja61ojH9HiXRl/view?usp=drivesdk" TargetMode="External"/><Relationship Id="rId1233" Type="http://schemas.openxmlformats.org/officeDocument/2006/relationships/hyperlink" Target="https://drive.google.com/file/d/1yhKYsNWeEFjivHZ3qM3IuB9sqr2Oi_-v/view?usp=drivesdk" TargetMode="External"/><Relationship Id="rId2564" Type="http://schemas.openxmlformats.org/officeDocument/2006/relationships/hyperlink" Target="https://drive.google.com/file/d/1ZR9N1MFQTMUcZtzr5YSFW9C0c7Q8XVYJ/view?usp=drivesdk" TargetMode="External"/><Relationship Id="rId1234" Type="http://schemas.openxmlformats.org/officeDocument/2006/relationships/hyperlink" Target="https://drive.google.com/file/d/11s0fRotahQSRXxjB9Zs_nE39bGQTBGQt/view?usp=drivesdk" TargetMode="External"/><Relationship Id="rId2565" Type="http://schemas.openxmlformats.org/officeDocument/2006/relationships/hyperlink" Target="https://drive.google.com/file/d/1DA2DXQv0GKajwW6mTQpGqPOTltXZsYYF/view?usp=drivesdk" TargetMode="External"/><Relationship Id="rId1224" Type="http://schemas.openxmlformats.org/officeDocument/2006/relationships/hyperlink" Target="https://drive.google.com/file/d/1eHcfN-j6bYFCKk78mUI2g7lqKK03LFMU/view?usp=drivesdk" TargetMode="External"/><Relationship Id="rId2555" Type="http://schemas.openxmlformats.org/officeDocument/2006/relationships/hyperlink" Target="https://drive.google.com/file/d/1a0KUA3NbUx3IHLnoJS4PNryEdbFkkieW/view?usp=drivesdk" TargetMode="External"/><Relationship Id="rId1225" Type="http://schemas.openxmlformats.org/officeDocument/2006/relationships/hyperlink" Target="https://drive.google.com/file/d/1Jkrl5v2cxsa0CCQq_l4R8y3hNITkDOr5/view?usp=drivesdk" TargetMode="External"/><Relationship Id="rId2556" Type="http://schemas.openxmlformats.org/officeDocument/2006/relationships/hyperlink" Target="https://drive.google.com/file/d/1MNHHmYLaShXC0bn84zc2p33qqdUIuE-p/view?usp=drivesdk" TargetMode="External"/><Relationship Id="rId1226" Type="http://schemas.openxmlformats.org/officeDocument/2006/relationships/hyperlink" Target="https://drive.google.com/file/d/1bG-8El8vb7D-VPW82rb6aw6_1rI256u5/view?usp=drivesdk" TargetMode="External"/><Relationship Id="rId2557" Type="http://schemas.openxmlformats.org/officeDocument/2006/relationships/hyperlink" Target="https://drive.google.com/file/d/1Pef1A31f3_YleKdQ2PMODRul_uAbEzQi/view?usp=drivesdk" TargetMode="External"/><Relationship Id="rId1227" Type="http://schemas.openxmlformats.org/officeDocument/2006/relationships/hyperlink" Target="https://drive.google.com/file/d/1uq5EzuLjQjEzQtZcKymLrshF15ROBK4S/view?usp=drivesdk" TargetMode="External"/><Relationship Id="rId2558" Type="http://schemas.openxmlformats.org/officeDocument/2006/relationships/hyperlink" Target="https://drive.google.com/file/d/1gtSELl-ax-cf2bifrcs3BU9OA3GGcAOQ/view?usp=drivesdk" TargetMode="External"/><Relationship Id="rId1228" Type="http://schemas.openxmlformats.org/officeDocument/2006/relationships/hyperlink" Target="https://drive.google.com/file/d/1k6huG0mqDwugeTqZCRizUVzGZz__3Jyg/view?usp=drivesdk" TargetMode="External"/><Relationship Id="rId2559" Type="http://schemas.openxmlformats.org/officeDocument/2006/relationships/hyperlink" Target="https://drive.google.com/file/d/1Ex-Su82t0HSa_FCcBwJz0378uD-Woq4M/view?usp=drivesdk" TargetMode="External"/><Relationship Id="rId1229" Type="http://schemas.openxmlformats.org/officeDocument/2006/relationships/hyperlink" Target="https://drive.google.com/file/d/12BnpgYf-cKiKy7R_n8ta5McgYRQGL669/view?usp=drivesdk" TargetMode="External"/><Relationship Id="rId2550" Type="http://schemas.openxmlformats.org/officeDocument/2006/relationships/hyperlink" Target="https://drive.google.com/file/d/1fmJpyGMP-RQhX-3shaczKCNhcoL9jRpR/view?usp=drivesdk" TargetMode="External"/><Relationship Id="rId1220" Type="http://schemas.openxmlformats.org/officeDocument/2006/relationships/hyperlink" Target="https://drive.google.com/file/d/1ofPPntpFrCHWGlvswWRTiCo2u0fkJVot/view?usp=drivesdk" TargetMode="External"/><Relationship Id="rId2551" Type="http://schemas.openxmlformats.org/officeDocument/2006/relationships/hyperlink" Target="https://drive.google.com/file/d/1rUX3X-j6hMTePgM1S84AuHsshAuA3b2Y/view?usp=drivesdk" TargetMode="External"/><Relationship Id="rId1221" Type="http://schemas.openxmlformats.org/officeDocument/2006/relationships/hyperlink" Target="https://drive.google.com/file/d/12n4znv8mC4N_ciclm8EDDQsFjmefD0Db/view?usp=drivesdk" TargetMode="External"/><Relationship Id="rId2552" Type="http://schemas.openxmlformats.org/officeDocument/2006/relationships/hyperlink" Target="https://drive.google.com/file/d/1mmMBK-h2zHplIcTwGuz_36qf_TGkr1Uz/view?usp=drivesdk" TargetMode="External"/><Relationship Id="rId1222" Type="http://schemas.openxmlformats.org/officeDocument/2006/relationships/hyperlink" Target="https://drive.google.com/file/d/1gqlkMLmRj6WtBWs30l2dr88RnncSwkHD/view?usp=drivesdk" TargetMode="External"/><Relationship Id="rId2553" Type="http://schemas.openxmlformats.org/officeDocument/2006/relationships/hyperlink" Target="https://drive.google.com/file/d/16rFPW33_Y0hi8O2C1Kiy2wCWyNdw1fwr/view?usp=drivesdk" TargetMode="External"/><Relationship Id="rId1223" Type="http://schemas.openxmlformats.org/officeDocument/2006/relationships/hyperlink" Target="https://drive.google.com/file/d/1e6YlJfr9j2PgGVlrBZ_qxthrD_3mP7CO/view?usp=drivesdk" TargetMode="External"/><Relationship Id="rId2554" Type="http://schemas.openxmlformats.org/officeDocument/2006/relationships/hyperlink" Target="https://drive.google.com/file/d/1KJtHHcYCQ4rHNwWtzONi2Y6B2kHENJ5G/view?usp=drivesdk" TargetMode="External"/><Relationship Id="rId2500" Type="http://schemas.openxmlformats.org/officeDocument/2006/relationships/hyperlink" Target="https://drive.google.com/file/d/1TxwRVOf4s4jBULPqErKvHzSTTPGmA-S0/view?usp=drivesdk" TargetMode="External"/><Relationship Id="rId2501" Type="http://schemas.openxmlformats.org/officeDocument/2006/relationships/hyperlink" Target="http://b.sc/B.Com" TargetMode="External"/><Relationship Id="rId2502" Type="http://schemas.openxmlformats.org/officeDocument/2006/relationships/hyperlink" Target="https://drive.google.com/file/d/1E-hRDzIWVC_bqx-9kX_7JMhZiVy51yic/view?usp=drivesdk" TargetMode="External"/><Relationship Id="rId2503" Type="http://schemas.openxmlformats.org/officeDocument/2006/relationships/hyperlink" Target="https://drive.google.com/file/d/1JimTJsjh5nG94-e2jwrLImMDgmxyw_VS/view?usp=drivesdk" TargetMode="External"/><Relationship Id="rId2504" Type="http://schemas.openxmlformats.org/officeDocument/2006/relationships/hyperlink" Target="https://drive.google.com/file/d/14X4Aq6ybwdn3bu1xoPw29RV_YFWc6EXS/view?usp=drivesdk" TargetMode="External"/><Relationship Id="rId2505" Type="http://schemas.openxmlformats.org/officeDocument/2006/relationships/hyperlink" Target="https://drive.google.com/file/d/13BZvWKlZKTrOXBL8EBtSNb2yTRS4Nr-b/view?usp=drivesdk" TargetMode="External"/><Relationship Id="rId2506" Type="http://schemas.openxmlformats.org/officeDocument/2006/relationships/hyperlink" Target="http://m.sc/M.Com" TargetMode="External"/><Relationship Id="rId2507" Type="http://schemas.openxmlformats.org/officeDocument/2006/relationships/hyperlink" Target="https://drive.google.com/file/d/16OdxpczRwsKQuC2AYYj1KFcX6up_QVWx/view?usp=drivesdk" TargetMode="External"/><Relationship Id="rId2508" Type="http://schemas.openxmlformats.org/officeDocument/2006/relationships/hyperlink" Target="https://drive.google.com/file/d/1SONFeIbAexw75CjHoupTcrlmWUDfJJTS/view?usp=drivesdk" TargetMode="External"/><Relationship Id="rId2509" Type="http://schemas.openxmlformats.org/officeDocument/2006/relationships/hyperlink" Target="https://drive.google.com/file/d/1APYrqjB2vFmvbL89uALihogAAj0VyB4s/view?usp=drivesdk" TargetMode="External"/><Relationship Id="rId2522" Type="http://schemas.openxmlformats.org/officeDocument/2006/relationships/hyperlink" Target="https://drive.google.com/file/d/1BVGA35EvAsrSz9WHMQpjzk11zJmCn6Mh/view?usp=drivesdk" TargetMode="External"/><Relationship Id="rId2523" Type="http://schemas.openxmlformats.org/officeDocument/2006/relationships/hyperlink" Target="https://drive.google.com/file/d/15Nm0dVN75g266_u7gs3P4_92dSpNdLiE/view?usp=drivesdk" TargetMode="External"/><Relationship Id="rId2524" Type="http://schemas.openxmlformats.org/officeDocument/2006/relationships/hyperlink" Target="https://drive.google.com/file/d/1SnVw_0UP1ZCVbGHJxT5_GrlreXY2shWw/view?usp=drivesdk" TargetMode="External"/><Relationship Id="rId2525" Type="http://schemas.openxmlformats.org/officeDocument/2006/relationships/hyperlink" Target="https://drive.google.com/file/d/10X-FaHJ9vSH1tzmZNODMhoOvxXSTlT2q/view?usp=drivesdk" TargetMode="External"/><Relationship Id="rId2526" Type="http://schemas.openxmlformats.org/officeDocument/2006/relationships/hyperlink" Target="https://drive.google.com/file/d/1idV993Ywu9fM2HrLI9vtmICd_htjbt0u/view?usp=drivesdk" TargetMode="External"/><Relationship Id="rId2527" Type="http://schemas.openxmlformats.org/officeDocument/2006/relationships/hyperlink" Target="https://drive.google.com/file/d/1AoOZkEGTe3r3LhRB8x6xsTSL1AyL8olC/view?usp=drivesdk" TargetMode="External"/><Relationship Id="rId2528" Type="http://schemas.openxmlformats.org/officeDocument/2006/relationships/hyperlink" Target="https://drive.google.com/file/d/1XsctkvmKB49fpEEts3DK9lPAJG0m8oZf/view?usp=drivesdk" TargetMode="External"/><Relationship Id="rId2529" Type="http://schemas.openxmlformats.org/officeDocument/2006/relationships/hyperlink" Target="https://drive.google.com/file/d/1xVvc9APMV7Biq022Na7BuAzg0tO1XWhr/view?usp=drivesdk" TargetMode="External"/><Relationship Id="rId2520" Type="http://schemas.openxmlformats.org/officeDocument/2006/relationships/hyperlink" Target="https://drive.google.com/file/d/1SPUGxPiPf_wcY56l18r4glBiEFIwGkZN/view?usp=drivesdk" TargetMode="External"/><Relationship Id="rId2521" Type="http://schemas.openxmlformats.org/officeDocument/2006/relationships/hyperlink" Target="https://drive.google.com/file/d/13wNHgVxWBWBm4bAkW8Wig8y0GBpp6dTB/view?usp=drivesdk" TargetMode="External"/><Relationship Id="rId2511" Type="http://schemas.openxmlformats.org/officeDocument/2006/relationships/hyperlink" Target="https://drive.google.com/file/d/1v1UakKNPiFZrz3xZOV2xXbJa6m2362M9/view?usp=drivesdk" TargetMode="External"/><Relationship Id="rId2512" Type="http://schemas.openxmlformats.org/officeDocument/2006/relationships/hyperlink" Target="https://drive.google.com/file/d/1GuW6VtqWofL812yjmZTnigD6SQlrWvCF/view?usp=drivesdk" TargetMode="External"/><Relationship Id="rId2513" Type="http://schemas.openxmlformats.org/officeDocument/2006/relationships/hyperlink" Target="https://drive.google.com/file/d/13EUnU2ydteZP9n9pmSX86pi3F-Q6Xnga/view?usp=drivesdk" TargetMode="External"/><Relationship Id="rId2514" Type="http://schemas.openxmlformats.org/officeDocument/2006/relationships/hyperlink" Target="https://drive.google.com/file/d/13GI86MW5-ZIQ9sHY4adIRaIFv44mdYTZ/view?usp=drivesdk" TargetMode="External"/><Relationship Id="rId2515" Type="http://schemas.openxmlformats.org/officeDocument/2006/relationships/hyperlink" Target="https://drive.google.com/file/d/1yoMayU5VsaXtvvpz2SLjlJ13RkWE6XA2/view?usp=drivesdk" TargetMode="External"/><Relationship Id="rId2516" Type="http://schemas.openxmlformats.org/officeDocument/2006/relationships/hyperlink" Target="https://drive.google.com/file/d/19rZzmpxy2yJqPG_5xRNenMeSIOqYagLS/view?usp=drivesdk" TargetMode="External"/><Relationship Id="rId2517" Type="http://schemas.openxmlformats.org/officeDocument/2006/relationships/hyperlink" Target="http://b.sc/B.Com" TargetMode="External"/><Relationship Id="rId2518" Type="http://schemas.openxmlformats.org/officeDocument/2006/relationships/hyperlink" Target="https://drive.google.com/file/d/1MXwDHGypTd_uEs4fj78Y8aJU-SLN9zY3/view?usp=drivesdk" TargetMode="External"/><Relationship Id="rId2519" Type="http://schemas.openxmlformats.org/officeDocument/2006/relationships/hyperlink" Target="https://drive.google.com/file/d/1LI6cVJVji9DppsTrKidVBMugLwrPGhXL/view?usp=drivesdk" TargetMode="External"/><Relationship Id="rId2510" Type="http://schemas.openxmlformats.org/officeDocument/2006/relationships/hyperlink" Target="https://drive.google.com/file/d/1LOMl6twziFeLV6POsy_kEJNNei_sNyMS/view?usp=drivesdk" TargetMode="External"/><Relationship Id="rId469" Type="http://schemas.openxmlformats.org/officeDocument/2006/relationships/hyperlink" Target="https://drive.google.com/file/d/1qC5hgyrrUdbOM1qXftqbjskog7oLBwS_/view?usp=drivesdk" TargetMode="External"/><Relationship Id="rId468" Type="http://schemas.openxmlformats.org/officeDocument/2006/relationships/hyperlink" Target="https://drive.google.com/file/d/11e2y102vCbxeF-DOKuTeliu1NSNkCKGf/view?usp=drivesdk" TargetMode="External"/><Relationship Id="rId467" Type="http://schemas.openxmlformats.org/officeDocument/2006/relationships/hyperlink" Target="https://drive.google.com/file/d/1fXIO1OQF9NB3ojDu7lIylXXkvW2Pvxq7/view?usp=drivesdk" TargetMode="External"/><Relationship Id="rId1290" Type="http://schemas.openxmlformats.org/officeDocument/2006/relationships/hyperlink" Target="https://drive.google.com/file/d/1L_0_YXmcyKwA326r_yFcyABbA1pDzTiM/view?usp=drivesdk" TargetMode="External"/><Relationship Id="rId1291" Type="http://schemas.openxmlformats.org/officeDocument/2006/relationships/hyperlink" Target="https://drive.google.com/file/d/1kqt_NcLRsZmxA51EL-3eY-um0YwUgk2s/view?usp=drivesdk" TargetMode="External"/><Relationship Id="rId1292" Type="http://schemas.openxmlformats.org/officeDocument/2006/relationships/hyperlink" Target="https://drive.google.com/file/d/1psDl5c8VwTS3y4A4A_MoSYaXn0aCKnS6/view?usp=drivesdk" TargetMode="External"/><Relationship Id="rId462" Type="http://schemas.openxmlformats.org/officeDocument/2006/relationships/hyperlink" Target="https://drive.google.com/file/d/1_NbdupD_REDLykpPaAphsLNXK8TjzhQF/view?usp=drivesdk" TargetMode="External"/><Relationship Id="rId1293" Type="http://schemas.openxmlformats.org/officeDocument/2006/relationships/hyperlink" Target="https://drive.google.com/file/d/1ZKO7lC6hMwK0a28y-BGCGjS0RzONoFTK/view?usp=drivesdk" TargetMode="External"/><Relationship Id="rId461" Type="http://schemas.openxmlformats.org/officeDocument/2006/relationships/hyperlink" Target="https://drive.google.com/file/d/1FrcE5mTUWNN7Z6_eF4YqQDnRGP-pCvPg/view?usp=drivesdk" TargetMode="External"/><Relationship Id="rId1294" Type="http://schemas.openxmlformats.org/officeDocument/2006/relationships/hyperlink" Target="https://drive.google.com/file/d/1OhMtHyc3C7vEkmW9KLpTbGAtD5nkNtzh/view?usp=drivesdk" TargetMode="External"/><Relationship Id="rId460" Type="http://schemas.openxmlformats.org/officeDocument/2006/relationships/hyperlink" Target="https://drive.google.com/file/d/1aogyBpbArL6M2PooA-D388K5DsfXtBCE/view?usp=drivesdk" TargetMode="External"/><Relationship Id="rId1295" Type="http://schemas.openxmlformats.org/officeDocument/2006/relationships/hyperlink" Target="https://drive.google.com/file/d/1MPeSZUTd19GBCWUzSV3AsMSqNWmpTvbr/view?usp=drivesdk" TargetMode="External"/><Relationship Id="rId1296" Type="http://schemas.openxmlformats.org/officeDocument/2006/relationships/hyperlink" Target="https://drive.google.com/file/d/1LDgrauPHCxjsJptBKL59ygdqmm-FzoFu/view?usp=drivesdk" TargetMode="External"/><Relationship Id="rId466" Type="http://schemas.openxmlformats.org/officeDocument/2006/relationships/hyperlink" Target="https://drive.google.com/file/d/1k1p3PvJHJ0RAiDz4Nnm3HlJFzY0XOM7n/view?usp=drivesdk" TargetMode="External"/><Relationship Id="rId1297" Type="http://schemas.openxmlformats.org/officeDocument/2006/relationships/hyperlink" Target="https://drive.google.com/file/d/1GUpaxCUwD0kYMe1d7GhyZsbNtutoKCcY/view?usp=drivesdk" TargetMode="External"/><Relationship Id="rId465" Type="http://schemas.openxmlformats.org/officeDocument/2006/relationships/hyperlink" Target="https://drive.google.com/file/d/1sXrOIH9jh5Z2J9It2Ng4AvOEY-4By6s9/view?usp=drivesdk" TargetMode="External"/><Relationship Id="rId1298" Type="http://schemas.openxmlformats.org/officeDocument/2006/relationships/hyperlink" Target="https://drive.google.com/file/d/1eOn2mMVs9JM1JULpxDTK8VAOieyyx_UX/view?usp=drivesdk" TargetMode="External"/><Relationship Id="rId464" Type="http://schemas.openxmlformats.org/officeDocument/2006/relationships/hyperlink" Target="https://drive.google.com/file/d/1iweSuw6aaythJCb1WbZwy8IkaTnNy0QO/view?usp=drivesdk" TargetMode="External"/><Relationship Id="rId1299" Type="http://schemas.openxmlformats.org/officeDocument/2006/relationships/hyperlink" Target="https://drive.google.com/file/d/1I7RPVhFT8zNA_lAp2OfxEckyto8rDJvF/view?usp=drivesdk" TargetMode="External"/><Relationship Id="rId463" Type="http://schemas.openxmlformats.org/officeDocument/2006/relationships/hyperlink" Target="https://drive.google.com/file/d/1G8W3WlYz430kAXqHd-EqQjVlscaqI0vL/view?usp=drivesdk" TargetMode="External"/><Relationship Id="rId459" Type="http://schemas.openxmlformats.org/officeDocument/2006/relationships/hyperlink" Target="https://drive.google.com/file/d/1foEfXW-cXlkL3607jFblGQuuOP0b1y8a/view?usp=drivesdk" TargetMode="External"/><Relationship Id="rId458" Type="http://schemas.openxmlformats.org/officeDocument/2006/relationships/hyperlink" Target="https://drive.google.com/file/d/117dnUPe8x920h3JO-4PkdVI_9m_bGMSa/view?usp=drivesdk" TargetMode="External"/><Relationship Id="rId457" Type="http://schemas.openxmlformats.org/officeDocument/2006/relationships/hyperlink" Target="https://drive.google.com/file/d/13BWoBe-5jzCeyvX9NLNOgChXfrcKpos4/view?usp=drivesdk" TargetMode="External"/><Relationship Id="rId456" Type="http://schemas.openxmlformats.org/officeDocument/2006/relationships/hyperlink" Target="https://drive.google.com/file/d/1aLAE1W5qDrxNCmC_0QRWHGoCsMUHK8Yy/view?usp=drivesdk" TargetMode="External"/><Relationship Id="rId1280" Type="http://schemas.openxmlformats.org/officeDocument/2006/relationships/hyperlink" Target="https://drive.google.com/file/d/1u8BgpFyVZiyDnu8MA4oyCHVbZxEpyuOt/view?usp=drivesdk" TargetMode="External"/><Relationship Id="rId1281" Type="http://schemas.openxmlformats.org/officeDocument/2006/relationships/hyperlink" Target="https://drive.google.com/file/d/1TFVHa0PzB4tEbbXQvD9susY3PSTHO4Ge/view?usp=drivesdk" TargetMode="External"/><Relationship Id="rId451" Type="http://schemas.openxmlformats.org/officeDocument/2006/relationships/hyperlink" Target="https://drive.google.com/file/d/1RhH1uvUElRD3QbeY3K2a92qlWFCULgxy/view?usp=drivesdk" TargetMode="External"/><Relationship Id="rId1282" Type="http://schemas.openxmlformats.org/officeDocument/2006/relationships/hyperlink" Target="https://drive.google.com/file/d/1Wn7yOuvFzuFSLabIu5M5ngfpsQDw9EHd/view?usp=drivesdk" TargetMode="External"/><Relationship Id="rId450" Type="http://schemas.openxmlformats.org/officeDocument/2006/relationships/hyperlink" Target="https://drive.google.com/file/d/17WurFJ6QYg4Luopgot5DCcgVJWkB9cfg/view?usp=drivesdk" TargetMode="External"/><Relationship Id="rId1283" Type="http://schemas.openxmlformats.org/officeDocument/2006/relationships/hyperlink" Target="https://drive.google.com/file/d/1K6N38DYXYUkbTnoBKSZo1R8YA0emkbiu/view?usp=drivesdk" TargetMode="External"/><Relationship Id="rId1284" Type="http://schemas.openxmlformats.org/officeDocument/2006/relationships/hyperlink" Target="https://drive.google.com/file/d/1d462aEk8fY9tRiXpj1lRAx4AQZrfDld7/view?usp=drivesdk" TargetMode="External"/><Relationship Id="rId1285" Type="http://schemas.openxmlformats.org/officeDocument/2006/relationships/hyperlink" Target="https://drive.google.com/file/d/1fIn73ifAEAQc7BxVlXn9cgzVrUpN1q2o/view?usp=drivesdk" TargetMode="External"/><Relationship Id="rId455" Type="http://schemas.openxmlformats.org/officeDocument/2006/relationships/hyperlink" Target="https://drive.google.com/file/d/1oFu6IpSZh_MZleECFFYOvLsJdBBhHkJ0/view?usp=drivesdk" TargetMode="External"/><Relationship Id="rId1286" Type="http://schemas.openxmlformats.org/officeDocument/2006/relationships/hyperlink" Target="https://drive.google.com/file/d/1qAYIEXMObMfMomN5JdcCg8RfwFkSnBbp/view?usp=drivesdk" TargetMode="External"/><Relationship Id="rId454" Type="http://schemas.openxmlformats.org/officeDocument/2006/relationships/hyperlink" Target="https://drive.google.com/file/d/1578ImXb8Fs_vnIQMIZNvKiLG6NVt0c0o/view?usp=drivesdk" TargetMode="External"/><Relationship Id="rId1287" Type="http://schemas.openxmlformats.org/officeDocument/2006/relationships/hyperlink" Target="https://drive.google.com/file/d/1VqKAYv6mdqAXSMMWTkrPLqeGADgf-lfu/view?usp=drivesdk" TargetMode="External"/><Relationship Id="rId453" Type="http://schemas.openxmlformats.org/officeDocument/2006/relationships/hyperlink" Target="https://drive.google.com/file/d/1Ft__0M16igomhppA-Q2_5oqGf4N2p30N/view?usp=drivesdk" TargetMode="External"/><Relationship Id="rId1288" Type="http://schemas.openxmlformats.org/officeDocument/2006/relationships/hyperlink" Target="https://drive.google.com/file/d/1_8vZFL2C3RukQSqUhUrdjmGddVZhbsAf/view?usp=drivesdk" TargetMode="External"/><Relationship Id="rId452" Type="http://schemas.openxmlformats.org/officeDocument/2006/relationships/hyperlink" Target="https://drive.google.com/file/d/16nq0tAhq6PJzIAA3D0tg9XXG7PsE5HFH/view?usp=drivesdk" TargetMode="External"/><Relationship Id="rId1289" Type="http://schemas.openxmlformats.org/officeDocument/2006/relationships/hyperlink" Target="https://drive.google.com/file/d/1z8DHg-NDzP2dRNa_wRDcZK7MPok5OYnv/view?usp=drivesdk" TargetMode="External"/><Relationship Id="rId3018" Type="http://schemas.openxmlformats.org/officeDocument/2006/relationships/hyperlink" Target="https://drive.google.com/file/d/1Op4HmVDibZOVGavc6O1xs-DsBfXiN13Z/view?usp=drivesdk" TargetMode="External"/><Relationship Id="rId3017" Type="http://schemas.openxmlformats.org/officeDocument/2006/relationships/hyperlink" Target="https://drive.google.com/file/d/1XC9MJ1sQ0ZDBxW7TYrpMPhwZerBj9YNt/view?usp=drivesdk" TargetMode="External"/><Relationship Id="rId3019" Type="http://schemas.openxmlformats.org/officeDocument/2006/relationships/hyperlink" Target="https://drive.google.com/file/d/1HsUacmsBkUjOqrAILnRZDoG-Tai3q_KS/view?usp=drivesdk" TargetMode="External"/><Relationship Id="rId491" Type="http://schemas.openxmlformats.org/officeDocument/2006/relationships/hyperlink" Target="https://drive.google.com/file/d/1zFJ_5NdLNaLqfPp9OoqgBtuhqFnvQq7d/view?usp=drivesdk" TargetMode="External"/><Relationship Id="rId490" Type="http://schemas.openxmlformats.org/officeDocument/2006/relationships/hyperlink" Target="https://drive.google.com/file/d/1Yi46rsA65xg3LcatCXsvOI5_YpvIx1Mn/view?usp=drivesdk" TargetMode="External"/><Relationship Id="rId489" Type="http://schemas.openxmlformats.org/officeDocument/2006/relationships/hyperlink" Target="https://drive.google.com/file/d/189QocUIXKDDfsVMvRHVuQE6iEZIrmkow/view?usp=drivesdk" TargetMode="External"/><Relationship Id="rId484" Type="http://schemas.openxmlformats.org/officeDocument/2006/relationships/hyperlink" Target="https://drive.google.com/file/d/1DVa6iQmfeKFo_veOij-DLmFKSu7oIZf9/view?usp=drivesdk" TargetMode="External"/><Relationship Id="rId3010" Type="http://schemas.openxmlformats.org/officeDocument/2006/relationships/hyperlink" Target="https://drive.google.com/file/d/1r9q0Hde3J3vVNhxFmK2Po5xaKv3-F-zp/view?usp=drivesdk" TargetMode="External"/><Relationship Id="rId483" Type="http://schemas.openxmlformats.org/officeDocument/2006/relationships/hyperlink" Target="https://drive.google.com/file/d/1cOV82p6OZDn9bsvpBEASOZWQKrECvYLN/view?usp=drivesdk" TargetMode="External"/><Relationship Id="rId482" Type="http://schemas.openxmlformats.org/officeDocument/2006/relationships/hyperlink" Target="https://drive.google.com/file/d/15ErQev4y8ZVOMJyZdjU8RlHLRa3eubuA/view?usp=drivesdk" TargetMode="External"/><Relationship Id="rId3012" Type="http://schemas.openxmlformats.org/officeDocument/2006/relationships/hyperlink" Target="https://drive.google.com/file/d/15tJmHyneEzYdnmZYNfy4bm2w9mPozcSX/view?usp=drivesdk" TargetMode="External"/><Relationship Id="rId481" Type="http://schemas.openxmlformats.org/officeDocument/2006/relationships/hyperlink" Target="https://drive.google.com/file/d/1t5y5giFqUqKhKxaFKYHCPAdI66jTzPo7/view?usp=drivesdk" TargetMode="External"/><Relationship Id="rId3011" Type="http://schemas.openxmlformats.org/officeDocument/2006/relationships/hyperlink" Target="https://drive.google.com/file/d/1-T80--880F8AYViz9yJjeb13N-ilbvd1/view?usp=drivesdk" TargetMode="External"/><Relationship Id="rId488" Type="http://schemas.openxmlformats.org/officeDocument/2006/relationships/hyperlink" Target="https://drive.google.com/file/d/1DbepTaCI3Rh1JF9NEBGM_iquuToCjXGP/view?usp=drivesdk" TargetMode="External"/><Relationship Id="rId3014" Type="http://schemas.openxmlformats.org/officeDocument/2006/relationships/hyperlink" Target="https://drive.google.com/file/d/1C1FZFU8NIY4CtK7WwsRz574BjYldNAUZ/view?usp=drivesdk" TargetMode="External"/><Relationship Id="rId487" Type="http://schemas.openxmlformats.org/officeDocument/2006/relationships/hyperlink" Target="https://drive.google.com/file/d/1pc88ejMci2yznwF2RsUxHz-yO-JFRC7X/view?usp=drivesdk" TargetMode="External"/><Relationship Id="rId3013" Type="http://schemas.openxmlformats.org/officeDocument/2006/relationships/hyperlink" Target="https://drive.google.com/file/d/1M1CYS9voVaDQ3cn-jSJCnIQ1Sjgm6H84/view?usp=drivesdk" TargetMode="External"/><Relationship Id="rId486" Type="http://schemas.openxmlformats.org/officeDocument/2006/relationships/hyperlink" Target="https://drive.google.com/file/d/1rJacEm6HTiX3eCQhSiQtD3d-4KQ7nYas/view?usp=drivesdk" TargetMode="External"/><Relationship Id="rId3016" Type="http://schemas.openxmlformats.org/officeDocument/2006/relationships/hyperlink" Target="https://drive.google.com/file/d/1PbAdvpXEib1gMoSZuVKdO090Oo2EG_6D/view?usp=drivesdk" TargetMode="External"/><Relationship Id="rId485" Type="http://schemas.openxmlformats.org/officeDocument/2006/relationships/hyperlink" Target="https://drive.google.com/file/d/1hlbSQ7eMW5mtxnJzGPlsvihg_PBVldxR/view?usp=drivesdk" TargetMode="External"/><Relationship Id="rId3015" Type="http://schemas.openxmlformats.org/officeDocument/2006/relationships/hyperlink" Target="https://drive.google.com/file/d/1pQzXRzkO6XgFI2uCFGXhEanFIAj4UYaW/view?usp=drivesdk" TargetMode="External"/><Relationship Id="rId3007" Type="http://schemas.openxmlformats.org/officeDocument/2006/relationships/hyperlink" Target="https://drive.google.com/file/d/1u3yXeFtmuabkRgTrQKQZARGthmuXgOvH/view?usp=drivesdk" TargetMode="External"/><Relationship Id="rId3006" Type="http://schemas.openxmlformats.org/officeDocument/2006/relationships/hyperlink" Target="https://drive.google.com/file/d/1i94YXhJMiw3ZH8ygRdRmaDGizy83bI7F/view?usp=drivesdk" TargetMode="External"/><Relationship Id="rId3009" Type="http://schemas.openxmlformats.org/officeDocument/2006/relationships/hyperlink" Target="https://drive.google.com/file/d/18zUu7DqLEcwYVIpWDFDJq1Xr31jq62dk/view?usp=drivesdk" TargetMode="External"/><Relationship Id="rId3008" Type="http://schemas.openxmlformats.org/officeDocument/2006/relationships/hyperlink" Target="https://drive.google.com/file/d/1DM41A_eRfY2g3Quu4iBLp0ZIoqbKxMMU/view?usp=drivesdk" TargetMode="External"/><Relationship Id="rId480" Type="http://schemas.openxmlformats.org/officeDocument/2006/relationships/hyperlink" Target="https://drive.google.com/file/d/15QkJ-bgR2CEHlKXfd3ze1ez_6zIE_jkE/view?usp=drivesdk" TargetMode="External"/><Relationship Id="rId479" Type="http://schemas.openxmlformats.org/officeDocument/2006/relationships/hyperlink" Target="https://drive.google.com/file/d/1_bER7fwYJ1MHkktVp_7JaH0eWUpABaIs/view?usp=drivesdk" TargetMode="External"/><Relationship Id="rId478" Type="http://schemas.openxmlformats.org/officeDocument/2006/relationships/hyperlink" Target="https://drive.google.com/file/d/1rH_AjOdZ0R-V2YwP8BF0zMWGxNfYO21Y/view?usp=drivesdk" TargetMode="External"/><Relationship Id="rId473" Type="http://schemas.openxmlformats.org/officeDocument/2006/relationships/hyperlink" Target="https://drive.google.com/file/d/14Bnqzguec44JIXkeaeGCNkHXBciCPKqN/view?usp=drivesdk" TargetMode="External"/><Relationship Id="rId472" Type="http://schemas.openxmlformats.org/officeDocument/2006/relationships/hyperlink" Target="https://drive.google.com/file/d/1apOjqxq45YFhgfyWVWvSYvialc0Ld9lz/view?usp=drivesdk" TargetMode="External"/><Relationship Id="rId471" Type="http://schemas.openxmlformats.org/officeDocument/2006/relationships/hyperlink" Target="https://drive.google.com/file/d/18DBzzlG2w-5zGh4xnGguzsvChG7SVMyz/view?usp=drivesdk" TargetMode="External"/><Relationship Id="rId3001" Type="http://schemas.openxmlformats.org/officeDocument/2006/relationships/hyperlink" Target="https://drive.google.com/file/d/1Pl9zCJIL86i_NJ34tEwHmEdVdn2aXi5U/view?usp=drivesdk" TargetMode="External"/><Relationship Id="rId470" Type="http://schemas.openxmlformats.org/officeDocument/2006/relationships/hyperlink" Target="https://drive.google.com/file/d/1pVuXKIfy2Zhei5D4z3BhZ3juIL9nVIl1/view?usp=drivesdk" TargetMode="External"/><Relationship Id="rId3000" Type="http://schemas.openxmlformats.org/officeDocument/2006/relationships/hyperlink" Target="https://drive.google.com/file/d/1MupzBimn_UAZA4lVwDAYy7VXlAzezj8N/view?usp=drivesdk" TargetMode="External"/><Relationship Id="rId477" Type="http://schemas.openxmlformats.org/officeDocument/2006/relationships/hyperlink" Target="https://drive.google.com/file/d/1--Q-GESSFXWLeXZlpwpcTEsxq1xfNHUv/view?usp=drivesdk" TargetMode="External"/><Relationship Id="rId3003" Type="http://schemas.openxmlformats.org/officeDocument/2006/relationships/hyperlink" Target="https://drive.google.com/file/d/16iKu4D1NAngNCgjbOPTW1QhcjBxOmLXE/view?usp=drivesdk" TargetMode="External"/><Relationship Id="rId476" Type="http://schemas.openxmlformats.org/officeDocument/2006/relationships/hyperlink" Target="https://drive.google.com/file/d/1sHUtkqcOREPSGBPWQaF5U9KXAPhvRJJH/view?usp=drivesdk" TargetMode="External"/><Relationship Id="rId3002" Type="http://schemas.openxmlformats.org/officeDocument/2006/relationships/hyperlink" Target="https://drive.google.com/file/d/11uBNy-7G6iWl4pUOujsiCZT0M6lgQoU5/view?usp=drivesdk" TargetMode="External"/><Relationship Id="rId475" Type="http://schemas.openxmlformats.org/officeDocument/2006/relationships/hyperlink" Target="https://drive.google.com/file/d/12Y8Hm0tnWlVzDieUSlZYG1UIoTiDSTQ8/view?usp=drivesdk" TargetMode="External"/><Relationship Id="rId3005" Type="http://schemas.openxmlformats.org/officeDocument/2006/relationships/hyperlink" Target="https://drive.google.com/file/d/1gkhNJ1EVy9udEu4gTE9Udvr9FLj6F1kw/view?usp=drivesdk" TargetMode="External"/><Relationship Id="rId474" Type="http://schemas.openxmlformats.org/officeDocument/2006/relationships/hyperlink" Target="https://drive.google.com/file/d/1COXUJ5iZFYCqpcpLC4YVMSYxZSwA8Yu3/view?usp=drivesdk" TargetMode="External"/><Relationship Id="rId3004" Type="http://schemas.openxmlformats.org/officeDocument/2006/relationships/hyperlink" Target="https://drive.google.com/file/d/1SX2CV6Ul9kVrMf0akDZHH-v4cc84Gi_L/view?usp=drivesdk" TargetMode="External"/><Relationship Id="rId1257" Type="http://schemas.openxmlformats.org/officeDocument/2006/relationships/hyperlink" Target="https://drive.google.com/file/d/19-NkuHWY_ZPiW3njBjRK1L12ioGWp-wm/view?usp=drivesdk" TargetMode="External"/><Relationship Id="rId2588" Type="http://schemas.openxmlformats.org/officeDocument/2006/relationships/hyperlink" Target="https://drive.google.com/file/d/161t9COSRW54qTGVJlUkhbFoEojUXeDZj/view?usp=drivesdk" TargetMode="External"/><Relationship Id="rId1258" Type="http://schemas.openxmlformats.org/officeDocument/2006/relationships/hyperlink" Target="https://drive.google.com/file/d/1Z8W5__S3pzvbTqKOON6tioye2QAbmK1M/view?usp=drivesdk" TargetMode="External"/><Relationship Id="rId2589" Type="http://schemas.openxmlformats.org/officeDocument/2006/relationships/hyperlink" Target="https://drive.google.com/file/d/1D29tX7bT7bXYZn5HLrDq5qMtSNDKrq3s/view?usp=drivesdk" TargetMode="External"/><Relationship Id="rId1259" Type="http://schemas.openxmlformats.org/officeDocument/2006/relationships/hyperlink" Target="https://drive.google.com/file/d/1ozoG0jMTt9cX32IJWZcVcrxf4LvEoQAJ/view?usp=drivesdk" TargetMode="External"/><Relationship Id="rId426" Type="http://schemas.openxmlformats.org/officeDocument/2006/relationships/hyperlink" Target="https://drive.google.com/file/d/1huuIFm30nYaAPoK_A6OokpSJ38QaBvFL/view?usp=drivesdk" TargetMode="External"/><Relationship Id="rId425" Type="http://schemas.openxmlformats.org/officeDocument/2006/relationships/hyperlink" Target="https://drive.google.com/file/d/1tf56PkvlewI-FjGfetIn9uRp23xks-Az/view?usp=drivesdk" TargetMode="External"/><Relationship Id="rId424" Type="http://schemas.openxmlformats.org/officeDocument/2006/relationships/hyperlink" Target="https://drive.google.com/file/d/1xzXS0wG-bB_EgfekuSc5roEQV50tGuPG/view?usp=drivesdk" TargetMode="External"/><Relationship Id="rId423" Type="http://schemas.openxmlformats.org/officeDocument/2006/relationships/hyperlink" Target="https://drive.google.com/file/d/1ONW71AwpRpZqVbIqcdb5MRNrcH8cuigz/view?usp=drivesdk" TargetMode="External"/><Relationship Id="rId429" Type="http://schemas.openxmlformats.org/officeDocument/2006/relationships/hyperlink" Target="https://drive.google.com/file/d/1r0J252fonV2DTyhTzBgCi7k7EgxbfPea/view?usp=drivesdk" TargetMode="External"/><Relationship Id="rId428" Type="http://schemas.openxmlformats.org/officeDocument/2006/relationships/hyperlink" Target="https://drive.google.com/file/d/1KcGv2DL87gj0xWndRwJg7cGQzeN1OoZP/view?usp=drivesdk" TargetMode="External"/><Relationship Id="rId427" Type="http://schemas.openxmlformats.org/officeDocument/2006/relationships/hyperlink" Target="https://drive.google.com/file/d/1vDgPv0OE3Uy4NVPZE1Yd68D398wR0kLe/view?usp=drivesdk" TargetMode="External"/><Relationship Id="rId2580" Type="http://schemas.openxmlformats.org/officeDocument/2006/relationships/hyperlink" Target="https://drive.google.com/file/d/1uEq9iXJQJsrVHLKlDbE_kofmljz60OgF/view?usp=drivesdk" TargetMode="External"/><Relationship Id="rId1250" Type="http://schemas.openxmlformats.org/officeDocument/2006/relationships/hyperlink" Target="https://drive.google.com/file/d/1EiidTR0Sin-3ohXzbIaN9yL2R-zgGVFM/view?usp=drivesdk" TargetMode="External"/><Relationship Id="rId2581" Type="http://schemas.openxmlformats.org/officeDocument/2006/relationships/hyperlink" Target="https://drive.google.com/file/d/18ccLM6aXaPZnWIQ1MCoxb6tmXG06yclg/view?usp=drivesdk" TargetMode="External"/><Relationship Id="rId1251" Type="http://schemas.openxmlformats.org/officeDocument/2006/relationships/hyperlink" Target="https://drive.google.com/file/d/1ddyTnRaRpJkYlCxojUqXWez-HQyrgB9P/view?usp=drivesdk" TargetMode="External"/><Relationship Id="rId2582" Type="http://schemas.openxmlformats.org/officeDocument/2006/relationships/hyperlink" Target="https://drive.google.com/file/d/1MIdxthX2Dizi5I_LrkNBAYdMoxFKLSZO/view?usp=drivesdk" TargetMode="External"/><Relationship Id="rId1252" Type="http://schemas.openxmlformats.org/officeDocument/2006/relationships/hyperlink" Target="https://drive.google.com/file/d/191wg7leVvTp6oS4dFhSIf6Ude11qHSm8/view?usp=drivesdk" TargetMode="External"/><Relationship Id="rId2583" Type="http://schemas.openxmlformats.org/officeDocument/2006/relationships/hyperlink" Target="https://drive.google.com/file/d/120AZR4dKX0TLqqcOt_yKcPtWBxpvCSPS/view?usp=drivesdk" TargetMode="External"/><Relationship Id="rId422" Type="http://schemas.openxmlformats.org/officeDocument/2006/relationships/hyperlink" Target="https://drive.google.com/file/d/1HozMo8Gq0gV2t7pP_mm-VnhJTftMOqy3/view?usp=drivesdk" TargetMode="External"/><Relationship Id="rId1253" Type="http://schemas.openxmlformats.org/officeDocument/2006/relationships/hyperlink" Target="https://drive.google.com/file/d/1VM-hxrjjs1ms_WD2wqqR3RCdis_KfqXy/view?usp=drivesdk" TargetMode="External"/><Relationship Id="rId2584" Type="http://schemas.openxmlformats.org/officeDocument/2006/relationships/hyperlink" Target="https://drive.google.com/file/d/1bVKdRmLccSDPxyx5hHiIAWxKYlSomPS2/view?usp=drivesdk" TargetMode="External"/><Relationship Id="rId421" Type="http://schemas.openxmlformats.org/officeDocument/2006/relationships/hyperlink" Target="https://drive.google.com/file/d/1V5BahTgcNlnVlILGqxuiOpktPWOuwhgV/view?usp=drivesdk" TargetMode="External"/><Relationship Id="rId1254" Type="http://schemas.openxmlformats.org/officeDocument/2006/relationships/hyperlink" Target="https://drive.google.com/file/d/1v1S_3-3ZIGLSM6tWsZ1WOTGF0rTuX-_x/view?usp=drivesdk" TargetMode="External"/><Relationship Id="rId2585" Type="http://schemas.openxmlformats.org/officeDocument/2006/relationships/hyperlink" Target="https://drive.google.com/file/d/1lNb2a3L024eJtGo4fSWhom9BboRfwKYo/view?usp=drivesdk" TargetMode="External"/><Relationship Id="rId420" Type="http://schemas.openxmlformats.org/officeDocument/2006/relationships/hyperlink" Target="https://drive.google.com/file/d/1NzTrKcIgEotXMjA6X4y7mhEEPj-7l-6v/view?usp=drivesdk" TargetMode="External"/><Relationship Id="rId1255" Type="http://schemas.openxmlformats.org/officeDocument/2006/relationships/hyperlink" Target="https://drive.google.com/file/d/1E8n7_qgAmqpVVmNQALjT_YJ6UyfjnE41/view?usp=drivesdk" TargetMode="External"/><Relationship Id="rId2586" Type="http://schemas.openxmlformats.org/officeDocument/2006/relationships/hyperlink" Target="https://drive.google.com/file/d/1GbqxJTcRZmx1aBXlL1HH-xxdKncZ11i3/view?usp=drivesdk" TargetMode="External"/><Relationship Id="rId1256" Type="http://schemas.openxmlformats.org/officeDocument/2006/relationships/hyperlink" Target="https://drive.google.com/file/d/1Z1yeanm9m_XlG-bXcP_pRUR8pBkF_6de/view?usp=drivesdk" TargetMode="External"/><Relationship Id="rId2587" Type="http://schemas.openxmlformats.org/officeDocument/2006/relationships/hyperlink" Target="https://drive.google.com/file/d/1w40Jf5oDjixMh6ymB0eJZ6y0wFqHv-NN/view?usp=drivesdk" TargetMode="External"/><Relationship Id="rId1246" Type="http://schemas.openxmlformats.org/officeDocument/2006/relationships/hyperlink" Target="https://drive.google.com/file/d/1IEgmizpSCt-6gW-fb7xRm3_hcQgBQYh3/view?usp=drivesdk" TargetMode="External"/><Relationship Id="rId2577" Type="http://schemas.openxmlformats.org/officeDocument/2006/relationships/hyperlink" Target="https://drive.google.com/file/d/1Q4vvBcqNYjkJESJmh2qABtA0mASE4XYX/view?usp=drivesdk" TargetMode="External"/><Relationship Id="rId1247" Type="http://schemas.openxmlformats.org/officeDocument/2006/relationships/hyperlink" Target="https://drive.google.com/file/d/1mwlmERx-X7Kma26FjLBp_4XyaqoYSOjL/view?usp=drivesdk" TargetMode="External"/><Relationship Id="rId2578" Type="http://schemas.openxmlformats.org/officeDocument/2006/relationships/hyperlink" Target="https://drive.google.com/file/d/1Jxkz6GXAMvYdSlobGgjWJLeWxIOZhQEP/view?usp=drivesdk" TargetMode="External"/><Relationship Id="rId1248" Type="http://schemas.openxmlformats.org/officeDocument/2006/relationships/hyperlink" Target="https://drive.google.com/file/d/1tjYmZEKmjVQhuwiRlQKQONvfTe2PV1vl/view?usp=drivesdk" TargetMode="External"/><Relationship Id="rId2579" Type="http://schemas.openxmlformats.org/officeDocument/2006/relationships/hyperlink" Target="https://drive.google.com/file/d/1VT8qMH9VVrWAd1k6bfpWPe9HA_diZBMQ/view?usp=drivesdk" TargetMode="External"/><Relationship Id="rId1249" Type="http://schemas.openxmlformats.org/officeDocument/2006/relationships/hyperlink" Target="https://drive.google.com/file/d/1RB5XcVGL9Bx6IhOYc122c-tUX61OIWHO/view?usp=drivesdk" TargetMode="External"/><Relationship Id="rId415" Type="http://schemas.openxmlformats.org/officeDocument/2006/relationships/hyperlink" Target="https://drive.google.com/file/d/1wya43ZZeaj-v89RwbhWvdc-POGefNCBK/view?usp=drivesdk" TargetMode="External"/><Relationship Id="rId414" Type="http://schemas.openxmlformats.org/officeDocument/2006/relationships/hyperlink" Target="https://drive.google.com/file/d/1TF8ZlrUCA5lq3K7fmUSSrgtl5P2zNC3P/view?usp=drivesdk" TargetMode="External"/><Relationship Id="rId413" Type="http://schemas.openxmlformats.org/officeDocument/2006/relationships/hyperlink" Target="https://drive.google.com/file/d/1wD2H5J6flVeXC2keuUZYeaAdNXWF7GWS/view?usp=drivesdk" TargetMode="External"/><Relationship Id="rId412" Type="http://schemas.openxmlformats.org/officeDocument/2006/relationships/hyperlink" Target="https://drive.google.com/file/d/1NSH2QytNHgfXOVgHZM_uG3VhpAsQV4lP/view?usp=drivesdk" TargetMode="External"/><Relationship Id="rId419" Type="http://schemas.openxmlformats.org/officeDocument/2006/relationships/hyperlink" Target="https://drive.google.com/file/d/1c9y0uO2kYhQl6258vf4YEjgAN3gmxM_c/view?usp=drivesdk" TargetMode="External"/><Relationship Id="rId418" Type="http://schemas.openxmlformats.org/officeDocument/2006/relationships/hyperlink" Target="https://drive.google.com/file/d/1XYwt_n5YoOROIlBdzqVodETLGFC5NGhG/view?usp=drivesdk" TargetMode="External"/><Relationship Id="rId417" Type="http://schemas.openxmlformats.org/officeDocument/2006/relationships/hyperlink" Target="https://drive.google.com/file/d/1dJODWBtxMThxkqV0eIXOYFy8muoQnj4s/view?usp=drivesdk" TargetMode="External"/><Relationship Id="rId416" Type="http://schemas.openxmlformats.org/officeDocument/2006/relationships/hyperlink" Target="https://drive.google.com/file/d/1ZKL-ND5I2lUcSH8gklPH0FEk-3eBcNgA/view?usp=drivesdk" TargetMode="External"/><Relationship Id="rId2570" Type="http://schemas.openxmlformats.org/officeDocument/2006/relationships/hyperlink" Target="https://drive.google.com/file/d/1jqNgV4SmPec0_aVT2okuIn-9McpqzoHg/view?usp=drivesdk" TargetMode="External"/><Relationship Id="rId1240" Type="http://schemas.openxmlformats.org/officeDocument/2006/relationships/hyperlink" Target="https://drive.google.com/file/d/1g_LGxIDVVkY6chj-h2ydadLPe2v2idF1/view?usp=drivesdk" TargetMode="External"/><Relationship Id="rId2571" Type="http://schemas.openxmlformats.org/officeDocument/2006/relationships/hyperlink" Target="https://drive.google.com/file/d/1W_O3086KmqGT6E3rYJurMAuX5qGCzFLW/view?usp=drivesdk" TargetMode="External"/><Relationship Id="rId1241" Type="http://schemas.openxmlformats.org/officeDocument/2006/relationships/hyperlink" Target="https://drive.google.com/file/d/1zl8jNwP9gqp7c1NzdvfRHGtKGIs4ANnf/view?usp=drivesdk" TargetMode="External"/><Relationship Id="rId2572" Type="http://schemas.openxmlformats.org/officeDocument/2006/relationships/hyperlink" Target="https://drive.google.com/file/d/1PFBkwP4c_a6ztRjJ8UEqmbeSkEvCjDTk/view?usp=drivesdk" TargetMode="External"/><Relationship Id="rId411" Type="http://schemas.openxmlformats.org/officeDocument/2006/relationships/hyperlink" Target="https://drive.google.com/file/d/1OY_fe90I1DLO7Pepf8zilUiSHKgC9dD2/view?usp=drivesdk" TargetMode="External"/><Relationship Id="rId1242" Type="http://schemas.openxmlformats.org/officeDocument/2006/relationships/hyperlink" Target="https://drive.google.com/file/d/1Zm_HrBP5DfohctNkLujpxQtDJfu-R9Mx/view?usp=drivesdk" TargetMode="External"/><Relationship Id="rId2573" Type="http://schemas.openxmlformats.org/officeDocument/2006/relationships/hyperlink" Target="https://drive.google.com/file/d/1jMdvVJpsjtgWq5BLJktKz_JJpVc6mDBJ/view?usp=drivesdk" TargetMode="External"/><Relationship Id="rId410" Type="http://schemas.openxmlformats.org/officeDocument/2006/relationships/hyperlink" Target="http://b.sc/B.Com" TargetMode="External"/><Relationship Id="rId1243" Type="http://schemas.openxmlformats.org/officeDocument/2006/relationships/hyperlink" Target="https://drive.google.com/file/d/1q4ZcXxBD_Hqpeu0wdJ06e-bqqF21t0hg/view?usp=drivesdk" TargetMode="External"/><Relationship Id="rId2574" Type="http://schemas.openxmlformats.org/officeDocument/2006/relationships/hyperlink" Target="https://drive.google.com/file/d/14GwsJpOnrcne2DHRq5SlBd-b03cirDDy/view?usp=drivesdk" TargetMode="External"/><Relationship Id="rId1244" Type="http://schemas.openxmlformats.org/officeDocument/2006/relationships/hyperlink" Target="https://drive.google.com/file/d/1MY3eZuTl9G5ygtsJzTwtxPpsIYWm_9Zv/view?usp=drivesdk" TargetMode="External"/><Relationship Id="rId2575" Type="http://schemas.openxmlformats.org/officeDocument/2006/relationships/hyperlink" Target="https://drive.google.com/file/d/1qgbGfoPe-ZUTq1QtslK8rIvlBkjHIXl8/view?usp=drivesdk" TargetMode="External"/><Relationship Id="rId1245" Type="http://schemas.openxmlformats.org/officeDocument/2006/relationships/hyperlink" Target="https://drive.google.com/file/d/1-SNGnBQ7obGvEICKxpo5NjZ9FJrmX9F7/view?usp=drivesdk" TargetMode="External"/><Relationship Id="rId2576" Type="http://schemas.openxmlformats.org/officeDocument/2006/relationships/hyperlink" Target="https://drive.google.com/file/d/1W6p_6i6i1U4l1Qwm_m9DvB7KdzVpa0ck/view?usp=drivesdk" TargetMode="External"/><Relationship Id="rId1279" Type="http://schemas.openxmlformats.org/officeDocument/2006/relationships/hyperlink" Target="https://drive.google.com/file/d/1V93h4BUwgjXAT9pIZcVMcBFVV9SubGCC/view?usp=drivesdk" TargetMode="External"/><Relationship Id="rId448" Type="http://schemas.openxmlformats.org/officeDocument/2006/relationships/hyperlink" Target="https://drive.google.com/file/d/1GTgEhDDrpIAJScH78Pdg2s9qDBsrE-ZN/view?usp=drivesdk" TargetMode="External"/><Relationship Id="rId447" Type="http://schemas.openxmlformats.org/officeDocument/2006/relationships/hyperlink" Target="https://drive.google.com/file/d/1BDVSUNL5idYVNlJ6QZmQAvbv-WUVuBo2/view?usp=drivesdk" TargetMode="External"/><Relationship Id="rId446" Type="http://schemas.openxmlformats.org/officeDocument/2006/relationships/hyperlink" Target="https://drive.google.com/file/d/1sm31JIoaR63elCi8yVOgC5CY9kQ1887J/view?usp=drivesdk" TargetMode="External"/><Relationship Id="rId445" Type="http://schemas.openxmlformats.org/officeDocument/2006/relationships/hyperlink" Target="https://drive.google.com/file/d/1KUxIWo_WhfdUp8mE46y8T7CDlU1lN7BA/view?usp=drivesdk" TargetMode="External"/><Relationship Id="rId449" Type="http://schemas.openxmlformats.org/officeDocument/2006/relationships/hyperlink" Target="https://drive.google.com/file/d/1H2g74NMOgEHWE6rAqVSAdeMG5AJ0fC_x/view?usp=drivesdk" TargetMode="External"/><Relationship Id="rId1270" Type="http://schemas.openxmlformats.org/officeDocument/2006/relationships/hyperlink" Target="https://drive.google.com/file/d/1zHkCgPCNnHA9Ok2Odl3AvjRW-1jW3GOU/view?usp=drivesdk" TargetMode="External"/><Relationship Id="rId440" Type="http://schemas.openxmlformats.org/officeDocument/2006/relationships/hyperlink" Target="https://drive.google.com/file/d/1keUcYYHgtByFC-XnuuEw8VZFJv_IWhTk/view?usp=drivesdk" TargetMode="External"/><Relationship Id="rId1271" Type="http://schemas.openxmlformats.org/officeDocument/2006/relationships/hyperlink" Target="https://drive.google.com/file/d/1b8QUfcPpcBvGCj8T3JU2OxL7FaTUz2DF/view?usp=drivesdk" TargetMode="External"/><Relationship Id="rId1272" Type="http://schemas.openxmlformats.org/officeDocument/2006/relationships/hyperlink" Target="https://drive.google.com/file/d/1OuoqYaienfP2EH_AipfHMmuJa_4z-ZWf/view?usp=drivesdk" TargetMode="External"/><Relationship Id="rId1273" Type="http://schemas.openxmlformats.org/officeDocument/2006/relationships/hyperlink" Target="https://drive.google.com/file/d/1P8_jXO_Vc1s4wwd2Xk-4Cl00-DDHfM1c/view?usp=drivesdk" TargetMode="External"/><Relationship Id="rId1274" Type="http://schemas.openxmlformats.org/officeDocument/2006/relationships/hyperlink" Target="https://drive.google.com/file/d/1CfUq2_V-LrLw4XzkjpC4x9CvMwTeGt3k/view?usp=drivesdk" TargetMode="External"/><Relationship Id="rId444" Type="http://schemas.openxmlformats.org/officeDocument/2006/relationships/hyperlink" Target="https://drive.google.com/file/d/1W-I44D6f0S6GXBFH_pVHJtIqH8WMbb_k/view?usp=drivesdk" TargetMode="External"/><Relationship Id="rId1275" Type="http://schemas.openxmlformats.org/officeDocument/2006/relationships/hyperlink" Target="https://drive.google.com/file/d/1IfCeJR2KY3Ht5ioe49KMIQdxFg-xRcUY/view?usp=drivesdk" TargetMode="External"/><Relationship Id="rId443" Type="http://schemas.openxmlformats.org/officeDocument/2006/relationships/hyperlink" Target="https://drive.google.com/file/d/1F2tMUhvC8SkbigT-IlLNAPXKxCkuok1U/view?usp=drivesdk" TargetMode="External"/><Relationship Id="rId1276" Type="http://schemas.openxmlformats.org/officeDocument/2006/relationships/hyperlink" Target="https://drive.google.com/file/d/1qRcCqW1JdxoGwYw-NeJQLI4r__pp7C9K/view?usp=drivesdk" TargetMode="External"/><Relationship Id="rId442" Type="http://schemas.openxmlformats.org/officeDocument/2006/relationships/hyperlink" Target="https://drive.google.com/file/d/1FpQESBXjKdQqaQBjyr3uQlyrrC4HQiuS/view?usp=drivesdk" TargetMode="External"/><Relationship Id="rId1277" Type="http://schemas.openxmlformats.org/officeDocument/2006/relationships/hyperlink" Target="https://drive.google.com/file/d/1O__QZDg40BKc7yZ5jCi63HuPmbB9RiM4/view?usp=drivesdk" TargetMode="External"/><Relationship Id="rId441" Type="http://schemas.openxmlformats.org/officeDocument/2006/relationships/hyperlink" Target="https://drive.google.com/file/d/1R2FKQplTup4fsq1LL7Tk2EbSvTE_TIAP/view?usp=drivesdk" TargetMode="External"/><Relationship Id="rId1278" Type="http://schemas.openxmlformats.org/officeDocument/2006/relationships/hyperlink" Target="https://drive.google.com/file/d/1GcoqBy1BfouI50ubt09tMPHy3RIjv5Ld/view?usp=drivesdk" TargetMode="External"/><Relationship Id="rId1268" Type="http://schemas.openxmlformats.org/officeDocument/2006/relationships/hyperlink" Target="https://drive.google.com/file/d/1md_L5BGLH_-RC3AbZs0Bec_LoqV4Iu7V/view?usp=drivesdk" TargetMode="External"/><Relationship Id="rId2599" Type="http://schemas.openxmlformats.org/officeDocument/2006/relationships/hyperlink" Target="https://drive.google.com/file/d/1Lheo7MuT0_0bjgkbZx3qW-AIAlrrdXHm/view?usp=drivesdk" TargetMode="External"/><Relationship Id="rId1269" Type="http://schemas.openxmlformats.org/officeDocument/2006/relationships/hyperlink" Target="https://drive.google.com/file/d/18fm-9dSbbKW7IzjptEzPsoZdyQ61pLrb/view?usp=drivesdk" TargetMode="External"/><Relationship Id="rId437" Type="http://schemas.openxmlformats.org/officeDocument/2006/relationships/hyperlink" Target="https://drive.google.com/file/d/1SH6ECVGmprIbW5t7f-_L8Cc87nFsviKp/view?usp=drivesdk" TargetMode="External"/><Relationship Id="rId436" Type="http://schemas.openxmlformats.org/officeDocument/2006/relationships/hyperlink" Target="https://drive.google.com/file/d/1umDaiAUyM_7iRiHuc7-5JB0-SSoN5XBH/view?usp=drivesdk" TargetMode="External"/><Relationship Id="rId435" Type="http://schemas.openxmlformats.org/officeDocument/2006/relationships/hyperlink" Target="https://drive.google.com/file/d/1o3BVh8VqDmzgvIS_Qj-udOQ3uw6R8Y7p/view?usp=drivesdk" TargetMode="External"/><Relationship Id="rId434" Type="http://schemas.openxmlformats.org/officeDocument/2006/relationships/hyperlink" Target="https://drive.google.com/file/d/17CWNFiA86s5aNWKaVDrsZzytxjlh1MGN/view?usp=drivesdk" TargetMode="External"/><Relationship Id="rId439" Type="http://schemas.openxmlformats.org/officeDocument/2006/relationships/hyperlink" Target="https://drive.google.com/file/d/1PfuSRuJN5oAuhkkVo6ClcypTAu0AXfJj/view?usp=drivesdk" TargetMode="External"/><Relationship Id="rId438" Type="http://schemas.openxmlformats.org/officeDocument/2006/relationships/hyperlink" Target="https://drive.google.com/file/d/1Kjm7Tapp8hhYMZhjFJWdh0neE4nbKRzN/view?usp=drivesdk" TargetMode="External"/><Relationship Id="rId2590" Type="http://schemas.openxmlformats.org/officeDocument/2006/relationships/hyperlink" Target="https://drive.google.com/file/d/1NZc-ZnP24AZ8wDgJ6jGAa68t2bpaGjxX/view?usp=drivesdk" TargetMode="External"/><Relationship Id="rId1260" Type="http://schemas.openxmlformats.org/officeDocument/2006/relationships/hyperlink" Target="https://drive.google.com/file/d/1fu-p5N9e6VLVfD-Ug0P2gsmP7vXtEvBX/view?usp=drivesdk" TargetMode="External"/><Relationship Id="rId2591" Type="http://schemas.openxmlformats.org/officeDocument/2006/relationships/hyperlink" Target="https://drive.google.com/file/d/1fsvFh139u-CH-ilBH-U9nUDkHrD_D753/view?usp=drivesdk" TargetMode="External"/><Relationship Id="rId1261" Type="http://schemas.openxmlformats.org/officeDocument/2006/relationships/hyperlink" Target="https://drive.google.com/file/d/1IXkmFsbVZPY809tbQqeuTq-BLCSFp52u/view?usp=drivesdk" TargetMode="External"/><Relationship Id="rId2592" Type="http://schemas.openxmlformats.org/officeDocument/2006/relationships/hyperlink" Target="https://drive.google.com/file/d/1T_AMxwoa93gU1vQThGkUqWtGmXvdm9wf/view?usp=drivesdk" TargetMode="External"/><Relationship Id="rId1262" Type="http://schemas.openxmlformats.org/officeDocument/2006/relationships/hyperlink" Target="https://drive.google.com/file/d/1GzgM2WTNhCQXJDJjcoAVmUB7X4uLCGlF/view?usp=drivesdk" TargetMode="External"/><Relationship Id="rId2593" Type="http://schemas.openxmlformats.org/officeDocument/2006/relationships/hyperlink" Target="https://drive.google.com/file/d/1WIPgANq72U3qDr0QEdPivkrwzzWPlkVe/view?usp=drivesdk" TargetMode="External"/><Relationship Id="rId1263" Type="http://schemas.openxmlformats.org/officeDocument/2006/relationships/hyperlink" Target="https://drive.google.com/file/d/16ruggvtjl9x7_efoPdvlWkatVlqF4mz9/view?usp=drivesdk" TargetMode="External"/><Relationship Id="rId2594" Type="http://schemas.openxmlformats.org/officeDocument/2006/relationships/hyperlink" Target="https://drive.google.com/file/d/1RI1No1alXL9Gphg7USMgOhWckR56QpAo/view?usp=drivesdk" TargetMode="External"/><Relationship Id="rId433" Type="http://schemas.openxmlformats.org/officeDocument/2006/relationships/hyperlink" Target="http://b.sc/B.Com" TargetMode="External"/><Relationship Id="rId1264" Type="http://schemas.openxmlformats.org/officeDocument/2006/relationships/hyperlink" Target="https://drive.google.com/file/d/1bKSlPv1lC_PZ3XChuWpZUEts_r-08NbK/view?usp=drivesdk" TargetMode="External"/><Relationship Id="rId2595" Type="http://schemas.openxmlformats.org/officeDocument/2006/relationships/hyperlink" Target="https://drive.google.com/file/d/1X49M2BiIVPqhr5pjWMrNv2V5NtjqdY1R/view?usp=drivesdk" TargetMode="External"/><Relationship Id="rId432" Type="http://schemas.openxmlformats.org/officeDocument/2006/relationships/hyperlink" Target="https://drive.google.com/file/d/1cbU1OukJDH-B3-2mlsk46iD3yyxWptmD/view?usp=drivesdk" TargetMode="External"/><Relationship Id="rId1265" Type="http://schemas.openxmlformats.org/officeDocument/2006/relationships/hyperlink" Target="https://drive.google.com/file/d/1EmzO4ho-ImpTZGV1MRO94nSKYiXmSReK/view?usp=drivesdk" TargetMode="External"/><Relationship Id="rId2596" Type="http://schemas.openxmlformats.org/officeDocument/2006/relationships/hyperlink" Target="https://drive.google.com/file/d/1KAnFmsOJe9Q8s4IQXUmNzwlhbetv89NV/view?usp=drivesdk" TargetMode="External"/><Relationship Id="rId431" Type="http://schemas.openxmlformats.org/officeDocument/2006/relationships/hyperlink" Target="https://drive.google.com/file/d/1EcYoPkpknJFzav-1ydEk_zi0JADE1Z71/view?usp=drivesdk" TargetMode="External"/><Relationship Id="rId1266" Type="http://schemas.openxmlformats.org/officeDocument/2006/relationships/hyperlink" Target="https://drive.google.com/file/d/1Mith_KScxIyAyUPlb-llQTBaKxZIJaPc/view?usp=drivesdk" TargetMode="External"/><Relationship Id="rId2597" Type="http://schemas.openxmlformats.org/officeDocument/2006/relationships/hyperlink" Target="https://drive.google.com/file/d/14f3Ng3JTz_JUlKcDrFLz3t6OutFjqV8_/view?usp=drivesdk" TargetMode="External"/><Relationship Id="rId430" Type="http://schemas.openxmlformats.org/officeDocument/2006/relationships/hyperlink" Target="https://drive.google.com/file/d/1wb9tOzGhRSMHgbMRhWTcS91XM8yOZ_3Q/view?usp=drivesdk" TargetMode="External"/><Relationship Id="rId1267" Type="http://schemas.openxmlformats.org/officeDocument/2006/relationships/hyperlink" Target="https://drive.google.com/file/d/1jG8w8yOBolNTGycQHiIr8k1-Vrb9sm7e/view?usp=drivesdk" TargetMode="External"/><Relationship Id="rId2598" Type="http://schemas.openxmlformats.org/officeDocument/2006/relationships/hyperlink" Target="https://drive.google.com/file/d/1u7R0kLnbVrIFrFAqbGT2GWNZ9OueVk_d/view?usp=drivesdk" TargetMode="External"/><Relationship Id="rId3070" Type="http://schemas.openxmlformats.org/officeDocument/2006/relationships/hyperlink" Target="https://drive.google.com/file/d/1p6p0hj4Un-hfObiD6QllokJCxfxVFO2w/view?usp=drivesdk" TargetMode="External"/><Relationship Id="rId3072" Type="http://schemas.openxmlformats.org/officeDocument/2006/relationships/hyperlink" Target="https://drive.google.com/file/d/1kmm4xZFNSKNu51bQSBXJ8pFP3EWugFZC/view?usp=drivesdk" TargetMode="External"/><Relationship Id="rId3071" Type="http://schemas.openxmlformats.org/officeDocument/2006/relationships/hyperlink" Target="https://drive.google.com/file/d/1EzeZoEg4oxpHaUMle9Kc3GATphuzXxq3/view?usp=drivesdk" TargetMode="External"/><Relationship Id="rId3074" Type="http://schemas.openxmlformats.org/officeDocument/2006/relationships/hyperlink" Target="https://drive.google.com/file/d/1vq-wtsQClNSrPmtBrRGYOMnZ-r0BHFcn/view?usp=drivesdk" TargetMode="External"/><Relationship Id="rId3073" Type="http://schemas.openxmlformats.org/officeDocument/2006/relationships/hyperlink" Target="https://drive.google.com/file/d/1U2BYr2CMEnPUbgw708s1LK1nY1QbgA8m/view?usp=drivesdk" TargetMode="External"/><Relationship Id="rId3076" Type="http://schemas.openxmlformats.org/officeDocument/2006/relationships/hyperlink" Target="https://drive.google.com/file/d/1laVRxvv-ZsLiJWF5A6mAqtd5HF89Vx4r/view?usp=drivesdk" TargetMode="External"/><Relationship Id="rId3075" Type="http://schemas.openxmlformats.org/officeDocument/2006/relationships/hyperlink" Target="https://drive.google.com/file/d/17HZhWE2PHeBxBc1n5Q0naK0E2u-xDwnO/view?usp=drivesdk" TargetMode="External"/><Relationship Id="rId3078" Type="http://schemas.openxmlformats.org/officeDocument/2006/relationships/hyperlink" Target="https://drive.google.com/file/d/1IeP9d-dNo4gMsdIKjo4BCnZYFLSwIKme/view?usp=drivesdk" TargetMode="External"/><Relationship Id="rId3077" Type="http://schemas.openxmlformats.org/officeDocument/2006/relationships/hyperlink" Target="https://drive.google.com/file/d/14VpIKTHQRSMkrjhAEms1upSxLEVzx8Ht/view?usp=drivesdk" TargetMode="External"/><Relationship Id="rId3079" Type="http://schemas.openxmlformats.org/officeDocument/2006/relationships/hyperlink" Target="https://drive.google.com/file/d/1rQQWiSEyYQP_o6zR-7qiNo3tV2Sk5V07/view?usp=drivesdk" TargetMode="External"/><Relationship Id="rId3061" Type="http://schemas.openxmlformats.org/officeDocument/2006/relationships/hyperlink" Target="https://drive.google.com/file/d/1ZAZChb-pQYN8tszv-20RJpzAJM-m0K8F/view?usp=drivesdk" TargetMode="External"/><Relationship Id="rId3060" Type="http://schemas.openxmlformats.org/officeDocument/2006/relationships/hyperlink" Target="https://drive.google.com/file/d/1FdtP8zFKw2j2u09xChLn3mYg2N6nm5y1/view?usp=drivesdk" TargetMode="External"/><Relationship Id="rId3063" Type="http://schemas.openxmlformats.org/officeDocument/2006/relationships/hyperlink" Target="https://drive.google.com/file/d/1KXBbUsRI0lvOkPf8y6GKZvPbzHsZx84K/view?usp=drivesdk" TargetMode="External"/><Relationship Id="rId3062" Type="http://schemas.openxmlformats.org/officeDocument/2006/relationships/hyperlink" Target="https://drive.google.com/file/d/17qs4wE3J4oxF357G28LZu2B3n84fQYfK/view?usp=drivesdk" TargetMode="External"/><Relationship Id="rId3065" Type="http://schemas.openxmlformats.org/officeDocument/2006/relationships/hyperlink" Target="https://drive.google.com/file/d/137UAjGe2E8bWf4yUJmGptbhJ0800wG8c/view?usp=drivesdk" TargetMode="External"/><Relationship Id="rId3064" Type="http://schemas.openxmlformats.org/officeDocument/2006/relationships/hyperlink" Target="https://drive.google.com/file/d/1ldLb3rW3FkSBZ0syiYhwKCW206RhCW94/view?usp=drivesdk" TargetMode="External"/><Relationship Id="rId3067" Type="http://schemas.openxmlformats.org/officeDocument/2006/relationships/hyperlink" Target="https://drive.google.com/file/d/1thYdK18xJTw_VNcTgc_RPSAMrcIzWDNv/view?usp=drivesdk" TargetMode="External"/><Relationship Id="rId3066" Type="http://schemas.openxmlformats.org/officeDocument/2006/relationships/hyperlink" Target="https://drive.google.com/file/d/1bIHbWFP0cb7S4AOtwRfEsBcuBaXgXPzv/view?usp=drivesdk" TargetMode="External"/><Relationship Id="rId3069" Type="http://schemas.openxmlformats.org/officeDocument/2006/relationships/hyperlink" Target="https://drive.google.com/file/d/1Pk08K4EhcS3Y5okUtQFmAKCYINSzrf6Z/view?usp=drivesdk" TargetMode="External"/><Relationship Id="rId3068" Type="http://schemas.openxmlformats.org/officeDocument/2006/relationships/hyperlink" Target="https://drive.google.com/file/d/1vR5vAcrElLoJiImsavJfnxkoqhh0-U9t/view?usp=drivesdk" TargetMode="External"/><Relationship Id="rId3090" Type="http://schemas.openxmlformats.org/officeDocument/2006/relationships/hyperlink" Target="https://drive.google.com/file/d/1ZtGefjgrC6u6v5FyBS_a-_Y2jKN_s8ql/view?usp=drivesdk" TargetMode="External"/><Relationship Id="rId3092" Type="http://schemas.openxmlformats.org/officeDocument/2006/relationships/hyperlink" Target="https://drive.google.com/file/d/1n00gkAe-bW9_dpqR-8lU7eM3HIK-1MBj/view?usp=drivesdk" TargetMode="External"/><Relationship Id="rId3091" Type="http://schemas.openxmlformats.org/officeDocument/2006/relationships/hyperlink" Target="https://drive.google.com/file/d/1zJkyn9gK1q4_a2bUioKPPzKWOukQpP8u/view?usp=drivesdk" TargetMode="External"/><Relationship Id="rId3094" Type="http://schemas.openxmlformats.org/officeDocument/2006/relationships/hyperlink" Target="https://drive.google.com/file/d/1l1ffiUwTXh93qQKbR8Jr1PoXxfL5MZIg/view?usp=drivesdk" TargetMode="External"/><Relationship Id="rId3093" Type="http://schemas.openxmlformats.org/officeDocument/2006/relationships/hyperlink" Target="https://drive.google.com/file/d/1So5CQBizMiymp4z6iuPi7XFCpDsOsfJk/view?usp=drivesdk" TargetMode="External"/><Relationship Id="rId3096" Type="http://schemas.openxmlformats.org/officeDocument/2006/relationships/hyperlink" Target="http://b.sc/B.Com" TargetMode="External"/><Relationship Id="rId3095" Type="http://schemas.openxmlformats.org/officeDocument/2006/relationships/hyperlink" Target="https://drive.google.com/file/d/1mxwtubFriOTalWtijHjmciN-GLobCuIx/view?usp=drivesdk" TargetMode="External"/><Relationship Id="rId3098" Type="http://schemas.openxmlformats.org/officeDocument/2006/relationships/hyperlink" Target="https://drive.google.com/file/d/1dYOEjm-cFuo__u0PJCrtwLZskuu31k2o/view?usp=drivesdk" TargetMode="External"/><Relationship Id="rId3097" Type="http://schemas.openxmlformats.org/officeDocument/2006/relationships/hyperlink" Target="https://drive.google.com/file/d/1ccpMoX86-jaCEZcDl_Y-2V86GIoNkW5P/view?usp=drivesdk" TargetMode="External"/><Relationship Id="rId3099" Type="http://schemas.openxmlformats.org/officeDocument/2006/relationships/hyperlink" Target="https://drive.google.com/file/d/1jMG2uqtprVl-toOjpCOkxPocDze35Vwa/view?usp=drivesdk" TargetMode="External"/><Relationship Id="rId3081" Type="http://schemas.openxmlformats.org/officeDocument/2006/relationships/hyperlink" Target="https://drive.google.com/file/d/1Y6Ga0YCjmeDagm7qsvpWz6MCpSBZ9DxN/view?usp=drivesdk" TargetMode="External"/><Relationship Id="rId3080" Type="http://schemas.openxmlformats.org/officeDocument/2006/relationships/hyperlink" Target="https://drive.google.com/file/d/1xHElHH_sSvUBmXc3gzLAErvJpcJvFBzT/view?usp=drivesdk" TargetMode="External"/><Relationship Id="rId3083" Type="http://schemas.openxmlformats.org/officeDocument/2006/relationships/hyperlink" Target="https://drive.google.com/file/d/1d9PrbCFUuTThZArZJb6C29ZF_KVxcBXV/view?usp=drivesdk" TargetMode="External"/><Relationship Id="rId3082" Type="http://schemas.openxmlformats.org/officeDocument/2006/relationships/hyperlink" Target="https://drive.google.com/file/d/15FsedT_BpmUWaWNrBiJlMoEPjLHDUw7x/view?usp=drivesdk" TargetMode="External"/><Relationship Id="rId3085" Type="http://schemas.openxmlformats.org/officeDocument/2006/relationships/hyperlink" Target="https://drive.google.com/file/d/1VnGepRRJZrud_MNuC134rHOSe-gmnEcy/view?usp=drivesdk" TargetMode="External"/><Relationship Id="rId3084" Type="http://schemas.openxmlformats.org/officeDocument/2006/relationships/hyperlink" Target="https://drive.google.com/file/d/1w3aP05EGUF7qmty_duXJiKRWWFJfk5Yu/view?usp=drivesdk" TargetMode="External"/><Relationship Id="rId3087" Type="http://schemas.openxmlformats.org/officeDocument/2006/relationships/hyperlink" Target="https://drive.google.com/file/d/1gVOdoVjc3GUnV1hRxXUlrf-8Hnqo6PHz/view?usp=drivesdk" TargetMode="External"/><Relationship Id="rId3086" Type="http://schemas.openxmlformats.org/officeDocument/2006/relationships/hyperlink" Target="https://drive.google.com/file/d/1OATpVFH7nYgEYVYZV60EcdOqXtd7XDmx/view?usp=drivesdk" TargetMode="External"/><Relationship Id="rId3089" Type="http://schemas.openxmlformats.org/officeDocument/2006/relationships/hyperlink" Target="https://drive.google.com/file/d/1R4TkhiwuxfC56p2OWMqsgGdOHGDCyr2h/view?usp=drivesdk" TargetMode="External"/><Relationship Id="rId3088" Type="http://schemas.openxmlformats.org/officeDocument/2006/relationships/hyperlink" Target="https://drive.google.com/file/d/1Ml4H4Nbmvq_gQ-uUsGfF_0HaYahmTs7t/view?usp=drivesdk" TargetMode="External"/><Relationship Id="rId3039" Type="http://schemas.openxmlformats.org/officeDocument/2006/relationships/hyperlink" Target="https://drive.google.com/file/d/1iy1ZqLj_jOtWCHWXN3daP71prDP0pobv/view?usp=drivesdk" TargetMode="External"/><Relationship Id="rId1" Type="http://schemas.openxmlformats.org/officeDocument/2006/relationships/hyperlink" Target="https://drive.google.com/file/d/1UMzypiil0Xw0jcfDLG39ReKAuZ7Lr1m7/view?usp=drivesdk" TargetMode="External"/><Relationship Id="rId2" Type="http://schemas.openxmlformats.org/officeDocument/2006/relationships/hyperlink" Target="https://drive.google.com/file/d/1iKUEKfuCW0QWgHBnz7jO1AFepyAfwhLZ/view?usp=drivesdk" TargetMode="External"/><Relationship Id="rId3" Type="http://schemas.openxmlformats.org/officeDocument/2006/relationships/hyperlink" Target="https://drive.google.com/file/d/1obQIJN3kcJs9IFUqsCxy8KO4FCNAY_tg/view?usp=drivesdk" TargetMode="External"/><Relationship Id="rId4" Type="http://schemas.openxmlformats.org/officeDocument/2006/relationships/hyperlink" Target="https://drive.google.com/file/d/1wq0yfnu702QFPLPcIgC0qQSW47hvM8Kf/view?usp=drivesdk" TargetMode="External"/><Relationship Id="rId3030" Type="http://schemas.openxmlformats.org/officeDocument/2006/relationships/hyperlink" Target="https://drive.google.com/file/d/1714dLtFakxmfuaXTdsaluFLpertMNyIi/view?usp=drivesdk" TargetMode="External"/><Relationship Id="rId9" Type="http://schemas.openxmlformats.org/officeDocument/2006/relationships/hyperlink" Target="https://drive.google.com/file/d/15JSEtAn3_7OG976ItK_VFuK2jmkU0H4c/view?usp=drivesdk" TargetMode="External"/><Relationship Id="rId3032" Type="http://schemas.openxmlformats.org/officeDocument/2006/relationships/hyperlink" Target="https://drive.google.com/file/d/1GpLfbNQ3xIFAfTzPgTf--cOTNIBltP1x/view?usp=drivesdk" TargetMode="External"/><Relationship Id="rId3031" Type="http://schemas.openxmlformats.org/officeDocument/2006/relationships/hyperlink" Target="https://drive.google.com/file/d/1C1_rD4NuGplEgX0bCf0-Zz7DzlvaJwbS/view?usp=drivesdk" TargetMode="External"/><Relationship Id="rId3034" Type="http://schemas.openxmlformats.org/officeDocument/2006/relationships/hyperlink" Target="https://drive.google.com/file/d/1_Wmu-2-zbG7_-O6-LhvL8nuhCOELZr-G/view?usp=drivesdk" TargetMode="External"/><Relationship Id="rId3033" Type="http://schemas.openxmlformats.org/officeDocument/2006/relationships/hyperlink" Target="https://drive.google.com/file/d/1RQA8P_AgkCTvvh-IEccFaYGM2xIJDWrS/view?usp=drivesdk" TargetMode="External"/><Relationship Id="rId5" Type="http://schemas.openxmlformats.org/officeDocument/2006/relationships/hyperlink" Target="https://drive.google.com/file/d/1A2i0PUhShdLusMDncOTmDr7ecsgW_LHT/view?usp=drivesdk" TargetMode="External"/><Relationship Id="rId3036" Type="http://schemas.openxmlformats.org/officeDocument/2006/relationships/hyperlink" Target="https://drive.google.com/file/d/1zXxcu6hPEqQLumiqiBpLBvsdg3JimcA0/view?usp=drivesdk" TargetMode="External"/><Relationship Id="rId6" Type="http://schemas.openxmlformats.org/officeDocument/2006/relationships/hyperlink" Target="https://drive.google.com/file/d/1XJxL-ejno9kEay0xeTyzIoq8_XtrYw_M/view?usp=drivesdk" TargetMode="External"/><Relationship Id="rId3035" Type="http://schemas.openxmlformats.org/officeDocument/2006/relationships/hyperlink" Target="https://drive.google.com/file/d/1WXTqhxEbD9dhXezKG9fJxnhi-UsixslF/view?usp=drivesdk" TargetMode="External"/><Relationship Id="rId7" Type="http://schemas.openxmlformats.org/officeDocument/2006/relationships/hyperlink" Target="https://drive.google.com/file/d/1btsG2ej4WT7O3WzaH2FRU1NijtBlnopL/view?usp=drivesdk" TargetMode="External"/><Relationship Id="rId3038" Type="http://schemas.openxmlformats.org/officeDocument/2006/relationships/hyperlink" Target="https://drive.google.com/file/d/1T8v4RGMqIWGZACihThctAhKjz9Bzpahq/view?usp=drivesdk" TargetMode="External"/><Relationship Id="rId8" Type="http://schemas.openxmlformats.org/officeDocument/2006/relationships/hyperlink" Target="https://drive.google.com/file/d/1eWVpwItPx19q1iMxcWVRnwO0__UDci05/view?usp=drivesdk" TargetMode="External"/><Relationship Id="rId3037" Type="http://schemas.openxmlformats.org/officeDocument/2006/relationships/hyperlink" Target="https://drive.google.com/file/d/1SfoGlvyBCSo-0Ek-EUbvinEnDqcGRo-v/view?usp=drivesdk" TargetMode="External"/><Relationship Id="rId3029" Type="http://schemas.openxmlformats.org/officeDocument/2006/relationships/hyperlink" Target="https://drive.google.com/file/d/19OtqeJ8ICUN9wv_5EqWIl24ybTPK7vjQ/view?usp=drivesdk" TargetMode="External"/><Relationship Id="rId3028" Type="http://schemas.openxmlformats.org/officeDocument/2006/relationships/hyperlink" Target="https://drive.google.com/file/d/1tgDbMAJIUczUyA_tXf8lgPB-OXP6qOk_/view?usp=drivesdk" TargetMode="External"/><Relationship Id="rId3021" Type="http://schemas.openxmlformats.org/officeDocument/2006/relationships/hyperlink" Target="https://drive.google.com/file/d/1Mfp11lPbP3VBJ4VFrsPAysxK30V-qFF4/view?usp=drivesdk" TargetMode="External"/><Relationship Id="rId3020" Type="http://schemas.openxmlformats.org/officeDocument/2006/relationships/hyperlink" Target="https://drive.google.com/file/d/1YbN-t2WhMdvOlsbMksyKu3aOnSbSjH2J/view?usp=drivesdk" TargetMode="External"/><Relationship Id="rId3023" Type="http://schemas.openxmlformats.org/officeDocument/2006/relationships/hyperlink" Target="https://drive.google.com/file/d/13NZ2cAtCeh4eiQ2v2RGBId16CJ1I2JB1/view?usp=drivesdk" TargetMode="External"/><Relationship Id="rId3022" Type="http://schemas.openxmlformats.org/officeDocument/2006/relationships/hyperlink" Target="https://drive.google.com/file/d/1ZUz26n0-mJAiDiBw_1v7lmp8lgYDP3NX/view?usp=drivesdk" TargetMode="External"/><Relationship Id="rId3025" Type="http://schemas.openxmlformats.org/officeDocument/2006/relationships/hyperlink" Target="https://drive.google.com/file/d/1AkShidLpyDrEE1izAo9m3iXDCQH0Ftip/view?usp=drivesdk" TargetMode="External"/><Relationship Id="rId3024" Type="http://schemas.openxmlformats.org/officeDocument/2006/relationships/hyperlink" Target="https://drive.google.com/file/d/17nwXO-cLw07Q7CGPZcHJ5T2dKXNmEJ05/view?usp=drivesdk" TargetMode="External"/><Relationship Id="rId3027" Type="http://schemas.openxmlformats.org/officeDocument/2006/relationships/hyperlink" Target="https://drive.google.com/file/d/1SBM-ep68LKiAhrG-WisqgmS4ZI47YjyA/view?usp=drivesdk" TargetMode="External"/><Relationship Id="rId3026" Type="http://schemas.openxmlformats.org/officeDocument/2006/relationships/hyperlink" Target="https://drive.google.com/file/d/1ORuyfauR5B8tlDwnwtSaFbXgR5TnQd_w/view?usp=drivesdk" TargetMode="External"/><Relationship Id="rId3050" Type="http://schemas.openxmlformats.org/officeDocument/2006/relationships/hyperlink" Target="https://drive.google.com/file/d/14vPE5sfTq2GDFILG881twfa8j1Zbdj12/view?usp=drivesdk" TargetMode="External"/><Relationship Id="rId3052" Type="http://schemas.openxmlformats.org/officeDocument/2006/relationships/hyperlink" Target="https://drive.google.com/file/d/1ed-1SI6PIFXrR4-AzK5AKChPntEprbNY/view?usp=drivesdk" TargetMode="External"/><Relationship Id="rId3051" Type="http://schemas.openxmlformats.org/officeDocument/2006/relationships/hyperlink" Target="https://drive.google.com/file/d/1wrumVBM6CYFP3fgRjZdNRvYADOxQCiT6/view?usp=drivesdk" TargetMode="External"/><Relationship Id="rId3054" Type="http://schemas.openxmlformats.org/officeDocument/2006/relationships/hyperlink" Target="https://drive.google.com/file/d/1kqHuYAr3tdDglj9Xq5BH_zDI9M4SsCmW/view?usp=drivesdk" TargetMode="External"/><Relationship Id="rId3053" Type="http://schemas.openxmlformats.org/officeDocument/2006/relationships/hyperlink" Target="https://drive.google.com/file/d/1DE6366Pla9Wyd5V_o4vMaE-mU9iE_sXz/view?usp=drivesdk" TargetMode="External"/><Relationship Id="rId3056" Type="http://schemas.openxmlformats.org/officeDocument/2006/relationships/hyperlink" Target="https://drive.google.com/file/d/1ySbEVPBwHv3q8hqnQVfnvSDjUn0zKk2B/view?usp=drivesdk" TargetMode="External"/><Relationship Id="rId3055" Type="http://schemas.openxmlformats.org/officeDocument/2006/relationships/hyperlink" Target="https://drive.google.com/file/d/15pNPuq8zKaFX1ryl7oipVXkGm3gvcPoa/view?usp=drivesdk" TargetMode="External"/><Relationship Id="rId3058" Type="http://schemas.openxmlformats.org/officeDocument/2006/relationships/hyperlink" Target="https://drive.google.com/file/d/1KnMCAVRLHGPXLtixfcJmZqoh3AXjzZg9/view?usp=drivesdk" TargetMode="External"/><Relationship Id="rId3057" Type="http://schemas.openxmlformats.org/officeDocument/2006/relationships/hyperlink" Target="https://drive.google.com/file/d/1u9W8IMxZ_wGR3SFRU5jZVP95JKZS-iOj/view?usp=drivesdk" TargetMode="External"/><Relationship Id="rId3059" Type="http://schemas.openxmlformats.org/officeDocument/2006/relationships/hyperlink" Target="https://drive.google.com/file/d/11NXbdHwKuzkN3qLmx5TzIP-lpVu6oDA4/view?usp=drivesdk" TargetMode="External"/><Relationship Id="rId3041" Type="http://schemas.openxmlformats.org/officeDocument/2006/relationships/hyperlink" Target="https://drive.google.com/file/d/1yRrEe0X3g7a3lvzV_MBPNHIe73XsrJbj/view?usp=drivesdk" TargetMode="External"/><Relationship Id="rId3040" Type="http://schemas.openxmlformats.org/officeDocument/2006/relationships/hyperlink" Target="https://drive.google.com/file/d/1Lp0Wubitck7RQTgTUnFH-9k2e0_jrN57/view?usp=drivesdk" TargetMode="External"/><Relationship Id="rId3043" Type="http://schemas.openxmlformats.org/officeDocument/2006/relationships/hyperlink" Target="https://drive.google.com/file/d/1pVGZ4MtN-yxvPE3fpMouR5yvqWdtir4s/view?usp=drivesdk" TargetMode="External"/><Relationship Id="rId3042" Type="http://schemas.openxmlformats.org/officeDocument/2006/relationships/hyperlink" Target="https://drive.google.com/file/d/1p3UKBbgLAORrxa-tHgMBAc7K2_0KCvd6/view?usp=drivesdk" TargetMode="External"/><Relationship Id="rId3045" Type="http://schemas.openxmlformats.org/officeDocument/2006/relationships/hyperlink" Target="https://drive.google.com/file/d/1yuKz1zZrAhPgrUN9v4s4Vcewc2PbOKaQ/view?usp=drivesdk" TargetMode="External"/><Relationship Id="rId3044" Type="http://schemas.openxmlformats.org/officeDocument/2006/relationships/hyperlink" Target="https://drive.google.com/file/d/1JPpoJZehProGATgj1tQ89JStkgyR7dla/view?usp=drivesdk" TargetMode="External"/><Relationship Id="rId3047" Type="http://schemas.openxmlformats.org/officeDocument/2006/relationships/hyperlink" Target="https://drive.google.com/file/d/1WpQ-gQjHI5y3l7fOO4jEspLGGMEyrYIw/view?usp=drivesdk" TargetMode="External"/><Relationship Id="rId3046" Type="http://schemas.openxmlformats.org/officeDocument/2006/relationships/hyperlink" Target="https://drive.google.com/file/d/1bpm2ivm3G0vayFMFK-uch4lifvEvrg-u/view?usp=drivesdk" TargetMode="External"/><Relationship Id="rId3049" Type="http://schemas.openxmlformats.org/officeDocument/2006/relationships/hyperlink" Target="https://drive.google.com/file/d/19oJU2tjEvqBiT2VBAXWh4YBr3vPhaJ7N/view?usp=drivesdk" TargetMode="External"/><Relationship Id="rId3048" Type="http://schemas.openxmlformats.org/officeDocument/2006/relationships/hyperlink" Target="https://drive.google.com/file/d/1HSHhJy7z0wzBZr2VNIW6IkgW2EuPlTua/view?usp=drivesdk" TargetMode="External"/><Relationship Id="rId2600" Type="http://schemas.openxmlformats.org/officeDocument/2006/relationships/hyperlink" Target="https://drive.google.com/file/d/1shba9lToyd30r3zU1Xxq3YeIOwQZeLWM/view?usp=drivesdk" TargetMode="External"/><Relationship Id="rId2601" Type="http://schemas.openxmlformats.org/officeDocument/2006/relationships/hyperlink" Target="https://drive.google.com/file/d/1DXVDpUTXMlpOfi7kgWTnk0LjeatmmYWW/view?usp=drivesdk" TargetMode="External"/><Relationship Id="rId2602" Type="http://schemas.openxmlformats.org/officeDocument/2006/relationships/hyperlink" Target="https://drive.google.com/file/d/15cjnzZ6g3_NSwPKEZ-b9V2YdbFqPpxvY/view?usp=drivesdk" TargetMode="External"/><Relationship Id="rId2603" Type="http://schemas.openxmlformats.org/officeDocument/2006/relationships/hyperlink" Target="https://drive.google.com/file/d/1oCkx2r9J3HfNq8zEPj3clxtZhbKGMyEa/view?usp=drivesdk" TargetMode="External"/><Relationship Id="rId2604" Type="http://schemas.openxmlformats.org/officeDocument/2006/relationships/hyperlink" Target="https://drive.google.com/file/d/1A3bR92yTWpSmdQ8j3WoPCWbL89ufOoEd/view?usp=drivesdk" TargetMode="External"/><Relationship Id="rId2605" Type="http://schemas.openxmlformats.org/officeDocument/2006/relationships/hyperlink" Target="https://drive.google.com/file/d/18qJZ1YAOzwr5e4knP8cL5qaOEBLCvk98/view?usp=drivesdk" TargetMode="External"/><Relationship Id="rId2606" Type="http://schemas.openxmlformats.org/officeDocument/2006/relationships/hyperlink" Target="https://drive.google.com/file/d/1IJP0kbTr7_i0iVesiRokM2_hmcRVXZIw/view?usp=drivesdk" TargetMode="External"/><Relationship Id="rId808" Type="http://schemas.openxmlformats.org/officeDocument/2006/relationships/hyperlink" Target="https://drive.google.com/file/d/1ruqtHuI-9BnD5NlOBlgnErR7u5ZGlRMx/view?usp=drivesdk" TargetMode="External"/><Relationship Id="rId2607" Type="http://schemas.openxmlformats.org/officeDocument/2006/relationships/hyperlink" Target="https://drive.google.com/file/d/1fkt3W_-cQL93-aLRN1HWW8QIo-l-6nlV/view?usp=drivesdk" TargetMode="External"/><Relationship Id="rId807" Type="http://schemas.openxmlformats.org/officeDocument/2006/relationships/hyperlink" Target="https://drive.google.com/file/d/1umPXLIQxAe2AjHPFbPuj0es2uIsnJk8A/view?usp=drivesdk" TargetMode="External"/><Relationship Id="rId2608" Type="http://schemas.openxmlformats.org/officeDocument/2006/relationships/hyperlink" Target="https://drive.google.com/file/d/13JxSr8DhnUda36WKwHMFnfYco7oUlN-s/view?usp=drivesdk" TargetMode="External"/><Relationship Id="rId806" Type="http://schemas.openxmlformats.org/officeDocument/2006/relationships/hyperlink" Target="https://drive.google.com/file/d/1RHSLi4MyunfxKtglgJQx-EYSqUvXKhZN/view?usp=drivesdk" TargetMode="External"/><Relationship Id="rId2609" Type="http://schemas.openxmlformats.org/officeDocument/2006/relationships/hyperlink" Target="https://drive.google.com/file/d/1jNTCSISsU_c2G_gEhEAzzwivh7iEdolz/view?usp=drivesdk" TargetMode="External"/><Relationship Id="rId805" Type="http://schemas.openxmlformats.org/officeDocument/2006/relationships/hyperlink" Target="https://drive.google.com/file/d/1Zy2z6A3giTzwQhkPbUBV2IQqCOYCfvIS/view?usp=drivesdk" TargetMode="External"/><Relationship Id="rId809" Type="http://schemas.openxmlformats.org/officeDocument/2006/relationships/hyperlink" Target="https://drive.google.com/file/d/1Lu16bXn7o9aV7xfZ4XvAY4civoz3S7lx/view?usp=drivesdk" TargetMode="External"/><Relationship Id="rId800" Type="http://schemas.openxmlformats.org/officeDocument/2006/relationships/hyperlink" Target="https://drive.google.com/file/d/1O_E8bhxIkJRVUeFWXcPyPQmFOZ34z3Rx/view?usp=drivesdk" TargetMode="External"/><Relationship Id="rId804" Type="http://schemas.openxmlformats.org/officeDocument/2006/relationships/hyperlink" Target="https://drive.google.com/file/d/1rgBFgi78BehypuczPb1o9zFdh3iL07IU/view?usp=drivesdk" TargetMode="External"/><Relationship Id="rId803" Type="http://schemas.openxmlformats.org/officeDocument/2006/relationships/hyperlink" Target="https://drive.google.com/file/d/1RZZXVX5Z2Rv8hp8CwWNxNBtf-NaPclRU/view?usp=drivesdk" TargetMode="External"/><Relationship Id="rId802" Type="http://schemas.openxmlformats.org/officeDocument/2006/relationships/hyperlink" Target="https://drive.google.com/file/d/1qkIAqsRSGIiLr16nRGZdCH8wtqFL2K3n/view?usp=drivesdk" TargetMode="External"/><Relationship Id="rId801" Type="http://schemas.openxmlformats.org/officeDocument/2006/relationships/hyperlink" Target="https://drive.google.com/file/d/1ZfOI_mR04dMjSMMSHV5F2QXNSmMTo959/view?usp=drivesdk" TargetMode="External"/><Relationship Id="rId1334" Type="http://schemas.openxmlformats.org/officeDocument/2006/relationships/hyperlink" Target="https://drive.google.com/file/d/1i5BycrLwULGzyAM3JMzQwJAwtcK1yUlg/view?usp=drivesdk" TargetMode="External"/><Relationship Id="rId2665" Type="http://schemas.openxmlformats.org/officeDocument/2006/relationships/hyperlink" Target="https://drive.google.com/file/d/1ACjVDYxGX_a_fQoJQyoCLkiUOloflW3d/view?usp=drivesdk" TargetMode="External"/><Relationship Id="rId1335" Type="http://schemas.openxmlformats.org/officeDocument/2006/relationships/hyperlink" Target="https://drive.google.com/file/d/1LOdJmmmLHW18LhzxtF74Mj4HMPiroR42/view?usp=drivesdk" TargetMode="External"/><Relationship Id="rId2666" Type="http://schemas.openxmlformats.org/officeDocument/2006/relationships/hyperlink" Target="https://drive.google.com/file/d/172EJ-REyhkaxHl3jJcC_EUQRuHQ3t0xA/view?usp=drivesdk" TargetMode="External"/><Relationship Id="rId1336" Type="http://schemas.openxmlformats.org/officeDocument/2006/relationships/hyperlink" Target="http://m.sc/M.Com" TargetMode="External"/><Relationship Id="rId2667" Type="http://schemas.openxmlformats.org/officeDocument/2006/relationships/hyperlink" Target="https://drive.google.com/file/d/174IIocGfirwhprApyjEyy-Y9hCfBlD4j/view?usp=drivesdk" TargetMode="External"/><Relationship Id="rId1337" Type="http://schemas.openxmlformats.org/officeDocument/2006/relationships/hyperlink" Target="https://drive.google.com/file/d/1ch3gg2JrxVV7iIUReZwmT_rAKoITpjDB/view?usp=drivesdk" TargetMode="External"/><Relationship Id="rId2668" Type="http://schemas.openxmlformats.org/officeDocument/2006/relationships/hyperlink" Target="https://drive.google.com/file/d/1aZo4pPJbkYdSZxceB_qcIUILzSSvTQ39/view?usp=drivesdk" TargetMode="External"/><Relationship Id="rId1338" Type="http://schemas.openxmlformats.org/officeDocument/2006/relationships/hyperlink" Target="https://drive.google.com/file/d/1fSjhPvH-Fh0EavtQjBX_WN4uk6mt-qL1/view?usp=drivesdk" TargetMode="External"/><Relationship Id="rId2669" Type="http://schemas.openxmlformats.org/officeDocument/2006/relationships/hyperlink" Target="https://drive.google.com/file/d/1PiIULGAAC6H_rdpbMUpWqbf-dpAkhJCh/view?usp=drivesdk" TargetMode="External"/><Relationship Id="rId1339" Type="http://schemas.openxmlformats.org/officeDocument/2006/relationships/hyperlink" Target="https://drive.google.com/file/d/1ZtQSMn57wWCVSTAjg7E_vAvFaNT314OL/view?usp=drivesdk" TargetMode="External"/><Relationship Id="rId745" Type="http://schemas.openxmlformats.org/officeDocument/2006/relationships/hyperlink" Target="https://drive.google.com/file/d/1jY7M7Bj5B5xtSd104PilqFjDnPUBEnb5/view?usp=drivesdk" TargetMode="External"/><Relationship Id="rId744" Type="http://schemas.openxmlformats.org/officeDocument/2006/relationships/hyperlink" Target="https://drive.google.com/file/d/1mB4AnWN5ykw7FTyE-B86nhIZj50xPQOU/view?usp=drivesdk" TargetMode="External"/><Relationship Id="rId743" Type="http://schemas.openxmlformats.org/officeDocument/2006/relationships/hyperlink" Target="https://drive.google.com/file/d/1oDjUtbhiK077WA_eGJhNC1trSQ9fC8Ll/view?usp=drivesdk" TargetMode="External"/><Relationship Id="rId742" Type="http://schemas.openxmlformats.org/officeDocument/2006/relationships/hyperlink" Target="https://drive.google.com/file/d/1y0cqLV4fErKUQqDt4cwNpGmLA1Ij8zH2/view?usp=drivesdk" TargetMode="External"/><Relationship Id="rId749" Type="http://schemas.openxmlformats.org/officeDocument/2006/relationships/hyperlink" Target="https://drive.google.com/file/d/10N-MKeGF0UJHQnh7BVBScbq0I6rt5Gvx/view?usp=drivesdk" TargetMode="External"/><Relationship Id="rId748" Type="http://schemas.openxmlformats.org/officeDocument/2006/relationships/hyperlink" Target="https://drive.google.com/file/d/1wzkhJidjMqvCUWATgJZl3EIVFgBk0zb-/view?usp=drivesdk" TargetMode="External"/><Relationship Id="rId747" Type="http://schemas.openxmlformats.org/officeDocument/2006/relationships/hyperlink" Target="https://drive.google.com/file/d/1EvC4js011WcBEvUnmI1RPAtHBjsjU9aO/view?usp=drivesdk" TargetMode="External"/><Relationship Id="rId746" Type="http://schemas.openxmlformats.org/officeDocument/2006/relationships/hyperlink" Target="https://drive.google.com/file/d/1sAs07gFDBuj5SFidoyFlTGdQbjGHlBOx/view?usp=drivesdk" TargetMode="External"/><Relationship Id="rId2660" Type="http://schemas.openxmlformats.org/officeDocument/2006/relationships/hyperlink" Target="https://drive.google.com/file/d/15fYT8UBEwMTlyygA70SMgvVbvEEucPee/view?usp=drivesdk" TargetMode="External"/><Relationship Id="rId741" Type="http://schemas.openxmlformats.org/officeDocument/2006/relationships/hyperlink" Target="https://drive.google.com/file/d/1RBYX4NP26IaDO40MFjv2DPhgJzjkTZ7E/view?usp=drivesdk" TargetMode="External"/><Relationship Id="rId1330" Type="http://schemas.openxmlformats.org/officeDocument/2006/relationships/hyperlink" Target="https://drive.google.com/file/d/1-F2YjoMcsA3zjIniaN6xHAjZ8kBCGBZC/view?usp=drivesdk" TargetMode="External"/><Relationship Id="rId2661" Type="http://schemas.openxmlformats.org/officeDocument/2006/relationships/hyperlink" Target="https://drive.google.com/file/d/1dgM-xhVU1RTQYXCOcAihTmhlUBdZcDlx/view?usp=drivesdk" TargetMode="External"/><Relationship Id="rId740" Type="http://schemas.openxmlformats.org/officeDocument/2006/relationships/hyperlink" Target="https://drive.google.com/file/d/11frXMRXZfn8ac5v4-1crwDmPpBpSXlr-/view?usp=drivesdk" TargetMode="External"/><Relationship Id="rId1331" Type="http://schemas.openxmlformats.org/officeDocument/2006/relationships/hyperlink" Target="https://drive.google.com/file/d/12HM4zSw4grzO7SDJR7s-cA5rrjYQC2yw/view?usp=drivesdk" TargetMode="External"/><Relationship Id="rId2662" Type="http://schemas.openxmlformats.org/officeDocument/2006/relationships/hyperlink" Target="https://drive.google.com/file/d/1ozHlaZEScBrBQg5P3tG2SRXIMHNEBrF6/view?usp=drivesdk" TargetMode="External"/><Relationship Id="rId1332" Type="http://schemas.openxmlformats.org/officeDocument/2006/relationships/hyperlink" Target="https://drive.google.com/file/d/1frdOXHYybNDTvpkazm79Wq13e5oyr4q-/view?usp=drivesdk" TargetMode="External"/><Relationship Id="rId2663" Type="http://schemas.openxmlformats.org/officeDocument/2006/relationships/hyperlink" Target="https://drive.google.com/file/d/1rQI5zto07dXZAzVG1cH6XAewr1jiFm7u/view?usp=drivesdk" TargetMode="External"/><Relationship Id="rId1333" Type="http://schemas.openxmlformats.org/officeDocument/2006/relationships/hyperlink" Target="https://drive.google.com/file/d/18t4uDtDPd24FLi7wJ8PvGDDBHt5v6esS/view?usp=drivesdk" TargetMode="External"/><Relationship Id="rId2664" Type="http://schemas.openxmlformats.org/officeDocument/2006/relationships/hyperlink" Target="https://drive.google.com/file/d/1slN-4beQ5NktRd0RgqEXPNBdXjfyGA3T/view?usp=drivesdk" TargetMode="External"/><Relationship Id="rId1323" Type="http://schemas.openxmlformats.org/officeDocument/2006/relationships/hyperlink" Target="https://drive.google.com/file/d/15Kqon3mRQAq2_iEPQm5-BYEPTJPDmpjX/view?usp=drivesdk" TargetMode="External"/><Relationship Id="rId2654" Type="http://schemas.openxmlformats.org/officeDocument/2006/relationships/hyperlink" Target="https://drive.google.com/file/d/1I9F4NaeVuZP7I7BfSBNt13H6hwA7Ydy1/view?usp=drivesdk" TargetMode="External"/><Relationship Id="rId1324" Type="http://schemas.openxmlformats.org/officeDocument/2006/relationships/hyperlink" Target="https://drive.google.com/file/d/1YJj75ev6MB2cgM46zAy0KLkJqatGmYVX/view?usp=drivesdk" TargetMode="External"/><Relationship Id="rId2655" Type="http://schemas.openxmlformats.org/officeDocument/2006/relationships/hyperlink" Target="https://drive.google.com/file/d/1n5qYmrc9K0kPrH-dFr2G7EyjQys251ak/view?usp=drivesdk" TargetMode="External"/><Relationship Id="rId1325" Type="http://schemas.openxmlformats.org/officeDocument/2006/relationships/hyperlink" Target="https://drive.google.com/file/d/1qVtOyoGVHbQ6HMwVrTVYVFE5QqyeXME0/view?usp=drivesdk" TargetMode="External"/><Relationship Id="rId2656" Type="http://schemas.openxmlformats.org/officeDocument/2006/relationships/hyperlink" Target="https://drive.google.com/file/d/1hL-WSWqbljGBrAZZM2omXV8g789m1c2Q/view?usp=drivesdk" TargetMode="External"/><Relationship Id="rId1326" Type="http://schemas.openxmlformats.org/officeDocument/2006/relationships/hyperlink" Target="https://drive.google.com/file/d/1Xt3GKLrAxd2uy1GYzq5m7aHVSbnCUkjU/view?usp=drivesdk" TargetMode="External"/><Relationship Id="rId2657" Type="http://schemas.openxmlformats.org/officeDocument/2006/relationships/hyperlink" Target="https://drive.google.com/file/d/1hsjvhLlp-eoR15x7QwzJs4v9xNIRnpvx/view?usp=drivesdk" TargetMode="External"/><Relationship Id="rId1327" Type="http://schemas.openxmlformats.org/officeDocument/2006/relationships/hyperlink" Target="https://drive.google.com/file/d/1vx_gTHAYU6F1xy_co21XjsFQJ6Ua7Szk/view?usp=drivesdk" TargetMode="External"/><Relationship Id="rId2658" Type="http://schemas.openxmlformats.org/officeDocument/2006/relationships/hyperlink" Target="https://drive.google.com/file/d/1vTA9d1RuR0hYK2lt6UuHxcxleedtlp8n/view?usp=drivesdk" TargetMode="External"/><Relationship Id="rId1328" Type="http://schemas.openxmlformats.org/officeDocument/2006/relationships/hyperlink" Target="https://drive.google.com/file/d/1T1Ilc9ZtRn3XLPdb7cG6nqVcxdSqCazh/view?usp=drivesdk" TargetMode="External"/><Relationship Id="rId2659" Type="http://schemas.openxmlformats.org/officeDocument/2006/relationships/hyperlink" Target="https://drive.google.com/file/d/11ehgDjQ0nBCUb09goUbAiK8xtVVQMtzT/view?usp=drivesdk" TargetMode="External"/><Relationship Id="rId1329" Type="http://schemas.openxmlformats.org/officeDocument/2006/relationships/hyperlink" Target="https://drive.google.com/file/d/1qnEJtzq3QtBAuiFXv_AnNq1WkZMsyc6r/view?usp=drivesdk" TargetMode="External"/><Relationship Id="rId739" Type="http://schemas.openxmlformats.org/officeDocument/2006/relationships/hyperlink" Target="https://drive.google.com/file/d/1-34Ob2bRJ30aGKDQH5-47r5buzWqyL02/view?usp=drivesdk" TargetMode="External"/><Relationship Id="rId734" Type="http://schemas.openxmlformats.org/officeDocument/2006/relationships/hyperlink" Target="https://drive.google.com/file/d/1SwO-NR125yM5oPhQBiz_4p7Lyiu22teY/view?usp=drivesdk" TargetMode="External"/><Relationship Id="rId733" Type="http://schemas.openxmlformats.org/officeDocument/2006/relationships/hyperlink" Target="https://drive.google.com/file/d/14y9GNOT-CAb38KSVo6S5FY1oSMy7WS-N/view?usp=drivesdk" TargetMode="External"/><Relationship Id="rId732" Type="http://schemas.openxmlformats.org/officeDocument/2006/relationships/hyperlink" Target="https://drive.google.com/file/d/1BcCNdanzdFt_UG_DxwyFyel20D-6knD-/view?usp=drivesdk" TargetMode="External"/><Relationship Id="rId731" Type="http://schemas.openxmlformats.org/officeDocument/2006/relationships/hyperlink" Target="https://drive.google.com/file/d/1j_r5cUPngj-d5DakkMRH_FJm7gjg4gIF/view?usp=drivesdk" TargetMode="External"/><Relationship Id="rId738" Type="http://schemas.openxmlformats.org/officeDocument/2006/relationships/hyperlink" Target="https://drive.google.com/file/d/1PZadWp8gpaAmm6w_HN1ftM8xPNt2_zMg/view?usp=drivesdk" TargetMode="External"/><Relationship Id="rId737" Type="http://schemas.openxmlformats.org/officeDocument/2006/relationships/hyperlink" Target="https://drive.google.com/file/d/1XuP8lkWvktndGSn5isxTJmEJ2cK_KYVG/view?usp=drivesdk" TargetMode="External"/><Relationship Id="rId736" Type="http://schemas.openxmlformats.org/officeDocument/2006/relationships/hyperlink" Target="https://drive.google.com/file/d/16JRc_AfJIjZcxg--IODVLxsMa8LezKeR/view?usp=drivesdk" TargetMode="External"/><Relationship Id="rId735" Type="http://schemas.openxmlformats.org/officeDocument/2006/relationships/hyperlink" Target="https://drive.google.com/file/d/1Kp0t7eOgg_ZJGO26W9xhQsvjqAVEYnzV/view?usp=drivesdk" TargetMode="External"/><Relationship Id="rId730" Type="http://schemas.openxmlformats.org/officeDocument/2006/relationships/hyperlink" Target="https://drive.google.com/file/d/1ogaJIKVJ9ErChfOXxMcESHy0dJ2D4hpE/view?usp=drivesdk" TargetMode="External"/><Relationship Id="rId2650" Type="http://schemas.openxmlformats.org/officeDocument/2006/relationships/hyperlink" Target="https://drive.google.com/file/d/1CT2D0JmbMsknNC1wo-LP7eyVbEDUNyn4/view?usp=drivesdk" TargetMode="External"/><Relationship Id="rId1320" Type="http://schemas.openxmlformats.org/officeDocument/2006/relationships/hyperlink" Target="https://drive.google.com/file/d/12Df7pDL_Ykdg3BfnmJSOfL-wH7udd643/view?usp=drivesdk" TargetMode="External"/><Relationship Id="rId2651" Type="http://schemas.openxmlformats.org/officeDocument/2006/relationships/hyperlink" Target="https://drive.google.com/file/d/1qBzC3MjH1-BmrwVTEAwNk7sdRt8qze3O/view?usp=drivesdk" TargetMode="External"/><Relationship Id="rId1321" Type="http://schemas.openxmlformats.org/officeDocument/2006/relationships/hyperlink" Target="https://drive.google.com/file/d/1bOLlHrLmgFWFUuIVRMl3x8B_KuxIBKXW/view?usp=drivesdk" TargetMode="External"/><Relationship Id="rId2652" Type="http://schemas.openxmlformats.org/officeDocument/2006/relationships/hyperlink" Target="https://drive.google.com/file/d/1e_EsE8NvwAVgmravWU0l7DmN18XmqVx0/view?usp=drivesdk" TargetMode="External"/><Relationship Id="rId1322" Type="http://schemas.openxmlformats.org/officeDocument/2006/relationships/hyperlink" Target="https://drive.google.com/file/d/1rYl3UDqyYH52SNtDLf1qFn4RoA2jgx8S/view?usp=drivesdk" TargetMode="External"/><Relationship Id="rId2653" Type="http://schemas.openxmlformats.org/officeDocument/2006/relationships/hyperlink" Target="https://drive.google.com/file/d/1_eKWBU1avuaY57bGWTe5yJnGuUQBTfBU/view?usp=drivesdk" TargetMode="External"/><Relationship Id="rId1356" Type="http://schemas.openxmlformats.org/officeDocument/2006/relationships/hyperlink" Target="https://drive.google.com/file/d/1GvRASb2_KPeaDgHvuuixwxi1w1-95IbP/view?usp=drivesdk" TargetMode="External"/><Relationship Id="rId2687" Type="http://schemas.openxmlformats.org/officeDocument/2006/relationships/hyperlink" Target="https://drive.google.com/file/d/1xFArVIreaUakhYyWD23XVHsAfzRbckqC/view?usp=drivesdk" TargetMode="External"/><Relationship Id="rId1357" Type="http://schemas.openxmlformats.org/officeDocument/2006/relationships/hyperlink" Target="https://drive.google.com/file/d/1i74a1ptWzmYjvRtl-51iWfNviNwnrxQb/view?usp=drivesdk" TargetMode="External"/><Relationship Id="rId2688" Type="http://schemas.openxmlformats.org/officeDocument/2006/relationships/hyperlink" Target="https://drive.google.com/file/d/1Iuf0yae-AP_Se5OQfAPK3qSgSk7BiNlw/view?usp=drivesdk" TargetMode="External"/><Relationship Id="rId1358" Type="http://schemas.openxmlformats.org/officeDocument/2006/relationships/hyperlink" Target="https://drive.google.com/file/d/10dnUbiWcbEPQlJzFl7V-gxViqm9zzO_7/view?usp=drivesdk" TargetMode="External"/><Relationship Id="rId2689" Type="http://schemas.openxmlformats.org/officeDocument/2006/relationships/hyperlink" Target="https://drive.google.com/file/d/1-QRbUhYInekm4EgUvV1gsYQ-AJwNV0v9/view?usp=drivesdk" TargetMode="External"/><Relationship Id="rId1359" Type="http://schemas.openxmlformats.org/officeDocument/2006/relationships/hyperlink" Target="https://drive.google.com/file/d/14diwCwU4YREC-EnNK2cBOSt-4GjTONbV/view?usp=drivesdk" TargetMode="External"/><Relationship Id="rId767" Type="http://schemas.openxmlformats.org/officeDocument/2006/relationships/hyperlink" Target="https://drive.google.com/file/d/12cmTOukvN9Bxx_9-VQdlJX712iaCRafX/view?usp=drivesdk" TargetMode="External"/><Relationship Id="rId766" Type="http://schemas.openxmlformats.org/officeDocument/2006/relationships/hyperlink" Target="https://drive.google.com/file/d/1rjDGbz9ri4rKmetTPPKeQg7BrnnmYH08/view?usp=drivesdk" TargetMode="External"/><Relationship Id="rId765" Type="http://schemas.openxmlformats.org/officeDocument/2006/relationships/hyperlink" Target="https://drive.google.com/file/d/10jCR11oVSrFLLqm0NtG3gysMEPiIgyC3/view?usp=drivesdk" TargetMode="External"/><Relationship Id="rId764" Type="http://schemas.openxmlformats.org/officeDocument/2006/relationships/hyperlink" Target="https://drive.google.com/file/d/1TGRa64NWj4Cpsq3nQDxnzEma5eC79Qd2/view?usp=drivesdk" TargetMode="External"/><Relationship Id="rId769" Type="http://schemas.openxmlformats.org/officeDocument/2006/relationships/hyperlink" Target="https://drive.google.com/file/d/17anZtuuMgYqdDXIb6ydwccAFAAvD6hkZ/view?usp=drivesdk" TargetMode="External"/><Relationship Id="rId768" Type="http://schemas.openxmlformats.org/officeDocument/2006/relationships/hyperlink" Target="https://drive.google.com/file/d/17PmenW4LirMe7R1RT351T8GORUavG8dq/view?usp=drivesdk" TargetMode="External"/><Relationship Id="rId2680" Type="http://schemas.openxmlformats.org/officeDocument/2006/relationships/hyperlink" Target="https://drive.google.com/file/d/1s4JG5eASxBJA5cazcwoWKBHespICowIn/view?usp=drivesdk" TargetMode="External"/><Relationship Id="rId1350" Type="http://schemas.openxmlformats.org/officeDocument/2006/relationships/hyperlink" Target="https://drive.google.com/file/d/1mffgwzX51GDUgY-YIDNpq2Q_JKZesXQZ/view?usp=drivesdk" TargetMode="External"/><Relationship Id="rId2681" Type="http://schemas.openxmlformats.org/officeDocument/2006/relationships/hyperlink" Target="https://drive.google.com/file/d/1-3D_DOCf5Cvh08P5UKNfVASObRQDf3l9/view?usp=drivesdk" TargetMode="External"/><Relationship Id="rId1351" Type="http://schemas.openxmlformats.org/officeDocument/2006/relationships/hyperlink" Target="https://drive.google.com/file/d/11Hmvli9KQR3_vg6ibPohMjO2zGfnfh34/view?usp=drivesdk" TargetMode="External"/><Relationship Id="rId2682" Type="http://schemas.openxmlformats.org/officeDocument/2006/relationships/hyperlink" Target="https://drive.google.com/file/d/1PrRoXD1QqeUjsXpTV5DS6x2La4u78j94/view?usp=drivesdk" TargetMode="External"/><Relationship Id="rId763" Type="http://schemas.openxmlformats.org/officeDocument/2006/relationships/hyperlink" Target="https://drive.google.com/file/d/1_0DI7kfRPIPl_Ww4Gc8bN8eyFzlbcNgV/view?usp=drivesdk" TargetMode="External"/><Relationship Id="rId1352" Type="http://schemas.openxmlformats.org/officeDocument/2006/relationships/hyperlink" Target="https://drive.google.com/file/d/1hYSvQmAliHp_ICQTKsNmPeQJAqUYFjBL/view?usp=drivesdk" TargetMode="External"/><Relationship Id="rId2683" Type="http://schemas.openxmlformats.org/officeDocument/2006/relationships/hyperlink" Target="https://drive.google.com/file/d/1YFVZWzGhU366njPaldFb3qFgJDwIkw2_/view?usp=drivesdk" TargetMode="External"/><Relationship Id="rId762" Type="http://schemas.openxmlformats.org/officeDocument/2006/relationships/hyperlink" Target="https://drive.google.com/file/d/1e7iKeg4bRXa2bKQPyfZwfI53SKEM-RHQ/view?usp=drivesdk" TargetMode="External"/><Relationship Id="rId1353" Type="http://schemas.openxmlformats.org/officeDocument/2006/relationships/hyperlink" Target="https://drive.google.com/file/d/1d7gK873syallYgKndCEJc5OwbR9FNPBj/view?usp=drivesdk" TargetMode="External"/><Relationship Id="rId2684" Type="http://schemas.openxmlformats.org/officeDocument/2006/relationships/hyperlink" Target="https://drive.google.com/file/d/1fxzvWni9uSjZeSOCz1CV0XT8e0cuMJ-9/view?usp=drivesdk" TargetMode="External"/><Relationship Id="rId761" Type="http://schemas.openxmlformats.org/officeDocument/2006/relationships/hyperlink" Target="https://drive.google.com/file/d/10J7nqkmEeKeQwjCCvmjld_DvH539jXw0/view?usp=drivesdk" TargetMode="External"/><Relationship Id="rId1354" Type="http://schemas.openxmlformats.org/officeDocument/2006/relationships/hyperlink" Target="https://drive.google.com/file/d/1-e0JjdOJL770i0LUsNVaF_npLbORV2x0/view?usp=drivesdk" TargetMode="External"/><Relationship Id="rId2685" Type="http://schemas.openxmlformats.org/officeDocument/2006/relationships/hyperlink" Target="https://drive.google.com/file/d/17PUkrXKnuCPSQnCob6WQfJVubZVpVBSL/view?usp=drivesdk" TargetMode="External"/><Relationship Id="rId760" Type="http://schemas.openxmlformats.org/officeDocument/2006/relationships/hyperlink" Target="https://drive.google.com/file/d/1Wtpgkz3PN96xXc9h9Y4AoMTKyV7z44OT/view?usp=drivesdk" TargetMode="External"/><Relationship Id="rId1355" Type="http://schemas.openxmlformats.org/officeDocument/2006/relationships/hyperlink" Target="https://drive.google.com/file/d/14pg0eu80oQDdna5tsI4mlki8XMO5jpcm/view?usp=drivesdk" TargetMode="External"/><Relationship Id="rId2686" Type="http://schemas.openxmlformats.org/officeDocument/2006/relationships/hyperlink" Target="https://drive.google.com/file/d/1L6OWjyKXoNGBFcS0aBIXMJpQfqsxOFbx/view?usp=drivesdk" TargetMode="External"/><Relationship Id="rId1345" Type="http://schemas.openxmlformats.org/officeDocument/2006/relationships/hyperlink" Target="https://drive.google.com/file/d/1zeCwgiyJz_J1udRXbdjD8VdrPOg3Ntq6/view?usp=drivesdk" TargetMode="External"/><Relationship Id="rId2676" Type="http://schemas.openxmlformats.org/officeDocument/2006/relationships/hyperlink" Target="https://drive.google.com/file/d/1XFgRDWsbYakMJTAi2LcuZvTgIfu94eOS/view?usp=drivesdk" TargetMode="External"/><Relationship Id="rId1346" Type="http://schemas.openxmlformats.org/officeDocument/2006/relationships/hyperlink" Target="https://drive.google.com/file/d/1OAcaHjw0nDTX7IXdUyS-220XENwY6JCH/view?usp=drivesdk" TargetMode="External"/><Relationship Id="rId2677" Type="http://schemas.openxmlformats.org/officeDocument/2006/relationships/hyperlink" Target="https://drive.google.com/file/d/1FnhpTsYRiS0ju4EmBp5tSgkCtgy7xLFF/view?usp=drivesdk" TargetMode="External"/><Relationship Id="rId1347" Type="http://schemas.openxmlformats.org/officeDocument/2006/relationships/hyperlink" Target="https://drive.google.com/file/d/1bLK-UhEQfaFSHuPqH6NnaxtISOxALkVi/view?usp=drivesdk" TargetMode="External"/><Relationship Id="rId2678" Type="http://schemas.openxmlformats.org/officeDocument/2006/relationships/hyperlink" Target="https://drive.google.com/file/d/1Ce-EVPFXAswptjmri-jjbx4v-sUu2VO3/view?usp=drivesdk" TargetMode="External"/><Relationship Id="rId1348" Type="http://schemas.openxmlformats.org/officeDocument/2006/relationships/hyperlink" Target="https://drive.google.com/file/d/1KzIkZJyp9S13s0CDMmo2wzP0TQMNlr8p/view?usp=drivesdk" TargetMode="External"/><Relationship Id="rId2679" Type="http://schemas.openxmlformats.org/officeDocument/2006/relationships/hyperlink" Target="https://drive.google.com/file/d/1LNJNFuNUx4WVG9K4p6wX815W40F63LB2/view?usp=drivesdk" TargetMode="External"/><Relationship Id="rId1349" Type="http://schemas.openxmlformats.org/officeDocument/2006/relationships/hyperlink" Target="https://drive.google.com/file/d/1lNKvfk_2kue8Aj2f5y32xIN6eebOYEx9/view?usp=drivesdk" TargetMode="External"/><Relationship Id="rId756" Type="http://schemas.openxmlformats.org/officeDocument/2006/relationships/hyperlink" Target="https://drive.google.com/file/d/1czVE0sacuyoVhHodmBeSb5B4uj17JvXt/view?usp=drivesdk" TargetMode="External"/><Relationship Id="rId755" Type="http://schemas.openxmlformats.org/officeDocument/2006/relationships/hyperlink" Target="https://drive.google.com/file/d/1V6JrTEP6VvHr5D8gnEZiocuhqk0px8B6/view?usp=drivesdk" TargetMode="External"/><Relationship Id="rId754" Type="http://schemas.openxmlformats.org/officeDocument/2006/relationships/hyperlink" Target="https://drive.google.com/file/d/1JF8Xmo0SGKLKZ4GR2nU88i6sNfNBIjgh/view?usp=drivesdk" TargetMode="External"/><Relationship Id="rId753" Type="http://schemas.openxmlformats.org/officeDocument/2006/relationships/hyperlink" Target="https://drive.google.com/file/d/11BmunayOFI-z9i8RhJum1B9rDGHqVEvD/view?usp=drivesdk" TargetMode="External"/><Relationship Id="rId759" Type="http://schemas.openxmlformats.org/officeDocument/2006/relationships/hyperlink" Target="https://drive.google.com/file/d/1I_X7xEfm-7AK_BsuqfLQJKt21F1RBIwZ/view?usp=drivesdk" TargetMode="External"/><Relationship Id="rId758" Type="http://schemas.openxmlformats.org/officeDocument/2006/relationships/hyperlink" Target="https://drive.google.com/file/d/19Ef62OwZ42qAt41k9bG9a5TdwpgzNK9v/view?usp=drivesdk" TargetMode="External"/><Relationship Id="rId757" Type="http://schemas.openxmlformats.org/officeDocument/2006/relationships/hyperlink" Target="https://drive.google.com/file/d/13CX2S0OFPvDzSJ_M_nv1ucQLKGy4F79c/view?usp=drivesdk" TargetMode="External"/><Relationship Id="rId2670" Type="http://schemas.openxmlformats.org/officeDocument/2006/relationships/hyperlink" Target="https://drive.google.com/file/d/1gvEjeKPN4MWpuWAhZ0TkaRB59xD-if57/view?usp=drivesdk" TargetMode="External"/><Relationship Id="rId1340" Type="http://schemas.openxmlformats.org/officeDocument/2006/relationships/hyperlink" Target="https://drive.google.com/file/d/1SPubCe_tEdqejTtSq6KPfWwYbdu2JD69/view?usp=drivesdk" TargetMode="External"/><Relationship Id="rId2671" Type="http://schemas.openxmlformats.org/officeDocument/2006/relationships/hyperlink" Target="https://drive.google.com/file/d/1GI6_gwStWipmEqKLhUQZNMksx6ojJvKX/view?usp=drivesdk" TargetMode="External"/><Relationship Id="rId752" Type="http://schemas.openxmlformats.org/officeDocument/2006/relationships/hyperlink" Target="https://drive.google.com/file/d/14E7NXxyalni18wflNVXodaRpjRxZJVpv/view?usp=drivesdk" TargetMode="External"/><Relationship Id="rId1341" Type="http://schemas.openxmlformats.org/officeDocument/2006/relationships/hyperlink" Target="https://drive.google.com/file/d/1x7ZFPaNMPldFc7BcGzK5rLAdUYoxQzOl/view?usp=drivesdk" TargetMode="External"/><Relationship Id="rId2672" Type="http://schemas.openxmlformats.org/officeDocument/2006/relationships/hyperlink" Target="https://drive.google.com/file/d/1OcV99fUyPMuKOfw2yo-QF2FXu314HC23/view?usp=drivesdk" TargetMode="External"/><Relationship Id="rId751" Type="http://schemas.openxmlformats.org/officeDocument/2006/relationships/hyperlink" Target="https://drive.google.com/file/d/1BU1zg38g4CMvWiLZraUOo67c_HHGUv5z/view?usp=drivesdk" TargetMode="External"/><Relationship Id="rId1342" Type="http://schemas.openxmlformats.org/officeDocument/2006/relationships/hyperlink" Target="https://drive.google.com/file/d/1wb0NZOfvKltXxFA087wDj_y6kLEH7xXL/view?usp=drivesdk" TargetMode="External"/><Relationship Id="rId2673" Type="http://schemas.openxmlformats.org/officeDocument/2006/relationships/hyperlink" Target="https://drive.google.com/file/d/1vWIzcXRcykmgQUH84d7B887GCapULRAd/view?usp=drivesdk" TargetMode="External"/><Relationship Id="rId750" Type="http://schemas.openxmlformats.org/officeDocument/2006/relationships/hyperlink" Target="https://drive.google.com/file/d/1hOj5pMPix1baaV-jL2RzpLhiH5Tv5hew/view?usp=drivesdk" TargetMode="External"/><Relationship Id="rId1343" Type="http://schemas.openxmlformats.org/officeDocument/2006/relationships/hyperlink" Target="http://m.sc/M.Com" TargetMode="External"/><Relationship Id="rId2674" Type="http://schemas.openxmlformats.org/officeDocument/2006/relationships/hyperlink" Target="https://drive.google.com/file/d/1WLye-b-PbJcBIxpnxLN4fm2wtpsFwtZK/view?usp=drivesdk" TargetMode="External"/><Relationship Id="rId1344" Type="http://schemas.openxmlformats.org/officeDocument/2006/relationships/hyperlink" Target="https://drive.google.com/file/d/13Ws8DwvVl06RgvbE9SE4knRcO1U1Cctg/view?usp=drivesdk" TargetMode="External"/><Relationship Id="rId2675" Type="http://schemas.openxmlformats.org/officeDocument/2006/relationships/hyperlink" Target="https://drive.google.com/file/d/1ZHpCNlAilsAuraaCHdhNzD4OHkDkng7p/view?usp=drivesdk" TargetMode="External"/><Relationship Id="rId2621" Type="http://schemas.openxmlformats.org/officeDocument/2006/relationships/hyperlink" Target="https://drive.google.com/file/d/1tWE-gTAeijCesS4Vjo8xK2X19m-Iebll/view?usp=drivesdk" TargetMode="External"/><Relationship Id="rId2622" Type="http://schemas.openxmlformats.org/officeDocument/2006/relationships/hyperlink" Target="https://drive.google.com/file/d/1RjlijtX-NZ99qqawTK2zsXZHPR5Y_bMq/view?usp=drivesdk" TargetMode="External"/><Relationship Id="rId2623" Type="http://schemas.openxmlformats.org/officeDocument/2006/relationships/hyperlink" Target="https://drive.google.com/file/d/12ZhO_se2h0Fh8FzEgVC0EQDsArGBL1pz/view?usp=drivesdk" TargetMode="External"/><Relationship Id="rId2624" Type="http://schemas.openxmlformats.org/officeDocument/2006/relationships/hyperlink" Target="https://drive.google.com/file/d/1MUjy3lHLAsxPk0tyH4o5fs7zBsC7ZyGZ/view?usp=drivesdk" TargetMode="External"/><Relationship Id="rId2625" Type="http://schemas.openxmlformats.org/officeDocument/2006/relationships/hyperlink" Target="https://drive.google.com/file/d/19SXVBgqqJN4ul3Nl1SCFoGQgqudJIDvR/view?usp=drivesdk" TargetMode="External"/><Relationship Id="rId2626" Type="http://schemas.openxmlformats.org/officeDocument/2006/relationships/hyperlink" Target="https://drive.google.com/file/d/1WQDayBcZ38gL__EnajVLb-TVEXgS1bSW/view?usp=drivesdk" TargetMode="External"/><Relationship Id="rId2627" Type="http://schemas.openxmlformats.org/officeDocument/2006/relationships/hyperlink" Target="https://drive.google.com/file/d/1ZbiysKDJGltbizADziFT8unMEeZAkKsL/view?usp=drivesdk" TargetMode="External"/><Relationship Id="rId2628" Type="http://schemas.openxmlformats.org/officeDocument/2006/relationships/hyperlink" Target="https://drive.google.com/file/d/1xzkvDELFCUEcBkv3frz_LpwFejNAJc8K/view?usp=drivesdk" TargetMode="External"/><Relationship Id="rId709" Type="http://schemas.openxmlformats.org/officeDocument/2006/relationships/hyperlink" Target="https://drive.google.com/file/d/1EBl-xhpgMF5Wm1NJdS4GtvwwHOHvGoq0/view?usp=drivesdk" TargetMode="External"/><Relationship Id="rId2629" Type="http://schemas.openxmlformats.org/officeDocument/2006/relationships/hyperlink" Target="https://drive.google.com/file/d/1P9epGFIKM2uEhUJL9AR2X9-onF0k1Qec/view?usp=drivesdk" TargetMode="External"/><Relationship Id="rId708" Type="http://schemas.openxmlformats.org/officeDocument/2006/relationships/hyperlink" Target="https://drive.google.com/file/d/1oNWUGA1GPqGN3Z9o0lZZPZ86zCk36AvM/view?usp=drivesdk" TargetMode="External"/><Relationship Id="rId707" Type="http://schemas.openxmlformats.org/officeDocument/2006/relationships/hyperlink" Target="https://drive.google.com/file/d/1L9kZbbTzcATGY0Um9hOggYtQkPjOWYyE/view?usp=drivesdk" TargetMode="External"/><Relationship Id="rId706" Type="http://schemas.openxmlformats.org/officeDocument/2006/relationships/hyperlink" Target="https://drive.google.com/file/d/1t7dlhl2yLfcYQadzx2uRC6OJUK1cL4I9/view?usp=drivesdk" TargetMode="External"/><Relationship Id="rId701" Type="http://schemas.openxmlformats.org/officeDocument/2006/relationships/hyperlink" Target="https://drive.google.com/file/d/1F4D1wqABvPbQxJhKDxPf_dRqEOVBPzk0/view?usp=drivesdk" TargetMode="External"/><Relationship Id="rId700" Type="http://schemas.openxmlformats.org/officeDocument/2006/relationships/hyperlink" Target="https://drive.google.com/file/d/1CzJDOysSXZBUXa-SVJGx4NqvgJmYrlxh/view?usp=drivesdk" TargetMode="External"/><Relationship Id="rId705" Type="http://schemas.openxmlformats.org/officeDocument/2006/relationships/hyperlink" Target="https://drive.google.com/file/d/1KfRWlwtk88_QqOHYfSyRsW89_kvJwU2m/view?usp=drivesdk" TargetMode="External"/><Relationship Id="rId704" Type="http://schemas.openxmlformats.org/officeDocument/2006/relationships/hyperlink" Target="https://drive.google.com/file/d/1QXeD3jC_SLobSxU6X1iqjzm3ErbWVUqq/view?usp=drivesdk" TargetMode="External"/><Relationship Id="rId703" Type="http://schemas.openxmlformats.org/officeDocument/2006/relationships/hyperlink" Target="https://drive.google.com/file/d/1Ir5bXpbqp9FQGIRpRvtrcfI6kY52jzeS/view?usp=drivesdk" TargetMode="External"/><Relationship Id="rId702" Type="http://schemas.openxmlformats.org/officeDocument/2006/relationships/hyperlink" Target="https://drive.google.com/file/d/1lkTnU1a8vwKRMsv-qPtxiJgXJ3_qqlxp/view?usp=drivesdk" TargetMode="External"/><Relationship Id="rId2620" Type="http://schemas.openxmlformats.org/officeDocument/2006/relationships/hyperlink" Target="https://drive.google.com/file/d/1OeI5EH5PvvAPV_KlfmYI9IFpgys2H0ax/view?usp=drivesdk" TargetMode="External"/><Relationship Id="rId2610" Type="http://schemas.openxmlformats.org/officeDocument/2006/relationships/hyperlink" Target="https://drive.google.com/file/d/1ylO62nEUGEkk4_P-yFFKvmjl1cGUfklv/view?usp=drivesdk" TargetMode="External"/><Relationship Id="rId2611" Type="http://schemas.openxmlformats.org/officeDocument/2006/relationships/hyperlink" Target="https://drive.google.com/file/d/1HpHjMkE1GZilZJmWmOFjGgGfUvxlAJRd/view?usp=drivesdk" TargetMode="External"/><Relationship Id="rId2612" Type="http://schemas.openxmlformats.org/officeDocument/2006/relationships/hyperlink" Target="https://drive.google.com/file/d/1rFYBwFAH-gIBgaBHktKSpCVt0k_Qs7xN/view?usp=drivesdk" TargetMode="External"/><Relationship Id="rId2613" Type="http://schemas.openxmlformats.org/officeDocument/2006/relationships/hyperlink" Target="https://drive.google.com/file/d/1YHtvpXF9jLA3F9RLKYM87kYd87vJu02F/view?usp=drivesdk" TargetMode="External"/><Relationship Id="rId2614" Type="http://schemas.openxmlformats.org/officeDocument/2006/relationships/hyperlink" Target="https://drive.google.com/file/d/1mqVXF5gt9ggIThiReDW2cPtx76yc4PrM/view?usp=drivesdk" TargetMode="External"/><Relationship Id="rId2615" Type="http://schemas.openxmlformats.org/officeDocument/2006/relationships/hyperlink" Target="https://drive.google.com/file/d/1dJgjR3Wk7LL-SQmWcHlteHapCgIFOTMm/view?usp=drivesdk" TargetMode="External"/><Relationship Id="rId2616" Type="http://schemas.openxmlformats.org/officeDocument/2006/relationships/hyperlink" Target="https://drive.google.com/file/d/11J_7fgB-3xAPs2-v84GwiNEE1hgKgJy-/view?usp=drivesdk" TargetMode="External"/><Relationship Id="rId2617" Type="http://schemas.openxmlformats.org/officeDocument/2006/relationships/hyperlink" Target="https://drive.google.com/file/d/1I5OoQ7Fvm6jtvN0gAclWCtEo8C2Wccpy/view?usp=drivesdk" TargetMode="External"/><Relationship Id="rId2618" Type="http://schemas.openxmlformats.org/officeDocument/2006/relationships/hyperlink" Target="https://drive.google.com/file/d/1vahTrh0E7IgTTXLKE58-SVofBDy2YeN1/view?usp=drivesdk" TargetMode="External"/><Relationship Id="rId2619" Type="http://schemas.openxmlformats.org/officeDocument/2006/relationships/hyperlink" Target="https://drive.google.com/file/d/1nmXSQ5s_HyAPaRS7OyRrT9rnhyE78kyk/view?usp=drivesdk" TargetMode="External"/><Relationship Id="rId1312" Type="http://schemas.openxmlformats.org/officeDocument/2006/relationships/hyperlink" Target="https://drive.google.com/file/d/1QR2fvNRao1TeeqPu28W4n1o2-tOE2Ukb/view?usp=drivesdk" TargetMode="External"/><Relationship Id="rId2643" Type="http://schemas.openxmlformats.org/officeDocument/2006/relationships/hyperlink" Target="https://drive.google.com/file/d/1uquulGY3Ope9E5z8k4vFgDdzszR12Te2/view?usp=drivesdk" TargetMode="External"/><Relationship Id="rId1313" Type="http://schemas.openxmlformats.org/officeDocument/2006/relationships/hyperlink" Target="https://drive.google.com/file/d/1FGwWclbHADCJVt2NMqhpFb8tSYqVsLBv/view?usp=drivesdk" TargetMode="External"/><Relationship Id="rId2644" Type="http://schemas.openxmlformats.org/officeDocument/2006/relationships/hyperlink" Target="https://drive.google.com/file/d/1yEcT9OdHOTog4-qQ-BJQknoW8P_412V7/view?usp=drivesdk" TargetMode="External"/><Relationship Id="rId1314" Type="http://schemas.openxmlformats.org/officeDocument/2006/relationships/hyperlink" Target="https://drive.google.com/file/d/1pwzoSTdLoTcWvU_0-PPV6NzPe966dr3m/view?usp=drivesdk" TargetMode="External"/><Relationship Id="rId2645" Type="http://schemas.openxmlformats.org/officeDocument/2006/relationships/hyperlink" Target="https://drive.google.com/file/d/17y0M3yGVDvrQ_3keCVI-wA5YaIcA7BFp/view?usp=drivesdk" TargetMode="External"/><Relationship Id="rId1315" Type="http://schemas.openxmlformats.org/officeDocument/2006/relationships/hyperlink" Target="https://drive.google.com/file/d/1ku4auBeMK2Pjx6BC9E_us8BHfUBYYUNc/view?usp=drivesdk" TargetMode="External"/><Relationship Id="rId2646" Type="http://schemas.openxmlformats.org/officeDocument/2006/relationships/hyperlink" Target="https://drive.google.com/file/d/18QrZXjMFWGTkPOkQ8BpXkMoiMXX-mZUV/view?usp=drivesdk" TargetMode="External"/><Relationship Id="rId1316" Type="http://schemas.openxmlformats.org/officeDocument/2006/relationships/hyperlink" Target="https://drive.google.com/file/d/1QsLb8iMIMdyFdQQfazn5wlGFaOjSAuVH/view?usp=drivesdk" TargetMode="External"/><Relationship Id="rId2647" Type="http://schemas.openxmlformats.org/officeDocument/2006/relationships/hyperlink" Target="https://drive.google.com/file/d/1ttiyMPZkxVo4Uq70dJlLBdAFT4CEkqVa/view?usp=drivesdk" TargetMode="External"/><Relationship Id="rId1317" Type="http://schemas.openxmlformats.org/officeDocument/2006/relationships/hyperlink" Target="https://drive.google.com/file/d/1DjUIb5dGG62XIkUQRW2GAXdn1n_MDiWN/view?usp=drivesdk" TargetMode="External"/><Relationship Id="rId2648" Type="http://schemas.openxmlformats.org/officeDocument/2006/relationships/hyperlink" Target="https://drive.google.com/file/d/1ZkR5eiW1RaBiGXD4dBvXfHyJb3yzd96o/view?usp=drivesdk" TargetMode="External"/><Relationship Id="rId1318" Type="http://schemas.openxmlformats.org/officeDocument/2006/relationships/hyperlink" Target="https://drive.google.com/file/d/1-h1zKjsBlrjlX5a1x-xNGmQWu5btTP31/view?usp=drivesdk" TargetMode="External"/><Relationship Id="rId2649" Type="http://schemas.openxmlformats.org/officeDocument/2006/relationships/hyperlink" Target="https://drive.google.com/file/d/1yCy4YGzbRB1-bOHy8m_dMN1V0toaWZ94/view?usp=drivesdk" TargetMode="External"/><Relationship Id="rId1319" Type="http://schemas.openxmlformats.org/officeDocument/2006/relationships/hyperlink" Target="https://drive.google.com/file/d/1WG7j3SkRPk67ceieEKoOhLkQCHDt6EMc/view?usp=drivesdk" TargetMode="External"/><Relationship Id="rId729" Type="http://schemas.openxmlformats.org/officeDocument/2006/relationships/hyperlink" Target="https://drive.google.com/file/d/1FGF4Xc4I4vb4CUQo5w06bq_uUQLyys5T/view?usp=drivesdk" TargetMode="External"/><Relationship Id="rId728" Type="http://schemas.openxmlformats.org/officeDocument/2006/relationships/hyperlink" Target="https://drive.google.com/file/d/1HQI-iv6zeEZH7tLBF4NYqcr3kPdNcL43/view?usp=drivesdk" TargetMode="External"/><Relationship Id="rId723" Type="http://schemas.openxmlformats.org/officeDocument/2006/relationships/hyperlink" Target="https://drive.google.com/file/d/1x6GHNV2VwC3JTcB4EUm8r3dtRUcb4EOI/view?usp=drivesdk" TargetMode="External"/><Relationship Id="rId722" Type="http://schemas.openxmlformats.org/officeDocument/2006/relationships/hyperlink" Target="https://drive.google.com/file/d/1ELyzrPoybgQ7voBN4gTBkZ4Fj52w4aMw/view?usp=drivesdk" TargetMode="External"/><Relationship Id="rId721" Type="http://schemas.openxmlformats.org/officeDocument/2006/relationships/hyperlink" Target="https://drive.google.com/file/d/1fG6FtIWt0-1HbUOB-GXjNSB3edVMZWS_/view?usp=drivesdk" TargetMode="External"/><Relationship Id="rId720" Type="http://schemas.openxmlformats.org/officeDocument/2006/relationships/hyperlink" Target="https://drive.google.com/file/d/1n9AHPrHwUO79w63fdrIXFNVa2bBJ_DiC/view?usp=drivesdk" TargetMode="External"/><Relationship Id="rId727" Type="http://schemas.openxmlformats.org/officeDocument/2006/relationships/hyperlink" Target="https://drive.google.com/file/d/1u2iIwvGBmKNopAmKYnqeTzCzok_VJxu6/view?usp=drivesdk" TargetMode="External"/><Relationship Id="rId726" Type="http://schemas.openxmlformats.org/officeDocument/2006/relationships/hyperlink" Target="https://drive.google.com/file/d/15I-gdPvqVYTW_gD6rN6_aCkr67WgcWDZ/view?usp=drivesdk" TargetMode="External"/><Relationship Id="rId725" Type="http://schemas.openxmlformats.org/officeDocument/2006/relationships/hyperlink" Target="https://drive.google.com/file/d/1O5mZ_cm_EqcfaNdOpfyPe-p82_hq5CXu/view?usp=drivesdk" TargetMode="External"/><Relationship Id="rId724" Type="http://schemas.openxmlformats.org/officeDocument/2006/relationships/hyperlink" Target="https://drive.google.com/file/d/1GEKXme1yt4AxmpmznBCDGpkgWWJmv9Rp/view?usp=drivesdk" TargetMode="External"/><Relationship Id="rId2640" Type="http://schemas.openxmlformats.org/officeDocument/2006/relationships/hyperlink" Target="https://drive.google.com/file/d/1uDVgLg3v97beKsc21HHaXSpxu9fL-5XQ/view?usp=drivesdk" TargetMode="External"/><Relationship Id="rId1310" Type="http://schemas.openxmlformats.org/officeDocument/2006/relationships/hyperlink" Target="https://drive.google.com/file/d/14Ha85TAZxF1vhn9JyGHqcD3cAq_lLbyr/view?usp=drivesdk" TargetMode="External"/><Relationship Id="rId2641" Type="http://schemas.openxmlformats.org/officeDocument/2006/relationships/hyperlink" Target="https://drive.google.com/file/d/1xZgew0ZhNyqEJlhvh22qM6qvwOSKWctW/view?usp=drivesdk" TargetMode="External"/><Relationship Id="rId1311" Type="http://schemas.openxmlformats.org/officeDocument/2006/relationships/hyperlink" Target="https://drive.google.com/file/d/1VknlDhZHTlmmb7LCSkcyZWIYJ82AXWoD/view?usp=drivesdk" TargetMode="External"/><Relationship Id="rId2642" Type="http://schemas.openxmlformats.org/officeDocument/2006/relationships/hyperlink" Target="https://drive.google.com/file/d/1anLKulS4TLjIIBMR-qmRK1uW-KTHb_5B/view?usp=drivesdk" TargetMode="External"/><Relationship Id="rId1301" Type="http://schemas.openxmlformats.org/officeDocument/2006/relationships/hyperlink" Target="https://drive.google.com/file/d/16Ye-H7mj7NWW0J9xv9aoJ17uX314R3WK/view?usp=drivesdk" TargetMode="External"/><Relationship Id="rId2632" Type="http://schemas.openxmlformats.org/officeDocument/2006/relationships/hyperlink" Target="https://drive.google.com/file/d/1MZt5feSkGO81WwPWFF7oLdUeF2Q1XKED/view?usp=drivesdk" TargetMode="External"/><Relationship Id="rId1302" Type="http://schemas.openxmlformats.org/officeDocument/2006/relationships/hyperlink" Target="https://drive.google.com/file/d/1A2BlYtDLbq9XtORZEOzPUP7n4mdeXASI/view?usp=drivesdk" TargetMode="External"/><Relationship Id="rId2633" Type="http://schemas.openxmlformats.org/officeDocument/2006/relationships/hyperlink" Target="https://drive.google.com/file/d/1Nni6RRQZwuXl2_QOsBOFnP0RF4rR1FfH/view?usp=drivesdk" TargetMode="External"/><Relationship Id="rId1303" Type="http://schemas.openxmlformats.org/officeDocument/2006/relationships/hyperlink" Target="https://drive.google.com/file/d/14OmoJkSjiS5pA5hVKjncjFQocS-9dmDh/view?usp=drivesdk" TargetMode="External"/><Relationship Id="rId2634" Type="http://schemas.openxmlformats.org/officeDocument/2006/relationships/hyperlink" Target="https://drive.google.com/file/d/1te9a2WKd5X1vZuHKDwY4MVB8T0s43zyY/view?usp=drivesdk" TargetMode="External"/><Relationship Id="rId1304" Type="http://schemas.openxmlformats.org/officeDocument/2006/relationships/hyperlink" Target="https://drive.google.com/file/d/1cYawb8UKN0Cs9YByWNjsFvAs4xqwP11s/view?usp=drivesdk" TargetMode="External"/><Relationship Id="rId2635" Type="http://schemas.openxmlformats.org/officeDocument/2006/relationships/hyperlink" Target="https://drive.google.com/file/d/1sqf55YG7L2JVuDhPQDvtpR3lct9B8ybI/view?usp=drivesdk" TargetMode="External"/><Relationship Id="rId1305" Type="http://schemas.openxmlformats.org/officeDocument/2006/relationships/hyperlink" Target="https://drive.google.com/file/d/1sKGzh3KAQsDakJ45Qe7iS39wYx7zTunw/view?usp=drivesdk" TargetMode="External"/><Relationship Id="rId2636" Type="http://schemas.openxmlformats.org/officeDocument/2006/relationships/hyperlink" Target="https://drive.google.com/file/d/18q4YWkvPO5PiXbOgEingnmVZe4-iwVFN/view?usp=drivesdk" TargetMode="External"/><Relationship Id="rId1306" Type="http://schemas.openxmlformats.org/officeDocument/2006/relationships/hyperlink" Target="https://drive.google.com/file/d/1Gdnro21XOxq6sAvLqfr4hmcSV2zVHsde/view?usp=drivesdk" TargetMode="External"/><Relationship Id="rId2637" Type="http://schemas.openxmlformats.org/officeDocument/2006/relationships/hyperlink" Target="https://drive.google.com/file/d/1rudh87R2d9XFDC3C3YahcWSKTXvn3PMR/view?usp=drivesdk" TargetMode="External"/><Relationship Id="rId1307" Type="http://schemas.openxmlformats.org/officeDocument/2006/relationships/hyperlink" Target="https://drive.google.com/file/d/1sHDOX7wU30bDKfMaHKRiuHUuFqdr56z8/view?usp=drivesdk" TargetMode="External"/><Relationship Id="rId2638" Type="http://schemas.openxmlformats.org/officeDocument/2006/relationships/hyperlink" Target="https://drive.google.com/file/d/1YlQBT5wuPPXRALWG9H0kjaIds1kbMAA7/view?usp=drivesdk" TargetMode="External"/><Relationship Id="rId1308" Type="http://schemas.openxmlformats.org/officeDocument/2006/relationships/hyperlink" Target="https://drive.google.com/file/d/1tsHZBxhXYR36E8iKiR6RwKbP89v8r9yy/view?usp=drivesdk" TargetMode="External"/><Relationship Id="rId2639" Type="http://schemas.openxmlformats.org/officeDocument/2006/relationships/hyperlink" Target="https://drive.google.com/file/d/1c_J5BOOL-nz5nohEdHjE_YAq-YYKrk2C/view?usp=drivesdk" TargetMode="External"/><Relationship Id="rId1309" Type="http://schemas.openxmlformats.org/officeDocument/2006/relationships/hyperlink" Target="https://drive.google.com/file/d/1e-lP8fEJEUVL8mAwU-2VCD-r03bYTBxI/view?usp=drivesdk" TargetMode="External"/><Relationship Id="rId719" Type="http://schemas.openxmlformats.org/officeDocument/2006/relationships/hyperlink" Target="https://drive.google.com/file/d/1pOX5ZoMqqEuV75lZxPbNZ8fMZj4i6wKk/view?usp=drivesdk" TargetMode="External"/><Relationship Id="rId718" Type="http://schemas.openxmlformats.org/officeDocument/2006/relationships/hyperlink" Target="https://drive.google.com/file/d/1XLgM2a2gsVyc9TRsnU2Dq-DB7s29Ewl1/view?usp=drivesdk" TargetMode="External"/><Relationship Id="rId717" Type="http://schemas.openxmlformats.org/officeDocument/2006/relationships/hyperlink" Target="https://drive.google.com/file/d/1b6RnzOkKvPlQQ-XpmEfJjvw5FfjJToMJ/view?usp=drivesdk" TargetMode="External"/><Relationship Id="rId712" Type="http://schemas.openxmlformats.org/officeDocument/2006/relationships/hyperlink" Target="https://drive.google.com/file/d/13Vj3Yx6QtO1fGKVIlPR7Xo9A2RRxL6Zn/view?usp=drivesdk" TargetMode="External"/><Relationship Id="rId711" Type="http://schemas.openxmlformats.org/officeDocument/2006/relationships/hyperlink" Target="https://drive.google.com/file/d/1lxpSI_1AxraC_BdFcqX-p-45fYgY1tE3/view?usp=drivesdk" TargetMode="External"/><Relationship Id="rId710" Type="http://schemas.openxmlformats.org/officeDocument/2006/relationships/hyperlink" Target="https://drive.google.com/file/d/1oOzERdxwCjf3mRsr-UYqFw-28vSY6dJ7/view?usp=drivesdk" TargetMode="External"/><Relationship Id="rId716" Type="http://schemas.openxmlformats.org/officeDocument/2006/relationships/hyperlink" Target="https://drive.google.com/file/d/1FoPCK5Um9lQl9moSjQwK_Etu3pnnZwmc/view?usp=drivesdk" TargetMode="External"/><Relationship Id="rId715" Type="http://schemas.openxmlformats.org/officeDocument/2006/relationships/hyperlink" Target="http://yoshanachaudhary2gmail.com" TargetMode="External"/><Relationship Id="rId714" Type="http://schemas.openxmlformats.org/officeDocument/2006/relationships/hyperlink" Target="https://drive.google.com/file/d/1I72r4QkpXOwKF8bllOI4fadKnqcbvZX9/view?usp=drivesdk" TargetMode="External"/><Relationship Id="rId713" Type="http://schemas.openxmlformats.org/officeDocument/2006/relationships/hyperlink" Target="https://drive.google.com/file/d/1Cq28nnDbH2Nr-2LHC7E959Y4aCw1nQyp/view?usp=drivesdk" TargetMode="External"/><Relationship Id="rId2630" Type="http://schemas.openxmlformats.org/officeDocument/2006/relationships/hyperlink" Target="https://drive.google.com/file/d/1SdxNevDkyaCCikLjyx6NfNagMDHwjxBi/view?usp=drivesdk" TargetMode="External"/><Relationship Id="rId1300" Type="http://schemas.openxmlformats.org/officeDocument/2006/relationships/hyperlink" Target="https://drive.google.com/file/d/1oKteycg-QCVFTVe57NglR1oZgTroTOPV/view?usp=drivesdk" TargetMode="External"/><Relationship Id="rId2631" Type="http://schemas.openxmlformats.org/officeDocument/2006/relationships/hyperlink" Target="https://drive.google.com/file/d/1wriH3p8FsGOpP2s2unefaIk4m30_trZ9/view?usp=drivesdk" TargetMode="External"/><Relationship Id="rId3117" Type="http://schemas.openxmlformats.org/officeDocument/2006/relationships/hyperlink" Target="https://drive.google.com/file/d/13mziWPXWTzhTMcHH6KBxBMki8nGbnwmq/view?usp=drivesdk" TargetMode="External"/><Relationship Id="rId3116" Type="http://schemas.openxmlformats.org/officeDocument/2006/relationships/hyperlink" Target="https://drive.google.com/file/d/1y_T-sgDOMBqM8u7ViuluzuLyi-bGd1R8/view?usp=drivesdk" TargetMode="External"/><Relationship Id="rId3119" Type="http://schemas.openxmlformats.org/officeDocument/2006/relationships/hyperlink" Target="https://drive.google.com/file/d/1AYnTaW2xJgilDXGn20TDq1eNzq6AArLM/view?usp=drivesdk" TargetMode="External"/><Relationship Id="rId3118" Type="http://schemas.openxmlformats.org/officeDocument/2006/relationships/hyperlink" Target="https://drive.google.com/file/d/1sQ_keXKVcein_yh_iGLgp7FKLu0fg1lD/view?usp=drivesdk" TargetMode="External"/><Relationship Id="rId3111" Type="http://schemas.openxmlformats.org/officeDocument/2006/relationships/hyperlink" Target="https://drive.google.com/file/d/1f0J46FqgI5ga4GMpgXxG_tFtRBrmWCPm/view?usp=drivesdk" TargetMode="External"/><Relationship Id="rId3110" Type="http://schemas.openxmlformats.org/officeDocument/2006/relationships/hyperlink" Target="https://drive.google.com/file/d/1tC9bRheGHU7Z6LlUfyquS5nUU8UQo6TQ/view?usp=drivesdk" TargetMode="External"/><Relationship Id="rId3113" Type="http://schemas.openxmlformats.org/officeDocument/2006/relationships/hyperlink" Target="https://drive.google.com/file/d/14fOg9Ke68fCdH1u2TXWNqIC4exBb_SMb/view?usp=drivesdk" TargetMode="External"/><Relationship Id="rId3112" Type="http://schemas.openxmlformats.org/officeDocument/2006/relationships/hyperlink" Target="https://drive.google.com/file/d/12tFDzlDS4D5bwj61V-e9t_TMeke3e2Ra/view?usp=drivesdk" TargetMode="External"/><Relationship Id="rId3115" Type="http://schemas.openxmlformats.org/officeDocument/2006/relationships/hyperlink" Target="https://drive.google.com/file/d/175sk20BZQOqmYkxOTGs3IDo6NYs0vVIN/view?usp=drivesdk" TargetMode="External"/><Relationship Id="rId3114" Type="http://schemas.openxmlformats.org/officeDocument/2006/relationships/hyperlink" Target="https://drive.google.com/file/d/11nTf7IQbr78bTbUMUT9ntXp5FasNtQjF/view?usp=drivesdk" TargetMode="External"/><Relationship Id="rId3106" Type="http://schemas.openxmlformats.org/officeDocument/2006/relationships/hyperlink" Target="https://drive.google.com/file/d/1dTnbZ0nwem584jcdRXU4GEF4d4I39V-_/view?usp=drivesdk" TargetMode="External"/><Relationship Id="rId3105" Type="http://schemas.openxmlformats.org/officeDocument/2006/relationships/hyperlink" Target="https://drive.google.com/file/d/1KTEl-Da_d-xXyzi5U_rI-cnnmVm5NPzs/view?usp=drivesdk" TargetMode="External"/><Relationship Id="rId3108" Type="http://schemas.openxmlformats.org/officeDocument/2006/relationships/hyperlink" Target="https://drive.google.com/file/d/1dtb0owB0MA0XXkUuf73r_mpEHSy4tx6I/view?usp=drivesdk" TargetMode="External"/><Relationship Id="rId3107" Type="http://schemas.openxmlformats.org/officeDocument/2006/relationships/hyperlink" Target="http://b.sc/B.Com" TargetMode="External"/><Relationship Id="rId3109" Type="http://schemas.openxmlformats.org/officeDocument/2006/relationships/hyperlink" Target="https://drive.google.com/file/d/1KuUG8iktHtEe4K08bOt0EYg06wk9AvOe/view?usp=drivesdk" TargetMode="External"/><Relationship Id="rId3100" Type="http://schemas.openxmlformats.org/officeDocument/2006/relationships/hyperlink" Target="https://drive.google.com/file/d/1yR019lfBYCAiyFej7e-nKNkbzhQMht-i/view?usp=drivesdk" TargetMode="External"/><Relationship Id="rId3102" Type="http://schemas.openxmlformats.org/officeDocument/2006/relationships/hyperlink" Target="https://drive.google.com/file/d/1-59TdJcgQ6ZM5nyoRt7DgpD2dw25sZPT/view?usp=drivesdk" TargetMode="External"/><Relationship Id="rId3101" Type="http://schemas.openxmlformats.org/officeDocument/2006/relationships/hyperlink" Target="https://drive.google.com/file/d/1zl9iXjfat3P7TxdqopdKvZM5PY1lHsSN/view?usp=drivesdk" TargetMode="External"/><Relationship Id="rId3104" Type="http://schemas.openxmlformats.org/officeDocument/2006/relationships/hyperlink" Target="https://drive.google.com/file/d/1D5tOUz7G4BGNemTtBqNuT_XldQzHWhWh/view?usp=drivesdk" TargetMode="External"/><Relationship Id="rId3103" Type="http://schemas.openxmlformats.org/officeDocument/2006/relationships/hyperlink" Target="https://drive.google.com/file/d/19bVLbISTcjVTdSnd-nidFtMY6pzy8Kzz/view?usp=drivesdk" TargetMode="External"/><Relationship Id="rId3139" Type="http://schemas.openxmlformats.org/officeDocument/2006/relationships/hyperlink" Target="https://drive.google.com/file/d/1MGwboA2XHGW1ZXYxY-pPd_vs2Don0Gve/view?usp=drivesdk" TargetMode="External"/><Relationship Id="rId3138" Type="http://schemas.openxmlformats.org/officeDocument/2006/relationships/hyperlink" Target="https://drive.google.com/file/d/1WnWVc2lkgFQkz4ohkilhgI81m8Xx2ZXY/view?usp=drivesdk" TargetMode="External"/><Relationship Id="rId3131" Type="http://schemas.openxmlformats.org/officeDocument/2006/relationships/hyperlink" Target="https://drive.google.com/file/d/19ZLM3fVAKCED5PtB4KGa6tTmn8RwwajR/view?usp=drivesdk" TargetMode="External"/><Relationship Id="rId3130" Type="http://schemas.openxmlformats.org/officeDocument/2006/relationships/hyperlink" Target="https://drive.google.com/file/d/1fXLbvVegekAwPTxQCNO9PnBU4bwG8qfy/view?usp=drivesdk" TargetMode="External"/><Relationship Id="rId3133" Type="http://schemas.openxmlformats.org/officeDocument/2006/relationships/hyperlink" Target="https://drive.google.com/file/d/1YankMZgewt-y45h2OXWTmTScIQ5bOh4b/view?usp=drivesdk" TargetMode="External"/><Relationship Id="rId3132" Type="http://schemas.openxmlformats.org/officeDocument/2006/relationships/hyperlink" Target="https://drive.google.com/file/d/1UB56oUzs4VclLAOR5EgLfmZ12XW_ulvL/view?usp=drivesdk" TargetMode="External"/><Relationship Id="rId3135" Type="http://schemas.openxmlformats.org/officeDocument/2006/relationships/hyperlink" Target="https://drive.google.com/file/d/1OwzwkS5hCx0GeDSHmvGMz-z-Wj6GKY7I/view?usp=drivesdk" TargetMode="External"/><Relationship Id="rId3134" Type="http://schemas.openxmlformats.org/officeDocument/2006/relationships/hyperlink" Target="https://drive.google.com/file/d/13_71H2INNhNcw6I9w7tDLxcjLZ6BNdA1/view?usp=drivesdk" TargetMode="External"/><Relationship Id="rId3137" Type="http://schemas.openxmlformats.org/officeDocument/2006/relationships/hyperlink" Target="https://drive.google.com/file/d/1Ebu0AD7HGsVfl70j6cig5UbDEbS4Gf9O/view?usp=drivesdk" TargetMode="External"/><Relationship Id="rId3136" Type="http://schemas.openxmlformats.org/officeDocument/2006/relationships/hyperlink" Target="https://drive.google.com/file/d/1zIXwG67516ePRrd0ly6WzETCCBENfXuM/view?usp=drivesdk" TargetMode="External"/><Relationship Id="rId3128" Type="http://schemas.openxmlformats.org/officeDocument/2006/relationships/hyperlink" Target="https://drive.google.com/file/d/1yj9cvYyPQhBYt-zsKU_M4OwFnfL9BVwC/view?usp=drivesdk" TargetMode="External"/><Relationship Id="rId3127" Type="http://schemas.openxmlformats.org/officeDocument/2006/relationships/hyperlink" Target="https://drive.google.com/file/d/1q7n9ZaiY-Kq9JbfePVGFrbcTtrxyxOCp/view?usp=drivesdk" TargetMode="External"/><Relationship Id="rId3129" Type="http://schemas.openxmlformats.org/officeDocument/2006/relationships/hyperlink" Target="https://drive.google.com/file/d/1SGFGq7RGj9Y3j9dxsSFZv16vsE3GPDHu/view?usp=drivesdk" TargetMode="External"/><Relationship Id="rId3120" Type="http://schemas.openxmlformats.org/officeDocument/2006/relationships/hyperlink" Target="https://drive.google.com/file/d/1yNCSw5XkxAQnEPIjOsY-SDYlKIhMxyrG/view?usp=drivesdk" TargetMode="External"/><Relationship Id="rId3122" Type="http://schemas.openxmlformats.org/officeDocument/2006/relationships/hyperlink" Target="https://drive.google.com/file/d/1A2vps1yHcnHkZynV74u5Nq-6i16Sj5YY/view?usp=drivesdk" TargetMode="External"/><Relationship Id="rId3121" Type="http://schemas.openxmlformats.org/officeDocument/2006/relationships/hyperlink" Target="https://drive.google.com/file/d/1XK9SJ_TDoSnjTgL9iJLTWPiuViOQoDGo/view?usp=drivesdk" TargetMode="External"/><Relationship Id="rId3124" Type="http://schemas.openxmlformats.org/officeDocument/2006/relationships/hyperlink" Target="https://drive.google.com/file/d/1XLgUmRg7WNIHMiaV4QqtAOMNH3rvbk-9/view?usp=drivesdk" TargetMode="External"/><Relationship Id="rId3123" Type="http://schemas.openxmlformats.org/officeDocument/2006/relationships/hyperlink" Target="https://drive.google.com/file/d/1g6qUERE7pbRHXI9I7Z5d11HM5vNFmcT_/view?usp=drivesdk" TargetMode="External"/><Relationship Id="rId3126" Type="http://schemas.openxmlformats.org/officeDocument/2006/relationships/hyperlink" Target="https://drive.google.com/file/d/19elyRfP8ZQ3Xu5j3dd48OgR-dXaQA8pK/view?usp=drivesdk" TargetMode="External"/><Relationship Id="rId3125" Type="http://schemas.openxmlformats.org/officeDocument/2006/relationships/hyperlink" Target="https://drive.google.com/file/d/18NJljk08on9Q0dplJUq7hcxgFDUgXJ6b/view?usp=drivesdk" TargetMode="External"/><Relationship Id="rId1378" Type="http://schemas.openxmlformats.org/officeDocument/2006/relationships/hyperlink" Target="https://drive.google.com/file/d/1pyuAuAXmTNDPLwEv-Fgs5HHl_n0ZFxOu/view?usp=drivesdk" TargetMode="External"/><Relationship Id="rId1379" Type="http://schemas.openxmlformats.org/officeDocument/2006/relationships/hyperlink" Target="https://drive.google.com/file/d/11MYRO4gVsZqoY6kaS01U_DyrSvUyzUGg/view?usp=drivesdk" TargetMode="External"/><Relationship Id="rId789" Type="http://schemas.openxmlformats.org/officeDocument/2006/relationships/hyperlink" Target="https://drive.google.com/file/d/1DIGWDA36P6nqwxh9_ng2iKgWWi3nc_kr/view?usp=drivesdk" TargetMode="External"/><Relationship Id="rId788" Type="http://schemas.openxmlformats.org/officeDocument/2006/relationships/hyperlink" Target="https://drive.google.com/file/d/1UpY3qYW0qorePOECDNEZppk4KC2bYj61/view?usp=drivesdk" TargetMode="External"/><Relationship Id="rId787" Type="http://schemas.openxmlformats.org/officeDocument/2006/relationships/hyperlink" Target="https://drive.google.com/file/d/14cXQMYp-DC2DYEcunP9DMSVTbZ76xdNE/view?usp=drivesdk" TargetMode="External"/><Relationship Id="rId786" Type="http://schemas.openxmlformats.org/officeDocument/2006/relationships/hyperlink" Target="https://drive.google.com/file/d/1yoA2rZVk0eKtjbG0NiKOS6asfcQeMk8O/view?usp=drivesdk" TargetMode="External"/><Relationship Id="rId781" Type="http://schemas.openxmlformats.org/officeDocument/2006/relationships/hyperlink" Target="https://drive.google.com/file/d/1428erfDWGR5bevDbZW5jCG-lglMUIo0j/view?usp=drivesdk" TargetMode="External"/><Relationship Id="rId1370" Type="http://schemas.openxmlformats.org/officeDocument/2006/relationships/hyperlink" Target="https://drive.google.com/file/d/1anq9cKHvCV1nC1LV8-CnZ7Df9gh3z-qN/view?usp=drivesdk" TargetMode="External"/><Relationship Id="rId780" Type="http://schemas.openxmlformats.org/officeDocument/2006/relationships/hyperlink" Target="https://drive.google.com/file/d/1JjW4ht45BmJhsARD69z_Q1UvfQw9VE9I/view?usp=drivesdk" TargetMode="External"/><Relationship Id="rId1371" Type="http://schemas.openxmlformats.org/officeDocument/2006/relationships/hyperlink" Target="https://drive.google.com/file/d/1b0N1_ZuCfnh3HDBgpRaOSt42-BTRcti5/view?usp=drivesdk" TargetMode="External"/><Relationship Id="rId1372" Type="http://schemas.openxmlformats.org/officeDocument/2006/relationships/hyperlink" Target="https://drive.google.com/file/d/1zuhYbqUb3TIVm6eJfrO99oIVOAaO-QKO/view?usp=drivesdk" TargetMode="External"/><Relationship Id="rId1373" Type="http://schemas.openxmlformats.org/officeDocument/2006/relationships/hyperlink" Target="https://drive.google.com/file/d/1yildTrEOmrULZm5sfbgu-VAHGz4N-kS_/view?usp=drivesdk" TargetMode="External"/><Relationship Id="rId785" Type="http://schemas.openxmlformats.org/officeDocument/2006/relationships/hyperlink" Target="https://drive.google.com/file/d/1HuoKOJjzz_cW9eKPI1UhC3VAbEV4MQkW/view?usp=drivesdk" TargetMode="External"/><Relationship Id="rId1374" Type="http://schemas.openxmlformats.org/officeDocument/2006/relationships/hyperlink" Target="https://drive.google.com/file/d/1qtz70liA6Pmcm5a2-KLTyS2rkUXDIa66/view?usp=drivesdk" TargetMode="External"/><Relationship Id="rId784" Type="http://schemas.openxmlformats.org/officeDocument/2006/relationships/hyperlink" Target="https://drive.google.com/file/d/1J8jqgig3LWfJYJePm5hTWLEwdcKOEoej/view?usp=drivesdk" TargetMode="External"/><Relationship Id="rId1375" Type="http://schemas.openxmlformats.org/officeDocument/2006/relationships/hyperlink" Target="https://drive.google.com/file/d/1cuBzu1IoFPQ8mZk5Vy0hu9DeAGiIXcmS/view?usp=drivesdk" TargetMode="External"/><Relationship Id="rId783" Type="http://schemas.openxmlformats.org/officeDocument/2006/relationships/hyperlink" Target="https://drive.google.com/file/d/1HKJL_duCGsJJyw8oK1JEKNf30CUBwT2W/view?usp=drivesdk" TargetMode="External"/><Relationship Id="rId1376" Type="http://schemas.openxmlformats.org/officeDocument/2006/relationships/hyperlink" Target="https://drive.google.com/file/d/1gdJhwkyeezj8RhJeM6LyWP9LZ9EKCzKh/view?usp=drivesdk" TargetMode="External"/><Relationship Id="rId782" Type="http://schemas.openxmlformats.org/officeDocument/2006/relationships/hyperlink" Target="https://drive.google.com/file/d/10NAkeu2dioqlex2xwNQUO_ouPdWzGvdH/view?usp=drivesdk" TargetMode="External"/><Relationship Id="rId1377" Type="http://schemas.openxmlformats.org/officeDocument/2006/relationships/hyperlink" Target="https://drive.google.com/file/d/1dr55ybA67K5eG4bK2rmJH9tCsc7FTCD7/view?usp=drivesdk" TargetMode="External"/><Relationship Id="rId1367" Type="http://schemas.openxmlformats.org/officeDocument/2006/relationships/hyperlink" Target="https://drive.google.com/file/d/1a2YshiLl3lMrguzxWvYXiyok7ZF1O1Cq/view?usp=drivesdk" TargetMode="External"/><Relationship Id="rId2698" Type="http://schemas.openxmlformats.org/officeDocument/2006/relationships/hyperlink" Target="https://drive.google.com/file/d/1pIDPUSkAJVDy8RxEbIBenhFRvIPM7709/view?usp=drivesdk" TargetMode="External"/><Relationship Id="rId1368" Type="http://schemas.openxmlformats.org/officeDocument/2006/relationships/hyperlink" Target="https://drive.google.com/file/d/1jAepuB6YKqXxiZawKEPZQSYY6ab6md7e/view?usp=drivesdk" TargetMode="External"/><Relationship Id="rId2699" Type="http://schemas.openxmlformats.org/officeDocument/2006/relationships/hyperlink" Target="https://drive.google.com/file/d/1E2oatSGHtKMaanT63Q_UYp3aWsq-E94m/view?usp=drivesdk" TargetMode="External"/><Relationship Id="rId1369" Type="http://schemas.openxmlformats.org/officeDocument/2006/relationships/hyperlink" Target="https://drive.google.com/file/d/1bRHNKg0sBkVpwCHxF45KX8z5DuuVrQb2/view?usp=drivesdk" TargetMode="External"/><Relationship Id="rId778" Type="http://schemas.openxmlformats.org/officeDocument/2006/relationships/hyperlink" Target="https://drive.google.com/file/d/1WIjqmjKrl33cGhmu3j3pV6DjfLBlDQHL/view?usp=drivesdk" TargetMode="External"/><Relationship Id="rId777" Type="http://schemas.openxmlformats.org/officeDocument/2006/relationships/hyperlink" Target="https://drive.google.com/file/d/1oKzlugwPKfjHpYuffwsbXPNiLf_aap6d/view?usp=drivesdk" TargetMode="External"/><Relationship Id="rId776" Type="http://schemas.openxmlformats.org/officeDocument/2006/relationships/hyperlink" Target="https://drive.google.com/file/d/1aQnd5aaCw6ildm9WHevJESAdAiVIlkeq/view?usp=drivesdk" TargetMode="External"/><Relationship Id="rId775" Type="http://schemas.openxmlformats.org/officeDocument/2006/relationships/hyperlink" Target="http://b.sc/B.Com" TargetMode="External"/><Relationship Id="rId779" Type="http://schemas.openxmlformats.org/officeDocument/2006/relationships/hyperlink" Target="https://drive.google.com/file/d/1WLoLYi1loVEjDQpc7eiqlqfA8PseHOck/view?usp=drivesdk" TargetMode="External"/><Relationship Id="rId770" Type="http://schemas.openxmlformats.org/officeDocument/2006/relationships/hyperlink" Target="https://drive.google.com/file/d/1uTzbmJBROhzJWKDpjvnvoFZLkmjO8R4V/view?usp=drivesdk" TargetMode="External"/><Relationship Id="rId2690" Type="http://schemas.openxmlformats.org/officeDocument/2006/relationships/hyperlink" Target="https://drive.google.com/file/d/1sw0njREOqHBPjO6L6Jy5V9CbRmtdS2dW/view?usp=drivesdk" TargetMode="External"/><Relationship Id="rId1360" Type="http://schemas.openxmlformats.org/officeDocument/2006/relationships/hyperlink" Target="https://drive.google.com/file/d/1hojN07629Q4pa9zyqCVOsNQwZfvuEyLY/view?usp=drivesdk" TargetMode="External"/><Relationship Id="rId2691" Type="http://schemas.openxmlformats.org/officeDocument/2006/relationships/hyperlink" Target="https://drive.google.com/file/d/1PQ1S-bQMEJdYr1Qgt8sqGZbGQeLtH4K4/view?usp=drivesdk" TargetMode="External"/><Relationship Id="rId1361" Type="http://schemas.openxmlformats.org/officeDocument/2006/relationships/hyperlink" Target="https://drive.google.com/file/d/1dNVVEC-6hZxe2Ou8ywl5G4yPEOVWuDOx/view?usp=drivesdk" TargetMode="External"/><Relationship Id="rId2692" Type="http://schemas.openxmlformats.org/officeDocument/2006/relationships/hyperlink" Target="https://drive.google.com/file/d/1o_hhbhvj68xJhpN0BSBsWsEgF59vpOUn/view?usp=drivesdk" TargetMode="External"/><Relationship Id="rId1362" Type="http://schemas.openxmlformats.org/officeDocument/2006/relationships/hyperlink" Target="https://drive.google.com/file/d/1h6IohC4r0hOh60tnU5XxNhXkfIhSICqt/view?usp=drivesdk" TargetMode="External"/><Relationship Id="rId2693" Type="http://schemas.openxmlformats.org/officeDocument/2006/relationships/hyperlink" Target="https://drive.google.com/file/d/19VeP13bvdnkhpDBH8kTV54qyk2LYNtTG/view?usp=drivesdk" TargetMode="External"/><Relationship Id="rId774" Type="http://schemas.openxmlformats.org/officeDocument/2006/relationships/hyperlink" Target="https://drive.google.com/file/d/1lpAgeNtYVpCAY8Q7cy-P0SH7B8kChVoG/view?usp=drivesdk" TargetMode="External"/><Relationship Id="rId1363" Type="http://schemas.openxmlformats.org/officeDocument/2006/relationships/hyperlink" Target="https://drive.google.com/file/d/1Vmxt9rjR8kdieezs6B5YSV6VGcnBobIi/view?usp=drivesdk" TargetMode="External"/><Relationship Id="rId2694" Type="http://schemas.openxmlformats.org/officeDocument/2006/relationships/hyperlink" Target="https://drive.google.com/file/d/1pevJnC1Pqku9lSwlCmxomqtOZFuqnkkr/view?usp=drivesdk" TargetMode="External"/><Relationship Id="rId773" Type="http://schemas.openxmlformats.org/officeDocument/2006/relationships/hyperlink" Target="https://drive.google.com/file/d/1tz4TAyPfGyJ4mlMKqvCAvnnvI9I0F7XS/view?usp=drivesdk" TargetMode="External"/><Relationship Id="rId1364" Type="http://schemas.openxmlformats.org/officeDocument/2006/relationships/hyperlink" Target="https://drive.google.com/file/d/1qj4fi55tash4ExeNJA8wigbPQ74s6FcJ/view?usp=drivesdk" TargetMode="External"/><Relationship Id="rId2695" Type="http://schemas.openxmlformats.org/officeDocument/2006/relationships/hyperlink" Target="https://drive.google.com/file/d/1rZxsXn7wtvHZ8RaF8ifJH-GVb7CGlp95/view?usp=drivesdk" TargetMode="External"/><Relationship Id="rId772" Type="http://schemas.openxmlformats.org/officeDocument/2006/relationships/hyperlink" Target="https://drive.google.com/file/d/1SalVbEKW0XjrjOdKhTBUVyQ_tqE2IpNL/view?usp=drivesdk" TargetMode="External"/><Relationship Id="rId1365" Type="http://schemas.openxmlformats.org/officeDocument/2006/relationships/hyperlink" Target="https://drive.google.com/file/d/1i6EGbUuopfZXMNiYOCgDDOkl2uCPuDCe/view?usp=drivesdk" TargetMode="External"/><Relationship Id="rId2696" Type="http://schemas.openxmlformats.org/officeDocument/2006/relationships/hyperlink" Target="https://drive.google.com/file/d/1ahDYVIUnElJXxlsTp9cyGRJnshyJIQo2/view?usp=drivesdk" TargetMode="External"/><Relationship Id="rId771" Type="http://schemas.openxmlformats.org/officeDocument/2006/relationships/hyperlink" Target="https://drive.google.com/file/d/1En7eMiYqyra7A2z6qXjEhXo0t-ubXh3d/view?usp=drivesdk" TargetMode="External"/><Relationship Id="rId1366" Type="http://schemas.openxmlformats.org/officeDocument/2006/relationships/hyperlink" Target="https://drive.google.com/file/d/1x7Xufn1w_hgKbI1VJxjh4ZoDUPR5v5JQ/view?usp=drivesdk" TargetMode="External"/><Relationship Id="rId2697" Type="http://schemas.openxmlformats.org/officeDocument/2006/relationships/hyperlink" Target="https://drive.google.com/file/d/13JfaX5R27ae-vR6l92qflEsQg_zNqa46/view?usp=drivesdk" TargetMode="External"/><Relationship Id="rId1390" Type="http://schemas.openxmlformats.org/officeDocument/2006/relationships/hyperlink" Target="https://drive.google.com/file/d/1NzX3rddkUv8FShdrf9gwi_TtmV4GKaAT/view?usp=drivesdk" TargetMode="External"/><Relationship Id="rId1391" Type="http://schemas.openxmlformats.org/officeDocument/2006/relationships/hyperlink" Target="https://drive.google.com/file/d/1gALEQfJz6xn-hXieuGLc3xeJmTKsqRJ8/view?usp=drivesdk" TargetMode="External"/><Relationship Id="rId1392" Type="http://schemas.openxmlformats.org/officeDocument/2006/relationships/hyperlink" Target="https://drive.google.com/file/d/1N-vIBElusorVne8MkQ7jxH0O5IdNrAgu/view?usp=drivesdk" TargetMode="External"/><Relationship Id="rId1393" Type="http://schemas.openxmlformats.org/officeDocument/2006/relationships/hyperlink" Target="https://drive.google.com/file/d/1U8f_rzAjT2jAM1Ec6E8Aag-5icjr-Nxs/view?usp=drivesdk" TargetMode="External"/><Relationship Id="rId1394" Type="http://schemas.openxmlformats.org/officeDocument/2006/relationships/hyperlink" Target="https://drive.google.com/file/d/1dd6x0g3FURGINo8IE1qbtE4fT5pOvy5j/view?usp=drivesdk" TargetMode="External"/><Relationship Id="rId1395" Type="http://schemas.openxmlformats.org/officeDocument/2006/relationships/hyperlink" Target="https://drive.google.com/file/d/1HiafGUW9q3E4CJDpb6GOPu61enIYT2BD/view?usp=drivesdk" TargetMode="External"/><Relationship Id="rId1396" Type="http://schemas.openxmlformats.org/officeDocument/2006/relationships/hyperlink" Target="https://drive.google.com/file/d/1yH9Z2c1E2o42nULkoiJWhtAyMjE5dCjw/view?usp=drivesdk" TargetMode="External"/><Relationship Id="rId1397" Type="http://schemas.openxmlformats.org/officeDocument/2006/relationships/hyperlink" Target="https://drive.google.com/file/d/1jg8NLKHIxCh-3g6KrrZVjs7zvcnAYT9F/view?usp=drivesdk" TargetMode="External"/><Relationship Id="rId1398" Type="http://schemas.openxmlformats.org/officeDocument/2006/relationships/hyperlink" Target="https://drive.google.com/file/d/1gGUKr7EuPQtUKoyBYsbpxAvwpGT3I0CK/view?usp=drivesdk" TargetMode="External"/><Relationship Id="rId1399" Type="http://schemas.openxmlformats.org/officeDocument/2006/relationships/hyperlink" Target="https://drive.google.com/file/d/1buBSNzVMgLpIQoZwmqjssRL7O-vU77Fx/view?usp=drivesdk" TargetMode="External"/><Relationship Id="rId1389" Type="http://schemas.openxmlformats.org/officeDocument/2006/relationships/hyperlink" Target="https://drive.google.com/file/d/1BIIFNUQc1v6F1SQAdszvoSvVQyO7ffNT/view?usp=drivesdk" TargetMode="External"/><Relationship Id="rId799" Type="http://schemas.openxmlformats.org/officeDocument/2006/relationships/hyperlink" Target="https://drive.google.com/file/d/1Tp94l_SxPzwLN-RF07039X5534Rz8y0P/view?usp=drivesdk" TargetMode="External"/><Relationship Id="rId798" Type="http://schemas.openxmlformats.org/officeDocument/2006/relationships/hyperlink" Target="https://drive.google.com/file/d/1T7SliI7VZcees1KL1FpA3wzABk9E30eB/view?usp=drivesdk" TargetMode="External"/><Relationship Id="rId797" Type="http://schemas.openxmlformats.org/officeDocument/2006/relationships/hyperlink" Target="https://drive.google.com/file/d/1EiPh16zq0T5CklrjuVZj40bxZcczL3bh/view?usp=drivesdk" TargetMode="External"/><Relationship Id="rId1380" Type="http://schemas.openxmlformats.org/officeDocument/2006/relationships/hyperlink" Target="https://drive.google.com/file/d/1-4U92B45RTzQBK4x-W5ZtEGNlpNkaICN/view?usp=drivesdk" TargetMode="External"/><Relationship Id="rId792" Type="http://schemas.openxmlformats.org/officeDocument/2006/relationships/hyperlink" Target="https://drive.google.com/file/d/1TMJassHeZKNa7rXQ3m6Wv5rwkPhL_xcU/view?usp=drivesdk" TargetMode="External"/><Relationship Id="rId1381" Type="http://schemas.openxmlformats.org/officeDocument/2006/relationships/hyperlink" Target="https://drive.google.com/file/d/1aQIWa_iElI31Pgeu_1BZ9T1SYah7tql_/view?usp=drivesdk" TargetMode="External"/><Relationship Id="rId791" Type="http://schemas.openxmlformats.org/officeDocument/2006/relationships/hyperlink" Target="https://drive.google.com/file/d/1ZyVIX_N5LUoudKnjZQCQkjP_eIAqkJiq/view?usp=drivesdk" TargetMode="External"/><Relationship Id="rId1382" Type="http://schemas.openxmlformats.org/officeDocument/2006/relationships/hyperlink" Target="https://drive.google.com/file/d/1oFC7FU3dGOB561Qq8i9P6JfyTRH7tWLZ/view?usp=drivesdk" TargetMode="External"/><Relationship Id="rId790" Type="http://schemas.openxmlformats.org/officeDocument/2006/relationships/hyperlink" Target="https://drive.google.com/file/d/1URX1PEPQj9rOqpONb3aRqP_zFSmtrxGS/view?usp=drivesdk" TargetMode="External"/><Relationship Id="rId1383" Type="http://schemas.openxmlformats.org/officeDocument/2006/relationships/hyperlink" Target="https://drive.google.com/file/d/19DHPcar1zdIXf2VqK6FSCtzW80bMIZ2h/view?usp=drivesdk" TargetMode="External"/><Relationship Id="rId1384" Type="http://schemas.openxmlformats.org/officeDocument/2006/relationships/hyperlink" Target="https://drive.google.com/file/d/1awv3ZJTRlhS4-mvr-EmnxgfrmSNE34Pe/view?usp=drivesdk" TargetMode="External"/><Relationship Id="rId796" Type="http://schemas.openxmlformats.org/officeDocument/2006/relationships/hyperlink" Target="https://drive.google.com/file/d/1PeyHPrPu1tjatJx16Stjjqs5pEppB4uU/view?usp=drivesdk" TargetMode="External"/><Relationship Id="rId1385" Type="http://schemas.openxmlformats.org/officeDocument/2006/relationships/hyperlink" Target="https://drive.google.com/file/d/14L0-TCpxRtFPG77DRym1oqh8PgHzr1cG/view?usp=drivesdk" TargetMode="External"/><Relationship Id="rId795" Type="http://schemas.openxmlformats.org/officeDocument/2006/relationships/hyperlink" Target="https://drive.google.com/file/d/1ZkUTtRk8_-ls2ddP3sg02kmcoXw2qF_2/view?usp=drivesdk" TargetMode="External"/><Relationship Id="rId1386" Type="http://schemas.openxmlformats.org/officeDocument/2006/relationships/hyperlink" Target="https://drive.google.com/file/d/1B1eBvSUlaw5SVpV906FsgCF0QAlib6D1/view?usp=drivesdk" TargetMode="External"/><Relationship Id="rId794" Type="http://schemas.openxmlformats.org/officeDocument/2006/relationships/hyperlink" Target="https://drive.google.com/file/d/1JIqbQNOcvX3Nxv_3PcPkGkWQhlj56cSr/view?usp=drivesdk" TargetMode="External"/><Relationship Id="rId1387" Type="http://schemas.openxmlformats.org/officeDocument/2006/relationships/hyperlink" Target="https://drive.google.com/file/d/1QqVf8SgGJp7pQVCcSau2gMv8ucM1b-rF/view?usp=drivesdk" TargetMode="External"/><Relationship Id="rId793" Type="http://schemas.openxmlformats.org/officeDocument/2006/relationships/hyperlink" Target="https://drive.google.com/file/d/1C23NzzKRpRsyb1klQVpJunuTRBP5-xve/view?usp=drivesdk" TargetMode="External"/><Relationship Id="rId1388" Type="http://schemas.openxmlformats.org/officeDocument/2006/relationships/hyperlink" Target="https://drive.google.com/file/d/1Ybp2aQQ2L8rEXFWw5X_rAy4uWbtWDX6n/view?usp=drivesdk" TargetMode="External"/><Relationship Id="rId3191" Type="http://schemas.openxmlformats.org/officeDocument/2006/relationships/hyperlink" Target="https://drive.google.com/file/d/1FVQLyP4Bq8P5agusT6cJE5XDgXRecM83/view?usp=drivesdk" TargetMode="External"/><Relationship Id="rId3190" Type="http://schemas.openxmlformats.org/officeDocument/2006/relationships/hyperlink" Target="https://drive.google.com/file/d/167qP78i9ovW5aqOVDbwMPG2u5ZOpmYZK/view?usp=drivesdk" TargetMode="External"/><Relationship Id="rId3193" Type="http://schemas.openxmlformats.org/officeDocument/2006/relationships/hyperlink" Target="https://drive.google.com/file/d/1B5Id_675nrbh2fvoiPaZZwAOWL3cJfLu/view?usp=drivesdk" TargetMode="External"/><Relationship Id="rId3192" Type="http://schemas.openxmlformats.org/officeDocument/2006/relationships/hyperlink" Target="https://drive.google.com/file/d/1i6kKtjF_S0DTXCIuv5D4sKMO1KUUGVbi/view?usp=drivesdk" TargetMode="External"/><Relationship Id="rId3195" Type="http://schemas.openxmlformats.org/officeDocument/2006/relationships/hyperlink" Target="https://drive.google.com/file/d/1MH-KLJqIU-UDTwAUU7NmdHP7xOr0Yszp/view?usp=drivesdk" TargetMode="External"/><Relationship Id="rId3194" Type="http://schemas.openxmlformats.org/officeDocument/2006/relationships/hyperlink" Target="https://drive.google.com/file/d/1AZj6bpP6oYuO83iFb5uJmz-R_NFS87Oy/view?usp=drivesdk" TargetMode="External"/><Relationship Id="rId3197" Type="http://schemas.openxmlformats.org/officeDocument/2006/relationships/hyperlink" Target="https://drive.google.com/file/d/16o4HO4CG7-0WN6xe9gcvZWchYznfnuqE/view?usp=drivesdk" TargetMode="External"/><Relationship Id="rId3196" Type="http://schemas.openxmlformats.org/officeDocument/2006/relationships/hyperlink" Target="https://drive.google.com/file/d/1JtsAFzuRzMuJ63avn8bxEjHPEKrPNjWl/view?usp=drivesdk" TargetMode="External"/><Relationship Id="rId3199" Type="http://schemas.openxmlformats.org/officeDocument/2006/relationships/hyperlink" Target="https://drive.google.com/file/d/1bL9YzYD26rQoXn9KG89AM1waSlXdFVAm/view?usp=drivesdk" TargetMode="External"/><Relationship Id="rId3198" Type="http://schemas.openxmlformats.org/officeDocument/2006/relationships/hyperlink" Target="https://drive.google.com/file/d/1jxBdjLiQDqnRqfLPZnxi3n0td2Jz4spf/view?usp=drivesdk" TargetMode="External"/><Relationship Id="rId3180" Type="http://schemas.openxmlformats.org/officeDocument/2006/relationships/hyperlink" Target="https://drive.google.com/file/d/136ngZ0wHkhnu6j2KfWqBMaBv3C3LMFDU/view?usp=drivesdk" TargetMode="External"/><Relationship Id="rId3182" Type="http://schemas.openxmlformats.org/officeDocument/2006/relationships/hyperlink" Target="https://drive.google.com/file/d/1D2Zu5ola003nAP1WN4d9PSgROLPJ2HRq/view?usp=drivesdk" TargetMode="External"/><Relationship Id="rId3181" Type="http://schemas.openxmlformats.org/officeDocument/2006/relationships/hyperlink" Target="https://drive.google.com/file/d/1oY5k7nsKmykPdQj_acLbm5d2uXiF5N9m/view?usp=drivesdk" TargetMode="External"/><Relationship Id="rId3184" Type="http://schemas.openxmlformats.org/officeDocument/2006/relationships/hyperlink" Target="https://drive.google.com/file/d/1ezjE3XK1JSXM5IOX2iAY190-b_9lf-p3/view?usp=drivesdk" TargetMode="External"/><Relationship Id="rId3183" Type="http://schemas.openxmlformats.org/officeDocument/2006/relationships/hyperlink" Target="https://drive.google.com/file/d/11j5aopjf29_wOkop6JvYzwz_Ps0pQ1iJ/view?usp=drivesdk" TargetMode="External"/><Relationship Id="rId3186" Type="http://schemas.openxmlformats.org/officeDocument/2006/relationships/hyperlink" Target="https://drive.google.com/file/d/1cK_4wwrenrU2jYqJ7SRvAo8hxJzKToux/view?usp=drivesdk" TargetMode="External"/><Relationship Id="rId3185" Type="http://schemas.openxmlformats.org/officeDocument/2006/relationships/hyperlink" Target="https://drive.google.com/file/d/1mVjfglxY3YX5kO4ttjNzDmfFDwN1xKk5/view?usp=drivesdk" TargetMode="External"/><Relationship Id="rId3188" Type="http://schemas.openxmlformats.org/officeDocument/2006/relationships/hyperlink" Target="https://drive.google.com/file/d/1ynNHNp6ycBrfCslQVwxkLvJrdGy4B-qz/view?usp=drivesdk" TargetMode="External"/><Relationship Id="rId3187" Type="http://schemas.openxmlformats.org/officeDocument/2006/relationships/hyperlink" Target="https://drive.google.com/file/d/1aI77kEtWC2wPRd1b1cmbfwvq11RdkMEC/view?usp=drivesdk" TargetMode="External"/><Relationship Id="rId3189" Type="http://schemas.openxmlformats.org/officeDocument/2006/relationships/hyperlink" Target="https://drive.google.com/file/d/11QcdfBBk3xxIgPh-zrTESaiOfeMPODzW/view?usp=drivesdk" TargetMode="External"/><Relationship Id="rId3151" Type="http://schemas.openxmlformats.org/officeDocument/2006/relationships/hyperlink" Target="https://drive.google.com/file/d/1zRB0mQpy6fo9YqPHnJdn9dTiINUGZJiU/view?usp=drivesdk" TargetMode="External"/><Relationship Id="rId3150" Type="http://schemas.openxmlformats.org/officeDocument/2006/relationships/hyperlink" Target="https://drive.google.com/file/d/1-uqYNV4MA4WCEb_60La4gw-sIK35mc96/view?usp=drivesdk" TargetMode="External"/><Relationship Id="rId3153" Type="http://schemas.openxmlformats.org/officeDocument/2006/relationships/hyperlink" Target="https://drive.google.com/file/d/1qvCKaJbNPiUCnngxFF9h0cTvEHZ1_h_y/view?usp=drivesdk" TargetMode="External"/><Relationship Id="rId3152" Type="http://schemas.openxmlformats.org/officeDocument/2006/relationships/hyperlink" Target="https://drive.google.com/file/d/1VdHx_gXkgwd1aSr7h16HvMQO11gv_PBk/view?usp=drivesdk" TargetMode="External"/><Relationship Id="rId3155" Type="http://schemas.openxmlformats.org/officeDocument/2006/relationships/hyperlink" Target="https://drive.google.com/file/d/1FSwIdSnyxzrvMtQsbpNvY7a0e64cjquQ/view?usp=drivesdk" TargetMode="External"/><Relationship Id="rId3154" Type="http://schemas.openxmlformats.org/officeDocument/2006/relationships/hyperlink" Target="https://drive.google.com/file/d/1__6oG7XSDir9_7It8NH9nottWctfuW4e/view?usp=drivesdk" TargetMode="External"/><Relationship Id="rId3157" Type="http://schemas.openxmlformats.org/officeDocument/2006/relationships/hyperlink" Target="https://drive.google.com/file/d/1NeLAfOlRqh_tPCxMloovL77_2HSZ0Ss-/view?usp=drivesdk" TargetMode="External"/><Relationship Id="rId3156" Type="http://schemas.openxmlformats.org/officeDocument/2006/relationships/hyperlink" Target="https://drive.google.com/file/d/16Ktm843SFQNx39xezP52HwXqBaU9y7xk/view?usp=drivesdk" TargetMode="External"/><Relationship Id="rId3159" Type="http://schemas.openxmlformats.org/officeDocument/2006/relationships/hyperlink" Target="https://drive.google.com/file/d/1meWXTK3dcDKm_U31HnJwRpU3i72SJJa5/view?usp=drivesdk" TargetMode="External"/><Relationship Id="rId3158" Type="http://schemas.openxmlformats.org/officeDocument/2006/relationships/hyperlink" Target="https://drive.google.com/file/d/1JYsphHPQWNGxl1pUojSGNZ5oBBW23VOO/view?usp=drivesdk" TargetMode="External"/><Relationship Id="rId3149" Type="http://schemas.openxmlformats.org/officeDocument/2006/relationships/hyperlink" Target="https://drive.google.com/file/d/1fiBwlipsezO_jpBE78tL0m47ku1d-UGU/view?usp=drivesdk" TargetMode="External"/><Relationship Id="rId3140" Type="http://schemas.openxmlformats.org/officeDocument/2006/relationships/hyperlink" Target="https://drive.google.com/file/d/1DA2Z8wCshwFACrkJrWxL6ljJLtjPAma1/view?usp=drivesdk" TargetMode="External"/><Relationship Id="rId3142" Type="http://schemas.openxmlformats.org/officeDocument/2006/relationships/hyperlink" Target="https://drive.google.com/file/d/1-tSgEgmNx0_cz1qKZH2kwmIIXkfaA0cT/view?usp=drivesdk" TargetMode="External"/><Relationship Id="rId3141" Type="http://schemas.openxmlformats.org/officeDocument/2006/relationships/hyperlink" Target="https://drive.google.com/file/d/1IFtyuACGW_kegUiMVZMQ3fT_m5DZKmdQ/view?usp=drivesdk" TargetMode="External"/><Relationship Id="rId3144" Type="http://schemas.openxmlformats.org/officeDocument/2006/relationships/hyperlink" Target="https://drive.google.com/file/d/1klJlft4m5-VoOxlUecPA6tnHZ_1oZS39/view?usp=drivesdk" TargetMode="External"/><Relationship Id="rId3143" Type="http://schemas.openxmlformats.org/officeDocument/2006/relationships/hyperlink" Target="https://drive.google.com/file/d/1FW_c-2FBN6YU736ZuPpSAJ12WZI3Do_f/view?usp=drivesdk" TargetMode="External"/><Relationship Id="rId3146" Type="http://schemas.openxmlformats.org/officeDocument/2006/relationships/hyperlink" Target="https://drive.google.com/file/d/1vGnFUD9k7BZpNvb-XmKlZfkWFIX9KrfJ/view?usp=drivesdk" TargetMode="External"/><Relationship Id="rId3145" Type="http://schemas.openxmlformats.org/officeDocument/2006/relationships/hyperlink" Target="https://drive.google.com/file/d/17TynEFTbG8axtncXLF5REtYCZ3SG45Pc/view?usp=drivesdk" TargetMode="External"/><Relationship Id="rId3148" Type="http://schemas.openxmlformats.org/officeDocument/2006/relationships/hyperlink" Target="https://drive.google.com/file/d/1iHzy12-xKMlOXHyyXaMi_V3fMZdKqvs-/view?usp=drivesdk" TargetMode="External"/><Relationship Id="rId3147" Type="http://schemas.openxmlformats.org/officeDocument/2006/relationships/hyperlink" Target="https://drive.google.com/file/d/1NWhUKGUnhVpyhjkqEz0rWrtBalOUekWD/view?usp=drivesdk" TargetMode="External"/><Relationship Id="rId3171" Type="http://schemas.openxmlformats.org/officeDocument/2006/relationships/hyperlink" Target="https://drive.google.com/file/d/1WrISxzZg8XzhPnY9ruHIZlM3cGwQ1d0H/view?usp=drivesdk" TargetMode="External"/><Relationship Id="rId3170" Type="http://schemas.openxmlformats.org/officeDocument/2006/relationships/hyperlink" Target="https://drive.google.com/file/d/1KNhacl10Cs29JtOadk9v2UEhv_5UHV6n/view?usp=drivesdk" TargetMode="External"/><Relationship Id="rId3173" Type="http://schemas.openxmlformats.org/officeDocument/2006/relationships/hyperlink" Target="https://drive.google.com/file/d/1bDsRiySjNv_VCqdRIPtP7PLBgYVr1yg9/view?usp=drivesdk" TargetMode="External"/><Relationship Id="rId3172" Type="http://schemas.openxmlformats.org/officeDocument/2006/relationships/hyperlink" Target="https://drive.google.com/file/d/1oO4fErfclGWYLrKe2_BXX1QCRubpKYty/view?usp=drivesdk" TargetMode="External"/><Relationship Id="rId3175" Type="http://schemas.openxmlformats.org/officeDocument/2006/relationships/hyperlink" Target="https://drive.google.com/file/d/1hyLMcNXaMJJzn9Pl3NNo_Sx-WV6v12uE/view?usp=drivesdk" TargetMode="External"/><Relationship Id="rId3174" Type="http://schemas.openxmlformats.org/officeDocument/2006/relationships/hyperlink" Target="https://drive.google.com/file/d/1eJvbNiGtrJw_byWgOzNcWGhGaZUVQ3HD/view?usp=drivesdk" TargetMode="External"/><Relationship Id="rId3177" Type="http://schemas.openxmlformats.org/officeDocument/2006/relationships/hyperlink" Target="https://drive.google.com/file/d/19Htbt2YuT3d2fXZOiE_3o0xivl0iWdNS/view?usp=drivesdk" TargetMode="External"/><Relationship Id="rId3176" Type="http://schemas.openxmlformats.org/officeDocument/2006/relationships/hyperlink" Target="https://drive.google.com/file/d/1TOIczYEgnMo38nyWw1PwqHWhWjySf1PW/view?usp=drivesdk" TargetMode="External"/><Relationship Id="rId3179" Type="http://schemas.openxmlformats.org/officeDocument/2006/relationships/hyperlink" Target="https://drive.google.com/file/d/1Q4mlop9L-9-ewIw6ySbO_3ONFtcfXRzN/view?usp=drivesdk" TargetMode="External"/><Relationship Id="rId3178" Type="http://schemas.openxmlformats.org/officeDocument/2006/relationships/hyperlink" Target="https://drive.google.com/file/d/1k9fa6R6gNjcy6m7Fz22aO71GPJN9xsSd/view?usp=drivesdk" TargetMode="External"/><Relationship Id="rId3160" Type="http://schemas.openxmlformats.org/officeDocument/2006/relationships/hyperlink" Target="https://drive.google.com/file/d/1VnC0OTGLm5QCDM5scWpqrHWoP6KOc2wM/view?usp=drivesdk" TargetMode="External"/><Relationship Id="rId3162" Type="http://schemas.openxmlformats.org/officeDocument/2006/relationships/hyperlink" Target="https://drive.google.com/file/d/1IvpaTI0HQvnnS1oRLdQZVsxkVluTSG5V/view?usp=drivesdk" TargetMode="External"/><Relationship Id="rId3161" Type="http://schemas.openxmlformats.org/officeDocument/2006/relationships/hyperlink" Target="https://drive.google.com/file/d/1ud7-BBUqyBGG_YoCfrOxzHBcDRwiiDUG/view?usp=drivesdk" TargetMode="External"/><Relationship Id="rId3164" Type="http://schemas.openxmlformats.org/officeDocument/2006/relationships/hyperlink" Target="https://drive.google.com/file/d/1UogGl9726fpzmVro3OHFqTpbl0-cgXwE/view?usp=drivesdk" TargetMode="External"/><Relationship Id="rId3163" Type="http://schemas.openxmlformats.org/officeDocument/2006/relationships/hyperlink" Target="https://drive.google.com/file/d/1VdhZfcKaB_WsnQtWc2MWVS9bAL9_nN5X/view?usp=drivesdk" TargetMode="External"/><Relationship Id="rId3166" Type="http://schemas.openxmlformats.org/officeDocument/2006/relationships/hyperlink" Target="https://drive.google.com/file/d/17Cw2oueCnn2AGi4UwEDmOqhyxalMPJO0/view?usp=drivesdk" TargetMode="External"/><Relationship Id="rId3165" Type="http://schemas.openxmlformats.org/officeDocument/2006/relationships/hyperlink" Target="https://drive.google.com/file/d/152SeTTk8wWz5WDdwZqbfz_pSkTUZzzRM/view?usp=drivesdk" TargetMode="External"/><Relationship Id="rId3168" Type="http://schemas.openxmlformats.org/officeDocument/2006/relationships/hyperlink" Target="https://drive.google.com/file/d/1gx1jTil7H-mlL5PjwLe8vtdl5bPdxUtv/view?usp=drivesdk" TargetMode="External"/><Relationship Id="rId3167" Type="http://schemas.openxmlformats.org/officeDocument/2006/relationships/hyperlink" Target="https://drive.google.com/file/d/1vjcUL1F1uYlRzW1Fs2EpJISaX0OBBQ7H/view?usp=drivesdk" TargetMode="External"/><Relationship Id="rId3169" Type="http://schemas.openxmlformats.org/officeDocument/2006/relationships/hyperlink" Target="https://drive.google.com/file/d/1rW64hKYE9GJBjHUM2De4uHFGcBy13UH_/view?usp=drivesdk" TargetMode="External"/><Relationship Id="rId2700" Type="http://schemas.openxmlformats.org/officeDocument/2006/relationships/hyperlink" Target="https://drive.google.com/file/d/1N_3sfmHk0GPQh8-IGJgdpT7xETGhYypR/view?usp=drivesdk" TargetMode="External"/><Relationship Id="rId2701" Type="http://schemas.openxmlformats.org/officeDocument/2006/relationships/hyperlink" Target="https://drive.google.com/file/d/1-ieXsXpfYg3aT-U83iPiP5k5HfmGlTQ4/view?usp=drivesdk" TargetMode="External"/><Relationship Id="rId2702" Type="http://schemas.openxmlformats.org/officeDocument/2006/relationships/hyperlink" Target="https://drive.google.com/file/d/1lTdOb3HnaSow4q4qujaTwpPqAgM_ZLiw/view?usp=drivesdk" TargetMode="External"/><Relationship Id="rId2703" Type="http://schemas.openxmlformats.org/officeDocument/2006/relationships/hyperlink" Target="https://drive.google.com/file/d/15dyl6BVziB429M43FqhXEb2hBMM0Ylxk/view?usp=drivesdk" TargetMode="External"/><Relationship Id="rId2704" Type="http://schemas.openxmlformats.org/officeDocument/2006/relationships/hyperlink" Target="https://drive.google.com/file/d/1zbUfrM-k8CQzvDXq228RjC5C6yQRxMUv/view?usp=drivesdk" TargetMode="External"/><Relationship Id="rId2705" Type="http://schemas.openxmlformats.org/officeDocument/2006/relationships/hyperlink" Target="https://drive.google.com/file/d/1W6VV1HC0neiHQGJVvYwBAYmmvBek6m06/view?usp=drivesdk" TargetMode="External"/><Relationship Id="rId2706" Type="http://schemas.openxmlformats.org/officeDocument/2006/relationships/hyperlink" Target="https://drive.google.com/file/d/1hSQz8bMJfeMjlIuqKKFeMoQ_NnBoDTa-/view?usp=drivesdk" TargetMode="External"/><Relationship Id="rId2707" Type="http://schemas.openxmlformats.org/officeDocument/2006/relationships/hyperlink" Target="https://drive.google.com/file/d/1VfRDq8ix5TLEA_0fFfELmZBCKl0GtFPj/view?usp=drivesdk" TargetMode="External"/><Relationship Id="rId2708" Type="http://schemas.openxmlformats.org/officeDocument/2006/relationships/hyperlink" Target="https://drive.google.com/file/d/14K0rDrkF15LFtEGhPgi_8AbdWDM7Ty7v/view?usp=drivesdk" TargetMode="External"/><Relationship Id="rId2709" Type="http://schemas.openxmlformats.org/officeDocument/2006/relationships/hyperlink" Target="https://drive.google.com/file/d/1oAl7rC3JFwzu5ibHPh1eOv6AvopABle-/view?usp=drivesdk" TargetMode="External"/><Relationship Id="rId2720" Type="http://schemas.openxmlformats.org/officeDocument/2006/relationships/hyperlink" Target="https://drive.google.com/file/d/1bsIbr6A6FF3I5QqGOpXLGpOQiH4YuyfB/view?usp=drivesdk" TargetMode="External"/><Relationship Id="rId2721" Type="http://schemas.openxmlformats.org/officeDocument/2006/relationships/hyperlink" Target="https://drive.google.com/file/d/1uTaRK-Rcq2bikEf_Z3bNz9ZhH3BcLU9v/view?usp=drivesdk" TargetMode="External"/><Relationship Id="rId2722" Type="http://schemas.openxmlformats.org/officeDocument/2006/relationships/hyperlink" Target="https://drive.google.com/file/d/1ShjqEqjSAriZqHB_FtJiHGyDwaKqYj_X/view?usp=drivesdk" TargetMode="External"/><Relationship Id="rId2723" Type="http://schemas.openxmlformats.org/officeDocument/2006/relationships/hyperlink" Target="https://drive.google.com/file/d/1HqjtG5sAd2ypR5n7f4BbER-F0PDq8A3z/view?usp=drivesdk" TargetMode="External"/><Relationship Id="rId2724" Type="http://schemas.openxmlformats.org/officeDocument/2006/relationships/hyperlink" Target="https://drive.google.com/file/d/1GBvdIsEl8X0dWfanmZN02oDx9wxrmmRp/view?usp=drivesdk" TargetMode="External"/><Relationship Id="rId2725" Type="http://schemas.openxmlformats.org/officeDocument/2006/relationships/hyperlink" Target="https://drive.google.com/file/d/1Tcs-ykKCC2vPWEcBp4Q7MB3IEQYEw4Pn/view?usp=drivesdk" TargetMode="External"/><Relationship Id="rId2726" Type="http://schemas.openxmlformats.org/officeDocument/2006/relationships/hyperlink" Target="https://drive.google.com/file/d/1X8IZXZpB1chmDhnAiHyvs9ntHOFm6V94/view?usp=drivesdk" TargetMode="External"/><Relationship Id="rId2727" Type="http://schemas.openxmlformats.org/officeDocument/2006/relationships/hyperlink" Target="https://drive.google.com/file/d/1mW0tJ2ZpKuq7YlsRNb8YVVIyWCvdNpVl/view?usp=drivesdk" TargetMode="External"/><Relationship Id="rId2728" Type="http://schemas.openxmlformats.org/officeDocument/2006/relationships/hyperlink" Target="https://drive.google.com/file/d/1NaFaPkFxb1G7WrVzN2Bvu_Wf8j2VWyKg/view?usp=drivesdk" TargetMode="External"/><Relationship Id="rId2729" Type="http://schemas.openxmlformats.org/officeDocument/2006/relationships/hyperlink" Target="https://drive.google.com/file/d/1uEB6b8WtKbbSa-L1TZwVyhTdpsrY2Qzk/view?usp=drivesdk" TargetMode="External"/><Relationship Id="rId2710" Type="http://schemas.openxmlformats.org/officeDocument/2006/relationships/hyperlink" Target="https://drive.google.com/file/d/1ga5HP_cWLENbKOjKn7B6kGtASrjsq72E/view?usp=drivesdk" TargetMode="External"/><Relationship Id="rId2711" Type="http://schemas.openxmlformats.org/officeDocument/2006/relationships/hyperlink" Target="https://drive.google.com/file/d/1PlRuT2-ZBXLFTAwSfAdDTMa_nAAOFZ_e/view?usp=drivesdk" TargetMode="External"/><Relationship Id="rId2712" Type="http://schemas.openxmlformats.org/officeDocument/2006/relationships/hyperlink" Target="https://drive.google.com/file/d/1G0_3Q3GqauhHDqKk-y0EkTl9UjDFqs7F/view?usp=drivesdk" TargetMode="External"/><Relationship Id="rId2713" Type="http://schemas.openxmlformats.org/officeDocument/2006/relationships/hyperlink" Target="http://b.sc/B.Com" TargetMode="External"/><Relationship Id="rId2714" Type="http://schemas.openxmlformats.org/officeDocument/2006/relationships/hyperlink" Target="https://drive.google.com/file/d/17o1Snjn0xY9Dl7VtSfJpfdpTxcrl9aFc/view?usp=drivesdk" TargetMode="External"/><Relationship Id="rId2715" Type="http://schemas.openxmlformats.org/officeDocument/2006/relationships/hyperlink" Target="https://drive.google.com/file/d/1xMFBN2cuhayCKA3EHaW8ILOKVsmkFZ1R/view?usp=drivesdk" TargetMode="External"/><Relationship Id="rId2716" Type="http://schemas.openxmlformats.org/officeDocument/2006/relationships/hyperlink" Target="https://drive.google.com/file/d/1ni28tGgGur4RsFrbOJDLDUYhtgxRa8i5/view?usp=drivesdk" TargetMode="External"/><Relationship Id="rId2717" Type="http://schemas.openxmlformats.org/officeDocument/2006/relationships/hyperlink" Target="https://drive.google.com/file/d/1Q213-u9fv0lvNn07HHZ5FTQtWJgXvEiD/view?usp=drivesdk" TargetMode="External"/><Relationship Id="rId2718" Type="http://schemas.openxmlformats.org/officeDocument/2006/relationships/hyperlink" Target="https://drive.google.com/file/d/1Btjmgxu3wDKX7FtNXzEbbRhozEvQPnOC/view?usp=drivesdk" TargetMode="External"/><Relationship Id="rId2719" Type="http://schemas.openxmlformats.org/officeDocument/2006/relationships/hyperlink" Target="https://drive.google.com/file/d/1MgeRku2ORW7LnsJ_OK6mWoKww2MDPNkS/view?usp=drivesdk" TargetMode="External"/><Relationship Id="rId1455" Type="http://schemas.openxmlformats.org/officeDocument/2006/relationships/hyperlink" Target="https://drive.google.com/file/d/1q9fJL_nhe-wO6OQQLTrDOVCdtG5zUsmD/view?usp=drivesdk" TargetMode="External"/><Relationship Id="rId2786" Type="http://schemas.openxmlformats.org/officeDocument/2006/relationships/hyperlink" Target="https://drive.google.com/file/d/1fgsmTvMLjj78DcWHpnOjRP8mU28jjR6B/view?usp=drivesdk" TargetMode="External"/><Relationship Id="rId1456" Type="http://schemas.openxmlformats.org/officeDocument/2006/relationships/hyperlink" Target="https://drive.google.com/file/d/1TYdrYEfubvTxGRkFFg-Ab_YhRItcqBdn/view?usp=drivesdk" TargetMode="External"/><Relationship Id="rId2787" Type="http://schemas.openxmlformats.org/officeDocument/2006/relationships/hyperlink" Target="https://drive.google.com/file/d/1LfAhQol7emmzwmIinPkRy4zm4t-t_Mlj/view?usp=drivesdk" TargetMode="External"/><Relationship Id="rId1457" Type="http://schemas.openxmlformats.org/officeDocument/2006/relationships/hyperlink" Target="https://drive.google.com/file/d/17cjx429HBArXDmlaM9OHZvVckrY79r21/view?usp=drivesdk" TargetMode="External"/><Relationship Id="rId2788" Type="http://schemas.openxmlformats.org/officeDocument/2006/relationships/hyperlink" Target="https://drive.google.com/file/d/1qBuuJq0WOC78zz0pk8uINaOBkNG5XmHx/view?usp=drivesdk" TargetMode="External"/><Relationship Id="rId1458" Type="http://schemas.openxmlformats.org/officeDocument/2006/relationships/hyperlink" Target="https://drive.google.com/file/d/1jm601profNktuJqY07kmCMEIwa-PReAn/view?usp=drivesdk" TargetMode="External"/><Relationship Id="rId2789" Type="http://schemas.openxmlformats.org/officeDocument/2006/relationships/hyperlink" Target="https://drive.google.com/file/d/1oR-4AbJr46q-QMAkHuAjfEKwdK51ca2X/view?usp=drivesdk" TargetMode="External"/><Relationship Id="rId1459" Type="http://schemas.openxmlformats.org/officeDocument/2006/relationships/hyperlink" Target="https://drive.google.com/file/d/124R7ceD46FBEoPxSmYH2KCJRu1GfHkL3/view?usp=drivesdk" TargetMode="External"/><Relationship Id="rId629" Type="http://schemas.openxmlformats.org/officeDocument/2006/relationships/hyperlink" Target="https://drive.google.com/file/d/1a8FlJZCjDtH1SBATHl7h7hIEg2KsgxcG/view?usp=drivesdk" TargetMode="External"/><Relationship Id="rId624" Type="http://schemas.openxmlformats.org/officeDocument/2006/relationships/hyperlink" Target="https://drive.google.com/file/d/1BdX4wArbbGsFsjSBtOYqkW8ftk9KWT2i/view?usp=drivesdk" TargetMode="External"/><Relationship Id="rId623" Type="http://schemas.openxmlformats.org/officeDocument/2006/relationships/hyperlink" Target="http://b.sc/B.Com" TargetMode="External"/><Relationship Id="rId622" Type="http://schemas.openxmlformats.org/officeDocument/2006/relationships/hyperlink" Target="https://drive.google.com/file/d/1Mp64lLmEJTrLnWIL-E4wYKwfHpitMUuC/view?usp=drivesdk" TargetMode="External"/><Relationship Id="rId621" Type="http://schemas.openxmlformats.org/officeDocument/2006/relationships/hyperlink" Target="https://drive.google.com/file/d/1mVXwsoQ82kwfz3xMS9iTumRRp4jvhzSX/view?usp=drivesdk" TargetMode="External"/><Relationship Id="rId628" Type="http://schemas.openxmlformats.org/officeDocument/2006/relationships/hyperlink" Target="https://drive.google.com/file/d/11q_oyK4JVwtAN_AfVD3Lr9cW5Xk4hmOd/view?usp=drivesdk" TargetMode="External"/><Relationship Id="rId627" Type="http://schemas.openxmlformats.org/officeDocument/2006/relationships/hyperlink" Target="https://drive.google.com/file/d/1k0FyI_oKgcbqGG593gEERCsUambAl_IZ/view?usp=drivesdk" TargetMode="External"/><Relationship Id="rId626" Type="http://schemas.openxmlformats.org/officeDocument/2006/relationships/hyperlink" Target="https://drive.google.com/file/d/1EXlGtPI4ZE8NPcQJyr3XsJ3OupKz4l9q/view?usp=drivesdk" TargetMode="External"/><Relationship Id="rId625" Type="http://schemas.openxmlformats.org/officeDocument/2006/relationships/hyperlink" Target="https://drive.google.com/file/d/1XHJTJaIaGjvUvLjquQXkENdK-O6MnBf7/view?usp=drivesdk" TargetMode="External"/><Relationship Id="rId2780" Type="http://schemas.openxmlformats.org/officeDocument/2006/relationships/hyperlink" Target="https://drive.google.com/file/d/1Pg2iglmPAZH8T6E12GwMympR1DcWTGUi/view?usp=drivesdk" TargetMode="External"/><Relationship Id="rId1450" Type="http://schemas.openxmlformats.org/officeDocument/2006/relationships/hyperlink" Target="https://drive.google.com/file/d/1CbarSd2lhGjE4N2UnpZrNHoR8rn88utr/view?usp=drivesdk" TargetMode="External"/><Relationship Id="rId2781" Type="http://schemas.openxmlformats.org/officeDocument/2006/relationships/hyperlink" Target="https://drive.google.com/file/d/1GYX1aKEQfAlxdH4-mj6nacDGx40YQNDP/view?usp=drivesdk" TargetMode="External"/><Relationship Id="rId620" Type="http://schemas.openxmlformats.org/officeDocument/2006/relationships/hyperlink" Target="https://drive.google.com/file/d/1IARpy1bn3UeFAt3wpSI8KQ5rDhCZIzj_/view?usp=drivesdk" TargetMode="External"/><Relationship Id="rId1451" Type="http://schemas.openxmlformats.org/officeDocument/2006/relationships/hyperlink" Target="https://drive.google.com/file/d/1WdFO2l8-ZR_cJvKzQJ-wHy-Bccqu192w/view?usp=drivesdk" TargetMode="External"/><Relationship Id="rId2782" Type="http://schemas.openxmlformats.org/officeDocument/2006/relationships/hyperlink" Target="https://drive.google.com/file/d/16YrWGUoqD2TMj3agY-C2ReCmsDr4pqyB/view?usp=drivesdk" TargetMode="External"/><Relationship Id="rId1452" Type="http://schemas.openxmlformats.org/officeDocument/2006/relationships/hyperlink" Target="https://drive.google.com/file/d/1GPRJvsZUpYMNZvsgk2WvklONvrL_sJuG/view?usp=drivesdk" TargetMode="External"/><Relationship Id="rId2783" Type="http://schemas.openxmlformats.org/officeDocument/2006/relationships/hyperlink" Target="https://drive.google.com/file/d/1VreWztqmZPuolrq08fhof3oXZMCARN08/view?usp=drivesdk" TargetMode="External"/><Relationship Id="rId1453" Type="http://schemas.openxmlformats.org/officeDocument/2006/relationships/hyperlink" Target="https://drive.google.com/file/d/1xvs1SdHBOAQEn75CK4SrEZv0bIMLUg5h/view?usp=drivesdk" TargetMode="External"/><Relationship Id="rId2784" Type="http://schemas.openxmlformats.org/officeDocument/2006/relationships/hyperlink" Target="https://drive.google.com/file/d/1Mu3WXeysQCuC1IKn77WIRIZLcOxvGdlH/view?usp=drivesdk" TargetMode="External"/><Relationship Id="rId1454" Type="http://schemas.openxmlformats.org/officeDocument/2006/relationships/hyperlink" Target="https://drive.google.com/file/d/1YOeljPSuO7d_ETnfK2qFPTwEzHEDLsuM/view?usp=drivesdk" TargetMode="External"/><Relationship Id="rId2785" Type="http://schemas.openxmlformats.org/officeDocument/2006/relationships/hyperlink" Target="https://drive.google.com/file/d/1pyiSMnYGLuogrhvep16-UhYa7U2e3kg6/view?usp=drivesdk" TargetMode="External"/><Relationship Id="rId1444" Type="http://schemas.openxmlformats.org/officeDocument/2006/relationships/hyperlink" Target="https://drive.google.com/file/d/117a0uRTWURv4ul3WQp7WUMjweNDwCuaB/view?usp=drivesdk" TargetMode="External"/><Relationship Id="rId2775" Type="http://schemas.openxmlformats.org/officeDocument/2006/relationships/hyperlink" Target="https://drive.google.com/file/d/1EFp0n6-j4TY_mq-DKrECGR0KkRXfCjQp/view?usp=drivesdk" TargetMode="External"/><Relationship Id="rId1445" Type="http://schemas.openxmlformats.org/officeDocument/2006/relationships/hyperlink" Target="https://drive.google.com/file/d/11H2ZBypcxd0nawE3aaTT9BXvIh0gPcEz/view?usp=drivesdk" TargetMode="External"/><Relationship Id="rId2776" Type="http://schemas.openxmlformats.org/officeDocument/2006/relationships/hyperlink" Target="https://drive.google.com/file/d/1L1Zo19YRpS47D6NHnG1q8WNSixuSUbRo/view?usp=drivesdk" TargetMode="External"/><Relationship Id="rId1446" Type="http://schemas.openxmlformats.org/officeDocument/2006/relationships/hyperlink" Target="https://drive.google.com/file/d/1G7SPF4avGxdGWrZj4lVrTI6SfZrvmEMN/view?usp=drivesdk" TargetMode="External"/><Relationship Id="rId2777" Type="http://schemas.openxmlformats.org/officeDocument/2006/relationships/hyperlink" Target="https://drive.google.com/file/d/1doKOTa8wHcGrqxnG9WgYBMFTVZ3nVVN1/view?usp=drivesdk" TargetMode="External"/><Relationship Id="rId1447" Type="http://schemas.openxmlformats.org/officeDocument/2006/relationships/hyperlink" Target="https://drive.google.com/file/d/1G0XLbjKTNbKGEnzyCkeK1wBmEJZahsD5/view?usp=drivesdk" TargetMode="External"/><Relationship Id="rId2778" Type="http://schemas.openxmlformats.org/officeDocument/2006/relationships/hyperlink" Target="https://drive.google.com/file/d/1MgJLDGxpTJvCPxt2rNLs_IUUm1vsoF1c/view?usp=drivesdk" TargetMode="External"/><Relationship Id="rId1448" Type="http://schemas.openxmlformats.org/officeDocument/2006/relationships/hyperlink" Target="https://drive.google.com/file/d/1q4jsu3FlEJfcoNJUIobJauGofg4MNwRy/view?usp=drivesdk" TargetMode="External"/><Relationship Id="rId2779" Type="http://schemas.openxmlformats.org/officeDocument/2006/relationships/hyperlink" Target="https://drive.google.com/file/d/11zyoz-VbHrJMVeJbiuD3WB6GMVmEDevT/view?usp=drivesdk" TargetMode="External"/><Relationship Id="rId1449" Type="http://schemas.openxmlformats.org/officeDocument/2006/relationships/hyperlink" Target="https://drive.google.com/file/d/1qCu6V5eUjw26d0jwJbt_a3hgR-n4YtMj/view?usp=drivesdk" TargetMode="External"/><Relationship Id="rId619" Type="http://schemas.openxmlformats.org/officeDocument/2006/relationships/hyperlink" Target="https://drive.google.com/file/d/1Mq5UrMJhep3frC_aWTS0K_bnSAuilA_B/view?usp=drivesdk" TargetMode="External"/><Relationship Id="rId618" Type="http://schemas.openxmlformats.org/officeDocument/2006/relationships/hyperlink" Target="https://drive.google.com/file/d/1wqXdwb4BuqUC9q3M9L4myQZbN6ZzVpFm/view?usp=drivesdk" TargetMode="External"/><Relationship Id="rId613" Type="http://schemas.openxmlformats.org/officeDocument/2006/relationships/hyperlink" Target="https://drive.google.com/file/d/1_K8T7vHaaHiDe-Yz4JPKsZR-VeL54BVf/view?usp=drivesdk" TargetMode="External"/><Relationship Id="rId612" Type="http://schemas.openxmlformats.org/officeDocument/2006/relationships/hyperlink" Target="https://drive.google.com/file/d/12Qg8-p9UPBTFhCGpVLqkqQhVR3_a81C3/view?usp=drivesdk" TargetMode="External"/><Relationship Id="rId611" Type="http://schemas.openxmlformats.org/officeDocument/2006/relationships/hyperlink" Target="http://b.sc/B.Com" TargetMode="External"/><Relationship Id="rId610" Type="http://schemas.openxmlformats.org/officeDocument/2006/relationships/hyperlink" Target="https://drive.google.com/file/d/1vUbkH4jdO92YfCDA1xUAeVHE-ouRu56V/view?usp=drivesdk" TargetMode="External"/><Relationship Id="rId617" Type="http://schemas.openxmlformats.org/officeDocument/2006/relationships/hyperlink" Target="https://drive.google.com/file/d/146vFsGiWI2EVeCzHFA6Byqwel0832zQP/view?usp=drivesdk" TargetMode="External"/><Relationship Id="rId616" Type="http://schemas.openxmlformats.org/officeDocument/2006/relationships/hyperlink" Target="https://drive.google.com/file/d/1Dx11S-cX2rShvpB5qbY1F6Fib7vT4tz6/view?usp=drivesdk" TargetMode="External"/><Relationship Id="rId615" Type="http://schemas.openxmlformats.org/officeDocument/2006/relationships/hyperlink" Target="https://drive.google.com/file/d/1FU1ICN2vXcxJ1vfcmjBoZn3i0sap6kmV/view?usp=drivesdk" TargetMode="External"/><Relationship Id="rId614" Type="http://schemas.openxmlformats.org/officeDocument/2006/relationships/hyperlink" Target="https://drive.google.com/file/d/16GrUX7dfFjpT1641wdwFDmvnCkIA0tVr/view?usp=drivesdk" TargetMode="External"/><Relationship Id="rId2770" Type="http://schemas.openxmlformats.org/officeDocument/2006/relationships/hyperlink" Target="https://drive.google.com/file/d/1BCdOiX63yrCmil6Lcc3cjf4sHJv3xUr-/view?usp=drivesdk" TargetMode="External"/><Relationship Id="rId1440" Type="http://schemas.openxmlformats.org/officeDocument/2006/relationships/hyperlink" Target="https://drive.google.com/file/d/1mXYYBF8ErpYRJY4zgtuEkMF3vvbV6Lwv/view?usp=drivesdk" TargetMode="External"/><Relationship Id="rId2771" Type="http://schemas.openxmlformats.org/officeDocument/2006/relationships/hyperlink" Target="https://drive.google.com/file/d/1el83Jpb0JJUliwE29AIOHwkcphgKgunb/view?usp=drivesdk" TargetMode="External"/><Relationship Id="rId1441" Type="http://schemas.openxmlformats.org/officeDocument/2006/relationships/hyperlink" Target="https://drive.google.com/file/d/1LbDEeFnmZA8I4t_7YBiNIbHJR7GKi7j8/view?usp=drivesdk" TargetMode="External"/><Relationship Id="rId2772" Type="http://schemas.openxmlformats.org/officeDocument/2006/relationships/hyperlink" Target="https://drive.google.com/file/d/1VG04MLcC13XgUN8s4XXUNfqrgTVAs9Cl/view?usp=drivesdk" TargetMode="External"/><Relationship Id="rId1442" Type="http://schemas.openxmlformats.org/officeDocument/2006/relationships/hyperlink" Target="https://drive.google.com/file/d/1WG91BCVw7tMeMDlf0-fjFFLVJMDJLZ2I/view?usp=drivesdk" TargetMode="External"/><Relationship Id="rId2773" Type="http://schemas.openxmlformats.org/officeDocument/2006/relationships/hyperlink" Target="https://drive.google.com/file/d/1Hu37Cg4t9xMlUSa1eVcLB8wtgirmlcgy/view?usp=drivesdk" TargetMode="External"/><Relationship Id="rId1443" Type="http://schemas.openxmlformats.org/officeDocument/2006/relationships/hyperlink" Target="https://drive.google.com/file/d/1BmEm74QDR3_QZkLbzQtFipGN-6fEi0GF/view?usp=drivesdk" TargetMode="External"/><Relationship Id="rId2774" Type="http://schemas.openxmlformats.org/officeDocument/2006/relationships/hyperlink" Target="https://drive.google.com/file/d/1-i0MSi7nOGwzZbg5oTLKsTP_8iKvA8rD/view?usp=drivesdk" TargetMode="External"/><Relationship Id="rId1477" Type="http://schemas.openxmlformats.org/officeDocument/2006/relationships/hyperlink" Target="https://drive.google.com/file/d/1NpiXWrvyivHWJ9rY_Qk9GByqVGhxiHWr/view?usp=drivesdk" TargetMode="External"/><Relationship Id="rId1478" Type="http://schemas.openxmlformats.org/officeDocument/2006/relationships/hyperlink" Target="https://drive.google.com/file/d/1qdNdvv2GRTXrv63s34pqz8HBqjemvphg/view?usp=drivesdk" TargetMode="External"/><Relationship Id="rId1479" Type="http://schemas.openxmlformats.org/officeDocument/2006/relationships/hyperlink" Target="https://drive.google.com/file/d/1ML4qUjkSBJhycl9emjLzXPLx-z0qbjZu/view?usp=drivesdk" TargetMode="External"/><Relationship Id="rId646" Type="http://schemas.openxmlformats.org/officeDocument/2006/relationships/hyperlink" Target="http://b.sc/B.Com" TargetMode="External"/><Relationship Id="rId645" Type="http://schemas.openxmlformats.org/officeDocument/2006/relationships/hyperlink" Target="https://drive.google.com/file/d/1a9De2FY64SM176iDWmpFh0K00sGY3FjR/view?usp=drivesdk" TargetMode="External"/><Relationship Id="rId644" Type="http://schemas.openxmlformats.org/officeDocument/2006/relationships/hyperlink" Target="https://drive.google.com/file/d/1j3jcMGmYPfQfSHimaEGwCvxIjQAT9oLA/view?usp=drivesdk" TargetMode="External"/><Relationship Id="rId643" Type="http://schemas.openxmlformats.org/officeDocument/2006/relationships/hyperlink" Target="https://drive.google.com/file/d/1og-XAdR2OddGld2ifNzvIc_EG138J2Cr/view?usp=drivesdk" TargetMode="External"/><Relationship Id="rId649" Type="http://schemas.openxmlformats.org/officeDocument/2006/relationships/hyperlink" Target="http://b.sc/B.Com" TargetMode="External"/><Relationship Id="rId648" Type="http://schemas.openxmlformats.org/officeDocument/2006/relationships/hyperlink" Target="https://drive.google.com/file/d/1AlfSCAMcwulnemmElJ-2J1qwTj-fb0fu/view?usp=drivesdk" TargetMode="External"/><Relationship Id="rId647" Type="http://schemas.openxmlformats.org/officeDocument/2006/relationships/hyperlink" Target="https://drive.google.com/file/d/1bNpm9zJ2QNIS7TFk61M9jOFAaW8YJb-j/view?usp=drivesdk" TargetMode="External"/><Relationship Id="rId1470" Type="http://schemas.openxmlformats.org/officeDocument/2006/relationships/hyperlink" Target="https://drive.google.com/file/d/1q5VVduy8ndv5R74rpMYO8y8I_UFj2hep/view?usp=drivesdk" TargetMode="External"/><Relationship Id="rId1471" Type="http://schemas.openxmlformats.org/officeDocument/2006/relationships/hyperlink" Target="https://drive.google.com/file/d/1FDXXNorhQkCpF7CrZgH0mJD7l0GNfJmx/view?usp=drivesdk" TargetMode="External"/><Relationship Id="rId1472" Type="http://schemas.openxmlformats.org/officeDocument/2006/relationships/hyperlink" Target="https://drive.google.com/file/d/14u7TRJqaf-eZjulEybgjaVsDlNviEsJ-/view?usp=drivesdk" TargetMode="External"/><Relationship Id="rId642" Type="http://schemas.openxmlformats.org/officeDocument/2006/relationships/hyperlink" Target="https://drive.google.com/file/d/1eJu6Aaj9BfO27Sdugapoq3utFAT2vH1V/view?usp=drivesdk" TargetMode="External"/><Relationship Id="rId1473" Type="http://schemas.openxmlformats.org/officeDocument/2006/relationships/hyperlink" Target="https://drive.google.com/file/d/1U6aWXSh0O6EUoDTZ9NCzDZGUXaYhOxVE/view?usp=drivesdk" TargetMode="External"/><Relationship Id="rId641" Type="http://schemas.openxmlformats.org/officeDocument/2006/relationships/hyperlink" Target="https://drive.google.com/file/d/1rqN8R3zHnnIBvEvvzusBiGl94O6oyQMC/view?usp=drivesdk" TargetMode="External"/><Relationship Id="rId1474" Type="http://schemas.openxmlformats.org/officeDocument/2006/relationships/hyperlink" Target="https://drive.google.com/file/d/1NTFBHhi1tyWsNOQqA2iLkPxTxxs-kG0a/view?usp=drivesdk" TargetMode="External"/><Relationship Id="rId640" Type="http://schemas.openxmlformats.org/officeDocument/2006/relationships/hyperlink" Target="https://drive.google.com/file/d/1Pnb3UFjAKBjSsOowLNPBVeiNujVwk-3r/view?usp=drivesdk" TargetMode="External"/><Relationship Id="rId1475" Type="http://schemas.openxmlformats.org/officeDocument/2006/relationships/hyperlink" Target="https://drive.google.com/file/d/184r1Vb0H_lbuoshFg011CKBCebZXYVdT/view?usp=drivesdk" TargetMode="External"/><Relationship Id="rId1476" Type="http://schemas.openxmlformats.org/officeDocument/2006/relationships/hyperlink" Target="https://drive.google.com/file/d/1J5l6zeLqhWlbfUc_WyrNgRUsDJKtNObK/view?usp=drivesdk" TargetMode="External"/><Relationship Id="rId1466" Type="http://schemas.openxmlformats.org/officeDocument/2006/relationships/hyperlink" Target="https://drive.google.com/file/d/1L5WxsnJegczJSwswHK4mw-VivNUMKxay/view?usp=drivesdk" TargetMode="External"/><Relationship Id="rId2797" Type="http://schemas.openxmlformats.org/officeDocument/2006/relationships/hyperlink" Target="https://drive.google.com/file/d/1HaN6JnfpmCOQ_W5n66HDlqrp8OXPt1by/view?usp=drivesdk" TargetMode="External"/><Relationship Id="rId1467" Type="http://schemas.openxmlformats.org/officeDocument/2006/relationships/hyperlink" Target="https://drive.google.com/file/d/1nbkwBC2Yfji8L2vObJraf-yQ4D_kd7FU/view?usp=drivesdk" TargetMode="External"/><Relationship Id="rId2798" Type="http://schemas.openxmlformats.org/officeDocument/2006/relationships/hyperlink" Target="https://drive.google.com/file/d/19wHYirJ_xlo51deh4239UTFFAiyebo1c/view?usp=drivesdk" TargetMode="External"/><Relationship Id="rId1468" Type="http://schemas.openxmlformats.org/officeDocument/2006/relationships/hyperlink" Target="https://drive.google.com/file/d/1daHf70ldTmdlnyOoi1NlEIstZmkq2ELb/view?usp=drivesdk" TargetMode="External"/><Relationship Id="rId2799" Type="http://schemas.openxmlformats.org/officeDocument/2006/relationships/hyperlink" Target="https://drive.google.com/file/d/11Scrq4RhsBF2g-RQsOZ2HRD4ZBV-aNho/view?usp=drivesdk" TargetMode="External"/><Relationship Id="rId1469" Type="http://schemas.openxmlformats.org/officeDocument/2006/relationships/hyperlink" Target="https://drive.google.com/file/d/1EgL7RRqxxhPKKAycPDL8FYLFFh2a8VaY/view?usp=drivesdk" TargetMode="External"/><Relationship Id="rId635" Type="http://schemas.openxmlformats.org/officeDocument/2006/relationships/hyperlink" Target="https://drive.google.com/file/d/1LVDmldH0ZTnCDiy0kcbmubZrv4I30n5I/view?usp=drivesdk" TargetMode="External"/><Relationship Id="rId634" Type="http://schemas.openxmlformats.org/officeDocument/2006/relationships/hyperlink" Target="https://drive.google.com/file/d/14jtg6y4Wifw0YsPNypqUbu-wi42zyJ18/view?usp=drivesdk" TargetMode="External"/><Relationship Id="rId633" Type="http://schemas.openxmlformats.org/officeDocument/2006/relationships/hyperlink" Target="http://m.sc/M.Com" TargetMode="External"/><Relationship Id="rId632" Type="http://schemas.openxmlformats.org/officeDocument/2006/relationships/hyperlink" Target="https://drive.google.com/file/d/1DVCkExcXlFk-HcT7B-oShYjwog3juyMO/view?usp=drivesdk" TargetMode="External"/><Relationship Id="rId639" Type="http://schemas.openxmlformats.org/officeDocument/2006/relationships/hyperlink" Target="https://drive.google.com/file/d/1eEHezBadEyovh29htQ7MGA-2StRZWPhJ/view?usp=drivesdk" TargetMode="External"/><Relationship Id="rId638" Type="http://schemas.openxmlformats.org/officeDocument/2006/relationships/hyperlink" Target="https://drive.google.com/file/d/1XDCQrSfHwAi5CTDeLvPkGUPKYTLyNmvv/view?usp=drivesdk" TargetMode="External"/><Relationship Id="rId637" Type="http://schemas.openxmlformats.org/officeDocument/2006/relationships/hyperlink" Target="https://drive.google.com/file/d/16oUn4OziLcGo6JaFA7Oot_pR39C7XXJf/view?usp=drivesdk" TargetMode="External"/><Relationship Id="rId636" Type="http://schemas.openxmlformats.org/officeDocument/2006/relationships/hyperlink" Target="https://drive.google.com/file/d/1mz4hUqPV5cxkiDIVVJoJhYN5kRHwSlqw/view?usp=drivesdk" TargetMode="External"/><Relationship Id="rId2790" Type="http://schemas.openxmlformats.org/officeDocument/2006/relationships/hyperlink" Target="https://drive.google.com/file/d/1Vlo39h1dZLOwSWZjZbUXGH3pCkpBFApd/view?usp=drivesdk" TargetMode="External"/><Relationship Id="rId1460" Type="http://schemas.openxmlformats.org/officeDocument/2006/relationships/hyperlink" Target="https://drive.google.com/file/d/1BW_KkowQrSXqqhUEUmrp8Nig6vn3uq_A/view?usp=drivesdk" TargetMode="External"/><Relationship Id="rId2791" Type="http://schemas.openxmlformats.org/officeDocument/2006/relationships/hyperlink" Target="https://drive.google.com/file/d/1EyYnAQmQ2HsKOoZIkEPWi1WRjfR0hC-I/view?usp=drivesdk" TargetMode="External"/><Relationship Id="rId1461" Type="http://schemas.openxmlformats.org/officeDocument/2006/relationships/hyperlink" Target="https://drive.google.com/file/d/1gmQbFiZ6fZtQDWz7CBHthR_BaHvge5WY/view?usp=drivesdk" TargetMode="External"/><Relationship Id="rId2792" Type="http://schemas.openxmlformats.org/officeDocument/2006/relationships/hyperlink" Target="https://drive.google.com/file/d/1rpq48ZaUpDFpOwqJzt3Ovq393uPDFXtL/view?usp=drivesdk" TargetMode="External"/><Relationship Id="rId631" Type="http://schemas.openxmlformats.org/officeDocument/2006/relationships/hyperlink" Target="https://drive.google.com/file/d/1r8G_lPydiLFhQVEpIBH6eyDuGM3cuG0B/view?usp=drivesdk" TargetMode="External"/><Relationship Id="rId1462" Type="http://schemas.openxmlformats.org/officeDocument/2006/relationships/hyperlink" Target="https://drive.google.com/file/d/1YFShZ5dPd-89PWliHCwL93V_yznbXaSq/view?usp=drivesdk" TargetMode="External"/><Relationship Id="rId2793" Type="http://schemas.openxmlformats.org/officeDocument/2006/relationships/hyperlink" Target="https://drive.google.com/file/d/16pkNbxWIrGtKesF_mMGhejB3XSARRidG/view?usp=drivesdk" TargetMode="External"/><Relationship Id="rId630" Type="http://schemas.openxmlformats.org/officeDocument/2006/relationships/hyperlink" Target="https://drive.google.com/file/d/1iHxWCCJ3E1ejAE-3LXVPyMh4H3jbe2rs/view?usp=drivesdk" TargetMode="External"/><Relationship Id="rId1463" Type="http://schemas.openxmlformats.org/officeDocument/2006/relationships/hyperlink" Target="https://drive.google.com/file/d/1CRHVxx0ZrmrfZcDZhyfdffbNuIsKnkiJ/view?usp=drivesdk" TargetMode="External"/><Relationship Id="rId2794" Type="http://schemas.openxmlformats.org/officeDocument/2006/relationships/hyperlink" Target="https://drive.google.com/file/d/1l5eKIY37EYEX_OyFxd6pE_ewMYrTWcpr/view?usp=drivesdk" TargetMode="External"/><Relationship Id="rId1464" Type="http://schemas.openxmlformats.org/officeDocument/2006/relationships/hyperlink" Target="https://drive.google.com/file/d/1n1GmU2qQpHyYLHGhqvc1QC1RxTfCrT_b/view?usp=drivesdk" TargetMode="External"/><Relationship Id="rId2795" Type="http://schemas.openxmlformats.org/officeDocument/2006/relationships/hyperlink" Target="https://drive.google.com/file/d/1iCImPxfQaqFEHBK1QLP5hNc64h8GjOTT/view?usp=drivesdk" TargetMode="External"/><Relationship Id="rId1465" Type="http://schemas.openxmlformats.org/officeDocument/2006/relationships/hyperlink" Target="https://drive.google.com/file/d/1kwc7_8lHHjBIYrQv-xKiz-WuH1cFDnPX/view?usp=drivesdk" TargetMode="External"/><Relationship Id="rId2796" Type="http://schemas.openxmlformats.org/officeDocument/2006/relationships/hyperlink" Target="https://drive.google.com/file/d/1gvXAsbc9jlz1sMpwH1kXD9u1EnH7qkdb/view?usp=drivesdk" TargetMode="External"/><Relationship Id="rId1411" Type="http://schemas.openxmlformats.org/officeDocument/2006/relationships/hyperlink" Target="https://drive.google.com/file/d/1ek8fhgPzYtRhznH3lSsS99vWKDNQwuJE/view?usp=drivesdk" TargetMode="External"/><Relationship Id="rId2742" Type="http://schemas.openxmlformats.org/officeDocument/2006/relationships/hyperlink" Target="https://drive.google.com/file/d/1uksuw3asTVoIKauxHm-iNaT4fltoDqPp/view?usp=drivesdk" TargetMode="External"/><Relationship Id="rId1412" Type="http://schemas.openxmlformats.org/officeDocument/2006/relationships/hyperlink" Target="https://drive.google.com/file/d/1zGLUTGQvUvGlOtNaa0WC9_q4JXAi9o4i/view?usp=drivesdk" TargetMode="External"/><Relationship Id="rId2743" Type="http://schemas.openxmlformats.org/officeDocument/2006/relationships/hyperlink" Target="https://drive.google.com/file/d/1-BB5Vwlnu_5N8R42G1SlMe-C_8GzvO7E/view?usp=drivesdk" TargetMode="External"/><Relationship Id="rId1413" Type="http://schemas.openxmlformats.org/officeDocument/2006/relationships/hyperlink" Target="https://drive.google.com/file/d/17mdCL5IU9BewB5lHxLkj6sy38WIva9kI/view?usp=drivesdk" TargetMode="External"/><Relationship Id="rId2744" Type="http://schemas.openxmlformats.org/officeDocument/2006/relationships/hyperlink" Target="https://drive.google.com/file/d/1XCP5L7XcFFtM4o-Ls5c8VqTzewUbLzeZ/view?usp=drivesdk" TargetMode="External"/><Relationship Id="rId1414" Type="http://schemas.openxmlformats.org/officeDocument/2006/relationships/hyperlink" Target="https://drive.google.com/file/d/1PzcTVgCAQCkyxUsvc2W-Hob0qkheTQ6r/view?usp=drivesdk" TargetMode="External"/><Relationship Id="rId2745" Type="http://schemas.openxmlformats.org/officeDocument/2006/relationships/hyperlink" Target="https://drive.google.com/file/d/1ZUTSmFG5DICPyCjRKDXc0tHp2oL2V9PH/view?usp=drivesdk" TargetMode="External"/><Relationship Id="rId1415" Type="http://schemas.openxmlformats.org/officeDocument/2006/relationships/hyperlink" Target="https://drive.google.com/file/d/1kjiCe91Vdx2cDcmjGLMuSziKfUQ2uwzc/view?usp=drivesdk" TargetMode="External"/><Relationship Id="rId2746" Type="http://schemas.openxmlformats.org/officeDocument/2006/relationships/hyperlink" Target="http://b.sc/B.Com" TargetMode="External"/><Relationship Id="rId1416" Type="http://schemas.openxmlformats.org/officeDocument/2006/relationships/hyperlink" Target="https://drive.google.com/file/d/15QMa5ErKsDG4osKvu2P0sNJ3zgW2SWyQ/view?usp=drivesdk" TargetMode="External"/><Relationship Id="rId2747" Type="http://schemas.openxmlformats.org/officeDocument/2006/relationships/hyperlink" Target="https://drive.google.com/file/d/1toOUdGRC5M6ZXJj-AO15-3bkxMBLrqZk/view?usp=drivesdk" TargetMode="External"/><Relationship Id="rId1417" Type="http://schemas.openxmlformats.org/officeDocument/2006/relationships/hyperlink" Target="https://drive.google.com/file/d/1WrLPUbv9uhqKJNEIZWSy7_QzBwib4Li-/view?usp=drivesdk" TargetMode="External"/><Relationship Id="rId2748" Type="http://schemas.openxmlformats.org/officeDocument/2006/relationships/hyperlink" Target="https://drive.google.com/file/d/1DNAftmZ32MB6ezdcMaw1pW_syZhQw2lM/view?usp=drivesdk" TargetMode="External"/><Relationship Id="rId1418" Type="http://schemas.openxmlformats.org/officeDocument/2006/relationships/hyperlink" Target="https://drive.google.com/file/d/1BAZKmni30NR3-KXeGt2PYApGmN4QS2NU/view?usp=drivesdk" TargetMode="External"/><Relationship Id="rId2749" Type="http://schemas.openxmlformats.org/officeDocument/2006/relationships/hyperlink" Target="http://b.sc/B.Com" TargetMode="External"/><Relationship Id="rId1419" Type="http://schemas.openxmlformats.org/officeDocument/2006/relationships/hyperlink" Target="https://drive.google.com/file/d/1Ac8ykBULK0PAelchfUFyRQJgvQyPBmWt/view?usp=drivesdk" TargetMode="External"/><Relationship Id="rId2740" Type="http://schemas.openxmlformats.org/officeDocument/2006/relationships/hyperlink" Target="https://drive.google.com/file/d/1bLGOQSlfAo34TM0BDeUiXsYc01AyJwkc/view?usp=drivesdk" TargetMode="External"/><Relationship Id="rId1410" Type="http://schemas.openxmlformats.org/officeDocument/2006/relationships/hyperlink" Target="https://drive.google.com/file/d/1fKlR_OaMCdaEoncpk0qUz7PBBaK6UL48/view?usp=drivesdk" TargetMode="External"/><Relationship Id="rId2741" Type="http://schemas.openxmlformats.org/officeDocument/2006/relationships/hyperlink" Target="https://drive.google.com/file/d/1Y_iN-NvJaCPHTN9p54Dmx8jDRDHThBOt/view?usp=drivesdk" TargetMode="External"/><Relationship Id="rId1400" Type="http://schemas.openxmlformats.org/officeDocument/2006/relationships/hyperlink" Target="https://drive.google.com/file/d/1xWEJ96JxKjtvqbTHwRXhPGHye3fAsEbg/view?usp=drivesdk" TargetMode="External"/><Relationship Id="rId2731" Type="http://schemas.openxmlformats.org/officeDocument/2006/relationships/hyperlink" Target="https://drive.google.com/file/d/1VENm5dv3BQ2hmUhntiBJnlW0nsqPAqQg/view?usp=drivesdk" TargetMode="External"/><Relationship Id="rId1401" Type="http://schemas.openxmlformats.org/officeDocument/2006/relationships/hyperlink" Target="https://drive.google.com/file/d/1df9dcXS6GrAEsieUx0ASSuX8u4SrKjQ9/view?usp=drivesdk" TargetMode="External"/><Relationship Id="rId2732" Type="http://schemas.openxmlformats.org/officeDocument/2006/relationships/hyperlink" Target="https://drive.google.com/file/d/1S4HV7_qtlcyqV0sddg5ebzKyowUrakpk/view?usp=drivesdk" TargetMode="External"/><Relationship Id="rId1402" Type="http://schemas.openxmlformats.org/officeDocument/2006/relationships/hyperlink" Target="https://drive.google.com/file/d/1ktggMjni0Vdlh3G2LWnKhNOh8wwFAZEg/view?usp=drivesdk" TargetMode="External"/><Relationship Id="rId2733" Type="http://schemas.openxmlformats.org/officeDocument/2006/relationships/hyperlink" Target="https://drive.google.com/file/d/1Oc8UyTopirmKMgM00AA68-8dshwJ12Xt/view?usp=drivesdk" TargetMode="External"/><Relationship Id="rId1403" Type="http://schemas.openxmlformats.org/officeDocument/2006/relationships/hyperlink" Target="https://drive.google.com/file/d/1qLeM2H-5Y3YBO-JFpZf0plmgFGuU0oRV/view?usp=drivesdk" TargetMode="External"/><Relationship Id="rId2734" Type="http://schemas.openxmlformats.org/officeDocument/2006/relationships/hyperlink" Target="https://drive.google.com/file/d/1YiA_H-6XEep7SUeMGQxSHjuIHkLMqaU0/view?usp=drivesdk" TargetMode="External"/><Relationship Id="rId1404" Type="http://schemas.openxmlformats.org/officeDocument/2006/relationships/hyperlink" Target="https://drive.google.com/file/d/1R-UOF_YGjTu1PlH5yFyPzEnmc9x0WQNx/view?usp=drivesdk" TargetMode="External"/><Relationship Id="rId2735" Type="http://schemas.openxmlformats.org/officeDocument/2006/relationships/hyperlink" Target="https://drive.google.com/file/d/1mrfXDGZ0o30xtwxbCUHyEUXVRkov1tb4/view?usp=drivesdk" TargetMode="External"/><Relationship Id="rId1405" Type="http://schemas.openxmlformats.org/officeDocument/2006/relationships/hyperlink" Target="https://drive.google.com/file/d/1KeySoy9ZDzRhMmgjcO31bKT5OnioQy6-/view?usp=drivesdk" TargetMode="External"/><Relationship Id="rId2736" Type="http://schemas.openxmlformats.org/officeDocument/2006/relationships/hyperlink" Target="https://drive.google.com/file/d/1DQCKrvWpXTZ2MqH2_FG8hObWzNX6z75n/view?usp=drivesdk" TargetMode="External"/><Relationship Id="rId1406" Type="http://schemas.openxmlformats.org/officeDocument/2006/relationships/hyperlink" Target="https://drive.google.com/file/d/1hbQkWNh4cwrItt8BVysSLiTlJi5t7j7z/view?usp=drivesdk" TargetMode="External"/><Relationship Id="rId2737" Type="http://schemas.openxmlformats.org/officeDocument/2006/relationships/hyperlink" Target="https://drive.google.com/file/d/1j43u4ex-GAQwy85KWKL8ubWZVkHlgWCp/view?usp=drivesdk" TargetMode="External"/><Relationship Id="rId1407" Type="http://schemas.openxmlformats.org/officeDocument/2006/relationships/hyperlink" Target="https://drive.google.com/file/d/1NrnfNhid6Fz9b_NK0-xUw97aNNyIxr4i/view?usp=drivesdk" TargetMode="External"/><Relationship Id="rId2738" Type="http://schemas.openxmlformats.org/officeDocument/2006/relationships/hyperlink" Target="https://drive.google.com/file/d/1q9s2ZIlKuaAriQeYe33JjlStUSTH8_xg/view?usp=drivesdk" TargetMode="External"/><Relationship Id="rId1408" Type="http://schemas.openxmlformats.org/officeDocument/2006/relationships/hyperlink" Target="https://drive.google.com/file/d/154Wg7Xb4BddhO9QnNGemRP0EgFGmgdGv/view?usp=drivesdk" TargetMode="External"/><Relationship Id="rId2739" Type="http://schemas.openxmlformats.org/officeDocument/2006/relationships/hyperlink" Target="http://yashgorde6562gmail.com" TargetMode="External"/><Relationship Id="rId1409" Type="http://schemas.openxmlformats.org/officeDocument/2006/relationships/hyperlink" Target="https://drive.google.com/file/d/1NP2KTk3Cp5hkrgSZpBZti6eQj6eOQw7i/view?usp=drivesdk" TargetMode="External"/><Relationship Id="rId2730" Type="http://schemas.openxmlformats.org/officeDocument/2006/relationships/hyperlink" Target="https://drive.google.com/file/d/1wFBF26SYENIiOihN5Fu-xIJNbgtKfqm8/view?usp=drivesdk" TargetMode="External"/><Relationship Id="rId1433" Type="http://schemas.openxmlformats.org/officeDocument/2006/relationships/hyperlink" Target="https://drive.google.com/file/d/1WfXAFkaJYt9qY_UiCl36gsqdIMTnAOij/view?usp=drivesdk" TargetMode="External"/><Relationship Id="rId2764" Type="http://schemas.openxmlformats.org/officeDocument/2006/relationships/hyperlink" Target="https://drive.google.com/file/d/1IbS9BF8ygtdBTpOzcdxzsBqwyEqoBOaJ/view?usp=drivesdk" TargetMode="External"/><Relationship Id="rId1434" Type="http://schemas.openxmlformats.org/officeDocument/2006/relationships/hyperlink" Target="https://drive.google.com/file/d/13AYj23H5tcDjf1kRjJ2-9DIk0tkMG5YA/view?usp=drivesdk" TargetMode="External"/><Relationship Id="rId2765" Type="http://schemas.openxmlformats.org/officeDocument/2006/relationships/hyperlink" Target="https://drive.google.com/file/d/1M8voMT_SHA2dfpkLeCJ2SvTLBNfUcb3p/view?usp=drivesdk" TargetMode="External"/><Relationship Id="rId1435" Type="http://schemas.openxmlformats.org/officeDocument/2006/relationships/hyperlink" Target="https://drive.google.com/file/d/1aR5e2GsWYk-wnTnFUIrBMkkQzbWjZTE5/view?usp=drivesdk" TargetMode="External"/><Relationship Id="rId2766" Type="http://schemas.openxmlformats.org/officeDocument/2006/relationships/hyperlink" Target="https://drive.google.com/file/d/1glW5jAbaFnpovSCfgZy9iGvrmrjBpEWb/view?usp=drivesdk" TargetMode="External"/><Relationship Id="rId1436" Type="http://schemas.openxmlformats.org/officeDocument/2006/relationships/hyperlink" Target="https://drive.google.com/file/d/1BHmPw6mjGvgcpO-3RBDI4vGsEpppr302/view?usp=drivesdk" TargetMode="External"/><Relationship Id="rId2767" Type="http://schemas.openxmlformats.org/officeDocument/2006/relationships/hyperlink" Target="https://drive.google.com/file/d/1_Z5YjnebjyphSRYe4gCdf9_OiVR9cvZs/view?usp=drivesdk" TargetMode="External"/><Relationship Id="rId1437" Type="http://schemas.openxmlformats.org/officeDocument/2006/relationships/hyperlink" Target="https://drive.google.com/file/d/1xLEyzY3V-JpqKLupm2AQnL_eQqhiAZUc/view?usp=drivesdk" TargetMode="External"/><Relationship Id="rId2768" Type="http://schemas.openxmlformats.org/officeDocument/2006/relationships/hyperlink" Target="https://drive.google.com/file/d/1APtowPs944huktOyBURr8Jl7y7pI6oxX/view?usp=drivesdk" TargetMode="External"/><Relationship Id="rId1438" Type="http://schemas.openxmlformats.org/officeDocument/2006/relationships/hyperlink" Target="https://drive.google.com/file/d/1q-wtjnbBBlGSEJrGKOwxGhAXGrl3vp8J/view?usp=drivesdk" TargetMode="External"/><Relationship Id="rId2769" Type="http://schemas.openxmlformats.org/officeDocument/2006/relationships/hyperlink" Target="https://drive.google.com/file/d/11nfOGrKuUqE8fjJ-EoheJTZ-RXsTxiyY/view?usp=drivesdk" TargetMode="External"/><Relationship Id="rId1439" Type="http://schemas.openxmlformats.org/officeDocument/2006/relationships/hyperlink" Target="https://drive.google.com/file/d/1iGv1A9-ntgkv6JYKSsUjzOq_aI_iXGus/view?usp=drivesdk" TargetMode="External"/><Relationship Id="rId609" Type="http://schemas.openxmlformats.org/officeDocument/2006/relationships/hyperlink" Target="https://drive.google.com/file/d/1dnOjLEOk5cjzH5oRKY8fzJTIu15gVYMz/view?usp=drivesdk" TargetMode="External"/><Relationship Id="rId608" Type="http://schemas.openxmlformats.org/officeDocument/2006/relationships/hyperlink" Target="https://drive.google.com/file/d/1cMw3SsRkVXuyEqrreDEypDww1f7VRxvD/view?usp=drivesdk" TargetMode="External"/><Relationship Id="rId607" Type="http://schemas.openxmlformats.org/officeDocument/2006/relationships/hyperlink" Target="https://drive.google.com/file/d/1Cf8suRFila8w-Re2pD5HRy3NaGOWdKN_/view?usp=drivesdk" TargetMode="External"/><Relationship Id="rId602" Type="http://schemas.openxmlformats.org/officeDocument/2006/relationships/hyperlink" Target="https://drive.google.com/file/d/1K-gFCrLo9X3cxt6RC4-aVDxSzrJwITxo/view?usp=drivesdk" TargetMode="External"/><Relationship Id="rId601" Type="http://schemas.openxmlformats.org/officeDocument/2006/relationships/hyperlink" Target="https://drive.google.com/file/d/1542eMvhLudCdYjNJUyf5XS68E8Vx7jJO/view?usp=drivesdk" TargetMode="External"/><Relationship Id="rId600" Type="http://schemas.openxmlformats.org/officeDocument/2006/relationships/hyperlink" Target="https://drive.google.com/file/d/1x_FXocr2KPPpV5Z89n4lDgEtz5JySHNo/view?usp=drivesdk" TargetMode="External"/><Relationship Id="rId606" Type="http://schemas.openxmlformats.org/officeDocument/2006/relationships/hyperlink" Target="https://drive.google.com/file/d/12kwGcq8sT5VkM5qhrhoSKpdLcOAeL3TF/view?usp=drivesdk" TargetMode="External"/><Relationship Id="rId605" Type="http://schemas.openxmlformats.org/officeDocument/2006/relationships/hyperlink" Target="https://drive.google.com/file/d/1UGrfyEQX3gDzphgFJled7d8qa7NeZwvH/view?usp=drivesdk" TargetMode="External"/><Relationship Id="rId604" Type="http://schemas.openxmlformats.org/officeDocument/2006/relationships/hyperlink" Target="https://drive.google.com/file/d/1_aUibojBjMydUUbpvEwa8k_NWLrdG6gx/view?usp=drivesdk" TargetMode="External"/><Relationship Id="rId603" Type="http://schemas.openxmlformats.org/officeDocument/2006/relationships/hyperlink" Target="http://b.sc/B.Com" TargetMode="External"/><Relationship Id="rId2760" Type="http://schemas.openxmlformats.org/officeDocument/2006/relationships/hyperlink" Target="https://drive.google.com/file/d/1UAr77iwZcR-3vPTfhsg5pQYG0Ej40tlQ/view?usp=drivesdk" TargetMode="External"/><Relationship Id="rId1430" Type="http://schemas.openxmlformats.org/officeDocument/2006/relationships/hyperlink" Target="https://drive.google.com/file/d/1XRzcAbrkx11VihVipMqbopSLqXqmI2qp/view?usp=drivesdk" TargetMode="External"/><Relationship Id="rId2761" Type="http://schemas.openxmlformats.org/officeDocument/2006/relationships/hyperlink" Target="https://drive.google.com/file/d/1sGwjugpA2ftpsbWuyY_rd9dqyL9Xftj-/view?usp=drivesdk" TargetMode="External"/><Relationship Id="rId1431" Type="http://schemas.openxmlformats.org/officeDocument/2006/relationships/hyperlink" Target="https://drive.google.com/file/d/1tut3sc_QkQQfGH9LzVMCzafgLp2k50EI/view?usp=drivesdk" TargetMode="External"/><Relationship Id="rId2762" Type="http://schemas.openxmlformats.org/officeDocument/2006/relationships/hyperlink" Target="https://drive.google.com/file/d/1RNb5nv4TDytM5hiXOWvYdhmCAMhaiCIa/view?usp=drivesdk" TargetMode="External"/><Relationship Id="rId1432" Type="http://schemas.openxmlformats.org/officeDocument/2006/relationships/hyperlink" Target="https://drive.google.com/file/d/1HhuJmp3qiWXWhXsiIW_eE_4FVfZ41Dhl/view?usp=drivesdk" TargetMode="External"/><Relationship Id="rId2763" Type="http://schemas.openxmlformats.org/officeDocument/2006/relationships/hyperlink" Target="https://drive.google.com/file/d/1W8Sw-2bHg1tNmiFKqbeZk7AyDduOg63_/view?usp=drivesdk" TargetMode="External"/><Relationship Id="rId1422" Type="http://schemas.openxmlformats.org/officeDocument/2006/relationships/hyperlink" Target="https://drive.google.com/file/d/1fD9PXSS56fhHbTvvc4KfqprBSS6UmFje/view?usp=drivesdk" TargetMode="External"/><Relationship Id="rId2753" Type="http://schemas.openxmlformats.org/officeDocument/2006/relationships/hyperlink" Target="https://drive.google.com/file/d/1KRZKQ0I1zmQS3B9v-zST782WsgFzMbll/view?usp=drivesdk" TargetMode="External"/><Relationship Id="rId1423" Type="http://schemas.openxmlformats.org/officeDocument/2006/relationships/hyperlink" Target="https://drive.google.com/file/d/1mB_8s8e-VBLDT5n3deoMI2DJDPuAYSM6/view?usp=drivesdk" TargetMode="External"/><Relationship Id="rId2754" Type="http://schemas.openxmlformats.org/officeDocument/2006/relationships/hyperlink" Target="https://drive.google.com/file/d/1FsWV4RxMx7KnRC83t58fo3hRcWcpix4c/view?usp=drivesdk" TargetMode="External"/><Relationship Id="rId1424" Type="http://schemas.openxmlformats.org/officeDocument/2006/relationships/hyperlink" Target="https://drive.google.com/file/d/1acwoaPk4S8TTuZpsNrQGKhgbOoer54cE/view?usp=drivesdk" TargetMode="External"/><Relationship Id="rId2755" Type="http://schemas.openxmlformats.org/officeDocument/2006/relationships/hyperlink" Target="https://drive.google.com/file/d/1zG0KXtZgQxstU3ri3Burii8YBybCC4WW/view?usp=drivesdk" TargetMode="External"/><Relationship Id="rId1425" Type="http://schemas.openxmlformats.org/officeDocument/2006/relationships/hyperlink" Target="https://drive.google.com/file/d/1DJPKVFL8OS61VPAufYIlhtGUrnWnoUiu/view?usp=drivesdk" TargetMode="External"/><Relationship Id="rId2756" Type="http://schemas.openxmlformats.org/officeDocument/2006/relationships/hyperlink" Target="https://drive.google.com/file/d/1TKvgu-mH1_2p-cj7OAUo0VMB6twxg61g/view?usp=drivesdk" TargetMode="External"/><Relationship Id="rId1426" Type="http://schemas.openxmlformats.org/officeDocument/2006/relationships/hyperlink" Target="https://drive.google.com/file/d/15tVdFqq5b7hVP0_B9Ls9inh6ZPV5Ce5p/view?usp=drivesdk" TargetMode="External"/><Relationship Id="rId2757" Type="http://schemas.openxmlformats.org/officeDocument/2006/relationships/hyperlink" Target="https://drive.google.com/file/d/1QX8iNfEG0orF7_tQEYDJ4IuY59Ym288A/view?usp=drivesdk" TargetMode="External"/><Relationship Id="rId1427" Type="http://schemas.openxmlformats.org/officeDocument/2006/relationships/hyperlink" Target="https://drive.google.com/file/d/1jEfOJK6koSUvBSR58ParrOz4rG6MNjKn/view?usp=drivesdk" TargetMode="External"/><Relationship Id="rId2758" Type="http://schemas.openxmlformats.org/officeDocument/2006/relationships/hyperlink" Target="https://drive.google.com/file/d/1_uHFvoTVO4K0j2JPbd5gwmKixq4MQUur/view?usp=drivesdk" TargetMode="External"/><Relationship Id="rId1428" Type="http://schemas.openxmlformats.org/officeDocument/2006/relationships/hyperlink" Target="https://drive.google.com/file/d/12yeSghqpQWZfVUNRBv2xzxRqMnv-3ZX6/view?usp=drivesdk" TargetMode="External"/><Relationship Id="rId2759" Type="http://schemas.openxmlformats.org/officeDocument/2006/relationships/hyperlink" Target="https://drive.google.com/file/d/1tRBw3LmVpjDatpiur1xnBG0Dj2Q7fagA/view?usp=drivesdk" TargetMode="External"/><Relationship Id="rId1429" Type="http://schemas.openxmlformats.org/officeDocument/2006/relationships/hyperlink" Target="https://drive.google.com/file/d/1Kasca5Z04-S3-VazAQXMphF0WdjAn-01/view?usp=drivesdk" TargetMode="External"/><Relationship Id="rId2750" Type="http://schemas.openxmlformats.org/officeDocument/2006/relationships/hyperlink" Target="https://drive.google.com/file/d/1RIaj-QwyG6ILxB41DB0e07zkTYityHwV/view?usp=drivesdk" TargetMode="External"/><Relationship Id="rId1420" Type="http://schemas.openxmlformats.org/officeDocument/2006/relationships/hyperlink" Target="https://drive.google.com/file/d/1gTp1x6ZoNko-z88lk-7pkTYklU7GDvr3/view?usp=drivesdk" TargetMode="External"/><Relationship Id="rId2751" Type="http://schemas.openxmlformats.org/officeDocument/2006/relationships/hyperlink" Target="https://drive.google.com/file/d/1WW6pd2MkFlURXQEeBQfeHh8PNFfO-6th/view?usp=drivesdk" TargetMode="External"/><Relationship Id="rId1421" Type="http://schemas.openxmlformats.org/officeDocument/2006/relationships/hyperlink" Target="https://drive.google.com/file/d/1vyryM2SRuON1mUddNWsTjZD77ZprYkj8/view?usp=drivesdk" TargetMode="External"/><Relationship Id="rId2752" Type="http://schemas.openxmlformats.org/officeDocument/2006/relationships/hyperlink" Target="https://drive.google.com/file/d/1CpVBE3N0lztFAdWAU8zPNo1av-KvlWs3/view?usp=drivesdk" TargetMode="External"/><Relationship Id="rId3238" Type="http://schemas.openxmlformats.org/officeDocument/2006/relationships/hyperlink" Target="https://drive.google.com/file/d/1GZI1GEHHj8BdbkavLlcgHGTtDvu0TmgJ/view?usp=drivesdk" TargetMode="External"/><Relationship Id="rId3237" Type="http://schemas.openxmlformats.org/officeDocument/2006/relationships/hyperlink" Target="https://drive.google.com/file/d/1FJDsgarWcONX4UKDS3qcn_NcCtM6zy8P/view?usp=drivesdk" TargetMode="External"/><Relationship Id="rId3239" Type="http://schemas.openxmlformats.org/officeDocument/2006/relationships/hyperlink" Target="https://drive.google.com/file/d/15QPJri96L68QCv3_fRZwSfWp6WMg6YpP/view?usp=drivesdk" TargetMode="External"/><Relationship Id="rId3230" Type="http://schemas.openxmlformats.org/officeDocument/2006/relationships/hyperlink" Target="https://drive.google.com/file/d/1Tv1gaxrz_dzlGIbow8q5vLUSx1D2XbUW/view?usp=drivesdk" TargetMode="External"/><Relationship Id="rId3232" Type="http://schemas.openxmlformats.org/officeDocument/2006/relationships/hyperlink" Target="https://drive.google.com/file/d/1tS4Yp10tcIHTn5ERpf9nzUgE72U6NXcX/view?usp=drivesdk" TargetMode="External"/><Relationship Id="rId3231" Type="http://schemas.openxmlformats.org/officeDocument/2006/relationships/hyperlink" Target="https://drive.google.com/file/d/1v-Ye7mLl_h3wWqNkEXwS10P37ysdiSMP/view?usp=drivesdk" TargetMode="External"/><Relationship Id="rId3234" Type="http://schemas.openxmlformats.org/officeDocument/2006/relationships/hyperlink" Target="https://drive.google.com/file/d/1UO-Vo1vEgxWO52LG6Liz-gkqjBD5XKoX/view?usp=drivesdk" TargetMode="External"/><Relationship Id="rId3233" Type="http://schemas.openxmlformats.org/officeDocument/2006/relationships/hyperlink" Target="https://drive.google.com/file/d/1OMRfGTCzmt8w9dYQ_1f5jaOiqRWgCFpA/view?usp=drivesdk" TargetMode="External"/><Relationship Id="rId3236" Type="http://schemas.openxmlformats.org/officeDocument/2006/relationships/hyperlink" Target="https://drive.google.com/file/d/1RYdkXfDEhppH5fXjJ2b64AG43M33r1IX/view?usp=drivesdk" TargetMode="External"/><Relationship Id="rId3235" Type="http://schemas.openxmlformats.org/officeDocument/2006/relationships/hyperlink" Target="https://drive.google.com/file/d/1b0O43p2tylmQq4bxXnGqAROOmi6myRbL/view?usp=drivesdk" TargetMode="External"/><Relationship Id="rId3227" Type="http://schemas.openxmlformats.org/officeDocument/2006/relationships/hyperlink" Target="https://drive.google.com/file/d/1t7_NW7Unz8g8_vYq99Qs8XYXpPq8fT8N/view?usp=drivesdk" TargetMode="External"/><Relationship Id="rId3226" Type="http://schemas.openxmlformats.org/officeDocument/2006/relationships/hyperlink" Target="https://drive.google.com/file/d/1W87V59wZT7Ue6EJ_j6x74ViSido6RYAf/view?usp=drivesdk" TargetMode="External"/><Relationship Id="rId3229" Type="http://schemas.openxmlformats.org/officeDocument/2006/relationships/hyperlink" Target="https://drive.google.com/file/d/1LbVZks9v3AtiOD2BqqAXnUjQR9m3Cbot/view?usp=drivesdk" TargetMode="External"/><Relationship Id="rId3228" Type="http://schemas.openxmlformats.org/officeDocument/2006/relationships/hyperlink" Target="https://drive.google.com/file/d/1WbIECplBkU3HDkqi6F-SwjXkMHd7KKCy/view?usp=drivesdk" TargetMode="External"/><Relationship Id="rId699" Type="http://schemas.openxmlformats.org/officeDocument/2006/relationships/hyperlink" Target="https://drive.google.com/file/d/1-7G0pLe_-ZRIRJOF_p9boMNmTZeeMmEm/view?usp=drivesdk" TargetMode="External"/><Relationship Id="rId698" Type="http://schemas.openxmlformats.org/officeDocument/2006/relationships/hyperlink" Target="https://drive.google.com/file/d/1TZQHMpHFYEx-rAEPwYyFUKtJSC9eNd3W/view?usp=drivesdk" TargetMode="External"/><Relationship Id="rId693" Type="http://schemas.openxmlformats.org/officeDocument/2006/relationships/hyperlink" Target="https://drive.google.com/file/d/1rUzFZ-3Vm7M_SbcRcujj7AanO5QY3JWx/view?usp=drivesdk" TargetMode="External"/><Relationship Id="rId692" Type="http://schemas.openxmlformats.org/officeDocument/2006/relationships/hyperlink" Target="https://drive.google.com/file/d/1JcBhDmgauOTZegAfr-J5hx13HaSDRofm/view?usp=drivesdk" TargetMode="External"/><Relationship Id="rId691" Type="http://schemas.openxmlformats.org/officeDocument/2006/relationships/hyperlink" Target="https://drive.google.com/file/d/1jzwnfYXuT3B3XusYdhnr9SACbURxkgDx/view?usp=drivesdk" TargetMode="External"/><Relationship Id="rId3221" Type="http://schemas.openxmlformats.org/officeDocument/2006/relationships/hyperlink" Target="https://drive.google.com/file/d/1JD7_-xfuU6gV1NOPzSwalH6Kpgavh8TW/view?usp=drivesdk" TargetMode="External"/><Relationship Id="rId690" Type="http://schemas.openxmlformats.org/officeDocument/2006/relationships/hyperlink" Target="https://drive.google.com/file/d/1azS8HgJIuCzov_F8LvNUB0D62ToyYncq/view?usp=drivesdk" TargetMode="External"/><Relationship Id="rId3220" Type="http://schemas.openxmlformats.org/officeDocument/2006/relationships/hyperlink" Target="https://drive.google.com/file/d/1qqsAA6rA3Oei3rSEs0y27ek8PgwPHl3b/view?usp=drivesdk" TargetMode="External"/><Relationship Id="rId697" Type="http://schemas.openxmlformats.org/officeDocument/2006/relationships/hyperlink" Target="https://drive.google.com/file/d/1S39lyVs3MDI-8DTiaejd00jTKkiUTSMU/view?usp=drivesdk" TargetMode="External"/><Relationship Id="rId3223" Type="http://schemas.openxmlformats.org/officeDocument/2006/relationships/hyperlink" Target="https://drive.google.com/file/d/1iTzcYoUUJNXcvt8jXqxZbeO7beBuYVWT/view?usp=drivesdk" TargetMode="External"/><Relationship Id="rId696" Type="http://schemas.openxmlformats.org/officeDocument/2006/relationships/hyperlink" Target="https://drive.google.com/file/d/1LFMWbwiaHCYnbRg1SDF7iOsrlMjzalEi/view?usp=drivesdk" TargetMode="External"/><Relationship Id="rId3222" Type="http://schemas.openxmlformats.org/officeDocument/2006/relationships/hyperlink" Target="https://drive.google.com/file/d/1pdU_-Xd-S0eVw3xQMikURYH5rnvWqKPk/view?usp=drivesdk" TargetMode="External"/><Relationship Id="rId695" Type="http://schemas.openxmlformats.org/officeDocument/2006/relationships/hyperlink" Target="https://drive.google.com/file/d/16iDYIyGlf-vMdc-bun_W7kszdcZQH1iL/view?usp=drivesdk" TargetMode="External"/><Relationship Id="rId3225" Type="http://schemas.openxmlformats.org/officeDocument/2006/relationships/hyperlink" Target="https://drive.google.com/file/d/120j4bFfNRN9s15rKu6Ukin1LcIV2PYJS/view?usp=drivesdk" TargetMode="External"/><Relationship Id="rId694" Type="http://schemas.openxmlformats.org/officeDocument/2006/relationships/hyperlink" Target="https://drive.google.com/file/d/1jvBiPGIoIH16IOnc90kIZkKtAOXjkfJS/view?usp=drivesdk" TargetMode="External"/><Relationship Id="rId3224" Type="http://schemas.openxmlformats.org/officeDocument/2006/relationships/hyperlink" Target="https://drive.google.com/file/d/1glTSMuVT9ELKqq9_rX6ecGManBK9tb_t/view?usp=drivesdk" TargetMode="External"/><Relationship Id="rId3259" Type="http://schemas.openxmlformats.org/officeDocument/2006/relationships/hyperlink" Target="https://drive.google.com/file/d/1g9qDvEHKb7QTM5HDo8Od_QAD77-mP5EX/view?usp=drivesdk" TargetMode="External"/><Relationship Id="rId3250" Type="http://schemas.openxmlformats.org/officeDocument/2006/relationships/hyperlink" Target="https://drive.google.com/file/d/1jlnPcv0n5gnKFmfHNt7VBaA62Kt0LBRk/view?usp=drivesdk" TargetMode="External"/><Relationship Id="rId3252" Type="http://schemas.openxmlformats.org/officeDocument/2006/relationships/hyperlink" Target="https://drive.google.com/file/d/1GYfQNtgjUcuJo77KETR61lNIniaP2ITk/view?usp=drivesdk" TargetMode="External"/><Relationship Id="rId3251" Type="http://schemas.openxmlformats.org/officeDocument/2006/relationships/hyperlink" Target="https://drive.google.com/file/d/1zrRsNgyABBEx55oea4XfudDp8BNY9SuH/view?usp=drivesdk" TargetMode="External"/><Relationship Id="rId3254" Type="http://schemas.openxmlformats.org/officeDocument/2006/relationships/hyperlink" Target="https://drive.google.com/file/d/19h7p8Y4YD55oYKPQalIsDnBBwAXRrdJM/view?usp=drivesdk" TargetMode="External"/><Relationship Id="rId3253" Type="http://schemas.openxmlformats.org/officeDocument/2006/relationships/hyperlink" Target="https://drive.google.com/file/d/1exhy30ANu5cc9rXuCPR9YUmBiAEqgFdc/view?usp=drivesdk" TargetMode="External"/><Relationship Id="rId3256" Type="http://schemas.openxmlformats.org/officeDocument/2006/relationships/hyperlink" Target="https://drive.google.com/file/d/1oiV_fSj6WCUSFBLNEnGl_leHSuOO24-t/view?usp=drivesdk" TargetMode="External"/><Relationship Id="rId3255" Type="http://schemas.openxmlformats.org/officeDocument/2006/relationships/hyperlink" Target="https://drive.google.com/file/d/1Sy5z-sA0YZtjKRg3MSaHxbbn04uZABhW/view?usp=drivesdk" TargetMode="External"/><Relationship Id="rId3258" Type="http://schemas.openxmlformats.org/officeDocument/2006/relationships/hyperlink" Target="https://drive.google.com/file/d/10_Y8LifaA_wPa4-eY9IkaizoMICoOJFW/view?usp=drivesdk" TargetMode="External"/><Relationship Id="rId3257" Type="http://schemas.openxmlformats.org/officeDocument/2006/relationships/hyperlink" Target="https://drive.google.com/file/d/1HGAydqhK8lu35zNvF8D5W8BPza6733Wd/view?usp=drivesdk" TargetMode="External"/><Relationship Id="rId3249" Type="http://schemas.openxmlformats.org/officeDocument/2006/relationships/hyperlink" Target="https://drive.google.com/file/d/1tYq32QAwQuAh_Qv76RFs2NISMLi7EPRE/view?usp=drivesdk" TargetMode="External"/><Relationship Id="rId3248" Type="http://schemas.openxmlformats.org/officeDocument/2006/relationships/hyperlink" Target="https://drive.google.com/file/d/1wUFISrIMkamDidOy63Ez-77XPN39ZVBV/view?usp=drivesdk" TargetMode="External"/><Relationship Id="rId3241" Type="http://schemas.openxmlformats.org/officeDocument/2006/relationships/hyperlink" Target="https://drive.google.com/file/d/1cuWOhOuxW3I4tX5RzNHz3QLlMdfOy8nd/view?usp=drivesdk" TargetMode="External"/><Relationship Id="rId3240" Type="http://schemas.openxmlformats.org/officeDocument/2006/relationships/hyperlink" Target="https://drive.google.com/file/d/1KH-RUV_9LqRdWHeGheqdCNxKbASxka9Z/view?usp=drivesdk" TargetMode="External"/><Relationship Id="rId3243" Type="http://schemas.openxmlformats.org/officeDocument/2006/relationships/hyperlink" Target="https://drive.google.com/file/d/1PPeaANRFNjCzFyxlW3REwq_0oh-MYJ5Y/view?usp=drivesdk" TargetMode="External"/><Relationship Id="rId3242" Type="http://schemas.openxmlformats.org/officeDocument/2006/relationships/hyperlink" Target="https://drive.google.com/file/d/12fISrcE3dChkD9hKqJmE9Tpysg38XFvX/view?usp=drivesdk" TargetMode="External"/><Relationship Id="rId3245" Type="http://schemas.openxmlformats.org/officeDocument/2006/relationships/hyperlink" Target="https://drive.google.com/file/d/1r5wQF_hmCrqdTH9DL2DCj1VfaEAFac2m/view?usp=drivesdk" TargetMode="External"/><Relationship Id="rId3244" Type="http://schemas.openxmlformats.org/officeDocument/2006/relationships/hyperlink" Target="https://drive.google.com/file/d/1wKyX9blLiwWMYkzEWIvImFbP7jyfQ_a-/view?usp=drivesdk" TargetMode="External"/><Relationship Id="rId3247" Type="http://schemas.openxmlformats.org/officeDocument/2006/relationships/hyperlink" Target="https://drive.google.com/file/d/1-YJu9wPeCVatP-5d2e5tikUg2-TinWOg/view?usp=drivesdk" TargetMode="External"/><Relationship Id="rId3246" Type="http://schemas.openxmlformats.org/officeDocument/2006/relationships/hyperlink" Target="https://drive.google.com/file/d/1kVPc_FyYoW9pKER4gbVoJ7vZuvdSBvTP/view?usp=drivesdk" TargetMode="External"/><Relationship Id="rId1499" Type="http://schemas.openxmlformats.org/officeDocument/2006/relationships/hyperlink" Target="https://drive.google.com/file/d/14MGiqQ0Z6Xw1I6thDQJPl-aUD-565cox/view?usp=drivesdk" TargetMode="External"/><Relationship Id="rId668" Type="http://schemas.openxmlformats.org/officeDocument/2006/relationships/hyperlink" Target="https://drive.google.com/file/d/1lh7QCW-WLJY0DlA2wTPf5AYIgTnkcXa3/view?usp=drivesdk" TargetMode="External"/><Relationship Id="rId667" Type="http://schemas.openxmlformats.org/officeDocument/2006/relationships/hyperlink" Target="https://drive.google.com/file/d/1PHTlsXrzHbmHVRQ8kj45v9NSYHE7BbIT/view?usp=drivesdk" TargetMode="External"/><Relationship Id="rId666" Type="http://schemas.openxmlformats.org/officeDocument/2006/relationships/hyperlink" Target="https://drive.google.com/file/d/1EhsPLFr0qARCL0UxJFzvY75G4eA81wsf/view?usp=drivesdk" TargetMode="External"/><Relationship Id="rId665" Type="http://schemas.openxmlformats.org/officeDocument/2006/relationships/hyperlink" Target="https://drive.google.com/file/d/1v2z7Z03bJ8VrCCa-5Q3Epz14qkc9qOM_/view?usp=drivesdk" TargetMode="External"/><Relationship Id="rId669" Type="http://schemas.openxmlformats.org/officeDocument/2006/relationships/hyperlink" Target="https://drive.google.com/file/d/1orNkY44pPQ5YNMK4s0ep_DoU0_y5U0Hp/view?usp=drivesdk" TargetMode="External"/><Relationship Id="rId1490" Type="http://schemas.openxmlformats.org/officeDocument/2006/relationships/hyperlink" Target="https://drive.google.com/file/d/1oGia4SH8n-azDzY2e92eWzBcBNUGwnLP/view?usp=drivesdk" TargetMode="External"/><Relationship Id="rId660" Type="http://schemas.openxmlformats.org/officeDocument/2006/relationships/hyperlink" Target="https://drive.google.com/file/d/1dwBUUJiLfuIQcgDRy2khH1PLqD-j-gRj/view?usp=drivesdk" TargetMode="External"/><Relationship Id="rId1491" Type="http://schemas.openxmlformats.org/officeDocument/2006/relationships/hyperlink" Target="https://drive.google.com/file/d/1IbYrXt9GDcX6bNRDw8APfdW19UTXm3PZ/view?usp=drivesdk" TargetMode="External"/><Relationship Id="rId1492" Type="http://schemas.openxmlformats.org/officeDocument/2006/relationships/hyperlink" Target="https://drive.google.com/file/d/1rhu3OFO81lo9zkrkAMtMxkgLgnroSf_V/view?usp=drivesdk" TargetMode="External"/><Relationship Id="rId1493" Type="http://schemas.openxmlformats.org/officeDocument/2006/relationships/hyperlink" Target="https://drive.google.com/file/d/1ahicaH3tCVv5BthJVw4NQGrq9dYIf9q1/view?usp=drivesdk" TargetMode="External"/><Relationship Id="rId1494" Type="http://schemas.openxmlformats.org/officeDocument/2006/relationships/hyperlink" Target="https://drive.google.com/file/d/1GVXGGbdX5H_XafsE_vUIuK9Ayd-UeHtH/view?usp=drivesdk" TargetMode="External"/><Relationship Id="rId664" Type="http://schemas.openxmlformats.org/officeDocument/2006/relationships/hyperlink" Target="https://drive.google.com/file/d/1vXZvFooS8TqSriGeAJvn6b4EcNozyB9q/view?usp=drivesdk" TargetMode="External"/><Relationship Id="rId1495" Type="http://schemas.openxmlformats.org/officeDocument/2006/relationships/hyperlink" Target="https://drive.google.com/file/d/1YOFekZtne7KnE4Yjm_Z573HPvQ6OzWjj/view?usp=drivesdk" TargetMode="External"/><Relationship Id="rId663" Type="http://schemas.openxmlformats.org/officeDocument/2006/relationships/hyperlink" Target="https://drive.google.com/file/d/1mlg1TGDCFymYlnVYxDHjGDPAu1LrRuQA/view?usp=drivesdk" TargetMode="External"/><Relationship Id="rId1496" Type="http://schemas.openxmlformats.org/officeDocument/2006/relationships/hyperlink" Target="https://drive.google.com/file/d/1tTAp1gHmdad8RnLSUsOsxGvhS_ehd9P3/view?usp=drivesdk" TargetMode="External"/><Relationship Id="rId662" Type="http://schemas.openxmlformats.org/officeDocument/2006/relationships/hyperlink" Target="https://drive.google.com/file/d/1uwV7CP_PDZ1FvpvAM0ilnvrrQKSzF7V7/view?usp=drivesdk" TargetMode="External"/><Relationship Id="rId1497" Type="http://schemas.openxmlformats.org/officeDocument/2006/relationships/hyperlink" Target="https://drive.google.com/file/d/1tsD590R8DqDOKIMQUEXS8BnP32xyu-ZI/view?usp=drivesdk" TargetMode="External"/><Relationship Id="rId661" Type="http://schemas.openxmlformats.org/officeDocument/2006/relationships/hyperlink" Target="https://drive.google.com/file/d/1XJJHaBQqDGrpSiPD0JyepW_gLCv40RPe/view?usp=drivesdk" TargetMode="External"/><Relationship Id="rId1498" Type="http://schemas.openxmlformats.org/officeDocument/2006/relationships/hyperlink" Target="https://drive.google.com/file/d/1maAulx4rPnKG8GhMnBtCmYQd2PS5BmsW/view?usp=drivesdk" TargetMode="External"/><Relationship Id="rId1488" Type="http://schemas.openxmlformats.org/officeDocument/2006/relationships/hyperlink" Target="https://drive.google.com/file/d/1dwAg4Gs2RpLbze73ZCpzeluWD8MuP2fx/view?usp=drivesdk" TargetMode="External"/><Relationship Id="rId1489" Type="http://schemas.openxmlformats.org/officeDocument/2006/relationships/hyperlink" Target="https://drive.google.com/file/d/1qmLNiIhefLmIHH6K6lNNtcMB7ZStrmiH/view?usp=drivesdk" TargetMode="External"/><Relationship Id="rId657" Type="http://schemas.openxmlformats.org/officeDocument/2006/relationships/hyperlink" Target="https://drive.google.com/file/d/1XgtzAK3aKLWE7FMVOfY8xcadJ3-JBGcT/view?usp=drivesdk" TargetMode="External"/><Relationship Id="rId656" Type="http://schemas.openxmlformats.org/officeDocument/2006/relationships/hyperlink" Target="https://drive.google.com/file/d/1BlTSAKmVL6NOC-xmnUkbGmL2CYisk0N4/view?usp=drivesdk" TargetMode="External"/><Relationship Id="rId655" Type="http://schemas.openxmlformats.org/officeDocument/2006/relationships/hyperlink" Target="https://drive.google.com/file/d/1auPLA-vPxecmdoxCgF_MFQIu33n1Qh3x/view?usp=drivesdk" TargetMode="External"/><Relationship Id="rId654" Type="http://schemas.openxmlformats.org/officeDocument/2006/relationships/hyperlink" Target="https://drive.google.com/file/d/1Vw3TTU-AEKFEijLQiaH_BqELx8BEF34t/view?usp=drivesdk" TargetMode="External"/><Relationship Id="rId659" Type="http://schemas.openxmlformats.org/officeDocument/2006/relationships/hyperlink" Target="https://drive.google.com/file/d/1KSqCyfkz1woGCXdBbs9HMilsG1vVeRsd/view?usp=drivesdk" TargetMode="External"/><Relationship Id="rId658" Type="http://schemas.openxmlformats.org/officeDocument/2006/relationships/hyperlink" Target="https://drive.google.com/file/d/1IhPXxlAwdJTSWxxpOceX6yU3ilyCCkqz/view?usp=drivesdk" TargetMode="External"/><Relationship Id="rId1480" Type="http://schemas.openxmlformats.org/officeDocument/2006/relationships/hyperlink" Target="https://drive.google.com/file/d/1w9EX4pvfKJiz9_c-icmLpZZ1GMAwctSK/view?usp=drivesdk" TargetMode="External"/><Relationship Id="rId1481" Type="http://schemas.openxmlformats.org/officeDocument/2006/relationships/hyperlink" Target="https://drive.google.com/file/d/1vSsS0XqF-1CeXpohI7jOrHfVHZ4lBvl3/view?usp=drivesdk" TargetMode="External"/><Relationship Id="rId1482" Type="http://schemas.openxmlformats.org/officeDocument/2006/relationships/hyperlink" Target="https://drive.google.com/file/d/1n6GMzj_yw5Q9oH0rf68xLfhRZg8s2lHh/view?usp=drivesdk" TargetMode="External"/><Relationship Id="rId1483" Type="http://schemas.openxmlformats.org/officeDocument/2006/relationships/hyperlink" Target="https://drive.google.com/file/d/1dR-gxPS0UJ-r3PNI2zHIq-gkIQ_YhAKA/view?usp=drivesdk" TargetMode="External"/><Relationship Id="rId653" Type="http://schemas.openxmlformats.org/officeDocument/2006/relationships/hyperlink" Target="https://drive.google.com/file/d/10s3s784qFs3b5Y9pLTBA-qeKUF8c_N8I/view?usp=drivesdk" TargetMode="External"/><Relationship Id="rId1484" Type="http://schemas.openxmlformats.org/officeDocument/2006/relationships/hyperlink" Target="https://drive.google.com/file/d/1zeyjQS8WW3ISF7HRnB393PKWxaXRNQHl/view?usp=drivesdk" TargetMode="External"/><Relationship Id="rId652" Type="http://schemas.openxmlformats.org/officeDocument/2006/relationships/hyperlink" Target="https://drive.google.com/file/d/1Y4_g3E-Z-2OPn7FK8-MbjLWFgvBJzUH_/view?usp=drivesdk" TargetMode="External"/><Relationship Id="rId1485" Type="http://schemas.openxmlformats.org/officeDocument/2006/relationships/hyperlink" Target="http://b.sc/B.Com" TargetMode="External"/><Relationship Id="rId651" Type="http://schemas.openxmlformats.org/officeDocument/2006/relationships/hyperlink" Target="https://drive.google.com/file/d/1nkLyVucsJROnUc4WR9LhYZLkUd1EJ8IB/view?usp=drivesdk" TargetMode="External"/><Relationship Id="rId1486" Type="http://schemas.openxmlformats.org/officeDocument/2006/relationships/hyperlink" Target="https://drive.google.com/file/d/18BmJHZoC7AmN7fERfxFhEpYHEXNiGJfV/view?usp=drivesdk" TargetMode="External"/><Relationship Id="rId650" Type="http://schemas.openxmlformats.org/officeDocument/2006/relationships/hyperlink" Target="https://drive.google.com/file/d/1AZ0acF0Y4dgzc8CuOMpj_yKDy5mpJ-Mm/view?usp=drivesdk" TargetMode="External"/><Relationship Id="rId1487" Type="http://schemas.openxmlformats.org/officeDocument/2006/relationships/hyperlink" Target="https://drive.google.com/file/d/1_ppClgV9rM65dTNnRNhsApqgWYHAHRbD/view?usp=drivesdk" TargetMode="External"/><Relationship Id="rId3216" Type="http://schemas.openxmlformats.org/officeDocument/2006/relationships/hyperlink" Target="https://drive.google.com/file/d/1YdKDJQ2dJAsZepg5VCnHxR1n23fkXqgY/view?usp=drivesdk" TargetMode="External"/><Relationship Id="rId3215" Type="http://schemas.openxmlformats.org/officeDocument/2006/relationships/hyperlink" Target="https://drive.google.com/file/d/10ZE5VbKSfbAswyn0eUMPtDMto87DZ88F/view?usp=drivesdk" TargetMode="External"/><Relationship Id="rId3218" Type="http://schemas.openxmlformats.org/officeDocument/2006/relationships/hyperlink" Target="https://drive.google.com/file/d/1y0xSKtAAcIb4m48zUMY2092YGa1rYegs/view?usp=drivesdk" TargetMode="External"/><Relationship Id="rId3217" Type="http://schemas.openxmlformats.org/officeDocument/2006/relationships/hyperlink" Target="https://drive.google.com/file/d/1wxri0DOmzPuvLqWF-XyEDqMCkLTuawfk/view?usp=drivesdk" TargetMode="External"/><Relationship Id="rId3219" Type="http://schemas.openxmlformats.org/officeDocument/2006/relationships/hyperlink" Target="https://drive.google.com/file/d/13ctb9bXdmiHfeZbjWZViONGZkcJqWRfY/view?usp=drivesdk" TargetMode="External"/><Relationship Id="rId689" Type="http://schemas.openxmlformats.org/officeDocument/2006/relationships/hyperlink" Target="https://drive.google.com/file/d/1pVOQLPy8CKHm8J_SCiGPAPglo4BEfj7A/view?usp=drivesdk" TargetMode="External"/><Relationship Id="rId688" Type="http://schemas.openxmlformats.org/officeDocument/2006/relationships/hyperlink" Target="https://drive.google.com/file/d/1PZOjMQwGLeyn8etVdbGSWnJC8hA3Twkx/view?usp=drivesdk" TargetMode="External"/><Relationship Id="rId687" Type="http://schemas.openxmlformats.org/officeDocument/2006/relationships/hyperlink" Target="https://drive.google.com/file/d/1iDVvUwmOy-ypUH6HD8nkptiF1KJlQVHH/view?usp=drivesdk" TargetMode="External"/><Relationship Id="rId682" Type="http://schemas.openxmlformats.org/officeDocument/2006/relationships/hyperlink" Target="https://drive.google.com/file/d/1aC5Oy-y3DqZo2Pohf7wO1vDnelidI4O7/view?usp=drivesdk" TargetMode="External"/><Relationship Id="rId681" Type="http://schemas.openxmlformats.org/officeDocument/2006/relationships/hyperlink" Target="https://drive.google.com/file/d/1eM1H6fJ_7sXxlKa8qmRoTrTd-ypcRfyR/view?usp=drivesdk" TargetMode="External"/><Relationship Id="rId680" Type="http://schemas.openxmlformats.org/officeDocument/2006/relationships/hyperlink" Target="https://drive.google.com/file/d/1d7nOIAFbPxb3g0m9-XLTo4TplLU5ETuA/view?usp=drivesdk" TargetMode="External"/><Relationship Id="rId3210" Type="http://schemas.openxmlformats.org/officeDocument/2006/relationships/hyperlink" Target="https://drive.google.com/file/d/1BZwsqGCGs17evPumKvlC0omOd3-haqVZ/view?usp=drivesdk" TargetMode="External"/><Relationship Id="rId686" Type="http://schemas.openxmlformats.org/officeDocument/2006/relationships/hyperlink" Target="https://drive.google.com/file/d/1738ky23JSdq1GjzrCG8lzDsD0xy2ppi7/view?usp=drivesdk" TargetMode="External"/><Relationship Id="rId3212" Type="http://schemas.openxmlformats.org/officeDocument/2006/relationships/hyperlink" Target="https://drive.google.com/file/d/1A09-MvKwEMcjVG_o_qNfHK-s5PtjSivi/view?usp=drivesdk" TargetMode="External"/><Relationship Id="rId685" Type="http://schemas.openxmlformats.org/officeDocument/2006/relationships/hyperlink" Target="https://drive.google.com/file/d/1oWyU3jFxrVJwa1mvXyBVBJ3ozqYWMzAd/view?usp=drivesdk" TargetMode="External"/><Relationship Id="rId3211" Type="http://schemas.openxmlformats.org/officeDocument/2006/relationships/hyperlink" Target="https://drive.google.com/file/d/1qxGhQDri7eOea65N_sUJZEcr-vwptYdb/view?usp=drivesdk" TargetMode="External"/><Relationship Id="rId684" Type="http://schemas.openxmlformats.org/officeDocument/2006/relationships/hyperlink" Target="https://drive.google.com/file/d/1ZeiinPSL8u7JBFbwtTKGiQ0olwyTc5WD/view?usp=drivesdk" TargetMode="External"/><Relationship Id="rId3214" Type="http://schemas.openxmlformats.org/officeDocument/2006/relationships/hyperlink" Target="https://drive.google.com/file/d/1Xx-yKRw1fOSiULNBXRfZM1k1-Fvgn6ev/view?usp=drivesdk" TargetMode="External"/><Relationship Id="rId683" Type="http://schemas.openxmlformats.org/officeDocument/2006/relationships/hyperlink" Target="https://drive.google.com/file/d/14uGviV4yP4YcBhx-pdFeuNQkPvSoGSi8/view?usp=drivesdk" TargetMode="External"/><Relationship Id="rId3213" Type="http://schemas.openxmlformats.org/officeDocument/2006/relationships/hyperlink" Target="https://drive.google.com/file/d/1qThzw6mY-gvQIJi5MPVYYu8Oh1ydXrt7/view?usp=drivesdk" TargetMode="External"/><Relationship Id="rId3205" Type="http://schemas.openxmlformats.org/officeDocument/2006/relationships/hyperlink" Target="https://drive.google.com/file/d/1YLj7Kf4u2v7Z6yrjiAkBahPbBeYnln1w/view?usp=drivesdk" TargetMode="External"/><Relationship Id="rId3204" Type="http://schemas.openxmlformats.org/officeDocument/2006/relationships/hyperlink" Target="https://drive.google.com/file/d/1fVNCpyJEXucr4qd_XOVTBS6Z6LiFq3xq/view?usp=drivesdk" TargetMode="External"/><Relationship Id="rId3207" Type="http://schemas.openxmlformats.org/officeDocument/2006/relationships/hyperlink" Target="https://drive.google.com/file/d/1xYM3YSjLHOzMfOqgdHHQwKYOhGqCyUG3/view?usp=drivesdk" TargetMode="External"/><Relationship Id="rId3206" Type="http://schemas.openxmlformats.org/officeDocument/2006/relationships/hyperlink" Target="https://drive.google.com/file/d/1iD3WUPyewmMvggNa2MYy6iUp1ob7mlZ_/view?usp=drivesdk" TargetMode="External"/><Relationship Id="rId3209" Type="http://schemas.openxmlformats.org/officeDocument/2006/relationships/hyperlink" Target="https://drive.google.com/file/d/1eqWRzcPSDYyF4tXHaNdhItwZnLATPNNm/view?usp=drivesdk" TargetMode="External"/><Relationship Id="rId3208" Type="http://schemas.openxmlformats.org/officeDocument/2006/relationships/hyperlink" Target="https://drive.google.com/file/d/1iQfzQYEvv9B3aeBiJyX_740ZK8OY-Jup/view?usp=drivesdk" TargetMode="External"/><Relationship Id="rId679" Type="http://schemas.openxmlformats.org/officeDocument/2006/relationships/hyperlink" Target="https://drive.google.com/file/d/1276WZOxbEJFCwCHjDmDAylMziCPmRxvU/view?usp=drivesdk" TargetMode="External"/><Relationship Id="rId678" Type="http://schemas.openxmlformats.org/officeDocument/2006/relationships/hyperlink" Target="https://drive.google.com/file/d/155r0jiLRgF0Ils_8vUS1OqOGA0Z190lb/view?usp=drivesdk" TargetMode="External"/><Relationship Id="rId677" Type="http://schemas.openxmlformats.org/officeDocument/2006/relationships/hyperlink" Target="https://drive.google.com/file/d/1ExaZaqHlz8E4BQFTY9QQqGuY-Yy3FOM8/view?usp=drivesdk" TargetMode="External"/><Relationship Id="rId676" Type="http://schemas.openxmlformats.org/officeDocument/2006/relationships/hyperlink" Target="https://drive.google.com/file/d/1xUFwJaSh9TM3g_k9_pJuUIHz0vWAD-B-/view?usp=drivesdk" TargetMode="External"/><Relationship Id="rId671" Type="http://schemas.openxmlformats.org/officeDocument/2006/relationships/hyperlink" Target="https://drive.google.com/file/d/1KRM8lNYpz_1h7PkSv6zB_G16tnOlZLrr/view?usp=drivesdk" TargetMode="External"/><Relationship Id="rId670" Type="http://schemas.openxmlformats.org/officeDocument/2006/relationships/hyperlink" Target="https://drive.google.com/file/d/1cZWQpz5rWcHbpwhc2azKjHTqDt6xR1oH/view?usp=drivesdk" TargetMode="External"/><Relationship Id="rId675" Type="http://schemas.openxmlformats.org/officeDocument/2006/relationships/hyperlink" Target="https://drive.google.com/file/d/1Z7sg0_SOBaWNDugzhLha1-hvdbcxnn2a/view?usp=drivesdk" TargetMode="External"/><Relationship Id="rId3201" Type="http://schemas.openxmlformats.org/officeDocument/2006/relationships/hyperlink" Target="https://drive.google.com/file/d/1WDa1GOY5RXfCXeAMZVzKPSgjpNvlbXQX/view?usp=drivesdk" TargetMode="External"/><Relationship Id="rId674" Type="http://schemas.openxmlformats.org/officeDocument/2006/relationships/hyperlink" Target="https://drive.google.com/file/d/1Ae4XduZZ4Va6M2E8EX0J0MffF8vadyJV/view?usp=drivesdk" TargetMode="External"/><Relationship Id="rId3200" Type="http://schemas.openxmlformats.org/officeDocument/2006/relationships/hyperlink" Target="https://drive.google.com/file/d/1FNhzcaZA_WDjUZgKkENshqMgOAwDK-Yg/view?usp=drivesdk" TargetMode="External"/><Relationship Id="rId673" Type="http://schemas.openxmlformats.org/officeDocument/2006/relationships/hyperlink" Target="http://b.sc/B.Com" TargetMode="External"/><Relationship Id="rId3203" Type="http://schemas.openxmlformats.org/officeDocument/2006/relationships/hyperlink" Target="https://drive.google.com/file/d/1k1PnZomJVGbNsem734Ar6ltupe605hkb/view?usp=drivesdk" TargetMode="External"/><Relationship Id="rId672" Type="http://schemas.openxmlformats.org/officeDocument/2006/relationships/hyperlink" Target="https://drive.google.com/file/d/16QDl2xmMstBkK2h7xd9Mel_XUN3IcTx-/view?usp=drivesdk" TargetMode="External"/><Relationship Id="rId3202" Type="http://schemas.openxmlformats.org/officeDocument/2006/relationships/hyperlink" Target="https://drive.google.com/file/d/18DAZkgS3nH6husgdhOWkKn-qHnUJHYRO/view?usp=drivesdk" TargetMode="External"/><Relationship Id="rId190" Type="http://schemas.openxmlformats.org/officeDocument/2006/relationships/hyperlink" Target="https://drive.google.com/file/d/1Ff7icCbsWpdbPUKUyXJu7iimG1wQiBaw/view?usp=drivesdk" TargetMode="External"/><Relationship Id="rId194" Type="http://schemas.openxmlformats.org/officeDocument/2006/relationships/hyperlink" Target="https://drive.google.com/file/d/1G9CgPPjc1j3txLQKNneb4XerC62doj38/view?usp=drivesdk" TargetMode="External"/><Relationship Id="rId193" Type="http://schemas.openxmlformats.org/officeDocument/2006/relationships/hyperlink" Target="https://drive.google.com/file/d/1nSN4frZBJ1VmnF9ghSZ3MQ31SkKVB80_/view?usp=drivesdk" TargetMode="External"/><Relationship Id="rId192" Type="http://schemas.openxmlformats.org/officeDocument/2006/relationships/hyperlink" Target="https://drive.google.com/file/d/1gTdrAfagcljfc3dOuDDNQ-ATBodZVjal/view?usp=drivesdk" TargetMode="External"/><Relationship Id="rId191" Type="http://schemas.openxmlformats.org/officeDocument/2006/relationships/hyperlink" Target="https://drive.google.com/file/d/1JPM3qvNMk8HpTHFka0fZLcra0TmtHKhV/view?usp=drivesdk" TargetMode="External"/><Relationship Id="rId187" Type="http://schemas.openxmlformats.org/officeDocument/2006/relationships/hyperlink" Target="https://drive.google.com/file/d/1QZHs7yWzvwNHgYYYsHEW9WDRgMRcL-3h/view?usp=drivesdk" TargetMode="External"/><Relationship Id="rId186" Type="http://schemas.openxmlformats.org/officeDocument/2006/relationships/hyperlink" Target="https://drive.google.com/file/d/1h_e88gF2aNiODmk6tB8mVC_kWV7juz_P/view?usp=drivesdk" TargetMode="External"/><Relationship Id="rId185" Type="http://schemas.openxmlformats.org/officeDocument/2006/relationships/hyperlink" Target="https://drive.google.com/file/d/1YOu4u8szmReItODh9hTYqRoSrYWLh2bm/view?usp=drivesdk" TargetMode="External"/><Relationship Id="rId184" Type="http://schemas.openxmlformats.org/officeDocument/2006/relationships/hyperlink" Target="https://drive.google.com/file/d/1wizLRjX62mjz7oC0Ihs0-ue96wgkmH0-/view?usp=drivesdk" TargetMode="External"/><Relationship Id="rId189" Type="http://schemas.openxmlformats.org/officeDocument/2006/relationships/hyperlink" Target="https://drive.google.com/file/d/1ivNlqKVtArtFlQuKeJhBk_n_FYRuGIA0/view?usp=drivesdk" TargetMode="External"/><Relationship Id="rId188" Type="http://schemas.openxmlformats.org/officeDocument/2006/relationships/hyperlink" Target="https://drive.google.com/file/d/13whZOM4qUDmfq3e5RBr-pdNLi-qYxe9i/view?usp=drivesdk" TargetMode="External"/><Relationship Id="rId183" Type="http://schemas.openxmlformats.org/officeDocument/2006/relationships/hyperlink" Target="https://drive.google.com/file/d/1wee65D51UA6qEKpbRGgEeiECLR9cORsU/view?usp=drivesdk" TargetMode="External"/><Relationship Id="rId182" Type="http://schemas.openxmlformats.org/officeDocument/2006/relationships/hyperlink" Target="https://drive.google.com/file/d/1KxaUyMR2guS-kBp6AMHrXkl1ZmS_fOt2/view?usp=drivesdk" TargetMode="External"/><Relationship Id="rId181" Type="http://schemas.openxmlformats.org/officeDocument/2006/relationships/hyperlink" Target="https://drive.google.com/file/d/19jQ53cxizuhF66EVfvi7JHdXfPPGPt6N/view?usp=drivesdk" TargetMode="External"/><Relationship Id="rId180" Type="http://schemas.openxmlformats.org/officeDocument/2006/relationships/hyperlink" Target="https://drive.google.com/file/d/1vHVVKs_GU6sr9YO4McqNBCo-jJ7OXs4T/view?usp=drivesdk" TargetMode="External"/><Relationship Id="rId176" Type="http://schemas.openxmlformats.org/officeDocument/2006/relationships/hyperlink" Target="https://drive.google.com/file/d/1waoz51rsIKsD0DJr0QZ1sV9redTXEjBy/view?usp=drivesdk" TargetMode="External"/><Relationship Id="rId175" Type="http://schemas.openxmlformats.org/officeDocument/2006/relationships/hyperlink" Target="http://b.sc/B.Com" TargetMode="External"/><Relationship Id="rId174" Type="http://schemas.openxmlformats.org/officeDocument/2006/relationships/hyperlink" Target="https://drive.google.com/file/d/1pVJSUOHXQXWYytYpvHgtYO8-1chLuS1k/view?usp=drivesdk" TargetMode="External"/><Relationship Id="rId173" Type="http://schemas.openxmlformats.org/officeDocument/2006/relationships/hyperlink" Target="https://drive.google.com/file/d/1C9f8u377NAt6A8E9PWCx17IdFpDgzspw/view?usp=drivesdk" TargetMode="External"/><Relationship Id="rId179" Type="http://schemas.openxmlformats.org/officeDocument/2006/relationships/hyperlink" Target="https://drive.google.com/file/d/1hmYAlnUgy3J9jSzq69FjKTJTgYqjPzjZ/view?usp=drivesdk" TargetMode="External"/><Relationship Id="rId178" Type="http://schemas.openxmlformats.org/officeDocument/2006/relationships/hyperlink" Target="https://drive.google.com/file/d/1h9Op9zJQZ3LXtwRd3vDqvliXqo_UCbSR/view?usp=drivesdk" TargetMode="External"/><Relationship Id="rId177" Type="http://schemas.openxmlformats.org/officeDocument/2006/relationships/hyperlink" Target="https://drive.google.com/file/d/1LEwOOJ3iGqeyr2gsNmYyOPLHCuQqumrf/view?usp=drivesdk" TargetMode="External"/><Relationship Id="rId198" Type="http://schemas.openxmlformats.org/officeDocument/2006/relationships/hyperlink" Target="https://drive.google.com/file/d/1YQBdM3lBBN4SYEBRrmep5LFRyVXsHEk-/view?usp=drivesdk" TargetMode="External"/><Relationship Id="rId197" Type="http://schemas.openxmlformats.org/officeDocument/2006/relationships/hyperlink" Target="https://drive.google.com/file/d/1PT5pU-KZt05jdDtJWb_kyiKgqTMpH8p9/view?usp=drivesdk" TargetMode="External"/><Relationship Id="rId196" Type="http://schemas.openxmlformats.org/officeDocument/2006/relationships/hyperlink" Target="https://drive.google.com/file/d/1WKlijLMnGKngAgvp5IOI6rI2KcATBngN/view?usp=drivesdk" TargetMode="External"/><Relationship Id="rId195" Type="http://schemas.openxmlformats.org/officeDocument/2006/relationships/hyperlink" Target="https://drive.google.com/file/d/1t1d3QijcLPslZB7hu1qfhQOf8cPgYro0/view?usp=drivesdk" TargetMode="External"/><Relationship Id="rId199" Type="http://schemas.openxmlformats.org/officeDocument/2006/relationships/hyperlink" Target="https://drive.google.com/file/d/1JQxZrvNXTujE-XTQVAMP4h-GLzGb7Vfx/view?usp=drivesdk" TargetMode="External"/><Relationship Id="rId150" Type="http://schemas.openxmlformats.org/officeDocument/2006/relationships/hyperlink" Target="https://drive.google.com/file/d/19rf6G7JcwyTJpmjus3B5OldSX8u2COML/view?usp=drivesdk" TargetMode="External"/><Relationship Id="rId149" Type="http://schemas.openxmlformats.org/officeDocument/2006/relationships/hyperlink" Target="https://drive.google.com/file/d/1Du3zNWsUGYXXpDN4iJNoLGfYBhz4oC68/view?usp=drivesdk" TargetMode="External"/><Relationship Id="rId148" Type="http://schemas.openxmlformats.org/officeDocument/2006/relationships/hyperlink" Target="https://drive.google.com/file/d/1LrXofQK-v7IWbkbF4z5UTNxbyike4nWE/view?usp=drivesdk" TargetMode="External"/><Relationship Id="rId3270" Type="http://schemas.openxmlformats.org/officeDocument/2006/relationships/hyperlink" Target="https://drive.google.com/file/d/1Rftt6z_RS0n_NfzESB1iJPNDMrY9NfXz/view?usp=drivesdk" TargetMode="External"/><Relationship Id="rId3272" Type="http://schemas.openxmlformats.org/officeDocument/2006/relationships/hyperlink" Target="https://drive.google.com/file/d/1_xJlIGgRwYTyUH0bn3JP8NPz6YAXp4wB/view?usp=drivesdk" TargetMode="External"/><Relationship Id="rId3271" Type="http://schemas.openxmlformats.org/officeDocument/2006/relationships/hyperlink" Target="https://drive.google.com/file/d/1gQUJT-1O-eBWqzM6F2FwKuUomIye6ti5/view?usp=drivesdk" TargetMode="External"/><Relationship Id="rId143" Type="http://schemas.openxmlformats.org/officeDocument/2006/relationships/hyperlink" Target="https://drive.google.com/file/d/1H5a4Q4zBthB1P6c7S5gD46hEQpkZ0eIG/view?usp=drivesdk" TargetMode="External"/><Relationship Id="rId3274" Type="http://schemas.openxmlformats.org/officeDocument/2006/relationships/hyperlink" Target="https://drive.google.com/file/d/1J-Y6oMvL0gtmUYgXxmpUCnyz040KjWlf/view?usp=drivesdk" TargetMode="External"/><Relationship Id="rId142" Type="http://schemas.openxmlformats.org/officeDocument/2006/relationships/hyperlink" Target="https://drive.google.com/file/d/18_M7nbR-MCvLbIbT8oOgRCAYsJi-VpeW/view?usp=drivesdk" TargetMode="External"/><Relationship Id="rId3273" Type="http://schemas.openxmlformats.org/officeDocument/2006/relationships/hyperlink" Target="https://drive.google.com/file/d/1eL3rGmuw3Sv40SymOU0RtsxX3oO4VxmU/view?usp=drivesdk" TargetMode="External"/><Relationship Id="rId141" Type="http://schemas.openxmlformats.org/officeDocument/2006/relationships/hyperlink" Target="https://drive.google.com/file/d/1jeB0F6GwjCsiFOMEmeU7T_ZxRM_Pz5K_/view?usp=drivesdk" TargetMode="External"/><Relationship Id="rId3276" Type="http://schemas.openxmlformats.org/officeDocument/2006/relationships/hyperlink" Target="https://drive.google.com/file/d/1hOYGi9E_KvplOGaz9Vgd581Wurvu59l9/view?usp=drivesdk" TargetMode="External"/><Relationship Id="rId140" Type="http://schemas.openxmlformats.org/officeDocument/2006/relationships/hyperlink" Target="https://drive.google.com/file/d/1eqOKgLezPMqP1d9FNTPeiZedShodQ6BK/view?usp=drivesdk" TargetMode="External"/><Relationship Id="rId3275" Type="http://schemas.openxmlformats.org/officeDocument/2006/relationships/hyperlink" Target="https://drive.google.com/file/d/1X5ZHBhUrVltG4Uw7po-Y4E0q-Efh1gre/view?usp=drivesdk" TargetMode="External"/><Relationship Id="rId147" Type="http://schemas.openxmlformats.org/officeDocument/2006/relationships/hyperlink" Target="https://drive.google.com/file/d/1PNRP-X_YMObY_Z4gFeW_rNPqcJfm5Ble/view?usp=drivesdk" TargetMode="External"/><Relationship Id="rId3278" Type="http://schemas.openxmlformats.org/officeDocument/2006/relationships/hyperlink" Target="https://drive.google.com/file/d/1W6rTTQbmruGHPm90DconTljG2lYXVr65/view?usp=drivesdk" TargetMode="External"/><Relationship Id="rId146" Type="http://schemas.openxmlformats.org/officeDocument/2006/relationships/hyperlink" Target="https://drive.google.com/file/d/1TuhP-SFliLXbRRl-2ns3hXPshkoCc8-x/view?usp=drivesdk" TargetMode="External"/><Relationship Id="rId3277" Type="http://schemas.openxmlformats.org/officeDocument/2006/relationships/hyperlink" Target="https://drive.google.com/file/d/1crHB8OYoKhnocjaLFPLn4unNmq_fmj0-/view?usp=drivesdk" TargetMode="External"/><Relationship Id="rId145" Type="http://schemas.openxmlformats.org/officeDocument/2006/relationships/hyperlink" Target="https://drive.google.com/file/d/1YJqdJSJk1YTlD5eiKz_k6pdmjtYr1gu2/view?usp=drivesdk" TargetMode="External"/><Relationship Id="rId144" Type="http://schemas.openxmlformats.org/officeDocument/2006/relationships/hyperlink" Target="https://drive.google.com/file/d/1-q2BrojqHRwMiIjTtO1TaGZ6wiDaC5uI/view?usp=drivesdk" TargetMode="External"/><Relationship Id="rId3279" Type="http://schemas.openxmlformats.org/officeDocument/2006/relationships/hyperlink" Target="https://drive.google.com/file/d/1Jq_84aHymmkjDnnF4_KHvnE404Mh7R2u/view?usp=drivesdk" TargetMode="External"/><Relationship Id="rId139" Type="http://schemas.openxmlformats.org/officeDocument/2006/relationships/hyperlink" Target="https://drive.google.com/file/d/1F68j_qsjaVELRLzhmVorEafa7ZzmKSrR/view?usp=drivesdk" TargetMode="External"/><Relationship Id="rId138" Type="http://schemas.openxmlformats.org/officeDocument/2006/relationships/hyperlink" Target="https://drive.google.com/file/d/1ENHO73Ag16beKYWVIFZ7RBZyvku2I368/view?usp=drivesdk" TargetMode="External"/><Relationship Id="rId137" Type="http://schemas.openxmlformats.org/officeDocument/2006/relationships/hyperlink" Target="https://drive.google.com/file/d/1PhuhuMK9M8WukzOduwnF65qEyb0dNKUF/view?usp=drivesdk" TargetMode="External"/><Relationship Id="rId3261" Type="http://schemas.openxmlformats.org/officeDocument/2006/relationships/hyperlink" Target="https://drive.google.com/file/d/1j-EXY3tAJhaXKbpuYl38c7eHs3AN3Ceo/view?usp=drivesdk" TargetMode="External"/><Relationship Id="rId3260" Type="http://schemas.openxmlformats.org/officeDocument/2006/relationships/hyperlink" Target="https://drive.google.com/file/d/1ARoWd2DyX5Cf_SqbJjqOh5TkOiFm2wXK/view?usp=drivesdk" TargetMode="External"/><Relationship Id="rId132" Type="http://schemas.openxmlformats.org/officeDocument/2006/relationships/hyperlink" Target="https://drive.google.com/file/d/1wmSaKnLKRFvZPP3vN-PIwxjAMXRrBFnc/view?usp=drivesdk" TargetMode="External"/><Relationship Id="rId3263" Type="http://schemas.openxmlformats.org/officeDocument/2006/relationships/hyperlink" Target="https://drive.google.com/file/d/1YcWorPqlEoZ-aX4NeH7quoM48I1ku7h-/view?usp=drivesdk" TargetMode="External"/><Relationship Id="rId131" Type="http://schemas.openxmlformats.org/officeDocument/2006/relationships/hyperlink" Target="https://drive.google.com/file/d/1abRlwSrGcF2pxSxkL5PUjNfsQY-5G6Av/view?usp=drivesdk" TargetMode="External"/><Relationship Id="rId3262" Type="http://schemas.openxmlformats.org/officeDocument/2006/relationships/hyperlink" Target="https://drive.google.com/file/d/1b3GFX2GbMHpAzQ9pk-LgCt6Tj4okFG9Y/view?usp=drivesdk" TargetMode="External"/><Relationship Id="rId130" Type="http://schemas.openxmlformats.org/officeDocument/2006/relationships/hyperlink" Target="https://drive.google.com/file/d/17j4ZAwtxpaIa3lmHNjUHFRCPexLIkHX8/view?usp=drivesdk" TargetMode="External"/><Relationship Id="rId3265" Type="http://schemas.openxmlformats.org/officeDocument/2006/relationships/hyperlink" Target="https://drive.google.com/file/d/1ZJptIVWyQZ1aHIfET6jnql1ifDzDOhzN/view?usp=drivesdk" TargetMode="External"/><Relationship Id="rId3264" Type="http://schemas.openxmlformats.org/officeDocument/2006/relationships/hyperlink" Target="https://drive.google.com/file/d/1P0lt_gXcpkIaFsFzwFVUmESq-BsynvMp/view?usp=drivesdk" TargetMode="External"/><Relationship Id="rId136" Type="http://schemas.openxmlformats.org/officeDocument/2006/relationships/hyperlink" Target="https://drive.google.com/file/d/1MLUPc_VpnRIEcUjaFENmpz0njGMrVmfa/view?usp=drivesdk" TargetMode="External"/><Relationship Id="rId3267" Type="http://schemas.openxmlformats.org/officeDocument/2006/relationships/hyperlink" Target="https://drive.google.com/file/d/103Zuhxxm-MB5RUv5JRUP2M1JA1HmhLdU/view?usp=drivesdk" TargetMode="External"/><Relationship Id="rId135" Type="http://schemas.openxmlformats.org/officeDocument/2006/relationships/hyperlink" Target="https://drive.google.com/file/d/1f6pEoG9-UPv0-O28oYEjSBMWRcyaXpvL/view?usp=drivesdk" TargetMode="External"/><Relationship Id="rId3266" Type="http://schemas.openxmlformats.org/officeDocument/2006/relationships/hyperlink" Target="https://drive.google.com/file/d/1IgA3NgZxQ-UzrYe9XNIqOrcm-ylMkuCo/view?usp=drivesdk" TargetMode="External"/><Relationship Id="rId134" Type="http://schemas.openxmlformats.org/officeDocument/2006/relationships/hyperlink" Target="https://drive.google.com/file/d/1jmQT4zdf-19lomuM30P8HqylMcM2whzj/view?usp=drivesdk" TargetMode="External"/><Relationship Id="rId3269" Type="http://schemas.openxmlformats.org/officeDocument/2006/relationships/hyperlink" Target="https://drive.google.com/file/d/14XtnZ2miQ6SZ1fQwSh6-i9VosQPCSMBy/view?usp=drivesdk" TargetMode="External"/><Relationship Id="rId133" Type="http://schemas.openxmlformats.org/officeDocument/2006/relationships/hyperlink" Target="https://drive.google.com/file/d/1bd6ODhDDq3pYxpOlbZ95YwYPlByFCyG5/view?usp=drivesdk" TargetMode="External"/><Relationship Id="rId3268" Type="http://schemas.openxmlformats.org/officeDocument/2006/relationships/hyperlink" Target="https://drive.google.com/file/d/1Rk1XxkJrYL5XdJuvlj3Y4PSpmU8sp63x/view?usp=drivesdk" TargetMode="External"/><Relationship Id="rId172" Type="http://schemas.openxmlformats.org/officeDocument/2006/relationships/hyperlink" Target="https://drive.google.com/file/d/1b1PF_loabS8SReP0_byEKufGE0z4iew0/view?usp=drivesdk" TargetMode="External"/><Relationship Id="rId171" Type="http://schemas.openxmlformats.org/officeDocument/2006/relationships/hyperlink" Target="http://m.sc/M.Com" TargetMode="External"/><Relationship Id="rId170" Type="http://schemas.openxmlformats.org/officeDocument/2006/relationships/hyperlink" Target="https://drive.google.com/file/d/1wJrTmXgbf8PXxHsK0nGZhnED8-wWbeGv/view?usp=drivesdk" TargetMode="External"/><Relationship Id="rId3290" Type="http://schemas.openxmlformats.org/officeDocument/2006/relationships/hyperlink" Target="https://drive.google.com/file/d/1dSkwmbPoeCURDBMTakuFpE_8EwfVbILS/view?usp=drivesdk" TargetMode="External"/><Relationship Id="rId3292" Type="http://schemas.openxmlformats.org/officeDocument/2006/relationships/hyperlink" Target="https://drive.google.com/file/d/1f3rhK4DGfVvBokaSlozTvtwxolTETlC6/view?usp=drivesdk" TargetMode="External"/><Relationship Id="rId3291" Type="http://schemas.openxmlformats.org/officeDocument/2006/relationships/hyperlink" Target="https://drive.google.com/file/d/1vNhWD86NXD_48HABaOfQ0Kr7mJQQHPFG/view?usp=drivesdk" TargetMode="External"/><Relationship Id="rId3294" Type="http://schemas.openxmlformats.org/officeDocument/2006/relationships/hyperlink" Target="https://drive.google.com/file/d/1axfO3r3jrxExOBLBP8OCdtcPrfkNhWdd/view?usp=drivesdk" TargetMode="External"/><Relationship Id="rId3293" Type="http://schemas.openxmlformats.org/officeDocument/2006/relationships/hyperlink" Target="https://drive.google.com/file/d/1y43SF4RwP5ZL6TtRhuIIgjUcwu8d0HoD/view?usp=drivesdk" TargetMode="External"/><Relationship Id="rId165" Type="http://schemas.openxmlformats.org/officeDocument/2006/relationships/hyperlink" Target="https://drive.google.com/file/d/1MNuo_YOxiyKphElrHTx17I4VnqbbZmIT/view?usp=drivesdk" TargetMode="External"/><Relationship Id="rId3296" Type="http://schemas.openxmlformats.org/officeDocument/2006/relationships/hyperlink" Target="https://drive.google.com/file/d/1OaTQd3VxDIi0oOY53nl3GJnT2alnEIAU/view?usp=drivesdk" TargetMode="External"/><Relationship Id="rId164" Type="http://schemas.openxmlformats.org/officeDocument/2006/relationships/hyperlink" Target="https://drive.google.com/file/d/1tcMXLTJK8jjd2awmNSOcV3e05g0pxxL0/view?usp=drivesdk" TargetMode="External"/><Relationship Id="rId3295" Type="http://schemas.openxmlformats.org/officeDocument/2006/relationships/hyperlink" Target="https://drive.google.com/file/d/176vXxHnKcT6ZzjwXR4eiGG91Itt_eDLL/view?usp=drivesdk" TargetMode="External"/><Relationship Id="rId163" Type="http://schemas.openxmlformats.org/officeDocument/2006/relationships/hyperlink" Target="https://drive.google.com/file/d/1APQDM4J7vbAk0UbDx7yqZxWa5X7kD973/view?usp=drivesdk" TargetMode="External"/><Relationship Id="rId3298" Type="http://schemas.openxmlformats.org/officeDocument/2006/relationships/hyperlink" Target="https://drive.google.com/file/d/19kxBunEN07n-3gy29lNp9EXB9nuxSIIJ/view?usp=drivesdk" TargetMode="External"/><Relationship Id="rId162" Type="http://schemas.openxmlformats.org/officeDocument/2006/relationships/hyperlink" Target="https://drive.google.com/file/d/1mFoPhY1p4O9w-UB6gOYSP6S52-EoL4pz/view?usp=drivesdk" TargetMode="External"/><Relationship Id="rId3297" Type="http://schemas.openxmlformats.org/officeDocument/2006/relationships/hyperlink" Target="https://drive.google.com/file/d/1gyRYwf5oTZdlczPbAJCRG5wDlLHeINiK/view?usp=drivesdk" TargetMode="External"/><Relationship Id="rId169" Type="http://schemas.openxmlformats.org/officeDocument/2006/relationships/hyperlink" Target="http://b.sc/B.Com" TargetMode="External"/><Relationship Id="rId168" Type="http://schemas.openxmlformats.org/officeDocument/2006/relationships/hyperlink" Target="https://drive.google.com/file/d/1WdwVR16JpnyPZZjlghLEQqEB8mUA-7Df/view?usp=drivesdk" TargetMode="External"/><Relationship Id="rId3299" Type="http://schemas.openxmlformats.org/officeDocument/2006/relationships/hyperlink" Target="https://drive.google.com/file/d/19e6AU74hTandAkcBMsaMgqIeoVEFojv-/view?usp=drivesdk" TargetMode="External"/><Relationship Id="rId167" Type="http://schemas.openxmlformats.org/officeDocument/2006/relationships/hyperlink" Target="https://drive.google.com/file/d/1ChD9dwFZ6gLAT4OBJo4rJ5mBmrcjIlVv/view?usp=drivesdk" TargetMode="External"/><Relationship Id="rId166" Type="http://schemas.openxmlformats.org/officeDocument/2006/relationships/hyperlink" Target="https://drive.google.com/file/d/1XBM1warzaEQmsimLBrvS1EQpJSK2CMeb/view?usp=drivesdk" TargetMode="External"/><Relationship Id="rId161" Type="http://schemas.openxmlformats.org/officeDocument/2006/relationships/hyperlink" Target="https://drive.google.com/file/d/1WLKB-WHQOMlv77R5Z3VZWgkYuFr1KCbW/view?usp=drivesdk" TargetMode="External"/><Relationship Id="rId160" Type="http://schemas.openxmlformats.org/officeDocument/2006/relationships/hyperlink" Target="http://b.sc/B.Com" TargetMode="External"/><Relationship Id="rId159" Type="http://schemas.openxmlformats.org/officeDocument/2006/relationships/hyperlink" Target="https://drive.google.com/file/d/1i4z5qAgN_gycpy3ioCJEHCPQj0jhUB6P/view?usp=drivesdk" TargetMode="External"/><Relationship Id="rId3281" Type="http://schemas.openxmlformats.org/officeDocument/2006/relationships/hyperlink" Target="https://drive.google.com/file/d/1Z8_Ttx0bS_47TEJwDHypbINnu3FKAnsa/view?usp=drivesdk" TargetMode="External"/><Relationship Id="rId3280" Type="http://schemas.openxmlformats.org/officeDocument/2006/relationships/hyperlink" Target="https://drive.google.com/file/d/1MMsrQLBKuSB9fx-hW-Pjtv3kMNs8tPJR/view?usp=drivesdk" TargetMode="External"/><Relationship Id="rId3283" Type="http://schemas.openxmlformats.org/officeDocument/2006/relationships/hyperlink" Target="https://drive.google.com/file/d/1K0Z9VIwgwX6WVni7XvweSog2xbPt4GkB/view?usp=drivesdk" TargetMode="External"/><Relationship Id="rId3282" Type="http://schemas.openxmlformats.org/officeDocument/2006/relationships/hyperlink" Target="https://drive.google.com/file/d/1TGKvqDGpqPhlIwOjJYnFooksmLjdLeGJ/view?usp=drivesdk" TargetMode="External"/><Relationship Id="rId154" Type="http://schemas.openxmlformats.org/officeDocument/2006/relationships/hyperlink" Target="https://drive.google.com/file/d/1R4RrvzZEGnNGtqb3z8p2tOcp1vfYrUew/view?usp=drivesdk" TargetMode="External"/><Relationship Id="rId3285" Type="http://schemas.openxmlformats.org/officeDocument/2006/relationships/hyperlink" Target="https://drive.google.com/file/d/1d6dZNEngkUBT8skAHZ8CW-LpYbcr0sH_/view?usp=drivesdk" TargetMode="External"/><Relationship Id="rId153" Type="http://schemas.openxmlformats.org/officeDocument/2006/relationships/hyperlink" Target="https://drive.google.com/file/d/12kgIy0U_n6VLUpMtzeXyMsOgQ-LXrMkH/view?usp=drivesdk" TargetMode="External"/><Relationship Id="rId3284" Type="http://schemas.openxmlformats.org/officeDocument/2006/relationships/hyperlink" Target="https://drive.google.com/file/d/1iCu0jgRN5yyXY19iy6GNizcpUyEBAzds/view?usp=drivesdk" TargetMode="External"/><Relationship Id="rId152" Type="http://schemas.openxmlformats.org/officeDocument/2006/relationships/hyperlink" Target="https://drive.google.com/file/d/1eMUgcdCx2z2NO2E7mVlQOWohOhTT9-lE/view?usp=drivesdk" TargetMode="External"/><Relationship Id="rId3287" Type="http://schemas.openxmlformats.org/officeDocument/2006/relationships/hyperlink" Target="https://drive.google.com/file/d/1YJv2SDdx9QkSD-8uvIhOTZc0VjfK3MPL/view?usp=drivesdk" TargetMode="External"/><Relationship Id="rId151" Type="http://schemas.openxmlformats.org/officeDocument/2006/relationships/hyperlink" Target="https://drive.google.com/file/d/1mjZjq7isK56pR-iPs0nBF1Ng57c7yPTt/view?usp=drivesdk" TargetMode="External"/><Relationship Id="rId3286" Type="http://schemas.openxmlformats.org/officeDocument/2006/relationships/hyperlink" Target="https://drive.google.com/file/d/1hsmsq6e8s_jXo60rG_A6kGrswneiIvJV/view?usp=drivesdk" TargetMode="External"/><Relationship Id="rId158" Type="http://schemas.openxmlformats.org/officeDocument/2006/relationships/hyperlink" Target="https://drive.google.com/file/d/1rx9PG3IHNAazqZk8rgJCPMW2VzoNg694/view?usp=drivesdk" TargetMode="External"/><Relationship Id="rId3289" Type="http://schemas.openxmlformats.org/officeDocument/2006/relationships/hyperlink" Target="https://drive.google.com/file/d/1yqrlMtBPEt7m8_0QKDxOF3Taj6ARSaLM/view?usp=drivesdk" TargetMode="External"/><Relationship Id="rId157" Type="http://schemas.openxmlformats.org/officeDocument/2006/relationships/hyperlink" Target="https://drive.google.com/file/d/1EPvVaZQpVSQisTIivBOjiYauKCvIm82z/view?usp=drivesdk" TargetMode="External"/><Relationship Id="rId3288" Type="http://schemas.openxmlformats.org/officeDocument/2006/relationships/hyperlink" Target="https://drive.google.com/file/d/1f4nFVvifhiutHHDUWYV8VkBAHw-8yhnO/view?usp=drivesdk" TargetMode="External"/><Relationship Id="rId156" Type="http://schemas.openxmlformats.org/officeDocument/2006/relationships/hyperlink" Target="https://drive.google.com/file/d/1jTayxkd46t865Tr32OESbG5RecjJ5hi2/view?usp=drivesdk" TargetMode="External"/><Relationship Id="rId155" Type="http://schemas.openxmlformats.org/officeDocument/2006/relationships/hyperlink" Target="https://drive.google.com/file/d/1OUFKFDjv1uuYO7Riknga4OUJiVD_6uix/view?usp=drivesdk" TargetMode="External"/><Relationship Id="rId2820" Type="http://schemas.openxmlformats.org/officeDocument/2006/relationships/hyperlink" Target="https://drive.google.com/file/d/1_Y_2gVfttS28qarXNHhAOyihUe0Q66fO/view?usp=drivesdk" TargetMode="External"/><Relationship Id="rId2821" Type="http://schemas.openxmlformats.org/officeDocument/2006/relationships/hyperlink" Target="https://drive.google.com/file/d/16sXLNv-xPcZfxIyKla9MEjUkQP1gHrYZ/view?usp=drivesdk" TargetMode="External"/><Relationship Id="rId2822" Type="http://schemas.openxmlformats.org/officeDocument/2006/relationships/hyperlink" Target="https://drive.google.com/file/d/1snHpgl8GHG38qibLebpxOjRCdZydOOcM/view?usp=drivesdk" TargetMode="External"/><Relationship Id="rId2823" Type="http://schemas.openxmlformats.org/officeDocument/2006/relationships/hyperlink" Target="https://drive.google.com/file/d/1ZAXUo8bHxRcNtz5Udq0JHxwQZbhdI3R2/view?usp=drivesdk" TargetMode="External"/><Relationship Id="rId2824" Type="http://schemas.openxmlformats.org/officeDocument/2006/relationships/hyperlink" Target="https://drive.google.com/file/d/1mJJBbvDDaXaLbjRMejXHITo-CZ-crC4s/view?usp=drivesdk" TargetMode="External"/><Relationship Id="rId2825" Type="http://schemas.openxmlformats.org/officeDocument/2006/relationships/hyperlink" Target="https://drive.google.com/file/d/1f6Yz8oAELbt-eXTRmTbRyG_T3XsZzfF5/view?usp=drivesdk" TargetMode="External"/><Relationship Id="rId2826" Type="http://schemas.openxmlformats.org/officeDocument/2006/relationships/hyperlink" Target="http://b.sc/B.Com" TargetMode="External"/><Relationship Id="rId2827" Type="http://schemas.openxmlformats.org/officeDocument/2006/relationships/hyperlink" Target="https://drive.google.com/file/d/1xSeES_WLLdYUF2Ur0YhOJeaom9i610CJ/view?usp=drivesdk" TargetMode="External"/><Relationship Id="rId2828" Type="http://schemas.openxmlformats.org/officeDocument/2006/relationships/hyperlink" Target="https://drive.google.com/file/d/1bLo6fKAGPTRjlxzzKJDa0ss68V3inJna/view?usp=drivesdk" TargetMode="External"/><Relationship Id="rId2829" Type="http://schemas.openxmlformats.org/officeDocument/2006/relationships/hyperlink" Target="https://drive.google.com/file/d/15tAv0TBgETyd3I9CORxSTUBcLSJ6kgnH/view?usp=drivesdk" TargetMode="External"/><Relationship Id="rId2810" Type="http://schemas.openxmlformats.org/officeDocument/2006/relationships/hyperlink" Target="https://drive.google.com/file/d/1Q5rbjCCN22rdmGoJo0F1rFvwAEPhkdKz/view?usp=drivesdk" TargetMode="External"/><Relationship Id="rId2811" Type="http://schemas.openxmlformats.org/officeDocument/2006/relationships/hyperlink" Target="https://drive.google.com/file/d/1KfsfwKNLluydSsPqA9I9GtpJkWyRHVIt/view?usp=drivesdk" TargetMode="External"/><Relationship Id="rId2812" Type="http://schemas.openxmlformats.org/officeDocument/2006/relationships/hyperlink" Target="https://drive.google.com/file/d/1PfkQe43NolfKnBDJsz-L8qB-RDXgswtt/view?usp=drivesdk" TargetMode="External"/><Relationship Id="rId2813" Type="http://schemas.openxmlformats.org/officeDocument/2006/relationships/hyperlink" Target="https://drive.google.com/file/d/1UbStEqWqL5YyToeH1s1tVYkRIOeniW4s/view?usp=drivesdk" TargetMode="External"/><Relationship Id="rId2814" Type="http://schemas.openxmlformats.org/officeDocument/2006/relationships/hyperlink" Target="https://drive.google.com/file/d/12C2AuaRBsJtOtU48PfZ6nWVDnfzTRzzk/view?usp=drivesdk" TargetMode="External"/><Relationship Id="rId2815" Type="http://schemas.openxmlformats.org/officeDocument/2006/relationships/hyperlink" Target="https://drive.google.com/file/d/1aTWFv1ee8tMxrIbMgaYHHlZXau-FL5-a/view?usp=drivesdk" TargetMode="External"/><Relationship Id="rId2816" Type="http://schemas.openxmlformats.org/officeDocument/2006/relationships/hyperlink" Target="https://drive.google.com/file/d/1G5tZUV03JJlMzKkWjsle1MbyNEwzgC-4/view?usp=drivesdk" TargetMode="External"/><Relationship Id="rId2817" Type="http://schemas.openxmlformats.org/officeDocument/2006/relationships/hyperlink" Target="https://drive.google.com/file/d/1iUl6GSuPVTs33SHdmqbn6A43hQNQSiX6/view?usp=drivesdk" TargetMode="External"/><Relationship Id="rId2818" Type="http://schemas.openxmlformats.org/officeDocument/2006/relationships/hyperlink" Target="https://drive.google.com/file/d/1eBs5AjEyfOHfppIDHMPHXBS4TLpqIO2g/view?usp=drivesdk" TargetMode="External"/><Relationship Id="rId2819" Type="http://schemas.openxmlformats.org/officeDocument/2006/relationships/hyperlink" Target="https://drive.google.com/file/d/1XEx8GBTDM2ot0uKc8bOVDbDIrz7Jt2gY/view?usp=drivesdk" TargetMode="External"/><Relationship Id="rId1510" Type="http://schemas.openxmlformats.org/officeDocument/2006/relationships/hyperlink" Target="https://drive.google.com/file/d/1FW6pP_MdYtyzlZWRR-_WI5Ga2ULFhpBi/view?usp=drivesdk" TargetMode="External"/><Relationship Id="rId2841" Type="http://schemas.openxmlformats.org/officeDocument/2006/relationships/hyperlink" Target="https://drive.google.com/file/d/1Ni7W8LPS1inGo_r2Ot_ZpSn_bz2h7V1R/view?usp=drivesdk" TargetMode="External"/><Relationship Id="rId1511" Type="http://schemas.openxmlformats.org/officeDocument/2006/relationships/hyperlink" Target="https://drive.google.com/file/d/1UBDWZNCaUAdUTTGhtxtpewN6tfGBAfhy/view?usp=drivesdk" TargetMode="External"/><Relationship Id="rId2842" Type="http://schemas.openxmlformats.org/officeDocument/2006/relationships/hyperlink" Target="https://drive.google.com/file/d/1LG0gEU-2qxngO8HksqVV3KPg8g8SpmrI/view?usp=drivesdk" TargetMode="External"/><Relationship Id="rId1512" Type="http://schemas.openxmlformats.org/officeDocument/2006/relationships/hyperlink" Target="https://drive.google.com/file/d/1AAk2obQykpDc2eEKsFQ3o8k0sjaonMT1/view?usp=drivesdk" TargetMode="External"/><Relationship Id="rId2843" Type="http://schemas.openxmlformats.org/officeDocument/2006/relationships/hyperlink" Target="https://drive.google.com/file/d/1_Alud-oR46gN4NSb4IjK9ybzPO0rFdgU/view?usp=drivesdk" TargetMode="External"/><Relationship Id="rId1513" Type="http://schemas.openxmlformats.org/officeDocument/2006/relationships/hyperlink" Target="https://drive.google.com/file/d/1sQ5qPnUYWoZei_YYz8bD4eO0hnBH6yRO/view?usp=drivesdk" TargetMode="External"/><Relationship Id="rId2844" Type="http://schemas.openxmlformats.org/officeDocument/2006/relationships/hyperlink" Target="https://drive.google.com/file/d/1fSQyKycxvt2MEYzBIPSmTEV6NJGTsX47/view?usp=drivesdk" TargetMode="External"/><Relationship Id="rId1514" Type="http://schemas.openxmlformats.org/officeDocument/2006/relationships/hyperlink" Target="https://drive.google.com/file/d/1yYAWB4Z4mDzDvw_nysPE3yU-7a8nwlFH/view?usp=drivesdk" TargetMode="External"/><Relationship Id="rId2845" Type="http://schemas.openxmlformats.org/officeDocument/2006/relationships/hyperlink" Target="https://drive.google.com/file/d/15M1pcbx89pQeak_f56EfvDPZBWX2_4Gp/view?usp=drivesdk" TargetMode="External"/><Relationship Id="rId1515" Type="http://schemas.openxmlformats.org/officeDocument/2006/relationships/hyperlink" Target="https://drive.google.com/file/d/1drWA0wCNHfYv_SMjmCQVwSh2MjnJP2LA/view?usp=drivesdk" TargetMode="External"/><Relationship Id="rId2846" Type="http://schemas.openxmlformats.org/officeDocument/2006/relationships/hyperlink" Target="https://drive.google.com/file/d/1RBVK93yzeEtJ0E6dqOkr9xVV7PM7HVWi/view?usp=drivesdk" TargetMode="External"/><Relationship Id="rId1516" Type="http://schemas.openxmlformats.org/officeDocument/2006/relationships/hyperlink" Target="https://drive.google.com/file/d/18ii8EUvIZdGIcYQ6E60LUECPv2euDjuT/view?usp=drivesdk" TargetMode="External"/><Relationship Id="rId2847" Type="http://schemas.openxmlformats.org/officeDocument/2006/relationships/hyperlink" Target="https://drive.google.com/file/d/13xyKmuaMPqVZSMstF_Fd2gWwoDJzcAR0/view?usp=drivesdk" TargetMode="External"/><Relationship Id="rId1517" Type="http://schemas.openxmlformats.org/officeDocument/2006/relationships/hyperlink" Target="https://drive.google.com/file/d/1ALZPEHkQoc8-rIxiGCPdxsakODtec03P/view?usp=drivesdk" TargetMode="External"/><Relationship Id="rId2848" Type="http://schemas.openxmlformats.org/officeDocument/2006/relationships/hyperlink" Target="https://drive.google.com/file/d/1evDCN13pm0kgQvMfaR2HWKwP6deLsCKj/view?usp=drivesdk" TargetMode="External"/><Relationship Id="rId1518" Type="http://schemas.openxmlformats.org/officeDocument/2006/relationships/hyperlink" Target="https://drive.google.com/file/d/1UzKeJycYCdbcSyA_XBlJPbuJQBw_H13e/view?usp=drivesdk" TargetMode="External"/><Relationship Id="rId2849" Type="http://schemas.openxmlformats.org/officeDocument/2006/relationships/hyperlink" Target="https://drive.google.com/file/d/1sVHQjou7xUmVcQN1_QXRecxtK6gEUHUZ/view?usp=drivesdk" TargetMode="External"/><Relationship Id="rId1519" Type="http://schemas.openxmlformats.org/officeDocument/2006/relationships/hyperlink" Target="https://drive.google.com/file/d/10Qq64fsCuPuS8tTAW8l7kAICeP4uG9nl/view?usp=drivesdk" TargetMode="External"/><Relationship Id="rId2840" Type="http://schemas.openxmlformats.org/officeDocument/2006/relationships/hyperlink" Target="https://drive.google.com/file/d/1Cw56YLPokOLDDUpAbmRsgJYe_bTiTTuX/view?usp=drivesdk" TargetMode="External"/><Relationship Id="rId2830" Type="http://schemas.openxmlformats.org/officeDocument/2006/relationships/hyperlink" Target="https://drive.google.com/file/d/17w2e0d1HPne4KwvnKOkuJQfuKbtD0sn3/view?usp=drivesdk" TargetMode="External"/><Relationship Id="rId1500" Type="http://schemas.openxmlformats.org/officeDocument/2006/relationships/hyperlink" Target="https://drive.google.com/file/d/1NULnOf7VxECW76X31AF7sD95bEELcWyx/view?usp=drivesdk" TargetMode="External"/><Relationship Id="rId2831" Type="http://schemas.openxmlformats.org/officeDocument/2006/relationships/hyperlink" Target="https://drive.google.com/file/d/1WExL1BLmYtFz0DCgTq6356cArBhU4Qfa/view?usp=drivesdk" TargetMode="External"/><Relationship Id="rId1501" Type="http://schemas.openxmlformats.org/officeDocument/2006/relationships/hyperlink" Target="https://drive.google.com/file/d/1urFTmRPKXTIASc4VjGLUAI-87lSyTnY3/view?usp=drivesdk" TargetMode="External"/><Relationship Id="rId2832" Type="http://schemas.openxmlformats.org/officeDocument/2006/relationships/hyperlink" Target="https://drive.google.com/file/d/1Ww9X9lCAq2Fmxzz95HAUAVfMq70e-V4p/view?usp=drivesdk" TargetMode="External"/><Relationship Id="rId1502" Type="http://schemas.openxmlformats.org/officeDocument/2006/relationships/hyperlink" Target="https://drive.google.com/file/d/1Ah46lAL12qc-6kmKkamSYpp39xQxz4Ak/view?usp=drivesdk" TargetMode="External"/><Relationship Id="rId2833" Type="http://schemas.openxmlformats.org/officeDocument/2006/relationships/hyperlink" Target="https://drive.google.com/file/d/1aQHv1_SEUDRF8MPNvVevJv-XnOGk-XNt/view?usp=drivesdk" TargetMode="External"/><Relationship Id="rId1503" Type="http://schemas.openxmlformats.org/officeDocument/2006/relationships/hyperlink" Target="https://drive.google.com/file/d/1CHmXScVNCrjIW6O1d98tzdVjMnvJEUDG/view?usp=drivesdk" TargetMode="External"/><Relationship Id="rId2834" Type="http://schemas.openxmlformats.org/officeDocument/2006/relationships/hyperlink" Target="http://b.sc/B.Com" TargetMode="External"/><Relationship Id="rId1504" Type="http://schemas.openxmlformats.org/officeDocument/2006/relationships/hyperlink" Target="https://drive.google.com/file/d/18jgsAME0wImroaeQy2yEl-EFS1OKpcsv/view?usp=drivesdk" TargetMode="External"/><Relationship Id="rId2835" Type="http://schemas.openxmlformats.org/officeDocument/2006/relationships/hyperlink" Target="https://drive.google.com/file/d/1EMS2wB69eu6BmDjVzfiwXlIOfFw1HClG/view?usp=drivesdk" TargetMode="External"/><Relationship Id="rId1505" Type="http://schemas.openxmlformats.org/officeDocument/2006/relationships/hyperlink" Target="https://drive.google.com/file/d/1gPfYf-WQHbPr0Ct0g5knwe0hHgUP7Eg_/view?usp=drivesdk" TargetMode="External"/><Relationship Id="rId2836" Type="http://schemas.openxmlformats.org/officeDocument/2006/relationships/hyperlink" Target="https://drive.google.com/file/d/15ikVgtkv8T3-c7CkAsD0X3K3nQyWFl41/view?usp=drivesdk" TargetMode="External"/><Relationship Id="rId1506" Type="http://schemas.openxmlformats.org/officeDocument/2006/relationships/hyperlink" Target="https://drive.google.com/file/d/1VvG5NUvsdPGsSwpeQ88PlA6kQox6LSTl/view?usp=drivesdk" TargetMode="External"/><Relationship Id="rId2837" Type="http://schemas.openxmlformats.org/officeDocument/2006/relationships/hyperlink" Target="https://drive.google.com/file/d/1wxhaW12a5O8f1rgxLAary_WhOOXG6vTM/view?usp=drivesdk" TargetMode="External"/><Relationship Id="rId1507" Type="http://schemas.openxmlformats.org/officeDocument/2006/relationships/hyperlink" Target="https://drive.google.com/file/d/1h6crcQCoamKbACcCGRSeCnSmJwX5OB3S/view?usp=drivesdk" TargetMode="External"/><Relationship Id="rId2838" Type="http://schemas.openxmlformats.org/officeDocument/2006/relationships/hyperlink" Target="https://drive.google.com/file/d/1FH0UKD-fbew2UQzU2GG5LsHNL7BqkYdo/view?usp=drivesdk" TargetMode="External"/><Relationship Id="rId1508" Type="http://schemas.openxmlformats.org/officeDocument/2006/relationships/hyperlink" Target="https://drive.google.com/file/d/1mHfYWNjg29mL2OnVu0_HIQ9ZCg3B6K3O/view?usp=drivesdk" TargetMode="External"/><Relationship Id="rId2839" Type="http://schemas.openxmlformats.org/officeDocument/2006/relationships/hyperlink" Target="http://b.sc/B.Com" TargetMode="External"/><Relationship Id="rId1509" Type="http://schemas.openxmlformats.org/officeDocument/2006/relationships/hyperlink" Target="https://drive.google.com/file/d/1Co3h_tKpwjwilo7nR8kYS-wEqqk2V79N/view?usp=drivesdk" TargetMode="External"/><Relationship Id="rId2800" Type="http://schemas.openxmlformats.org/officeDocument/2006/relationships/hyperlink" Target="https://drive.google.com/file/d/1We-oW5Yz-t8kltUjqg3Bxe-IMdsvNliZ/view?usp=drivesdk" TargetMode="External"/><Relationship Id="rId2801" Type="http://schemas.openxmlformats.org/officeDocument/2006/relationships/hyperlink" Target="https://drive.google.com/file/d/1tEE-pbjZLJBruGzKTCV5yFzueX_4kSQD/view?usp=drivesdk" TargetMode="External"/><Relationship Id="rId2802" Type="http://schemas.openxmlformats.org/officeDocument/2006/relationships/hyperlink" Target="https://drive.google.com/file/d/1KGCu3Vb5-CAPt9i2umJ2xQAHi9o5yiLB/view?usp=drivesdk" TargetMode="External"/><Relationship Id="rId2803" Type="http://schemas.openxmlformats.org/officeDocument/2006/relationships/hyperlink" Target="https://drive.google.com/file/d/1fyI20Ns_Wpmvc2o54MqCUxCffXuJjE8I/view?usp=drivesdk" TargetMode="External"/><Relationship Id="rId2804" Type="http://schemas.openxmlformats.org/officeDocument/2006/relationships/hyperlink" Target="https://drive.google.com/file/d/17fJojrZXFdxReeZ3y2Y6_TBVz4wtYVRN/view?usp=drivesdk" TargetMode="External"/><Relationship Id="rId2805" Type="http://schemas.openxmlformats.org/officeDocument/2006/relationships/hyperlink" Target="https://drive.google.com/file/d/1O2JSKUB2bhXn15BYqe5f6F5PtfIAEWt8/view?usp=drivesdk" TargetMode="External"/><Relationship Id="rId2806" Type="http://schemas.openxmlformats.org/officeDocument/2006/relationships/hyperlink" Target="https://drive.google.com/file/d/1MdS0U2LLm8cu4ctjMjfss0V1ivZvaA51/view?usp=drivesdk" TargetMode="External"/><Relationship Id="rId2807" Type="http://schemas.openxmlformats.org/officeDocument/2006/relationships/hyperlink" Target="https://drive.google.com/file/d/1TxmsXc1h9KOMwiM7GGCvWwVZIrp-CXvk/view?usp=drivesdk" TargetMode="External"/><Relationship Id="rId2808" Type="http://schemas.openxmlformats.org/officeDocument/2006/relationships/hyperlink" Target="https://drive.google.com/file/d/1SBdsBZvbsJbzrK6J2AvveNnwM55k1VDs/view?usp=drivesdk" TargetMode="External"/><Relationship Id="rId2809" Type="http://schemas.openxmlformats.org/officeDocument/2006/relationships/hyperlink" Target="https://drive.google.com/file/d/1_q_dJ6XxFSCwZnvKeY-3PFJ5Ue4H_4xR/view?usp=drivesdk" TargetMode="External"/><Relationship Id="rId1576" Type="http://schemas.openxmlformats.org/officeDocument/2006/relationships/hyperlink" Target="https://drive.google.com/file/d/1cfLVrrZkjsSHZ4lWEYv8DlJNqa8X2qFc/view?usp=drivesdk" TargetMode="External"/><Relationship Id="rId1577" Type="http://schemas.openxmlformats.org/officeDocument/2006/relationships/hyperlink" Target="https://drive.google.com/file/d/10jDzNkaQo7l1TGaTpYePi5iPBKu2RXJC/view?usp=drivesdk" TargetMode="External"/><Relationship Id="rId1578" Type="http://schemas.openxmlformats.org/officeDocument/2006/relationships/hyperlink" Target="https://drive.google.com/file/d/1auRdXOpKkhZaxc_w-Hyq4lCypgJLjboh/view?usp=drivesdk" TargetMode="External"/><Relationship Id="rId1579" Type="http://schemas.openxmlformats.org/officeDocument/2006/relationships/hyperlink" Target="https://drive.google.com/file/d/1MGvzMZzbThsP5LuRKrTDWBewAOKgeeDm/view?usp=drivesdk" TargetMode="External"/><Relationship Id="rId987" Type="http://schemas.openxmlformats.org/officeDocument/2006/relationships/hyperlink" Target="https://drive.google.com/file/d/1RraK5HzRp0JGV7CZef9vEvG17RdfBs_B/view?usp=drivesdk" TargetMode="External"/><Relationship Id="rId986" Type="http://schemas.openxmlformats.org/officeDocument/2006/relationships/hyperlink" Target="https://drive.google.com/file/d/1qV9F8KwmhwreFJ2ZiiSKEwImY35NK0Yx/view?usp=drivesdk" TargetMode="External"/><Relationship Id="rId985" Type="http://schemas.openxmlformats.org/officeDocument/2006/relationships/hyperlink" Target="https://drive.google.com/file/d/15ABEr4cX8V_zpadjmSZlyrLk1NogbUsb/view?usp=drivesdk" TargetMode="External"/><Relationship Id="rId984" Type="http://schemas.openxmlformats.org/officeDocument/2006/relationships/hyperlink" Target="https://drive.google.com/file/d/17mhGVChH32qEb-P7F6A1lOujLAY1Jl9i/view?usp=drivesdk" TargetMode="External"/><Relationship Id="rId989" Type="http://schemas.openxmlformats.org/officeDocument/2006/relationships/hyperlink" Target="https://drive.google.com/file/d/10ENUcyPmqRCXwqzhxIYiiwLqudXisO5C/view?usp=drivesdk" TargetMode="External"/><Relationship Id="rId988" Type="http://schemas.openxmlformats.org/officeDocument/2006/relationships/hyperlink" Target="https://drive.google.com/file/d/1rzIGU2-A_DvJy-UuEh3q462mbGjCii0t/view?usp=drivesdk" TargetMode="External"/><Relationship Id="rId1570" Type="http://schemas.openxmlformats.org/officeDocument/2006/relationships/hyperlink" Target="https://drive.google.com/file/d/1wrWd5v8-YiNd4NSsSfbTg0tvlMfeYWNy/view?usp=drivesdk" TargetMode="External"/><Relationship Id="rId1571" Type="http://schemas.openxmlformats.org/officeDocument/2006/relationships/hyperlink" Target="https://drive.google.com/file/d/1ybcF-HVAa4TulWcsPgz2pyTN_zHjHOxt/view?usp=drivesdk" TargetMode="External"/><Relationship Id="rId983" Type="http://schemas.openxmlformats.org/officeDocument/2006/relationships/hyperlink" Target="https://drive.google.com/file/d/1lT23iCXEDpSAZbV3i9FPYWJ9CL0PUrqf/view?usp=drivesdk" TargetMode="External"/><Relationship Id="rId1572" Type="http://schemas.openxmlformats.org/officeDocument/2006/relationships/hyperlink" Target="https://drive.google.com/file/d/1_7uDzfEXOeQ4GJ5yhwZHlhZ9511n0wh8/view?usp=drivesdk" TargetMode="External"/><Relationship Id="rId982" Type="http://schemas.openxmlformats.org/officeDocument/2006/relationships/hyperlink" Target="https://drive.google.com/file/d/1eqn1ZZ6GvFz2vxNj_kraUxfTwk2cgpwg/view?usp=drivesdk" TargetMode="External"/><Relationship Id="rId1573" Type="http://schemas.openxmlformats.org/officeDocument/2006/relationships/hyperlink" Target="https://drive.google.com/file/d/1S3c327IEcIihtxt3gv10yCCeZqSK8lIF/view?usp=drivesdk" TargetMode="External"/><Relationship Id="rId981" Type="http://schemas.openxmlformats.org/officeDocument/2006/relationships/hyperlink" Target="https://drive.google.com/file/d/11DX53L-qdi207xE9O1Ek04Qf1Kwg8Xvq/view?usp=drivesdk" TargetMode="External"/><Relationship Id="rId1574" Type="http://schemas.openxmlformats.org/officeDocument/2006/relationships/hyperlink" Target="https://drive.google.com/file/d/1h3-6IjyQYmMH9ysTi0bYXdnDGTpNkgIs/view?usp=drivesdk" TargetMode="External"/><Relationship Id="rId980" Type="http://schemas.openxmlformats.org/officeDocument/2006/relationships/hyperlink" Target="https://drive.google.com/file/d/15dJgk3Y2-VnlSEMxA7aQJ9VQGKHOFZ9I/view?usp=drivesdk" TargetMode="External"/><Relationship Id="rId1575" Type="http://schemas.openxmlformats.org/officeDocument/2006/relationships/hyperlink" Target="https://drive.google.com/file/d/1X4fLSHZ2ASv251boq4Agf0QZNb_XYyH8/view?usp=drivesdk" TargetMode="External"/><Relationship Id="rId1565" Type="http://schemas.openxmlformats.org/officeDocument/2006/relationships/hyperlink" Target="https://drive.google.com/file/d/1qw4sDU8B6ng4MK0F1NiMZA6rb54KhayH/view?usp=drivesdk" TargetMode="External"/><Relationship Id="rId2896" Type="http://schemas.openxmlformats.org/officeDocument/2006/relationships/hyperlink" Target="https://drive.google.com/file/d/1E9OEcQUa_sFHinzSbOHa49j9YRh-BYDd/view?usp=drivesdk" TargetMode="External"/><Relationship Id="rId1566" Type="http://schemas.openxmlformats.org/officeDocument/2006/relationships/hyperlink" Target="https://drive.google.com/file/d/1mno3ZKvkJ2BJTCSinkYnC4et9-L8fqqi/view?usp=drivesdk" TargetMode="External"/><Relationship Id="rId2897" Type="http://schemas.openxmlformats.org/officeDocument/2006/relationships/hyperlink" Target="https://drive.google.com/file/d/17NVmWusfgVwmSfJrDy2KENg10JZl6UPX/view?usp=drivesdk" TargetMode="External"/><Relationship Id="rId1567" Type="http://schemas.openxmlformats.org/officeDocument/2006/relationships/hyperlink" Target="https://drive.google.com/file/d/1pOS-uC1XMIouBUIkQYy5ovaGYcy3QNhM/view?usp=drivesdk" TargetMode="External"/><Relationship Id="rId2898" Type="http://schemas.openxmlformats.org/officeDocument/2006/relationships/hyperlink" Target="https://drive.google.com/file/d/1_fJVW5HMlQ2zhcnj-MvJ5izOzaes5DZD/view?usp=drivesdk" TargetMode="External"/><Relationship Id="rId1568" Type="http://schemas.openxmlformats.org/officeDocument/2006/relationships/hyperlink" Target="https://drive.google.com/file/d/1ScJwiqCNO7DF_7QwTCTi9Q3fcZ9TfwrS/view?usp=drivesdk" TargetMode="External"/><Relationship Id="rId2899" Type="http://schemas.openxmlformats.org/officeDocument/2006/relationships/hyperlink" Target="https://drive.google.com/file/d/1wJDKKoZuy4Qrt39qMsUNTpp1XyAs2g7v/view?usp=drivesdk" TargetMode="External"/><Relationship Id="rId1569" Type="http://schemas.openxmlformats.org/officeDocument/2006/relationships/hyperlink" Target="https://drive.google.com/file/d/1BeDySlbt7PY82We64KlUQCXvvbAgpvYI/view?usp=drivesdk" TargetMode="External"/><Relationship Id="rId976" Type="http://schemas.openxmlformats.org/officeDocument/2006/relationships/hyperlink" Target="https://drive.google.com/file/d/1KsXhIFv_jC3jZUE6_KEmA14PyTC4ern3/view?usp=drivesdk" TargetMode="External"/><Relationship Id="rId975" Type="http://schemas.openxmlformats.org/officeDocument/2006/relationships/hyperlink" Target="https://drive.google.com/file/d/1tZ5jUgaUKPxXwg94ivyv-rvJK-fU-qCy/view?usp=drivesdk" TargetMode="External"/><Relationship Id="rId974" Type="http://schemas.openxmlformats.org/officeDocument/2006/relationships/hyperlink" Target="https://drive.google.com/file/d/1eS51r_R6wWzUQ-atIzRPi8GHzzbUCSZN/view?usp=drivesdk" TargetMode="External"/><Relationship Id="rId973" Type="http://schemas.openxmlformats.org/officeDocument/2006/relationships/hyperlink" Target="https://drive.google.com/file/d/1AWQWPjwnZXimwQk0vL0cGveMGdOHLMZe/view?usp=drivesdk" TargetMode="External"/><Relationship Id="rId979" Type="http://schemas.openxmlformats.org/officeDocument/2006/relationships/hyperlink" Target="https://drive.google.com/file/d/1Syl-HimJtwrhuKM_-gH7N7WMAEC_GqAA/view?usp=drivesdk" TargetMode="External"/><Relationship Id="rId978" Type="http://schemas.openxmlformats.org/officeDocument/2006/relationships/hyperlink" Target="https://drive.google.com/file/d/1Aw0HRY6oAGmde2s4UEymiAFXpbnLo7Dd/view?usp=drivesdk" TargetMode="External"/><Relationship Id="rId977" Type="http://schemas.openxmlformats.org/officeDocument/2006/relationships/hyperlink" Target="https://drive.google.com/file/d/1wygrkrGzHAFNxHr3PLNAW-GXMfkPb0iy/view?usp=drivesdk" TargetMode="External"/><Relationship Id="rId2890" Type="http://schemas.openxmlformats.org/officeDocument/2006/relationships/hyperlink" Target="https://drive.google.com/file/d/1FgJhnb_jTwStzhI5lv_VhCZed5mfwyOf/view?usp=drivesdk" TargetMode="External"/><Relationship Id="rId1560" Type="http://schemas.openxmlformats.org/officeDocument/2006/relationships/hyperlink" Target="https://drive.google.com/file/d/1ymUe9B3xd0DZKdfGahxpVk1aamyjy2Su/view?usp=drivesdk" TargetMode="External"/><Relationship Id="rId2891" Type="http://schemas.openxmlformats.org/officeDocument/2006/relationships/hyperlink" Target="https://drive.google.com/file/d/1mDgZc8fvequxw2tq5iKznuhNCgQva3Oh/view?usp=drivesdk" TargetMode="External"/><Relationship Id="rId972" Type="http://schemas.openxmlformats.org/officeDocument/2006/relationships/hyperlink" Target="https://drive.google.com/file/d/1ylxBYTDFPW5y7uHJ_56SJiBtCLt3Xd3-/view?usp=drivesdk" TargetMode="External"/><Relationship Id="rId1561" Type="http://schemas.openxmlformats.org/officeDocument/2006/relationships/hyperlink" Target="https://drive.google.com/file/d/1NmdLQwKG-fyuorivhbSPBZVHDYiwpyiM/view?usp=drivesdk" TargetMode="External"/><Relationship Id="rId2892" Type="http://schemas.openxmlformats.org/officeDocument/2006/relationships/hyperlink" Target="https://drive.google.com/file/d/1yzmZOQC-dVBwBkMsPFgFNsVWaZcxilsS/view?usp=drivesdk" TargetMode="External"/><Relationship Id="rId971" Type="http://schemas.openxmlformats.org/officeDocument/2006/relationships/hyperlink" Target="https://drive.google.com/file/d/1Al73qP8dWW0CZnPBeBF74x6NI8xv3LIT/view?usp=drivesdk" TargetMode="External"/><Relationship Id="rId1562" Type="http://schemas.openxmlformats.org/officeDocument/2006/relationships/hyperlink" Target="http://b.sc/B.Com" TargetMode="External"/><Relationship Id="rId2893" Type="http://schemas.openxmlformats.org/officeDocument/2006/relationships/hyperlink" Target="https://drive.google.com/file/d/1wLId9K1R6dxxYL9aGje5LHjbIngU9JeM/view?usp=drivesdk" TargetMode="External"/><Relationship Id="rId970" Type="http://schemas.openxmlformats.org/officeDocument/2006/relationships/hyperlink" Target="https://drive.google.com/file/d/1C8-KXIZfNTeurlCfgP6R1NB8PadE324o/view?usp=drivesdk" TargetMode="External"/><Relationship Id="rId1563" Type="http://schemas.openxmlformats.org/officeDocument/2006/relationships/hyperlink" Target="https://drive.google.com/file/d/1pOXeKWgg7oEYCaRaZXjP9WRfVjOfZPki/view?usp=drivesdk" TargetMode="External"/><Relationship Id="rId2894" Type="http://schemas.openxmlformats.org/officeDocument/2006/relationships/hyperlink" Target="https://drive.google.com/file/d/1akgmBrw2oBtT0GFMUgjSVvoOcxef7YLK/view?usp=drivesdk" TargetMode="External"/><Relationship Id="rId1564" Type="http://schemas.openxmlformats.org/officeDocument/2006/relationships/hyperlink" Target="https://drive.google.com/file/d/1yuPfWxmvkYwq6vrU7TefTqCDjD77eF8c/view?usp=drivesdk" TargetMode="External"/><Relationship Id="rId2895" Type="http://schemas.openxmlformats.org/officeDocument/2006/relationships/hyperlink" Target="https://drive.google.com/file/d/1gRk8CHo_bhMtgqOFtNrd5y0MrE-ZnFrL/view?usp=drivesdk" TargetMode="External"/><Relationship Id="rId1598" Type="http://schemas.openxmlformats.org/officeDocument/2006/relationships/hyperlink" Target="https://drive.google.com/file/d/10-FuneipRp7nPiSCtuSkSboDNqgX2QNC/view?usp=drivesdk" TargetMode="External"/><Relationship Id="rId1599" Type="http://schemas.openxmlformats.org/officeDocument/2006/relationships/hyperlink" Target="https://drive.google.com/file/d/1iPIZS45ItFLt1tZ0yxsYljjHhm9OEGgh/view?usp=drivesdk" TargetMode="External"/><Relationship Id="rId1590" Type="http://schemas.openxmlformats.org/officeDocument/2006/relationships/hyperlink" Target="https://drive.google.com/file/d/1aDWZcZe9xD3efckbbInGGR8f2na6haW9/view?usp=drivesdk" TargetMode="External"/><Relationship Id="rId1591" Type="http://schemas.openxmlformats.org/officeDocument/2006/relationships/hyperlink" Target="https://drive.google.com/file/d/1i16sLO8yooCBZBiDmy9uHWvd_5Q9HPcq/view?usp=drivesdk" TargetMode="External"/><Relationship Id="rId1592" Type="http://schemas.openxmlformats.org/officeDocument/2006/relationships/hyperlink" Target="https://drive.google.com/file/d/1b02sS9FWt4__ixDrYyymKdytEqzrtSuJ/view?usp=drivesdk" TargetMode="External"/><Relationship Id="rId1593" Type="http://schemas.openxmlformats.org/officeDocument/2006/relationships/hyperlink" Target="https://drive.google.com/file/d/1k0udUt2kLSTypfqHZpxDNdDE1hOEPAXN/view?usp=drivesdk" TargetMode="External"/><Relationship Id="rId1594" Type="http://schemas.openxmlformats.org/officeDocument/2006/relationships/hyperlink" Target="https://drive.google.com/file/d/16jjPVKQBHrosAMSLoe25FCS3C4eIG1-B/view?usp=drivesdk" TargetMode="External"/><Relationship Id="rId1595" Type="http://schemas.openxmlformats.org/officeDocument/2006/relationships/hyperlink" Target="https://drive.google.com/file/d/1aIemE-Iy_PDSQ0KZZp67-365czSAA7Hw/view?usp=drivesdk" TargetMode="External"/><Relationship Id="rId1596" Type="http://schemas.openxmlformats.org/officeDocument/2006/relationships/hyperlink" Target="https://drive.google.com/file/d/1t7rgO0Rgy_ifkElqW5MYT0qOyml5XJgk/view?usp=drivesdk" TargetMode="External"/><Relationship Id="rId1597" Type="http://schemas.openxmlformats.org/officeDocument/2006/relationships/hyperlink" Target="https://drive.google.com/file/d/1tyD9-DAuyNDGYAtcBdOW81395uLcNZ39/view?usp=drivesdk" TargetMode="External"/><Relationship Id="rId1587" Type="http://schemas.openxmlformats.org/officeDocument/2006/relationships/hyperlink" Target="https://drive.google.com/file/d/12LBCjBkEVDeis-z6KKsE1fjdh2fincYH/view?usp=drivesdk" TargetMode="External"/><Relationship Id="rId1588" Type="http://schemas.openxmlformats.org/officeDocument/2006/relationships/hyperlink" Target="https://drive.google.com/file/d/1qERCjfpTfu0GOOC0A9spiUKKrYZQgbOu/view?usp=drivesdk" TargetMode="External"/><Relationship Id="rId1589" Type="http://schemas.openxmlformats.org/officeDocument/2006/relationships/hyperlink" Target="https://drive.google.com/file/d/1JKdP6niQwP-K91HCIjB2CKtjHs4iQWXX/view?usp=drivesdk" TargetMode="External"/><Relationship Id="rId998" Type="http://schemas.openxmlformats.org/officeDocument/2006/relationships/hyperlink" Target="http://b.sc/B.Com" TargetMode="External"/><Relationship Id="rId997" Type="http://schemas.openxmlformats.org/officeDocument/2006/relationships/hyperlink" Target="https://drive.google.com/file/d/1uQLawUyvIpG1gQfbeJggr7FTJusZ4U7Q/view?usp=drivesdk" TargetMode="External"/><Relationship Id="rId996" Type="http://schemas.openxmlformats.org/officeDocument/2006/relationships/hyperlink" Target="https://drive.google.com/file/d/1MREjB6PkBnRamzO-hY26aKKOIYj89JMv/view?usp=drivesdk" TargetMode="External"/><Relationship Id="rId995" Type="http://schemas.openxmlformats.org/officeDocument/2006/relationships/hyperlink" Target="https://drive.google.com/file/d/1AWo-kHmGO0HM5Mfn0nFbx2mQg9g-rBkS/view?usp=drivesdk" TargetMode="External"/><Relationship Id="rId999" Type="http://schemas.openxmlformats.org/officeDocument/2006/relationships/hyperlink" Target="https://drive.google.com/file/d/13ToWdYgXTFBM3lOvyEgS7BYxUoSvl6gh/view?usp=drivesdk" TargetMode="External"/><Relationship Id="rId990" Type="http://schemas.openxmlformats.org/officeDocument/2006/relationships/hyperlink" Target="https://drive.google.com/file/d/1lwNZ_SCqit3wFRr26O-fiHFoT8roBCzE/view?usp=drivesdk" TargetMode="External"/><Relationship Id="rId1580" Type="http://schemas.openxmlformats.org/officeDocument/2006/relationships/hyperlink" Target="https://drive.google.com/file/d/1zEih8JP0p6frSuCiK9glFPnSw_tCyUiR/view?usp=drivesdk" TargetMode="External"/><Relationship Id="rId1581" Type="http://schemas.openxmlformats.org/officeDocument/2006/relationships/hyperlink" Target="https://drive.google.com/file/d/1skrHBY_gUzPY48K8u6uXsUeQ5pGdfgLU/view?usp=drivesdk" TargetMode="External"/><Relationship Id="rId1582" Type="http://schemas.openxmlformats.org/officeDocument/2006/relationships/hyperlink" Target="https://drive.google.com/file/d/1C7QoAluhE8rg6o7fwQJBZBz_ojhZ0tQB/view?usp=drivesdk" TargetMode="External"/><Relationship Id="rId994" Type="http://schemas.openxmlformats.org/officeDocument/2006/relationships/hyperlink" Target="https://drive.google.com/file/d/1vjgLMLtVzPXV7sLsAJKn3xeah_HXvyZq/view?usp=drivesdk" TargetMode="External"/><Relationship Id="rId1583" Type="http://schemas.openxmlformats.org/officeDocument/2006/relationships/hyperlink" Target="https://drive.google.com/file/d/1Y9DsySH62jmxJt81bX-bq13M9TowTJV-/view?usp=drivesdk" TargetMode="External"/><Relationship Id="rId993" Type="http://schemas.openxmlformats.org/officeDocument/2006/relationships/hyperlink" Target="https://drive.google.com/file/d/1CjQIEnDDcDvhTD58qHHYEmXbMllbyQIv/view?usp=drivesdk" TargetMode="External"/><Relationship Id="rId1584" Type="http://schemas.openxmlformats.org/officeDocument/2006/relationships/hyperlink" Target="https://drive.google.com/file/d/1wawMxhSGy52pXknbWBkzSQxIAkSQqI_x/view?usp=drivesdk" TargetMode="External"/><Relationship Id="rId992" Type="http://schemas.openxmlformats.org/officeDocument/2006/relationships/hyperlink" Target="https://drive.google.com/file/d/15qSXycrJBkIuUHNGZSx0dQC1JxSfAwff/view?usp=drivesdk" TargetMode="External"/><Relationship Id="rId1585" Type="http://schemas.openxmlformats.org/officeDocument/2006/relationships/hyperlink" Target="https://drive.google.com/file/d/1XdwNI4uPJrv5eQuSmgrpBAI57ry59Jrd/view?usp=drivesdk" TargetMode="External"/><Relationship Id="rId991" Type="http://schemas.openxmlformats.org/officeDocument/2006/relationships/hyperlink" Target="https://drive.google.com/file/d/1EEYJtzHLFcZ7IWif_5SSU-pJJZTpf_Eh/view?usp=drivesdk" TargetMode="External"/><Relationship Id="rId1586" Type="http://schemas.openxmlformats.org/officeDocument/2006/relationships/hyperlink" Target="https://drive.google.com/file/d/1A9t0hRq4suoFThQ99Bj_DQMIOIvTgoSz/view?usp=drivesdk" TargetMode="External"/><Relationship Id="rId1532" Type="http://schemas.openxmlformats.org/officeDocument/2006/relationships/hyperlink" Target="https://drive.google.com/file/d/1jMFDZpTnDq8DvZaWwu0AAuSwqWmkhMhZ/view?usp=drivesdk" TargetMode="External"/><Relationship Id="rId2863" Type="http://schemas.openxmlformats.org/officeDocument/2006/relationships/hyperlink" Target="https://drive.google.com/file/d/1MR2TC1zkrTv47ixvgP9Fd_SxhXZtWXMf/view?usp=drivesdk" TargetMode="External"/><Relationship Id="rId1533" Type="http://schemas.openxmlformats.org/officeDocument/2006/relationships/hyperlink" Target="https://drive.google.com/file/d/1eXO5S9Y0hx6DpRKAdLPgebBfEmS0NDGP/view?usp=drivesdk" TargetMode="External"/><Relationship Id="rId2864" Type="http://schemas.openxmlformats.org/officeDocument/2006/relationships/hyperlink" Target="https://drive.google.com/file/d/1IyEGyTGmrIFX1A5yuMDgkR4R_KXerc6_/view?usp=drivesdk" TargetMode="External"/><Relationship Id="rId1534" Type="http://schemas.openxmlformats.org/officeDocument/2006/relationships/hyperlink" Target="https://drive.google.com/file/d/1eVkVHp_EKEDWeUnwLDvl2ARjId9w8Jec/view?usp=drivesdk" TargetMode="External"/><Relationship Id="rId2865" Type="http://schemas.openxmlformats.org/officeDocument/2006/relationships/hyperlink" Target="https://drive.google.com/file/d/1qxf0InWe6QSkfZ30DrtoRLvyeiSI2G2J/view?usp=drivesdk" TargetMode="External"/><Relationship Id="rId1535" Type="http://schemas.openxmlformats.org/officeDocument/2006/relationships/hyperlink" Target="https://drive.google.com/file/d/1rV2ht3qdLNZSq-cZd96bUopfc7RntiSH/view?usp=drivesdk" TargetMode="External"/><Relationship Id="rId2866" Type="http://schemas.openxmlformats.org/officeDocument/2006/relationships/hyperlink" Target="https://drive.google.com/file/d/1eXo3DapB4ymwg0HEx_NYxK_TqpZUG034/view?usp=drivesdk" TargetMode="External"/><Relationship Id="rId1536" Type="http://schemas.openxmlformats.org/officeDocument/2006/relationships/hyperlink" Target="https://drive.google.com/file/d/1Wb755KgRL2Jb6TTXJtBVzGbfYBTrZR8_/view?usp=drivesdk" TargetMode="External"/><Relationship Id="rId2867" Type="http://schemas.openxmlformats.org/officeDocument/2006/relationships/hyperlink" Target="https://drive.google.com/file/d/1_lEcGM5qS238xNlYeh7ty_LAkDqHQn-f/view?usp=drivesdk" TargetMode="External"/><Relationship Id="rId1537" Type="http://schemas.openxmlformats.org/officeDocument/2006/relationships/hyperlink" Target="https://drive.google.com/file/d/1-Iu7PEZenYviJxk39LGFr4tJ0styZMbN/view?usp=drivesdk" TargetMode="External"/><Relationship Id="rId2868" Type="http://schemas.openxmlformats.org/officeDocument/2006/relationships/hyperlink" Target="https://drive.google.com/file/d/1wxptEE3iOWpF_lERRrBDxCgnKbaEOHTs/view?usp=drivesdk" TargetMode="External"/><Relationship Id="rId1538" Type="http://schemas.openxmlformats.org/officeDocument/2006/relationships/hyperlink" Target="https://drive.google.com/file/d/1B4vLuYLDehea4EvdX3awZ4KzzeNiTyvm/view?usp=drivesdk" TargetMode="External"/><Relationship Id="rId2869" Type="http://schemas.openxmlformats.org/officeDocument/2006/relationships/hyperlink" Target="https://drive.google.com/file/d/1ocTq1b1eIazsGBb-bRZ13GUyi07_pgoM/view?usp=drivesdk" TargetMode="External"/><Relationship Id="rId1539" Type="http://schemas.openxmlformats.org/officeDocument/2006/relationships/hyperlink" Target="https://drive.google.com/file/d/1ZnYYgoIpJmcOf7h20Ml31akTVHG6_SDw/view?usp=drivesdk" TargetMode="External"/><Relationship Id="rId949" Type="http://schemas.openxmlformats.org/officeDocument/2006/relationships/hyperlink" Target="https://drive.google.com/file/d/1IMACt_CfXAia3By-RGn_uKVon-8imZKt/view?usp=drivesdk" TargetMode="External"/><Relationship Id="rId948" Type="http://schemas.openxmlformats.org/officeDocument/2006/relationships/hyperlink" Target="http://b.sc/B.Com" TargetMode="External"/><Relationship Id="rId943" Type="http://schemas.openxmlformats.org/officeDocument/2006/relationships/hyperlink" Target="https://drive.google.com/file/d/116KF163kIg9i3OgLXT-m_7B1euFjRc_g/view?usp=drivesdk" TargetMode="External"/><Relationship Id="rId942" Type="http://schemas.openxmlformats.org/officeDocument/2006/relationships/hyperlink" Target="https://drive.google.com/file/d/1vRVVQdEH-MMAO8Rjx4hbfzRpNMh2e60Y/view?usp=drivesdk" TargetMode="External"/><Relationship Id="rId941" Type="http://schemas.openxmlformats.org/officeDocument/2006/relationships/hyperlink" Target="https://drive.google.com/file/d/1HLNGukKdC63r_97eNKq_SBTkjri3NmUO/view?usp=drivesdk" TargetMode="External"/><Relationship Id="rId940" Type="http://schemas.openxmlformats.org/officeDocument/2006/relationships/hyperlink" Target="https://drive.google.com/file/d/1oFt_EO2rpAIaQzJl4XWHBQsYa-g5YbtP/view?usp=drivesdk" TargetMode="External"/><Relationship Id="rId947" Type="http://schemas.openxmlformats.org/officeDocument/2006/relationships/hyperlink" Target="https://drive.google.com/file/d/1Y5JB75HwBL0K97groEaulQPdv7oiPiLD/view?usp=drivesdk" TargetMode="External"/><Relationship Id="rId946" Type="http://schemas.openxmlformats.org/officeDocument/2006/relationships/hyperlink" Target="http://b.sc/B.Com" TargetMode="External"/><Relationship Id="rId945" Type="http://schemas.openxmlformats.org/officeDocument/2006/relationships/hyperlink" Target="https://drive.google.com/file/d/1q1kj8Yfb9ecozZ9UZe3_QpaDZsitJVAj/view?usp=drivesdk" TargetMode="External"/><Relationship Id="rId944" Type="http://schemas.openxmlformats.org/officeDocument/2006/relationships/hyperlink" Target="https://drive.google.com/file/d/1Y3J1fDbdsMjKKfMIwx9SDsoRI-uTjX73/view?usp=drivesdk" TargetMode="External"/><Relationship Id="rId2860" Type="http://schemas.openxmlformats.org/officeDocument/2006/relationships/hyperlink" Target="https://drive.google.com/file/d/17NBBACrGQW5HgzNpFQLn8uPFwzX3NwtC/view?usp=drivesdk" TargetMode="External"/><Relationship Id="rId1530" Type="http://schemas.openxmlformats.org/officeDocument/2006/relationships/hyperlink" Target="https://drive.google.com/file/d/1HkuX3aJPtPcseszEM-ib1vGQpKHy1h8s/view?usp=drivesdk" TargetMode="External"/><Relationship Id="rId2861" Type="http://schemas.openxmlformats.org/officeDocument/2006/relationships/hyperlink" Target="https://drive.google.com/file/d/1cTJMDooN0nD3Ab2YJCoXkMlfATpsKnXY/view?usp=drivesdk" TargetMode="External"/><Relationship Id="rId1531" Type="http://schemas.openxmlformats.org/officeDocument/2006/relationships/hyperlink" Target="https://drive.google.com/file/d/1kxFqBesPeasQVDTFc6XuCrqpwK4mum-L/view?usp=drivesdk" TargetMode="External"/><Relationship Id="rId2862" Type="http://schemas.openxmlformats.org/officeDocument/2006/relationships/hyperlink" Target="https://drive.google.com/file/d/1rwxWPDhPvbFMZFrIeEqyvlLvvnei1Qk1/view?usp=drivesdk" TargetMode="External"/><Relationship Id="rId1521" Type="http://schemas.openxmlformats.org/officeDocument/2006/relationships/hyperlink" Target="https://drive.google.com/file/d/1bDpQkZG3qiA4SVdx6gdc2UCAv0F5Bsn_/view?usp=drivesdk" TargetMode="External"/><Relationship Id="rId2852" Type="http://schemas.openxmlformats.org/officeDocument/2006/relationships/hyperlink" Target="https://drive.google.com/file/d/1Qp8XdsP1A5AXqQGxy0NLOfUESM_hbSrl/view?usp=drivesdk" TargetMode="External"/><Relationship Id="rId1522" Type="http://schemas.openxmlformats.org/officeDocument/2006/relationships/hyperlink" Target="https://drive.google.com/file/d/1OBa1ctZostVu9lGCfpvMsjdIFgo0wQrC/view?usp=drivesdk" TargetMode="External"/><Relationship Id="rId2853" Type="http://schemas.openxmlformats.org/officeDocument/2006/relationships/hyperlink" Target="https://drive.google.com/file/d/1FM7Zn4iGhy0mqPDdq5qXjnzj24YwkmG2/view?usp=drivesdk" TargetMode="External"/><Relationship Id="rId1523" Type="http://schemas.openxmlformats.org/officeDocument/2006/relationships/hyperlink" Target="https://drive.google.com/file/d/1Wf7I4bkh0lZy0WgJ0r4En3j2xuFFHZbB/view?usp=drivesdk" TargetMode="External"/><Relationship Id="rId2854" Type="http://schemas.openxmlformats.org/officeDocument/2006/relationships/hyperlink" Target="https://drive.google.com/file/d/1mM5AcBguVAIklavhVIAgQMYPOBeMGOw_/view?usp=drivesdk" TargetMode="External"/><Relationship Id="rId1524" Type="http://schemas.openxmlformats.org/officeDocument/2006/relationships/hyperlink" Target="https://drive.google.com/file/d/1kLEe12os5LXsGugNWDYAgGBEV0UEA103/view?usp=drivesdk" TargetMode="External"/><Relationship Id="rId2855" Type="http://schemas.openxmlformats.org/officeDocument/2006/relationships/hyperlink" Target="https://drive.google.com/file/d/1OMDuZABkwmjEYziAFPlESJMmSFDrcSBR/view?usp=drivesdk" TargetMode="External"/><Relationship Id="rId1525" Type="http://schemas.openxmlformats.org/officeDocument/2006/relationships/hyperlink" Target="https://drive.google.com/file/d/1RCpSlyH8p9aYYmgDN7HyRYM7BZmK0IEu/view?usp=drivesdk" TargetMode="External"/><Relationship Id="rId2856" Type="http://schemas.openxmlformats.org/officeDocument/2006/relationships/hyperlink" Target="https://drive.google.com/file/d/1It1k1ILR8NYpKC2QGGm7zPiJpBRY69qL/view?usp=drivesdk" TargetMode="External"/><Relationship Id="rId1526" Type="http://schemas.openxmlformats.org/officeDocument/2006/relationships/hyperlink" Target="https://drive.google.com/file/d/17g7W7Qv-bycmgcpqaaQKoVqbql5PJ4Q-/view?usp=drivesdk" TargetMode="External"/><Relationship Id="rId2857" Type="http://schemas.openxmlformats.org/officeDocument/2006/relationships/hyperlink" Target="https://drive.google.com/file/d/1_Qo36lHzt4wSR_XqOk-UFZfnwCLpkrHG/view?usp=drivesdk" TargetMode="External"/><Relationship Id="rId1527" Type="http://schemas.openxmlformats.org/officeDocument/2006/relationships/hyperlink" Target="https://drive.google.com/file/d/1xYSm0lYJ4sbGfYzRZjC8_Xz9h5NHtw1n/view?usp=drivesdk" TargetMode="External"/><Relationship Id="rId2858" Type="http://schemas.openxmlformats.org/officeDocument/2006/relationships/hyperlink" Target="https://drive.google.com/file/d/1qvlUAxUmy4k6lFjg3IRUWTJimdhS9DJB/view?usp=drivesdk" TargetMode="External"/><Relationship Id="rId1528" Type="http://schemas.openxmlformats.org/officeDocument/2006/relationships/hyperlink" Target="https://drive.google.com/file/d/1duNhblmW8Stp2UgUPikWR4Rs7Y2oSbKQ/view?usp=drivesdk" TargetMode="External"/><Relationship Id="rId2859" Type="http://schemas.openxmlformats.org/officeDocument/2006/relationships/hyperlink" Target="https://drive.google.com/file/d/1Ku-ytlBRGTqI4pE7LF7Y56lCbRIYiTph/view?usp=drivesdk" TargetMode="External"/><Relationship Id="rId1529" Type="http://schemas.openxmlformats.org/officeDocument/2006/relationships/hyperlink" Target="https://drive.google.com/file/d/1PUGqJdUkl4BikCj8FxpP5kfDBLSHzk3Y/view?usp=drivesdk" TargetMode="External"/><Relationship Id="rId939" Type="http://schemas.openxmlformats.org/officeDocument/2006/relationships/hyperlink" Target="https://drive.google.com/file/d/1vwR3Y-HQWymFhZfskfHxpjzSak49a-JT/view?usp=drivesdk" TargetMode="External"/><Relationship Id="rId938" Type="http://schemas.openxmlformats.org/officeDocument/2006/relationships/hyperlink" Target="https://drive.google.com/file/d/1-Ae5TDEQ7BeR69QrxtSCRI81csC5MpJL/view?usp=drivesdk" TargetMode="External"/><Relationship Id="rId937" Type="http://schemas.openxmlformats.org/officeDocument/2006/relationships/hyperlink" Target="https://drive.google.com/file/d/1RThdfmY1gGkvqPcvvWD_rRQZTnphjzze/view?usp=drivesdk" TargetMode="External"/><Relationship Id="rId932" Type="http://schemas.openxmlformats.org/officeDocument/2006/relationships/hyperlink" Target="https://drive.google.com/file/d/14llfwU_MMBW4J2qDqcQXjc8_1Dq46sXN/view?usp=drivesdk" TargetMode="External"/><Relationship Id="rId931" Type="http://schemas.openxmlformats.org/officeDocument/2006/relationships/hyperlink" Target="https://drive.google.com/file/d/1f8gBspxfx9llCr6rGxXoXyHzcHU0V2AA/view?usp=drivesdk" TargetMode="External"/><Relationship Id="rId930" Type="http://schemas.openxmlformats.org/officeDocument/2006/relationships/hyperlink" Target="https://drive.google.com/file/d/19rqqzPrqUXCY_fgU-F6RFRme-6uUx33C/view?usp=drivesdk" TargetMode="External"/><Relationship Id="rId936" Type="http://schemas.openxmlformats.org/officeDocument/2006/relationships/hyperlink" Target="https://drive.google.com/file/d/1Yuo0bwT2Dq-mZeTeCxLu5cKXppZtBdnn/view?usp=drivesdk" TargetMode="External"/><Relationship Id="rId935" Type="http://schemas.openxmlformats.org/officeDocument/2006/relationships/hyperlink" Target="https://drive.google.com/file/d/1NuRBY8ZazeoVcTiwtuqYndT7cBfK7dBh/view?usp=drivesdk" TargetMode="External"/><Relationship Id="rId934" Type="http://schemas.openxmlformats.org/officeDocument/2006/relationships/hyperlink" Target="https://drive.google.com/file/d/1RsmPFiEE3-9Xv2SPBcstm3QeckE85aNX/view?usp=drivesdk" TargetMode="External"/><Relationship Id="rId933" Type="http://schemas.openxmlformats.org/officeDocument/2006/relationships/hyperlink" Target="https://drive.google.com/file/d/1r1Os5XLBZ8g4KU0WnIjOjJqiipMOiDGi/view?usp=drivesdk" TargetMode="External"/><Relationship Id="rId2850" Type="http://schemas.openxmlformats.org/officeDocument/2006/relationships/hyperlink" Target="https://drive.google.com/file/d/1s7HIVkZ5eTbFnZXAEoc90zGH0ZPOb13W/view?usp=drivesdk" TargetMode="External"/><Relationship Id="rId1520" Type="http://schemas.openxmlformats.org/officeDocument/2006/relationships/hyperlink" Target="https://drive.google.com/file/d/1eeXJZeGY6U17I5tPbPaqnifoqCZflojE/view?usp=drivesdk" TargetMode="External"/><Relationship Id="rId2851" Type="http://schemas.openxmlformats.org/officeDocument/2006/relationships/hyperlink" Target="https://drive.google.com/file/d/1fbRpQJp8WDuTuDSW9h6Dm5rt0pAi43KS/view?usp=drivesdk" TargetMode="External"/><Relationship Id="rId1554" Type="http://schemas.openxmlformats.org/officeDocument/2006/relationships/hyperlink" Target="https://drive.google.com/file/d/10aAlvHG-OnYV-K8VH676GvHuV6IjV8_b/view?usp=drivesdk" TargetMode="External"/><Relationship Id="rId2885" Type="http://schemas.openxmlformats.org/officeDocument/2006/relationships/hyperlink" Target="https://drive.google.com/file/d/1j76wWJJBxbBTrq1PgWiqh3HwCofmJ21d/view?usp=drivesdk" TargetMode="External"/><Relationship Id="rId1555" Type="http://schemas.openxmlformats.org/officeDocument/2006/relationships/hyperlink" Target="http://b.sc/B.Com" TargetMode="External"/><Relationship Id="rId2886" Type="http://schemas.openxmlformats.org/officeDocument/2006/relationships/hyperlink" Target="https://drive.google.com/file/d/1PZMF8YF3-IRuCGhBw0ybbIGFOoL0U479/view?usp=drivesdk" TargetMode="External"/><Relationship Id="rId1556" Type="http://schemas.openxmlformats.org/officeDocument/2006/relationships/hyperlink" Target="https://drive.google.com/file/d/1sfUwSO5UH_AwH676VvcIXv0XTG0xAx2H/view?usp=drivesdk" TargetMode="External"/><Relationship Id="rId2887" Type="http://schemas.openxmlformats.org/officeDocument/2006/relationships/hyperlink" Target="https://drive.google.com/file/d/10RdPYQ_L8lGo2oEczwkVx2SZ-2IN8vVx/view?usp=drivesdk" TargetMode="External"/><Relationship Id="rId1557" Type="http://schemas.openxmlformats.org/officeDocument/2006/relationships/hyperlink" Target="https://drive.google.com/file/d/1RpwZIUMNZxtpLQc2XvIJ1IcGzLGadeJh/view?usp=drivesdk" TargetMode="External"/><Relationship Id="rId2888" Type="http://schemas.openxmlformats.org/officeDocument/2006/relationships/hyperlink" Target="https://drive.google.com/file/d/1LCVdUaXQaqD928XGeSxo1ChDjCqRXWSu/view?usp=drivesdk" TargetMode="External"/><Relationship Id="rId1558" Type="http://schemas.openxmlformats.org/officeDocument/2006/relationships/hyperlink" Target="https://drive.google.com/file/d/1S_Qrd97TcqbgKAlFOl5fxnFa4TD0gZN_/view?usp=drivesdk" TargetMode="External"/><Relationship Id="rId2889" Type="http://schemas.openxmlformats.org/officeDocument/2006/relationships/hyperlink" Target="https://drive.google.com/file/d/1r6JAfrw8VBTL3f1o319XDj35Q3rw0WEE/view?usp=drivesdk" TargetMode="External"/><Relationship Id="rId1559" Type="http://schemas.openxmlformats.org/officeDocument/2006/relationships/hyperlink" Target="https://drive.google.com/file/d/1LYT51ee_cDSpasjxRNiKC8DJqxqhHbQJ/view?usp=drivesdk" TargetMode="External"/><Relationship Id="rId965" Type="http://schemas.openxmlformats.org/officeDocument/2006/relationships/hyperlink" Target="https://drive.google.com/file/d/10Qd2WSZEzdM8WLmFExzsQhD-8ExfLsMN/view?usp=drivesdk" TargetMode="External"/><Relationship Id="rId964" Type="http://schemas.openxmlformats.org/officeDocument/2006/relationships/hyperlink" Target="https://drive.google.com/file/d/1nH0dvB_TX_0OvgQgZ4xCR5WU_FFe8mUS/view?usp=drivesdk" TargetMode="External"/><Relationship Id="rId963" Type="http://schemas.openxmlformats.org/officeDocument/2006/relationships/hyperlink" Target="https://drive.google.com/file/d/1NdA34u8J_cnOeLttfVf_uoZIvoGKq9fA/view?usp=drivesdk" TargetMode="External"/><Relationship Id="rId962" Type="http://schemas.openxmlformats.org/officeDocument/2006/relationships/hyperlink" Target="https://drive.google.com/file/d/1O-QJLLDw1h1pOI4HhF9SjCiuFQOiRqOK/view?usp=drivesdk" TargetMode="External"/><Relationship Id="rId969" Type="http://schemas.openxmlformats.org/officeDocument/2006/relationships/hyperlink" Target="https://drive.google.com/file/d/1EauVhetTHyoNAhHnND0qCKc9ZMPalsux/view?usp=drivesdk" TargetMode="External"/><Relationship Id="rId968" Type="http://schemas.openxmlformats.org/officeDocument/2006/relationships/hyperlink" Target="https://drive.google.com/file/d/1yF6IYX-pqh_F1ODYKSlxLgfbDJxRmO8Y/view?usp=drivesdk" TargetMode="External"/><Relationship Id="rId967" Type="http://schemas.openxmlformats.org/officeDocument/2006/relationships/hyperlink" Target="https://drive.google.com/file/d/1SQIP7k8cQ-iwsoEQhFONKyP0Jb-8Scwd/view?usp=drivesdk" TargetMode="External"/><Relationship Id="rId966" Type="http://schemas.openxmlformats.org/officeDocument/2006/relationships/hyperlink" Target="http://b.sc/B.Com" TargetMode="External"/><Relationship Id="rId2880" Type="http://schemas.openxmlformats.org/officeDocument/2006/relationships/hyperlink" Target="https://drive.google.com/file/d/1fYZDBWa1KhDBdJXMsQNN0o7P1JdF8LCM/view?usp=drivesdk" TargetMode="External"/><Relationship Id="rId961" Type="http://schemas.openxmlformats.org/officeDocument/2006/relationships/hyperlink" Target="https://drive.google.com/file/d/1y8_PrQ-DiDvXp_AETLqaUI5WJtBkRWf2/view?usp=drivesdk" TargetMode="External"/><Relationship Id="rId1550" Type="http://schemas.openxmlformats.org/officeDocument/2006/relationships/hyperlink" Target="https://drive.google.com/file/d/1JJOY0iGPG3iXdBjGHty6sqHJ7B9ZpE0v/view?usp=drivesdk" TargetMode="External"/><Relationship Id="rId2881" Type="http://schemas.openxmlformats.org/officeDocument/2006/relationships/hyperlink" Target="https://drive.google.com/file/d/1XXw2iU056js6qb6sn4COFitt0xoJJ2lD/view?usp=drivesdk" TargetMode="External"/><Relationship Id="rId960" Type="http://schemas.openxmlformats.org/officeDocument/2006/relationships/hyperlink" Target="https://drive.google.com/file/d/1JgLqXm3q-SY7WNrLIv_e2ZGz86W2PWHI/view?usp=drivesdk" TargetMode="External"/><Relationship Id="rId1551" Type="http://schemas.openxmlformats.org/officeDocument/2006/relationships/hyperlink" Target="https://drive.google.com/file/d/1poRXXy_ZDhNH9X0SkERiQ3iL2hBTFQjT/view?usp=drivesdk" TargetMode="External"/><Relationship Id="rId2882" Type="http://schemas.openxmlformats.org/officeDocument/2006/relationships/hyperlink" Target="https://drive.google.com/file/d/1dBMLXM_oSF8bwqldVy5TGKUfsqEHxRsE/view?usp=drivesdk" TargetMode="External"/><Relationship Id="rId1552" Type="http://schemas.openxmlformats.org/officeDocument/2006/relationships/hyperlink" Target="http://b.sc/B.Com" TargetMode="External"/><Relationship Id="rId2883" Type="http://schemas.openxmlformats.org/officeDocument/2006/relationships/hyperlink" Target="https://drive.google.com/file/d/1b_gq_j1HFz_Y497RFZxX5_M2GFYr99zi/view?usp=drivesdk" TargetMode="External"/><Relationship Id="rId1553" Type="http://schemas.openxmlformats.org/officeDocument/2006/relationships/hyperlink" Target="https://drive.google.com/file/d/1ThYzmAB0NaKgcNYVmNuXANlyO_89Iauv/view?usp=drivesdk" TargetMode="External"/><Relationship Id="rId2884" Type="http://schemas.openxmlformats.org/officeDocument/2006/relationships/hyperlink" Target="https://drive.google.com/file/d/1za2qQijxoZC0t7wLFLeFS4SSLzZi90mo/view?usp=drivesdk" TargetMode="External"/><Relationship Id="rId1543" Type="http://schemas.openxmlformats.org/officeDocument/2006/relationships/hyperlink" Target="https://drive.google.com/file/d/1COGtUPhX657jgwmUDxkRSpsg0JDYFjZ5/view?usp=drivesdk" TargetMode="External"/><Relationship Id="rId2874" Type="http://schemas.openxmlformats.org/officeDocument/2006/relationships/hyperlink" Target="https://drive.google.com/file/d/1mnNEy2dNYSEB1vj02jLXCxDlJZhunMVS/view?usp=drivesdk" TargetMode="External"/><Relationship Id="rId1544" Type="http://schemas.openxmlformats.org/officeDocument/2006/relationships/hyperlink" Target="https://drive.google.com/file/d/14FHWOaD88_kxalFNy2btx2ulvBRanlaE/view?usp=drivesdk" TargetMode="External"/><Relationship Id="rId2875" Type="http://schemas.openxmlformats.org/officeDocument/2006/relationships/hyperlink" Target="https://drive.google.com/file/d/1lhmrjx81uV4O35tfluNjcl_-b0eIxgY0/view?usp=drivesdk" TargetMode="External"/><Relationship Id="rId1545" Type="http://schemas.openxmlformats.org/officeDocument/2006/relationships/hyperlink" Target="http://b.sc/B.Com" TargetMode="External"/><Relationship Id="rId2876" Type="http://schemas.openxmlformats.org/officeDocument/2006/relationships/hyperlink" Target="https://drive.google.com/file/d/1DvDGBxLdC1_TgMqSUJfuiXu0NuMIp6zQ/view?usp=drivesdk" TargetMode="External"/><Relationship Id="rId1546" Type="http://schemas.openxmlformats.org/officeDocument/2006/relationships/hyperlink" Target="https://drive.google.com/file/d/16Ilgt8l7cSbLWH8AiBrV1kq0V5VwEOOU/view?usp=drivesdk" TargetMode="External"/><Relationship Id="rId2877" Type="http://schemas.openxmlformats.org/officeDocument/2006/relationships/hyperlink" Target="https://drive.google.com/file/d/1a-koWjRFDgJBtIb44jZSZFjUocMgP0ZM/view?usp=drivesdk" TargetMode="External"/><Relationship Id="rId1547" Type="http://schemas.openxmlformats.org/officeDocument/2006/relationships/hyperlink" Target="https://drive.google.com/file/d/1hDVMg1mL2pTfCkWhMjFolaLXWBR8YbNI/view?usp=drivesdk" TargetMode="External"/><Relationship Id="rId2878" Type="http://schemas.openxmlformats.org/officeDocument/2006/relationships/hyperlink" Target="https://drive.google.com/file/d/1V89fNlbdwWb0hPa38RS44nOGqh8c-c5F/view?usp=drivesdk" TargetMode="External"/><Relationship Id="rId1548" Type="http://schemas.openxmlformats.org/officeDocument/2006/relationships/hyperlink" Target="https://drive.google.com/file/d/16HSb5VPPih6ME1NhwcRNsOJMFpQ8-4Wy/view?usp=drivesdk" TargetMode="External"/><Relationship Id="rId2879" Type="http://schemas.openxmlformats.org/officeDocument/2006/relationships/hyperlink" Target="https://drive.google.com/file/d/1kYXEcYUlLHt35jeqaaytwO3IUHkvcKgW/view?usp=drivesdk" TargetMode="External"/><Relationship Id="rId1549" Type="http://schemas.openxmlformats.org/officeDocument/2006/relationships/hyperlink" Target="https://drive.google.com/file/d/13_pSyky2rHWeR1_pEltadcMz_1gFtnsT/view?usp=drivesdk" TargetMode="External"/><Relationship Id="rId959" Type="http://schemas.openxmlformats.org/officeDocument/2006/relationships/hyperlink" Target="http://b.sc/B.Com" TargetMode="External"/><Relationship Id="rId954" Type="http://schemas.openxmlformats.org/officeDocument/2006/relationships/hyperlink" Target="https://drive.google.com/file/d/1zZ96HTVfZIj528kKmDY94QBpaF-oqhnL/view?usp=drivesdk" TargetMode="External"/><Relationship Id="rId953" Type="http://schemas.openxmlformats.org/officeDocument/2006/relationships/hyperlink" Target="https://drive.google.com/file/d/1TlYJe7M56u8x3tUX4CY2LG8ADiNY2NaS/view?usp=drivesdk" TargetMode="External"/><Relationship Id="rId952" Type="http://schemas.openxmlformats.org/officeDocument/2006/relationships/hyperlink" Target="https://drive.google.com/file/d/1TKgBCsk9nbkIkbNSARvFqD_ut6vSkvmm/view?usp=drivesdk" TargetMode="External"/><Relationship Id="rId951" Type="http://schemas.openxmlformats.org/officeDocument/2006/relationships/hyperlink" Target="https://drive.google.com/file/d/1uZms4d5UOeTHJvoe_n4nFjuJpGyieouc/view?usp=drivesdk" TargetMode="External"/><Relationship Id="rId958" Type="http://schemas.openxmlformats.org/officeDocument/2006/relationships/hyperlink" Target="https://drive.google.com/file/d/1SSINg63yFml2y9ZX02JrmQ0s9W0IiX1v/view?usp=drivesdk" TargetMode="External"/><Relationship Id="rId957" Type="http://schemas.openxmlformats.org/officeDocument/2006/relationships/hyperlink" Target="https://drive.google.com/file/d/12nzitjTb8D5-3dsVHTLE8HOAfJDLpd5_/view?usp=drivesdk" TargetMode="External"/><Relationship Id="rId956" Type="http://schemas.openxmlformats.org/officeDocument/2006/relationships/hyperlink" Target="https://drive.google.com/file/d/1UmG2Zm9D0A3_z7DNxbWVJsn3_5Jx2IuO/view?usp=drivesdk" TargetMode="External"/><Relationship Id="rId955" Type="http://schemas.openxmlformats.org/officeDocument/2006/relationships/hyperlink" Target="http://b.sc/B.Com" TargetMode="External"/><Relationship Id="rId950" Type="http://schemas.openxmlformats.org/officeDocument/2006/relationships/hyperlink" Target="https://drive.google.com/file/d/1y_7cYaz1dZG1-95wBmrQAOx0bHHvBByS/view?usp=drivesdk" TargetMode="External"/><Relationship Id="rId2870" Type="http://schemas.openxmlformats.org/officeDocument/2006/relationships/hyperlink" Target="https://drive.google.com/file/d/10tCHteJ3RdflxCU1ifrJ3cIorf4bvt4I/view?usp=drivesdk" TargetMode="External"/><Relationship Id="rId1540" Type="http://schemas.openxmlformats.org/officeDocument/2006/relationships/hyperlink" Target="https://drive.google.com/file/d/19DFf742uh7uKMo9iWWeR1PVYhzRclORd/view?usp=drivesdk" TargetMode="External"/><Relationship Id="rId2871" Type="http://schemas.openxmlformats.org/officeDocument/2006/relationships/hyperlink" Target="https://drive.google.com/file/d/1hvH5EHgj3te0zvsFSRd-alPJeY5RNZEe/view?usp=drivesdk" TargetMode="External"/><Relationship Id="rId1541" Type="http://schemas.openxmlformats.org/officeDocument/2006/relationships/hyperlink" Target="https://drive.google.com/file/d/1zz12_Qf7m8OPUKgTXvZewGFAQDXJ51LG/view?usp=drivesdk" TargetMode="External"/><Relationship Id="rId2872" Type="http://schemas.openxmlformats.org/officeDocument/2006/relationships/hyperlink" Target="https://drive.google.com/file/d/1bZ7GDecIyvIWYMdxdEpvDl67pKdI2ccW/view?usp=drivesdk" TargetMode="External"/><Relationship Id="rId1542" Type="http://schemas.openxmlformats.org/officeDocument/2006/relationships/hyperlink" Target="https://drive.google.com/file/d/14G6TUOGhzaPPlRH-ST7U9rUWKaanMAzY/view?usp=drivesdk" TargetMode="External"/><Relationship Id="rId2873" Type="http://schemas.openxmlformats.org/officeDocument/2006/relationships/hyperlink" Target="https://drive.google.com/file/d/131ZGP_uafibecnkgn4M13efwkwI6Arui/view?usp=drivesdk" TargetMode="External"/><Relationship Id="rId2027" Type="http://schemas.openxmlformats.org/officeDocument/2006/relationships/hyperlink" Target="https://drive.google.com/file/d/11W4Ts77pX_i1k28nClLV-MU07AtvlPJ5/view?usp=drivesdk" TargetMode="External"/><Relationship Id="rId2028" Type="http://schemas.openxmlformats.org/officeDocument/2006/relationships/hyperlink" Target="https://drive.google.com/file/d/1hjkDnPjG5dhkjFzkyS_2oqVQR2tLH_C0/view?usp=drivesdk" TargetMode="External"/><Relationship Id="rId2029" Type="http://schemas.openxmlformats.org/officeDocument/2006/relationships/hyperlink" Target="https://drive.google.com/file/d/1XRJavSISa7noFLKFT7yNo-BaQpFizx4j/view?usp=drivesdk" TargetMode="External"/><Relationship Id="rId107" Type="http://schemas.openxmlformats.org/officeDocument/2006/relationships/hyperlink" Target="https://drive.google.com/file/d/1gaEd6puHZlKFrGJ4xZFjN2Er3j-UjjcL/view?usp=drivesdk" TargetMode="External"/><Relationship Id="rId106" Type="http://schemas.openxmlformats.org/officeDocument/2006/relationships/hyperlink" Target="https://drive.google.com/file/d/1m7S2rvvPBmccCSJSYmQBd1AiV5ALDDqn/view?usp=drivesdk" TargetMode="External"/><Relationship Id="rId105" Type="http://schemas.openxmlformats.org/officeDocument/2006/relationships/hyperlink" Target="https://drive.google.com/file/d/1zi-_OebAggqrJ8mQYVJUusdp5xf_2DYz/view?usp=drivesdk" TargetMode="External"/><Relationship Id="rId104" Type="http://schemas.openxmlformats.org/officeDocument/2006/relationships/hyperlink" Target="https://drive.google.com/file/d/1nbKSjYw5fza6aICxiYsoMeAvm3yioBNs/view?usp=drivesdk" TargetMode="External"/><Relationship Id="rId109" Type="http://schemas.openxmlformats.org/officeDocument/2006/relationships/hyperlink" Target="https://drive.google.com/file/d/1bmuSE6mgd5Qo4Bw-odKuWhTqNxMqr3kd/view?usp=drivesdk" TargetMode="External"/><Relationship Id="rId108" Type="http://schemas.openxmlformats.org/officeDocument/2006/relationships/hyperlink" Target="https://drive.google.com/file/d/1w-HLniWP7wKSfPw8oEVcs8yY28Qm-OmI/view?usp=drivesdk" TargetMode="External"/><Relationship Id="rId2020" Type="http://schemas.openxmlformats.org/officeDocument/2006/relationships/hyperlink" Target="http://b.sc/B.Com" TargetMode="External"/><Relationship Id="rId2021" Type="http://schemas.openxmlformats.org/officeDocument/2006/relationships/hyperlink" Target="https://drive.google.com/file/d/1A7t24rG2UDLr2wqn9XgS68mw6oTAItxM/view?usp=drivesdk" TargetMode="External"/><Relationship Id="rId2022" Type="http://schemas.openxmlformats.org/officeDocument/2006/relationships/hyperlink" Target="https://drive.google.com/file/d/1k3UApTWG1jMJN2m7QEDa17gJn-AAeHBi/view?usp=drivesdk" TargetMode="External"/><Relationship Id="rId103" Type="http://schemas.openxmlformats.org/officeDocument/2006/relationships/hyperlink" Target="https://drive.google.com/file/d/18w4cGK8-k_1NIPV4PCad0AizKD8P1J-w/view?usp=drivesdk" TargetMode="External"/><Relationship Id="rId2023" Type="http://schemas.openxmlformats.org/officeDocument/2006/relationships/hyperlink" Target="https://drive.google.com/file/d/1BpNenldof3zSBTmpZhAaSplcR2S1ascC/view?usp=drivesdk" TargetMode="External"/><Relationship Id="rId102" Type="http://schemas.openxmlformats.org/officeDocument/2006/relationships/hyperlink" Target="https://drive.google.com/file/d/12CsVT7nl5AvuYA9QNHiPIDLd2yaoIXbv/view?usp=drivesdk" TargetMode="External"/><Relationship Id="rId2024" Type="http://schemas.openxmlformats.org/officeDocument/2006/relationships/hyperlink" Target="https://drive.google.com/file/d/1sv95LhE7NPc3hJPBPMbluxMgkK_Gukpz/view?usp=drivesdk" TargetMode="External"/><Relationship Id="rId101" Type="http://schemas.openxmlformats.org/officeDocument/2006/relationships/hyperlink" Target="https://drive.google.com/file/d/1_U9BOV_kvJhqYxU6KZ-__5SftHgDOS2B/view?usp=drivesdk" TargetMode="External"/><Relationship Id="rId2025" Type="http://schemas.openxmlformats.org/officeDocument/2006/relationships/hyperlink" Target="https://drive.google.com/file/d/1AXSDFugxBueZL6xmw87t2C6pTeTJHHkj/view?usp=drivesdk" TargetMode="External"/><Relationship Id="rId100" Type="http://schemas.openxmlformats.org/officeDocument/2006/relationships/hyperlink" Target="https://drive.google.com/file/d/1CR4hYfdj-9-M7ZQhTTM9K61kK0w5AktJ/view?usp=drivesdk" TargetMode="External"/><Relationship Id="rId2026" Type="http://schemas.openxmlformats.org/officeDocument/2006/relationships/hyperlink" Target="https://drive.google.com/file/d/1MnOsCh3Xh41ABa6YXvZzCD1tCcebDxkD/view?usp=drivesdk" TargetMode="External"/><Relationship Id="rId2016" Type="http://schemas.openxmlformats.org/officeDocument/2006/relationships/hyperlink" Target="https://drive.google.com/file/d/1keDEPjRG99VsR_L2YulrQ62BeGESKq7U/view?usp=drivesdk" TargetMode="External"/><Relationship Id="rId2017" Type="http://schemas.openxmlformats.org/officeDocument/2006/relationships/hyperlink" Target="http://b.sc/B.Com" TargetMode="External"/><Relationship Id="rId3347" Type="http://schemas.openxmlformats.org/officeDocument/2006/relationships/table" Target="../tables/table1.xml"/><Relationship Id="rId2018" Type="http://schemas.openxmlformats.org/officeDocument/2006/relationships/hyperlink" Target="https://drive.google.com/file/d/1eBPB_FTOS93unnExyQjEJZMtHdVTPCUF/view?usp=drivesdk" TargetMode="External"/><Relationship Id="rId2019" Type="http://schemas.openxmlformats.org/officeDocument/2006/relationships/hyperlink" Target="https://drive.google.com/file/d/19dCqKoTi21wT-AVU6Bom407PGVDEPGcg/view?usp=drivesdk" TargetMode="External"/><Relationship Id="rId3340" Type="http://schemas.openxmlformats.org/officeDocument/2006/relationships/hyperlink" Target="https://drive.google.com/file/d/1OfY5JqW7hlZG_kR3-lngw2GQ1TXxCIHD/view?usp=drivesdk" TargetMode="External"/><Relationship Id="rId2010" Type="http://schemas.openxmlformats.org/officeDocument/2006/relationships/hyperlink" Target="https://drive.google.com/file/d/1QymUj8epVG5W9n6Fq1kjc2TyD7hIug4N/view?usp=drivesdk" TargetMode="External"/><Relationship Id="rId3342" Type="http://schemas.openxmlformats.org/officeDocument/2006/relationships/hyperlink" Target="https://drive.google.com/file/d/1sRUaYZJNIgF-EDl_I3usNvP3FpRKR43C/view?usp=drivesdk" TargetMode="External"/><Relationship Id="rId2011" Type="http://schemas.openxmlformats.org/officeDocument/2006/relationships/hyperlink" Target="https://drive.google.com/file/d/1lNq1ax4staoz_nXt1Ny1xWS_lQ3Ra-kD/view?usp=drivesdk" TargetMode="External"/><Relationship Id="rId3341" Type="http://schemas.openxmlformats.org/officeDocument/2006/relationships/hyperlink" Target="https://drive.google.com/file/d/1pBUdDcqapakXgCa5X_iZm_bI5ZQVASet/view?usp=drivesdk" TargetMode="External"/><Relationship Id="rId2012" Type="http://schemas.openxmlformats.org/officeDocument/2006/relationships/hyperlink" Target="https://drive.google.com/file/d/1VkZHyhdF3cAxhTnxA6tOLHajDrQ5YELo/view?usp=drivesdk" TargetMode="External"/><Relationship Id="rId3344" Type="http://schemas.openxmlformats.org/officeDocument/2006/relationships/hyperlink" Target="https://drive.google.com/file/d/11AB8BlwNR__YJrCLuo3UIC9e6MhfRHtS/view?usp=drivesdk" TargetMode="External"/><Relationship Id="rId2013" Type="http://schemas.openxmlformats.org/officeDocument/2006/relationships/hyperlink" Target="https://drive.google.com/file/d/19ttb9IYGLqU2kQR7IE1oivvr--C3CEgL/view?usp=drivesdk" TargetMode="External"/><Relationship Id="rId3343" Type="http://schemas.openxmlformats.org/officeDocument/2006/relationships/hyperlink" Target="https://drive.google.com/file/d/1u78KrQKtcrPT5_PTv5Bmylo2jz_9Rqre/view?usp=drivesdk" TargetMode="External"/><Relationship Id="rId2014" Type="http://schemas.openxmlformats.org/officeDocument/2006/relationships/hyperlink" Target="https://drive.google.com/file/d/1AaFdXwhAxMn7_teZ1mW6ZWLldzD6VvXN/view?usp=drivesdk" TargetMode="External"/><Relationship Id="rId2015" Type="http://schemas.openxmlformats.org/officeDocument/2006/relationships/hyperlink" Target="https://drive.google.com/file/d/1fKwM0uGQv9XEzEiHd3pB_70SLvqa01Ad/view?usp=drivesdk" TargetMode="External"/><Relationship Id="rId3345" Type="http://schemas.openxmlformats.org/officeDocument/2006/relationships/drawing" Target="../drawings/drawing1.xml"/><Relationship Id="rId2049" Type="http://schemas.openxmlformats.org/officeDocument/2006/relationships/hyperlink" Target="https://drive.google.com/file/d/1hN1yLJDtT_NAC2MBt2n0UYVoFCQ6t1H8/view?usp=drivesdk" TargetMode="External"/><Relationship Id="rId129" Type="http://schemas.openxmlformats.org/officeDocument/2006/relationships/hyperlink" Target="https://drive.google.com/file/d/1loUhQPyX9yXY7nmmiWr8LbsZeb1j8E-d/view?usp=drivesdk" TargetMode="External"/><Relationship Id="rId128" Type="http://schemas.openxmlformats.org/officeDocument/2006/relationships/hyperlink" Target="https://drive.google.com/file/d/1DMh84xAK8YMjrOuo-b3TJvfkgcRPIKg3/view?usp=drivesdk" TargetMode="External"/><Relationship Id="rId127" Type="http://schemas.openxmlformats.org/officeDocument/2006/relationships/hyperlink" Target="https://drive.google.com/file/d/1Anh1CyiOvjOBp2KwZfdjvJLUTuVrsfI1/view?usp=drivesdk" TargetMode="External"/><Relationship Id="rId126" Type="http://schemas.openxmlformats.org/officeDocument/2006/relationships/hyperlink" Target="https://drive.google.com/file/d/1wj3n78fcbGNeKPNNCoSjaxX6ZlaAiTrU/view?usp=drivesdk" TargetMode="External"/><Relationship Id="rId2040" Type="http://schemas.openxmlformats.org/officeDocument/2006/relationships/hyperlink" Target="https://drive.google.com/file/d/1Q_qDvyZ-B7m-uzTWCL33h2dYhPNT09Rr/view?usp=drivesdk" TargetMode="External"/><Relationship Id="rId121" Type="http://schemas.openxmlformats.org/officeDocument/2006/relationships/hyperlink" Target="https://drive.google.com/file/d/1NKQYxb9eFyTVK5AV9V_QG4icLXfEhAbl/view?usp=drivesdk" TargetMode="External"/><Relationship Id="rId2041" Type="http://schemas.openxmlformats.org/officeDocument/2006/relationships/hyperlink" Target="https://drive.google.com/file/d/1F0SUdLSrVUG2kDu8vKgOzgmIQ-KsCiMM/view?usp=drivesdk" TargetMode="External"/><Relationship Id="rId120" Type="http://schemas.openxmlformats.org/officeDocument/2006/relationships/hyperlink" Target="https://drive.google.com/file/d/1MAZfmM44CelY1Bf_PjJiiKthhs7ne804/view?usp=drivesdk" TargetMode="External"/><Relationship Id="rId2042" Type="http://schemas.openxmlformats.org/officeDocument/2006/relationships/hyperlink" Target="https://drive.google.com/file/d/1NvQ0-Zu1tjJNNvgTQGHXN71d4PQZsIe5/view?usp=drivesdk" TargetMode="External"/><Relationship Id="rId2043" Type="http://schemas.openxmlformats.org/officeDocument/2006/relationships/hyperlink" Target="https://drive.google.com/file/d/1rl4gzQqJwrk666dbWgdsMVoLylHf24M-/view?usp=drivesdk" TargetMode="External"/><Relationship Id="rId2044" Type="http://schemas.openxmlformats.org/officeDocument/2006/relationships/hyperlink" Target="https://drive.google.com/file/d/1VjV9PpJiHccbrYQ7nidM6YSHoY9bSA2Q/view?usp=drivesdk" TargetMode="External"/><Relationship Id="rId125" Type="http://schemas.openxmlformats.org/officeDocument/2006/relationships/hyperlink" Target="https://drive.google.com/file/d/1IxlxNZHwtZlMrJRWbHkrEPmTMl1rfB5e/view?usp=drivesdk" TargetMode="External"/><Relationship Id="rId2045" Type="http://schemas.openxmlformats.org/officeDocument/2006/relationships/hyperlink" Target="https://drive.google.com/file/d/1PCKAvHpQ_C1IJ2yMKFPjxKUvLzEFtwCs/view?usp=drivesdk" TargetMode="External"/><Relationship Id="rId124" Type="http://schemas.openxmlformats.org/officeDocument/2006/relationships/hyperlink" Target="https://drive.google.com/file/d/1ZhIIROqJY8Pw_qoe5FyK5iCVvtDHdv41/view?usp=drivesdk" TargetMode="External"/><Relationship Id="rId2046" Type="http://schemas.openxmlformats.org/officeDocument/2006/relationships/hyperlink" Target="https://drive.google.com/file/d/1C--K5DTbdTdrlkrvaDId6eIRlaH9CpuK/view?usp=drivesdk" TargetMode="External"/><Relationship Id="rId123" Type="http://schemas.openxmlformats.org/officeDocument/2006/relationships/hyperlink" Target="https://drive.google.com/file/d/1izUfeuDqkfHWfC0nDnTk5z6pZvd8M0lr/view?usp=drivesdk" TargetMode="External"/><Relationship Id="rId2047" Type="http://schemas.openxmlformats.org/officeDocument/2006/relationships/hyperlink" Target="https://drive.google.com/file/d/1J2M_h5m1QQBIDQeSZhin7KGkyneudpNS/view?usp=drivesdk" TargetMode="External"/><Relationship Id="rId122" Type="http://schemas.openxmlformats.org/officeDocument/2006/relationships/hyperlink" Target="https://drive.google.com/file/d/1H3PQugm7W-qVLnjsMYopqbVhr7B8701I/view?usp=drivesdk" TargetMode="External"/><Relationship Id="rId2048" Type="http://schemas.openxmlformats.org/officeDocument/2006/relationships/hyperlink" Target="https://drive.google.com/file/d/1SAQw6AgIy6DFdHEREd7QF9Mtna1yRcH4/view?usp=drivesdk" TargetMode="External"/><Relationship Id="rId2038" Type="http://schemas.openxmlformats.org/officeDocument/2006/relationships/hyperlink" Target="https://drive.google.com/file/d/1TmCX6jsX2YNUmr7R2UIwE4oi0PfiTvMs/view?usp=drivesdk" TargetMode="External"/><Relationship Id="rId2039" Type="http://schemas.openxmlformats.org/officeDocument/2006/relationships/hyperlink" Target="https://drive.google.com/file/d/1oOCBG_ZivJhoku1ncBc0wPEhotxkn5KK/view?usp=drivesdk" TargetMode="External"/><Relationship Id="rId118" Type="http://schemas.openxmlformats.org/officeDocument/2006/relationships/hyperlink" Target="https://drive.google.com/file/d/1DrQeLDDiniegs6zDyz_jrAtQaamFx8Z9/view?usp=drivesdk" TargetMode="External"/><Relationship Id="rId117" Type="http://schemas.openxmlformats.org/officeDocument/2006/relationships/hyperlink" Target="https://drive.google.com/file/d/1wpu3ptQdIpE0N1SPl-V6bFxY6RxqH7mL/view?usp=drivesdk" TargetMode="External"/><Relationship Id="rId116" Type="http://schemas.openxmlformats.org/officeDocument/2006/relationships/hyperlink" Target="https://drive.google.com/file/d/1QJrXy6Jhji8a_v6ISFn3JwB83EAtiU3D/view?usp=drivesdk" TargetMode="External"/><Relationship Id="rId115" Type="http://schemas.openxmlformats.org/officeDocument/2006/relationships/hyperlink" Target="https://drive.google.com/file/d/1H74EYZkT3r5YxuvcEe7Oo966e6Xf3quo/view?usp=drivesdk" TargetMode="External"/><Relationship Id="rId119" Type="http://schemas.openxmlformats.org/officeDocument/2006/relationships/hyperlink" Target="https://drive.google.com/file/d/1DN3lFtx3ooQyIDtYc6pDJnfBlWUpBU-F/view?usp=drivesdk" TargetMode="External"/><Relationship Id="rId110" Type="http://schemas.openxmlformats.org/officeDocument/2006/relationships/hyperlink" Target="https://drive.google.com/file/d/1iYJP8TSLBQuEITPRm-DEP-ejPrWXO47C/view?usp=drivesdk" TargetMode="External"/><Relationship Id="rId2030" Type="http://schemas.openxmlformats.org/officeDocument/2006/relationships/hyperlink" Target="https://drive.google.com/file/d/1uQXYcL80_VAWdDoAJdj2XnjuK6Sl8PJQ/view?usp=drivesdk" TargetMode="External"/><Relationship Id="rId2031" Type="http://schemas.openxmlformats.org/officeDocument/2006/relationships/hyperlink" Target="https://drive.google.com/file/d/12Ws4TDRE2S8i_c9viR7CqSBM2v-SV4oW/view?usp=drivesdk" TargetMode="External"/><Relationship Id="rId2032" Type="http://schemas.openxmlformats.org/officeDocument/2006/relationships/hyperlink" Target="https://drive.google.com/file/d/1oT76pzbOTEP4Wpj1eBNbJICV3wk5ZUsL/view?usp=drivesdk" TargetMode="External"/><Relationship Id="rId2033" Type="http://schemas.openxmlformats.org/officeDocument/2006/relationships/hyperlink" Target="https://drive.google.com/file/d/1l1Iz2poLlkRTPLUv44PFDcO2OcIS0V9m/view?usp=drivesdk" TargetMode="External"/><Relationship Id="rId114" Type="http://schemas.openxmlformats.org/officeDocument/2006/relationships/hyperlink" Target="https://drive.google.com/file/d/1-Ps2ZfKHGvCa5BwfxPt_DVNWGQbl_Hcz/view?usp=drivesdk" TargetMode="External"/><Relationship Id="rId2034" Type="http://schemas.openxmlformats.org/officeDocument/2006/relationships/hyperlink" Target="https://drive.google.com/file/d/1aIUjBIPaKtJ-jO6EmxbjNq7fRrOkqCu4/view?usp=drivesdk" TargetMode="External"/><Relationship Id="rId113" Type="http://schemas.openxmlformats.org/officeDocument/2006/relationships/hyperlink" Target="https://drive.google.com/file/d/1xIkI4AAWMDonVEWy5osDlR0OtLErmvGG/view?usp=drivesdk" TargetMode="External"/><Relationship Id="rId2035" Type="http://schemas.openxmlformats.org/officeDocument/2006/relationships/hyperlink" Target="https://drive.google.com/file/d/1N7EPjwqaT2Re85j7rPz9DYIk8fnE1xin/view?usp=drivesdk" TargetMode="External"/><Relationship Id="rId112" Type="http://schemas.openxmlformats.org/officeDocument/2006/relationships/hyperlink" Target="https://drive.google.com/file/d/1WmE1jWAE8X2jWt2T4zpA2zS7Cc-vd7xb/view?usp=drivesdk" TargetMode="External"/><Relationship Id="rId2036" Type="http://schemas.openxmlformats.org/officeDocument/2006/relationships/hyperlink" Target="https://drive.google.com/file/d/1LrQE1ymFZ3vSm8Uf7NRch6SwpQZbtZuE/view?usp=drivesdk" TargetMode="External"/><Relationship Id="rId111" Type="http://schemas.openxmlformats.org/officeDocument/2006/relationships/hyperlink" Target="https://drive.google.com/file/d/1X3svtwYkrhEqlNtJN0Buhztmi-U42ZuK/view?usp=drivesdk" TargetMode="External"/><Relationship Id="rId2037" Type="http://schemas.openxmlformats.org/officeDocument/2006/relationships/hyperlink" Target="https://drive.google.com/file/d/1AtlPBrc8ILeGAbYoIxiawjqvi4t6mYUF/view?usp=drivesdk" TargetMode="External"/><Relationship Id="rId3315" Type="http://schemas.openxmlformats.org/officeDocument/2006/relationships/hyperlink" Target="https://drive.google.com/file/d/1VHPBCxpUxS2J3bby9q5l-7b3H6-ArGKr/view?usp=drivesdk" TargetMode="External"/><Relationship Id="rId3314" Type="http://schemas.openxmlformats.org/officeDocument/2006/relationships/hyperlink" Target="https://drive.google.com/file/d/1qSHD3MZKOXYx9K3-hLmesMnrPwcX61Yl/view?usp=drivesdk" TargetMode="External"/><Relationship Id="rId3317" Type="http://schemas.openxmlformats.org/officeDocument/2006/relationships/hyperlink" Target="https://drive.google.com/file/d/1_z0J3ujixCvObmjGNlb__eXYocj1qhUy/view?usp=drivesdk" TargetMode="External"/><Relationship Id="rId3316" Type="http://schemas.openxmlformats.org/officeDocument/2006/relationships/hyperlink" Target="https://drive.google.com/file/d/1V5isuHEr5Q2yv5vw0JKrOuXcMRBOya_X/view?usp=drivesdk" TargetMode="External"/><Relationship Id="rId3319" Type="http://schemas.openxmlformats.org/officeDocument/2006/relationships/hyperlink" Target="https://drive.google.com/file/d/156pqnnT3Dd4wAeXP2k-xiljkVgUZ6PQT/view?usp=drivesdk" TargetMode="External"/><Relationship Id="rId3318" Type="http://schemas.openxmlformats.org/officeDocument/2006/relationships/hyperlink" Target="https://drive.google.com/file/d/18XLnayxDCD9FmHNaJHXr3sli1eKbZkpL/view?usp=drivesdk" TargetMode="External"/><Relationship Id="rId3311" Type="http://schemas.openxmlformats.org/officeDocument/2006/relationships/hyperlink" Target="https://drive.google.com/file/d/1-Mj2MDTKjeS-wyfg4kZYVkATbYGnoEMp/view?usp=drivesdk" TargetMode="External"/><Relationship Id="rId3310" Type="http://schemas.openxmlformats.org/officeDocument/2006/relationships/hyperlink" Target="https://drive.google.com/file/d/1cnblJuq-qeT251lQ43hCVIeFxOj-cavG/view?usp=drivesdk" TargetMode="External"/><Relationship Id="rId3313" Type="http://schemas.openxmlformats.org/officeDocument/2006/relationships/hyperlink" Target="https://drive.google.com/file/d/1zII_F5JP-ekuUCKiPLNOpWM-F7_YEtXC/view?usp=drivesdk" TargetMode="External"/><Relationship Id="rId3312" Type="http://schemas.openxmlformats.org/officeDocument/2006/relationships/hyperlink" Target="https://drive.google.com/file/d/1f3cgQyT_1E7S_4jn0UtTct7z3jP2Sa6i/view?usp=drivesdk" TargetMode="External"/><Relationship Id="rId3304" Type="http://schemas.openxmlformats.org/officeDocument/2006/relationships/hyperlink" Target="https://drive.google.com/file/d/1HLi_QLlz62w0o2HY6Pn9gqDAg8zyABhA/view?usp=drivesdk" TargetMode="External"/><Relationship Id="rId3303" Type="http://schemas.openxmlformats.org/officeDocument/2006/relationships/hyperlink" Target="https://drive.google.com/file/d/1wv6b7qh2cl1KpshV4iDTfzj2NqT3sdkx/view?usp=drivesdk" TargetMode="External"/><Relationship Id="rId3306" Type="http://schemas.openxmlformats.org/officeDocument/2006/relationships/hyperlink" Target="https://drive.google.com/file/d/1cS7WDDW4sjfy50jqdDvJsPLkInd6DzIy/view?usp=drivesdk" TargetMode="External"/><Relationship Id="rId3305" Type="http://schemas.openxmlformats.org/officeDocument/2006/relationships/hyperlink" Target="https://drive.google.com/file/d/1HXCQWzVxAqp6uX03wslS9BLbOERErmsb/view?usp=drivesdk" TargetMode="External"/><Relationship Id="rId3308" Type="http://schemas.openxmlformats.org/officeDocument/2006/relationships/hyperlink" Target="https://drive.google.com/file/d/1uJSSeL9TxIUBo6BK_a8jwvONgH32Yp7E/view?usp=drivesdk" TargetMode="External"/><Relationship Id="rId3307" Type="http://schemas.openxmlformats.org/officeDocument/2006/relationships/hyperlink" Target="https://drive.google.com/file/d/1I8sUlPG7kMxKuH0Vr9HIsvml65PIo8Qv/view?usp=drivesdk" TargetMode="External"/><Relationship Id="rId3309" Type="http://schemas.openxmlformats.org/officeDocument/2006/relationships/hyperlink" Target="https://drive.google.com/file/d/1QPidxzr9ALZOGaW1QYazhGYwfoRJEWvV/view?usp=drivesdk" TargetMode="External"/><Relationship Id="rId3300" Type="http://schemas.openxmlformats.org/officeDocument/2006/relationships/hyperlink" Target="https://drive.google.com/file/d/1gZgEGr6Ry_lQ6Mg6n4S4kWc6p07VrawI/view?usp=drivesdk" TargetMode="External"/><Relationship Id="rId3302" Type="http://schemas.openxmlformats.org/officeDocument/2006/relationships/hyperlink" Target="https://drive.google.com/file/d/18agOA-zwmwX5oOi01ivxSakd8NmZRUXq/view?usp=drivesdk" TargetMode="External"/><Relationship Id="rId3301" Type="http://schemas.openxmlformats.org/officeDocument/2006/relationships/hyperlink" Target="https://drive.google.com/file/d/1Nrl7wZOQIDQqr9NZOcNbq1ldb3S7Dhou/view?usp=drivesdk" TargetMode="External"/><Relationship Id="rId2005" Type="http://schemas.openxmlformats.org/officeDocument/2006/relationships/hyperlink" Target="https://drive.google.com/file/d/1NQKXLFBFzlNovSelWsmMZavOxtOlybb1/view?usp=drivesdk" TargetMode="External"/><Relationship Id="rId3337" Type="http://schemas.openxmlformats.org/officeDocument/2006/relationships/hyperlink" Target="https://drive.google.com/file/d/1WsglIfYL0ptIdu0rP9oCQGwHlNIIV-xW/view?usp=drivesdk" TargetMode="External"/><Relationship Id="rId2006" Type="http://schemas.openxmlformats.org/officeDocument/2006/relationships/hyperlink" Target="https://drive.google.com/file/d/1B_3owxImOA2AUzAX-jGxR-qSufTs5NUf/view?usp=drivesdk" TargetMode="External"/><Relationship Id="rId3336" Type="http://schemas.openxmlformats.org/officeDocument/2006/relationships/hyperlink" Target="https://drive.google.com/file/d/1ZLaVgCWFBw89Nu49EAu3tE6D-sZ1Vbnw/view?usp=drivesdk" TargetMode="External"/><Relationship Id="rId2007" Type="http://schemas.openxmlformats.org/officeDocument/2006/relationships/hyperlink" Target="https://drive.google.com/file/d/1uNJ0vHfodsMth1MQfQGVWaIiH05PbsU8/view?usp=drivesdk" TargetMode="External"/><Relationship Id="rId3339" Type="http://schemas.openxmlformats.org/officeDocument/2006/relationships/hyperlink" Target="https://drive.google.com/file/d/1i5Io8u17N0iyhaCXYGRaxkRNAo2maR4V/view?usp=drivesdk" TargetMode="External"/><Relationship Id="rId2008" Type="http://schemas.openxmlformats.org/officeDocument/2006/relationships/hyperlink" Target="https://drive.google.com/file/d/173EIs_LmgZ23iqRe59IfkPrJmIDOgCv1/view?usp=drivesdk" TargetMode="External"/><Relationship Id="rId3338" Type="http://schemas.openxmlformats.org/officeDocument/2006/relationships/hyperlink" Target="https://drive.google.com/file/d/1Y6CkuTPSDEi9BpDk2HLA6buXVls7vyL6/view?usp=drivesdk" TargetMode="External"/><Relationship Id="rId2009" Type="http://schemas.openxmlformats.org/officeDocument/2006/relationships/hyperlink" Target="https://drive.google.com/file/d/1u4dtMuIKdwJ2cOCgBok0JysBCZifU5xN/view?usp=drivesdk" TargetMode="External"/><Relationship Id="rId3331" Type="http://schemas.openxmlformats.org/officeDocument/2006/relationships/hyperlink" Target="https://drive.google.com/file/d/1XL7bmm0wI1tSyjdv_JQ1IxuM7RHvWiIY/view?usp=drivesdk" TargetMode="External"/><Relationship Id="rId2000" Type="http://schemas.openxmlformats.org/officeDocument/2006/relationships/hyperlink" Target="https://drive.google.com/file/d/1pp6lC00ZUD4J31QjQuw3LbFn-pZ2pZG-/view?usp=drivesdk" TargetMode="External"/><Relationship Id="rId3330" Type="http://schemas.openxmlformats.org/officeDocument/2006/relationships/hyperlink" Target="https://drive.google.com/file/d/1R5EkdYdvGeu8uHG04LGba0mALA_eVW3G/view?usp=drivesdk" TargetMode="External"/><Relationship Id="rId2001" Type="http://schemas.openxmlformats.org/officeDocument/2006/relationships/hyperlink" Target="https://drive.google.com/file/d/1tj5PKvfuupvca9xtHUeW-lZeOIJT5SNk/view?usp=drivesdk" TargetMode="External"/><Relationship Id="rId3333" Type="http://schemas.openxmlformats.org/officeDocument/2006/relationships/hyperlink" Target="https://drive.google.com/file/d/1lcOwn7_da_OibdobiSCwNOUtjm7LD0Av/view?usp=drivesdk" TargetMode="External"/><Relationship Id="rId2002" Type="http://schemas.openxmlformats.org/officeDocument/2006/relationships/hyperlink" Target="https://drive.google.com/file/d/1sfy8WzUPsYjEG7ccldqTtYZo7r0pBJre/view?usp=drivesdk" TargetMode="External"/><Relationship Id="rId3332" Type="http://schemas.openxmlformats.org/officeDocument/2006/relationships/hyperlink" Target="https://drive.google.com/file/d/1yIyjC1hmbO2cUM4XzGjf4YeU9beID53G/view?usp=drivesdk" TargetMode="External"/><Relationship Id="rId2003" Type="http://schemas.openxmlformats.org/officeDocument/2006/relationships/hyperlink" Target="https://drive.google.com/file/d/10D-JSWroSXqxkLWWn687NNePKEmZlJry/view?usp=drivesdk" TargetMode="External"/><Relationship Id="rId3335" Type="http://schemas.openxmlformats.org/officeDocument/2006/relationships/hyperlink" Target="https://drive.google.com/file/d/1I2jasS67jkhIWL5_iDNnV_3imUd6czjD/view?usp=drivesdk" TargetMode="External"/><Relationship Id="rId2004" Type="http://schemas.openxmlformats.org/officeDocument/2006/relationships/hyperlink" Target="https://drive.google.com/file/d/1Ey_b7J3hgVbAJbx0YKsumYwP3Vvps2qi/view?usp=drivesdk" TargetMode="External"/><Relationship Id="rId3334" Type="http://schemas.openxmlformats.org/officeDocument/2006/relationships/hyperlink" Target="https://drive.google.com/file/d/17gPbcpfOfXxTnjiSm8Lu0R3GTqk9O1UQ/view?usp=drivesdk" TargetMode="External"/><Relationship Id="rId3326" Type="http://schemas.openxmlformats.org/officeDocument/2006/relationships/hyperlink" Target="https://drive.google.com/file/d/1gwxhY4Bs0CnW_um_j-wTQBYHbfWcIFk2/view?usp=drivesdk" TargetMode="External"/><Relationship Id="rId3325" Type="http://schemas.openxmlformats.org/officeDocument/2006/relationships/hyperlink" Target="https://drive.google.com/file/d/1l7HxBXpuq38KINJwbiFvdAnaNp_p6jcU/view?usp=drivesdk" TargetMode="External"/><Relationship Id="rId3328" Type="http://schemas.openxmlformats.org/officeDocument/2006/relationships/hyperlink" Target="https://drive.google.com/file/d/1pr2yPcD2_3MRM25KDeycEf7ZwW-Lxpvz/view?usp=drivesdk" TargetMode="External"/><Relationship Id="rId3327" Type="http://schemas.openxmlformats.org/officeDocument/2006/relationships/hyperlink" Target="https://drive.google.com/file/d/18YMx-lI0jRfMPZ_PHgAnqCi6-KggWHN7/view?usp=drivesdk" TargetMode="External"/><Relationship Id="rId3329" Type="http://schemas.openxmlformats.org/officeDocument/2006/relationships/hyperlink" Target="https://drive.google.com/file/d/1RkwhlNVNLGNd-HSgsa_G5ldg0Ed30uuD/view?usp=drivesdk" TargetMode="External"/><Relationship Id="rId3320" Type="http://schemas.openxmlformats.org/officeDocument/2006/relationships/hyperlink" Target="https://drive.google.com/file/d/1LRdsqnlmfPZHHDEQfWRqObibonSW0cAR/view?usp=drivesdk" TargetMode="External"/><Relationship Id="rId3322" Type="http://schemas.openxmlformats.org/officeDocument/2006/relationships/hyperlink" Target="https://drive.google.com/file/d/1k27igHGY-uydqtYKfAG3X3Nf4hLWNsQO/view?usp=drivesdk" TargetMode="External"/><Relationship Id="rId3321" Type="http://schemas.openxmlformats.org/officeDocument/2006/relationships/hyperlink" Target="https://drive.google.com/file/d/1l8SvHnHMazRAsp1oIBgzRdoGhlvL7O5M/view?usp=drivesdk" TargetMode="External"/><Relationship Id="rId3324" Type="http://schemas.openxmlformats.org/officeDocument/2006/relationships/hyperlink" Target="https://drive.google.com/file/d/1q7roBGcqJExZKIWbgY1ZFsrbyrcK6vau/view?usp=drivesdk" TargetMode="External"/><Relationship Id="rId3323" Type="http://schemas.openxmlformats.org/officeDocument/2006/relationships/hyperlink" Target="https://drive.google.com/file/d/1_CcGwYPdKNKHrkSnuAmOW0qd3MKQEbRa/view?usp=drivesdk" TargetMode="External"/><Relationship Id="rId2090" Type="http://schemas.openxmlformats.org/officeDocument/2006/relationships/hyperlink" Target="https://drive.google.com/file/d/1wT2_FQhqrn0BogSmWTqExBgoKuFxScra/view?usp=drivesdk" TargetMode="External"/><Relationship Id="rId2091" Type="http://schemas.openxmlformats.org/officeDocument/2006/relationships/hyperlink" Target="https://drive.google.com/file/d/1Gr3JPok2hX9NZMU-xETUCuV0B9qOUSDP/view?usp=drivesdk" TargetMode="External"/><Relationship Id="rId2092" Type="http://schemas.openxmlformats.org/officeDocument/2006/relationships/hyperlink" Target="https://drive.google.com/file/d/1k7f640HVH_kIcOCpd3xNTauysTGgYYQc/view?usp=drivesdk" TargetMode="External"/><Relationship Id="rId2093" Type="http://schemas.openxmlformats.org/officeDocument/2006/relationships/hyperlink" Target="https://drive.google.com/file/d/1DGMYuSFw7OJWKnxj_CPjdaEiDuUeiubJ/view?usp=drivesdk" TargetMode="External"/><Relationship Id="rId2094" Type="http://schemas.openxmlformats.org/officeDocument/2006/relationships/hyperlink" Target="https://drive.google.com/file/d/1mZNmvSdFgV5-SdpYg-nFaYA_UFGgoEGp/view?usp=drivesdk" TargetMode="External"/><Relationship Id="rId2095" Type="http://schemas.openxmlformats.org/officeDocument/2006/relationships/hyperlink" Target="https://drive.google.com/file/d/1JmAe4QSNFZ_Qp2zmKSBEdWN3m7SPA5E8/view?usp=drivesdk" TargetMode="External"/><Relationship Id="rId2096" Type="http://schemas.openxmlformats.org/officeDocument/2006/relationships/hyperlink" Target="https://drive.google.com/file/d/1ga_-yUUgmuvqw1nHGYMlIhEnMOayiu26/view?usp=drivesdk" TargetMode="External"/><Relationship Id="rId2097" Type="http://schemas.openxmlformats.org/officeDocument/2006/relationships/hyperlink" Target="https://drive.google.com/file/d/1_EfHxy3Nhp2UBD8Lj1r1-2QSG_dotBL_/view?usp=drivesdk" TargetMode="External"/><Relationship Id="rId2098" Type="http://schemas.openxmlformats.org/officeDocument/2006/relationships/hyperlink" Target="https://drive.google.com/file/d/14CQgX2M9N-CEP9fn-z16Lyr2B_OzCes2/view?usp=drivesdk" TargetMode="External"/><Relationship Id="rId2099" Type="http://schemas.openxmlformats.org/officeDocument/2006/relationships/hyperlink" Target="https://drive.google.com/file/d/16n1aaNI2vuL0CbS4DV7UJ9nBzXhJk4Cf/view?usp=drivesdk" TargetMode="External"/><Relationship Id="rId2060" Type="http://schemas.openxmlformats.org/officeDocument/2006/relationships/hyperlink" Target="https://drive.google.com/file/d/1xwrRACzLNbn4AXmht1Db7sVUgNQYGdQx/view?usp=drivesdk" TargetMode="External"/><Relationship Id="rId2061" Type="http://schemas.openxmlformats.org/officeDocument/2006/relationships/hyperlink" Target="https://drive.google.com/file/d/1LRzL37wMafhyTrtl_IwtpJEKUeZZEtAZ/view?usp=drivesdk" TargetMode="External"/><Relationship Id="rId2062" Type="http://schemas.openxmlformats.org/officeDocument/2006/relationships/hyperlink" Target="https://drive.google.com/file/d/1bki6GhNGUPZyCVvpqREFj1F63suwKaaC/view?usp=drivesdk" TargetMode="External"/><Relationship Id="rId2063" Type="http://schemas.openxmlformats.org/officeDocument/2006/relationships/hyperlink" Target="https://drive.google.com/file/d/15WPr04ek-HbF8owWVN1lFA9MrnviXXXG/view?usp=drivesdk" TargetMode="External"/><Relationship Id="rId2064" Type="http://schemas.openxmlformats.org/officeDocument/2006/relationships/hyperlink" Target="https://drive.google.com/file/d/1KZc9hV7CyqpOvjyXmRxh7626zD4BmAUe/view?usp=drivesdk" TargetMode="External"/><Relationship Id="rId2065" Type="http://schemas.openxmlformats.org/officeDocument/2006/relationships/hyperlink" Target="https://drive.google.com/file/d/1O8HdRcc0_nHm92fLfDPRZ1OxQ2Y1vdNY/view?usp=drivesdk" TargetMode="External"/><Relationship Id="rId2066" Type="http://schemas.openxmlformats.org/officeDocument/2006/relationships/hyperlink" Target="https://drive.google.com/file/d/1K2kZDrXPdjr20svuoiROpW67L2h_sIEH/view?usp=drivesdk" TargetMode="External"/><Relationship Id="rId2067" Type="http://schemas.openxmlformats.org/officeDocument/2006/relationships/hyperlink" Target="https://drive.google.com/file/d/1MqYeM6E8Okxz2pM0dgtCmmGQLrb0rDm2/view?usp=drivesdk" TargetMode="External"/><Relationship Id="rId2068" Type="http://schemas.openxmlformats.org/officeDocument/2006/relationships/hyperlink" Target="https://drive.google.com/file/d/1GnBv5B6Ac-srOT6Mgnz02V7ZiMZYs--h/view?usp=drivesdk" TargetMode="External"/><Relationship Id="rId2069" Type="http://schemas.openxmlformats.org/officeDocument/2006/relationships/hyperlink" Target="https://drive.google.com/file/d/1oE6DKmPw8j15Lm9dA6TeInL9qTPjU1wB/view?usp=drivesdk" TargetMode="External"/><Relationship Id="rId2050" Type="http://schemas.openxmlformats.org/officeDocument/2006/relationships/hyperlink" Target="https://drive.google.com/file/d/122S-Y3qDeU8au4Ck7x7SZoVMRnaZ9U24/view?usp=drivesdk" TargetMode="External"/><Relationship Id="rId2051" Type="http://schemas.openxmlformats.org/officeDocument/2006/relationships/hyperlink" Target="http://m.sc/M.Com" TargetMode="External"/><Relationship Id="rId2052" Type="http://schemas.openxmlformats.org/officeDocument/2006/relationships/hyperlink" Target="https://drive.google.com/file/d/1SP9zWxFHDeT0pBqSQZDGyPdafwJLLR3P/view?usp=drivesdk" TargetMode="External"/><Relationship Id="rId2053" Type="http://schemas.openxmlformats.org/officeDocument/2006/relationships/hyperlink" Target="https://drive.google.com/file/d/1oMz5Qym8gA6a-TqqNeQ_oyE5AEzLudDq/view?usp=drivesdk" TargetMode="External"/><Relationship Id="rId2054" Type="http://schemas.openxmlformats.org/officeDocument/2006/relationships/hyperlink" Target="https://drive.google.com/file/d/1tqJbDhu6Q7JHvrzy_uAfNKLiCyAqhGee/view?usp=drivesdk" TargetMode="External"/><Relationship Id="rId2055" Type="http://schemas.openxmlformats.org/officeDocument/2006/relationships/hyperlink" Target="https://drive.google.com/file/d/1rFJQB5ZFUNLB9Sklm_3k7WoTmPmLi1Fk/view?usp=drivesdk" TargetMode="External"/><Relationship Id="rId2056" Type="http://schemas.openxmlformats.org/officeDocument/2006/relationships/hyperlink" Target="https://drive.google.com/file/d/1B2jfzvy-0r6GxQnT9mmVi4ToMqmBwrM_/view?usp=drivesdk" TargetMode="External"/><Relationship Id="rId2057" Type="http://schemas.openxmlformats.org/officeDocument/2006/relationships/hyperlink" Target="https://drive.google.com/file/d/1e4jhgQQOFDoIGtu3x3VxkCWfhxvviqjU/view?usp=drivesdk" TargetMode="External"/><Relationship Id="rId2058" Type="http://schemas.openxmlformats.org/officeDocument/2006/relationships/hyperlink" Target="https://drive.google.com/file/d/1UqmzrTEzG4Vf2bMfEV6G7xwLuLVJ3aQQ/view?usp=drivesdk" TargetMode="External"/><Relationship Id="rId2059" Type="http://schemas.openxmlformats.org/officeDocument/2006/relationships/hyperlink" Target="https://drive.google.com/file/d/1YM7CfhUyzrSVj6xSm0GDQsxHbZHPxp2v/view?usp=drivesdk" TargetMode="External"/><Relationship Id="rId2080" Type="http://schemas.openxmlformats.org/officeDocument/2006/relationships/hyperlink" Target="https://drive.google.com/file/d/1dNIWkCKNk5iDRmFId9kb4GaNa9VJGq7I/view?usp=drivesdk" TargetMode="External"/><Relationship Id="rId2081" Type="http://schemas.openxmlformats.org/officeDocument/2006/relationships/hyperlink" Target="https://drive.google.com/file/d/1XKMNn-MPVaGnzFKOpzsmKSVJdU_ufVMs/view?usp=drivesdk" TargetMode="External"/><Relationship Id="rId2082" Type="http://schemas.openxmlformats.org/officeDocument/2006/relationships/hyperlink" Target="https://drive.google.com/file/d/1iwbz4KqekCvjOLkewN4V8nIRM-j-GaOM/view?usp=drivesdk" TargetMode="External"/><Relationship Id="rId2083" Type="http://schemas.openxmlformats.org/officeDocument/2006/relationships/hyperlink" Target="https://drive.google.com/file/d/1TbDfUIWR9oZRf3QtG_Kh90KJLmGrq32N/view?usp=drivesdk" TargetMode="External"/><Relationship Id="rId2084" Type="http://schemas.openxmlformats.org/officeDocument/2006/relationships/hyperlink" Target="https://drive.google.com/file/d/1_gA2O1rKSYdNOy4l2O-Favmw99cPy_f-/view?usp=drivesdk" TargetMode="External"/><Relationship Id="rId2085" Type="http://schemas.openxmlformats.org/officeDocument/2006/relationships/hyperlink" Target="https://drive.google.com/file/d/1poPbKmdgJ4VTnpWRHrtnj27yglplehHn/view?usp=drivesdk" TargetMode="External"/><Relationship Id="rId2086" Type="http://schemas.openxmlformats.org/officeDocument/2006/relationships/hyperlink" Target="https://drive.google.com/file/d/1zcfqViL6XIBApyN6xT5EizfIOkqQFs2q/view?usp=drivesdk" TargetMode="External"/><Relationship Id="rId2087" Type="http://schemas.openxmlformats.org/officeDocument/2006/relationships/hyperlink" Target="https://drive.google.com/file/d/1a1qQI3cb-sjBqE8KiXCXWkP0k4OyUMc4/view?usp=drivesdk" TargetMode="External"/><Relationship Id="rId2088" Type="http://schemas.openxmlformats.org/officeDocument/2006/relationships/hyperlink" Target="http://m.sc/M.Com" TargetMode="External"/><Relationship Id="rId2089" Type="http://schemas.openxmlformats.org/officeDocument/2006/relationships/hyperlink" Target="https://drive.google.com/file/d/1QiQ7Es84cLYp9057BRRpJXMWzRl04dbY/view?usp=drivesdk" TargetMode="External"/><Relationship Id="rId2070" Type="http://schemas.openxmlformats.org/officeDocument/2006/relationships/hyperlink" Target="https://drive.google.com/file/d/10kyP7RN4e0dyneAql_K385G4st6wEp_Q/view?usp=drivesdk" TargetMode="External"/><Relationship Id="rId2071" Type="http://schemas.openxmlformats.org/officeDocument/2006/relationships/hyperlink" Target="https://drive.google.com/file/d/13lqHomXA1UcdS--g3vk0g42XRi6_ESIg/view?usp=drivesdk" TargetMode="External"/><Relationship Id="rId2072" Type="http://schemas.openxmlformats.org/officeDocument/2006/relationships/hyperlink" Target="https://drive.google.com/file/d/1tGY63Jjvs_jpNu5BDBhopyGn75aKcr89/view?usp=drivesdk" TargetMode="External"/><Relationship Id="rId2073" Type="http://schemas.openxmlformats.org/officeDocument/2006/relationships/hyperlink" Target="https://drive.google.com/file/d/1zo1BqV7pdPRnqHUkbeunwnGiULY4gn-x/view?usp=drivesdk" TargetMode="External"/><Relationship Id="rId2074" Type="http://schemas.openxmlformats.org/officeDocument/2006/relationships/hyperlink" Target="https://drive.google.com/file/d/1bzNWrMwA-5Rm9ozTf4_11faqRMOeU7zU/view?usp=drivesdk" TargetMode="External"/><Relationship Id="rId2075" Type="http://schemas.openxmlformats.org/officeDocument/2006/relationships/hyperlink" Target="https://drive.google.com/file/d/1-7lBINirp2VSDA2Z5C8FrwQ0ak1bNvfX/view?usp=drivesdk" TargetMode="External"/><Relationship Id="rId2076" Type="http://schemas.openxmlformats.org/officeDocument/2006/relationships/hyperlink" Target="https://drive.google.com/file/d/14YD0w0ML5lt2wHGoRWHRzpqy8OlxrTTL/view?usp=drivesdk" TargetMode="External"/><Relationship Id="rId2077" Type="http://schemas.openxmlformats.org/officeDocument/2006/relationships/hyperlink" Target="https://drive.google.com/file/d/1mzPkBNKqLI73kf-E3Yc4VzQaoW9KfXWZ/view?usp=drivesdk" TargetMode="External"/><Relationship Id="rId2078" Type="http://schemas.openxmlformats.org/officeDocument/2006/relationships/hyperlink" Target="https://drive.google.com/file/d/13Bs21jU-H1SxyLGYVdYKuxTLUNfgOerb/view?usp=drivesdk" TargetMode="External"/><Relationship Id="rId2079" Type="http://schemas.openxmlformats.org/officeDocument/2006/relationships/hyperlink" Target="https://drive.google.com/file/d/1AnNHSpxxLZFJiUsJgaXp9vvSQpczLQSW/view?usp=drivesdk" TargetMode="External"/><Relationship Id="rId2940" Type="http://schemas.openxmlformats.org/officeDocument/2006/relationships/hyperlink" Target="https://drive.google.com/file/d/1eSQ-z4FezYtHBXd9duc2HO_ukAWaoSv_/view?usp=drivesdk" TargetMode="External"/><Relationship Id="rId1610" Type="http://schemas.openxmlformats.org/officeDocument/2006/relationships/hyperlink" Target="https://drive.google.com/file/d/1bgzZ46SMv4GPWfbSaj9nU_7RebDH1KuR/view?usp=drivesdk" TargetMode="External"/><Relationship Id="rId2941" Type="http://schemas.openxmlformats.org/officeDocument/2006/relationships/hyperlink" Target="https://drive.google.com/file/d/1FA5dhUWtssL31J8hDy9pPv_FaVYT8PH4/view?usp=drivesdk" TargetMode="External"/><Relationship Id="rId1611" Type="http://schemas.openxmlformats.org/officeDocument/2006/relationships/hyperlink" Target="https://drive.google.com/file/d/1Iq92qEptQdB3-ERJuwxL5ylTRmbpIQIm/view?usp=drivesdk" TargetMode="External"/><Relationship Id="rId2942" Type="http://schemas.openxmlformats.org/officeDocument/2006/relationships/hyperlink" Target="https://drive.google.com/file/d/140pi5oi0P8Uaf8x3ewDkM1Br6Hoh-Zf2/view?usp=drivesdk" TargetMode="External"/><Relationship Id="rId1612" Type="http://schemas.openxmlformats.org/officeDocument/2006/relationships/hyperlink" Target="https://drive.google.com/file/d/12ZkVLeWDp3wRTnuwf1K8SDr5uzkR1JPl/view?usp=drivesdk" TargetMode="External"/><Relationship Id="rId2943" Type="http://schemas.openxmlformats.org/officeDocument/2006/relationships/hyperlink" Target="https://drive.google.com/file/d/1dORE9V3ePVxUlg8KosVXG4U_hIuUxvmv/view?usp=drivesdk" TargetMode="External"/><Relationship Id="rId1613" Type="http://schemas.openxmlformats.org/officeDocument/2006/relationships/hyperlink" Target="https://drive.google.com/file/d/1bKaxOhZr6ZjuhZAIh4pVfHVbUFq2YZV6/view?usp=drivesdk" TargetMode="External"/><Relationship Id="rId2944" Type="http://schemas.openxmlformats.org/officeDocument/2006/relationships/hyperlink" Target="https://drive.google.com/file/d/1Lmt8dyfoxOW59VhM5xHIB5xP2VYWXYIX/view?usp=drivesdk" TargetMode="External"/><Relationship Id="rId1614" Type="http://schemas.openxmlformats.org/officeDocument/2006/relationships/hyperlink" Target="https://drive.google.com/file/d/1s3rr9e030L69aVON-ZsYOllG5L3gn9FR/view?usp=drivesdk" TargetMode="External"/><Relationship Id="rId2945" Type="http://schemas.openxmlformats.org/officeDocument/2006/relationships/hyperlink" Target="https://drive.google.com/file/d/1yY72DCall_JWJ4MBSvN64B77kq26lJPk/view?usp=drivesdk" TargetMode="External"/><Relationship Id="rId1615" Type="http://schemas.openxmlformats.org/officeDocument/2006/relationships/hyperlink" Target="https://drive.google.com/file/d/13k4tgYn5Y3ZiSgtRULC1AqSHu7HA93co/view?usp=drivesdk" TargetMode="External"/><Relationship Id="rId2946" Type="http://schemas.openxmlformats.org/officeDocument/2006/relationships/hyperlink" Target="https://drive.google.com/file/d/1jgfvfAdlIVLLH1wbDOqcKeieyHyB4AQT/view?usp=drivesdk" TargetMode="External"/><Relationship Id="rId1616" Type="http://schemas.openxmlformats.org/officeDocument/2006/relationships/hyperlink" Target="https://drive.google.com/file/d/16tNV62YcN0zebjGgq1FsTBiJGBL9GdQW/view?usp=drivesdk" TargetMode="External"/><Relationship Id="rId2947" Type="http://schemas.openxmlformats.org/officeDocument/2006/relationships/hyperlink" Target="https://drive.google.com/file/d/1Rrc3NN8jSdHM-UWZAJkp_lNjwCkGHLNb/view?usp=drivesdk" TargetMode="External"/><Relationship Id="rId907" Type="http://schemas.openxmlformats.org/officeDocument/2006/relationships/hyperlink" Target="https://drive.google.com/file/d/1vJRPl5_CDnh-aKoKHvzlAWk1ZU2D1PiA/view?usp=drivesdk" TargetMode="External"/><Relationship Id="rId1617" Type="http://schemas.openxmlformats.org/officeDocument/2006/relationships/hyperlink" Target="https://drive.google.com/file/d/1yV0EA1ZYWTbCDnbGGnWIXhxqOGqCHvSH/view?usp=drivesdk" TargetMode="External"/><Relationship Id="rId2948" Type="http://schemas.openxmlformats.org/officeDocument/2006/relationships/hyperlink" Target="https://drive.google.com/file/d/1FdhZ9PJ-Y8vFpwXbSSZL7DF5GL6nEvPA/view?usp=drivesdk" TargetMode="External"/><Relationship Id="rId906" Type="http://schemas.openxmlformats.org/officeDocument/2006/relationships/hyperlink" Target="https://drive.google.com/file/d/1Q6aOy491vtQUirhu1WYP49H4Fuc5Z4d_/view?usp=drivesdk" TargetMode="External"/><Relationship Id="rId1618" Type="http://schemas.openxmlformats.org/officeDocument/2006/relationships/hyperlink" Target="https://drive.google.com/file/d/1FP9Uc4f_WR9Yf_kXrP6bRbKekZi9l6CG/view?usp=drivesdk" TargetMode="External"/><Relationship Id="rId2949" Type="http://schemas.openxmlformats.org/officeDocument/2006/relationships/hyperlink" Target="https://drive.google.com/file/d/1FXg30-51pVIvvEol4-rQXFIHmAG8fTPP/view?usp=drivesdk" TargetMode="External"/><Relationship Id="rId905" Type="http://schemas.openxmlformats.org/officeDocument/2006/relationships/hyperlink" Target="https://drive.google.com/file/d/1bqHLQFECIpR3gl601znMdfbEBRpzCwuX/view?usp=drivesdk" TargetMode="External"/><Relationship Id="rId1619" Type="http://schemas.openxmlformats.org/officeDocument/2006/relationships/hyperlink" Target="https://drive.google.com/file/d/1qU9_tEeXTyRnaegrxn80MljQ2jGlIbCS/view?usp=drivesdk" TargetMode="External"/><Relationship Id="rId904" Type="http://schemas.openxmlformats.org/officeDocument/2006/relationships/hyperlink" Target="https://drive.google.com/file/d/1zBX8MFSP9iO7fcd-4Ezch-uWQyR1yUKG/view?usp=drivesdk" TargetMode="External"/><Relationship Id="rId909" Type="http://schemas.openxmlformats.org/officeDocument/2006/relationships/hyperlink" Target="https://drive.google.com/file/d/1TP33aW7jNTM5kwEqx4u4ygsBMLAC_ZzV/view?usp=drivesdk" TargetMode="External"/><Relationship Id="rId908" Type="http://schemas.openxmlformats.org/officeDocument/2006/relationships/hyperlink" Target="https://drive.google.com/file/d/1fxJaN9NZV1l0ZOcbnZanAFjsBCxIC69n/view?usp=drivesdk" TargetMode="External"/><Relationship Id="rId903" Type="http://schemas.openxmlformats.org/officeDocument/2006/relationships/hyperlink" Target="https://drive.google.com/file/d/1nv0MSRNRH5T7j9Hc5B3dLAqkP_3LqKej/view?usp=drivesdk" TargetMode="External"/><Relationship Id="rId902" Type="http://schemas.openxmlformats.org/officeDocument/2006/relationships/hyperlink" Target="https://drive.google.com/file/d/10VNvuCwPeQ4c-jfSjXq4MZF74B-R3V2M/view?usp=drivesdk" TargetMode="External"/><Relationship Id="rId901" Type="http://schemas.openxmlformats.org/officeDocument/2006/relationships/hyperlink" Target="https://drive.google.com/file/d/18rckEj0cBXxCcTyP6UkD2DdyPX3fzJ2n/view?usp=drivesdk" TargetMode="External"/><Relationship Id="rId900" Type="http://schemas.openxmlformats.org/officeDocument/2006/relationships/hyperlink" Target="https://drive.google.com/file/d/1m2cmh98ZzWWkpjKsNsCMaRcAiZZw1k-7/view?usp=drivesdk" TargetMode="External"/><Relationship Id="rId2930" Type="http://schemas.openxmlformats.org/officeDocument/2006/relationships/hyperlink" Target="https://drive.google.com/file/d/1HlJAolDdx66jriYBJ5RtMXT-ibL6MNuz/view?usp=drivesdk" TargetMode="External"/><Relationship Id="rId1600" Type="http://schemas.openxmlformats.org/officeDocument/2006/relationships/hyperlink" Target="https://drive.google.com/file/d/1W9F8puTm5Oy-j5ZR2RdpzIhSnmlnZFOD/view?usp=drivesdk" TargetMode="External"/><Relationship Id="rId2931" Type="http://schemas.openxmlformats.org/officeDocument/2006/relationships/hyperlink" Target="https://drive.google.com/file/d/1RxrRJoL8O4y3pT2lD1mDfWCD4TxW02qk/view?usp=drivesdk" TargetMode="External"/><Relationship Id="rId1601" Type="http://schemas.openxmlformats.org/officeDocument/2006/relationships/hyperlink" Target="https://drive.google.com/file/d/1e-HLGwnIgW1JbTTIwNr8GZef14xZ64nR/view?usp=drivesdk" TargetMode="External"/><Relationship Id="rId2932" Type="http://schemas.openxmlformats.org/officeDocument/2006/relationships/hyperlink" Target="https://drive.google.com/file/d/1CHHoqWYPimsepjoVZASSOnekywPCfWGi/view?usp=drivesdk" TargetMode="External"/><Relationship Id="rId1602" Type="http://schemas.openxmlformats.org/officeDocument/2006/relationships/hyperlink" Target="https://drive.google.com/file/d/1VuiQlHvDKI7Y7PU6sepA0e3Xq4NKxZgO/view?usp=drivesdk" TargetMode="External"/><Relationship Id="rId2933" Type="http://schemas.openxmlformats.org/officeDocument/2006/relationships/hyperlink" Target="https://drive.google.com/file/d/10XQcqxMawOYXPt4Y8-4TACikputxERLw/view?usp=drivesdk" TargetMode="External"/><Relationship Id="rId1603" Type="http://schemas.openxmlformats.org/officeDocument/2006/relationships/hyperlink" Target="https://drive.google.com/file/d/1zT18WspZEwJ51RD1SKMNZtbUmP5k3Zpx/view?usp=drivesdk" TargetMode="External"/><Relationship Id="rId2934" Type="http://schemas.openxmlformats.org/officeDocument/2006/relationships/hyperlink" Target="https://drive.google.com/file/d/1mMuAZWgZbbElK1s_OUewJiDSwjDBSCgF/view?usp=drivesdk" TargetMode="External"/><Relationship Id="rId1604" Type="http://schemas.openxmlformats.org/officeDocument/2006/relationships/hyperlink" Target="https://drive.google.com/file/d/1tyC9xtfxPX09-QpwLXV64o0nqyqf6lTt/view?usp=drivesdk" TargetMode="External"/><Relationship Id="rId2935" Type="http://schemas.openxmlformats.org/officeDocument/2006/relationships/hyperlink" Target="https://drive.google.com/file/d/1oeiaydIrBbaVspdUV1KPRvzh1nPJMZrP/view?usp=drivesdk" TargetMode="External"/><Relationship Id="rId1605" Type="http://schemas.openxmlformats.org/officeDocument/2006/relationships/hyperlink" Target="https://drive.google.com/file/d/1vPbAdIN39ER9B3dBeqPz4qyKORPjkLg-/view?usp=drivesdk" TargetMode="External"/><Relationship Id="rId2936" Type="http://schemas.openxmlformats.org/officeDocument/2006/relationships/hyperlink" Target="https://drive.google.com/file/d/1o0fJKR7eNAfzcJFWNbWfjnUXarytzcH2/view?usp=drivesdk" TargetMode="External"/><Relationship Id="rId1606" Type="http://schemas.openxmlformats.org/officeDocument/2006/relationships/hyperlink" Target="https://drive.google.com/file/d/125imsTSvMvwO_QuKRaFEbfcgYM6nfmRj/view?usp=drivesdk" TargetMode="External"/><Relationship Id="rId2937" Type="http://schemas.openxmlformats.org/officeDocument/2006/relationships/hyperlink" Target="https://drive.google.com/file/d/14xGy07-C-sz4nyRBzVBz3yGP7bK5FV9v/view?usp=drivesdk" TargetMode="External"/><Relationship Id="rId1607" Type="http://schemas.openxmlformats.org/officeDocument/2006/relationships/hyperlink" Target="https://drive.google.com/file/d/1yLPbR12CwoO8-wKndsUWEgHOaT2nOtWX/view?usp=drivesdk" TargetMode="External"/><Relationship Id="rId2938" Type="http://schemas.openxmlformats.org/officeDocument/2006/relationships/hyperlink" Target="https://drive.google.com/file/d/1v_Q8BHWiySCh1ruKfeksBguBfQtuxU0w/view?usp=drivesdk" TargetMode="External"/><Relationship Id="rId1608" Type="http://schemas.openxmlformats.org/officeDocument/2006/relationships/hyperlink" Target="https://drive.google.com/file/d/1MWOmtwES1Zk-Q4MUSTJbxSlGVJeugqyn/view?usp=drivesdk" TargetMode="External"/><Relationship Id="rId2939" Type="http://schemas.openxmlformats.org/officeDocument/2006/relationships/hyperlink" Target="https://drive.google.com/file/d/1lJu4KJqltb808UunxQote_7x1cGVNYbz/view?usp=drivesdk" TargetMode="External"/><Relationship Id="rId1609" Type="http://schemas.openxmlformats.org/officeDocument/2006/relationships/hyperlink" Target="https://drive.google.com/file/d/1yRo5i_TqKNXUnkaS7Qt8b50IpuPYz7QK/view?usp=drivesdk" TargetMode="External"/><Relationship Id="rId1631" Type="http://schemas.openxmlformats.org/officeDocument/2006/relationships/hyperlink" Target="https://drive.google.com/file/d/1GwLPGiXo4EoCuqzKxd75X5--9EVJ8SH5/view?usp=drivesdk" TargetMode="External"/><Relationship Id="rId2962" Type="http://schemas.openxmlformats.org/officeDocument/2006/relationships/hyperlink" Target="https://drive.google.com/file/d/1CyKjQZa16yTZxHsw9sMSUBODD_f_G0e_/view?usp=drivesdk" TargetMode="External"/><Relationship Id="rId1632" Type="http://schemas.openxmlformats.org/officeDocument/2006/relationships/hyperlink" Target="https://drive.google.com/file/d/1uLMpa4tV8miO8jmVAevCgXSoJ5zwBbUX/view?usp=drivesdk" TargetMode="External"/><Relationship Id="rId2963" Type="http://schemas.openxmlformats.org/officeDocument/2006/relationships/hyperlink" Target="https://drive.google.com/file/d/1K_BkaDt-Ybq2N0BHVRhHBi-Jt5gCK2U4/view?usp=drivesdk" TargetMode="External"/><Relationship Id="rId1633" Type="http://schemas.openxmlformats.org/officeDocument/2006/relationships/hyperlink" Target="https://drive.google.com/file/d/1TS9Ss3hK1Qd8VRH7Uxz6EouRsHHWX57K/view?usp=drivesdk" TargetMode="External"/><Relationship Id="rId2964" Type="http://schemas.openxmlformats.org/officeDocument/2006/relationships/hyperlink" Target="https://drive.google.com/file/d/1KEf2Aqwg4BcrrvVMz_quD7681mWu2Afm/view?usp=drivesdk" TargetMode="External"/><Relationship Id="rId1634" Type="http://schemas.openxmlformats.org/officeDocument/2006/relationships/hyperlink" Target="https://drive.google.com/file/d/1KsWmZIJQYdyqqC_cuYbUkXd83s0Vg5rY/view?usp=drivesdk" TargetMode="External"/><Relationship Id="rId2965" Type="http://schemas.openxmlformats.org/officeDocument/2006/relationships/hyperlink" Target="https://drive.google.com/file/d/1avkXNrerQ6w1otFS4o0pG0VIY9vEW70G/view?usp=drivesdk" TargetMode="External"/><Relationship Id="rId1635" Type="http://schemas.openxmlformats.org/officeDocument/2006/relationships/hyperlink" Target="https://drive.google.com/file/d/1UXi4P---s7y5RbJKO1TeXXj3V4D165E0/view?usp=drivesdk" TargetMode="External"/><Relationship Id="rId2966" Type="http://schemas.openxmlformats.org/officeDocument/2006/relationships/hyperlink" Target="https://drive.google.com/file/d/1CrsL5MKaY2GfWq-7yyFRLjlaEXvkSG3z/view?usp=drivesdk" TargetMode="External"/><Relationship Id="rId1636" Type="http://schemas.openxmlformats.org/officeDocument/2006/relationships/hyperlink" Target="https://drive.google.com/file/d/10f0dOgrond1cIMvYZqdMe8vWKnFpYJ9B/view?usp=drivesdk" TargetMode="External"/><Relationship Id="rId2967" Type="http://schemas.openxmlformats.org/officeDocument/2006/relationships/hyperlink" Target="https://drive.google.com/file/d/1X1aKoC6BrmYjdXnFpPPcwD4Ndiux7Gh_/view?usp=drivesdk" TargetMode="External"/><Relationship Id="rId1637" Type="http://schemas.openxmlformats.org/officeDocument/2006/relationships/hyperlink" Target="https://drive.google.com/file/d/1mNuX3AwAWvBy2y4Ao49iiK2jh2nMaz8I/view?usp=drivesdk" TargetMode="External"/><Relationship Id="rId2968" Type="http://schemas.openxmlformats.org/officeDocument/2006/relationships/hyperlink" Target="https://drive.google.com/file/d/1iCw00sShGukgfUvJOMJLldfm0sIpKR2U/view?usp=drivesdk" TargetMode="External"/><Relationship Id="rId1638" Type="http://schemas.openxmlformats.org/officeDocument/2006/relationships/hyperlink" Target="https://drive.google.com/file/d/1MTAEntPzw9Wp9qVVjH86kvOBDLvHnrYr/view?usp=drivesdk" TargetMode="External"/><Relationship Id="rId2969" Type="http://schemas.openxmlformats.org/officeDocument/2006/relationships/hyperlink" Target="https://drive.google.com/file/d/1rpoGRXOaD62wE6SzNcJ9kFraERw2urrB/view?usp=drivesdk" TargetMode="External"/><Relationship Id="rId929" Type="http://schemas.openxmlformats.org/officeDocument/2006/relationships/hyperlink" Target="https://drive.google.com/file/d/1odu8uY3qEQRfGMPiokfKs8mgFO7rXXLK/view?usp=drivesdk" TargetMode="External"/><Relationship Id="rId1639" Type="http://schemas.openxmlformats.org/officeDocument/2006/relationships/hyperlink" Target="https://drive.google.com/file/d/18XEUBv22FkpLeXUiIlKOgGo9jZDOgPSG/view?usp=drivesdk" TargetMode="External"/><Relationship Id="rId928" Type="http://schemas.openxmlformats.org/officeDocument/2006/relationships/hyperlink" Target="https://drive.google.com/file/d/1FMjiMMV224JXGuVgYFSc3mHStedDY-Tc/view?usp=drivesdk" TargetMode="External"/><Relationship Id="rId927" Type="http://schemas.openxmlformats.org/officeDocument/2006/relationships/hyperlink" Target="https://drive.google.com/file/d/1S35QSIXVyJ4TvycREA5rGCHGhQ0MlRv8/view?usp=drivesdk" TargetMode="External"/><Relationship Id="rId926" Type="http://schemas.openxmlformats.org/officeDocument/2006/relationships/hyperlink" Target="https://drive.google.com/file/d/113KylLtbnruCxp6M4T1D7WagZsNHF68Q/view?usp=drivesdk" TargetMode="External"/><Relationship Id="rId921" Type="http://schemas.openxmlformats.org/officeDocument/2006/relationships/hyperlink" Target="https://drive.google.com/file/d/1PI9fZi7FRZsc7S5e1_MMJ4Vpj3IDH0M0/view?usp=drivesdk" TargetMode="External"/><Relationship Id="rId920" Type="http://schemas.openxmlformats.org/officeDocument/2006/relationships/hyperlink" Target="https://drive.google.com/file/d/15z5D6cJB1dSdmPthUDIznmDuD9bGS8c4/view?usp=drivesdk" TargetMode="External"/><Relationship Id="rId925" Type="http://schemas.openxmlformats.org/officeDocument/2006/relationships/hyperlink" Target="https://drive.google.com/file/d/1Pz6daYsXFFB3N4f7GtBP-lBhIWXPSb9x/view?usp=drivesdk" TargetMode="External"/><Relationship Id="rId924" Type="http://schemas.openxmlformats.org/officeDocument/2006/relationships/hyperlink" Target="https://drive.google.com/file/d/1N-bXiqQLCzyrPueTyKg_hfVZEcbIp5dS/view?usp=drivesdk" TargetMode="External"/><Relationship Id="rId923" Type="http://schemas.openxmlformats.org/officeDocument/2006/relationships/hyperlink" Target="https://drive.google.com/file/d/1vK24NFXkAEK0bu_9NdAn5bBK9QOXWC3-/view?usp=drivesdk" TargetMode="External"/><Relationship Id="rId922" Type="http://schemas.openxmlformats.org/officeDocument/2006/relationships/hyperlink" Target="https://drive.google.com/file/d/1PVmmpFKn7Iik2Y0ESfolkN_JGIUxuRA5/view?usp=drivesdk" TargetMode="External"/><Relationship Id="rId2960" Type="http://schemas.openxmlformats.org/officeDocument/2006/relationships/hyperlink" Target="https://drive.google.com/file/d/1CLd8nej2TUkK2ksFe9NVwaA3_pGDTUPt/view?usp=drivesdk" TargetMode="External"/><Relationship Id="rId1630" Type="http://schemas.openxmlformats.org/officeDocument/2006/relationships/hyperlink" Target="https://drive.google.com/file/d/1b5xVg91Efhan_p5Rq_dPZ4G-5CrojG8k/view?usp=drivesdk" TargetMode="External"/><Relationship Id="rId2961" Type="http://schemas.openxmlformats.org/officeDocument/2006/relationships/hyperlink" Target="https://drive.google.com/file/d/1LgpVpomThGKBuDIEpkucSOhV5gTZddI2/view?usp=drivesdk" TargetMode="External"/><Relationship Id="rId1620" Type="http://schemas.openxmlformats.org/officeDocument/2006/relationships/hyperlink" Target="https://drive.google.com/file/d/1M60WDAyNhVZmSo5pXHQwSaNdrKmbf7Ob/view?usp=drivesdk" TargetMode="External"/><Relationship Id="rId2951" Type="http://schemas.openxmlformats.org/officeDocument/2006/relationships/hyperlink" Target="https://drive.google.com/file/d/1IOYXcTqITaURJ857gKIVxkRBaoSo87z_/view?usp=drivesdk" TargetMode="External"/><Relationship Id="rId1621" Type="http://schemas.openxmlformats.org/officeDocument/2006/relationships/hyperlink" Target="https://drive.google.com/file/d/11XNKNXwLCQ4b3HBFhJioP-eoXfX4T8TF/view?usp=drivesdk" TargetMode="External"/><Relationship Id="rId2952" Type="http://schemas.openxmlformats.org/officeDocument/2006/relationships/hyperlink" Target="https://drive.google.com/file/d/1g9J4NaFhiUswdeEiJStU_5XksiYyh7tp/view?usp=drivesdk" TargetMode="External"/><Relationship Id="rId1622" Type="http://schemas.openxmlformats.org/officeDocument/2006/relationships/hyperlink" Target="https://drive.google.com/file/d/1jaAzfPRNjWv42WnVAWisNosrOufz9J_e/view?usp=drivesdk" TargetMode="External"/><Relationship Id="rId2953" Type="http://schemas.openxmlformats.org/officeDocument/2006/relationships/hyperlink" Target="https://drive.google.com/file/d/1jszE6cTrjye05QIGeArHS_LYtCcCks0s/view?usp=drivesdk" TargetMode="External"/><Relationship Id="rId1623" Type="http://schemas.openxmlformats.org/officeDocument/2006/relationships/hyperlink" Target="https://drive.google.com/file/d/1xoHZY5fz3RtbbtavDZhupXo09d7hdOAS/view?usp=drivesdk" TargetMode="External"/><Relationship Id="rId2954" Type="http://schemas.openxmlformats.org/officeDocument/2006/relationships/hyperlink" Target="https://drive.google.com/file/d/1Zg44TN6BgwYoxdWjacCYYAGan-UXjrco/view?usp=drivesdk" TargetMode="External"/><Relationship Id="rId1624" Type="http://schemas.openxmlformats.org/officeDocument/2006/relationships/hyperlink" Target="https://drive.google.com/file/d/1y6Sm8tTkO-aKWiAYKDyBpl8cg5Vy3Wvr/view?usp=drivesdk" TargetMode="External"/><Relationship Id="rId2955" Type="http://schemas.openxmlformats.org/officeDocument/2006/relationships/hyperlink" Target="https://drive.google.com/file/d/1O8-8rDKCDqU0Tzz1bMmwfvo14IiRwcyn/view?usp=drivesdk" TargetMode="External"/><Relationship Id="rId1625" Type="http://schemas.openxmlformats.org/officeDocument/2006/relationships/hyperlink" Target="https://drive.google.com/file/d/1zrBCh0nv_QTFi8URite5_RIKuVP5XACK/view?usp=drivesdk" TargetMode="External"/><Relationship Id="rId2956" Type="http://schemas.openxmlformats.org/officeDocument/2006/relationships/hyperlink" Target="https://drive.google.com/file/d/1TeQqBLMow2rhO1wFhXi5qJ1Nj2ymQlIw/view?usp=drivesdk" TargetMode="External"/><Relationship Id="rId1626" Type="http://schemas.openxmlformats.org/officeDocument/2006/relationships/hyperlink" Target="https://drive.google.com/file/d/1HuOufeJXhkc6LRPk4qIOwD3g39_rNkIq/view?usp=drivesdk" TargetMode="External"/><Relationship Id="rId2957" Type="http://schemas.openxmlformats.org/officeDocument/2006/relationships/hyperlink" Target="https://drive.google.com/file/d/1THqqE-Ha_hXPDFvNwb2zfB9_ULXyfTB6/view?usp=drivesdk" TargetMode="External"/><Relationship Id="rId1627" Type="http://schemas.openxmlformats.org/officeDocument/2006/relationships/hyperlink" Target="https://drive.google.com/file/d/1GAnK9-b2WLGeFOEF9PQUBfqwuGdwImzl/view?usp=drivesdk" TargetMode="External"/><Relationship Id="rId2958" Type="http://schemas.openxmlformats.org/officeDocument/2006/relationships/hyperlink" Target="https://drive.google.com/file/d/1SbmX2Hc3122O6Vgx0-UmE8hr2eiS-tl8/view?usp=drivesdk" TargetMode="External"/><Relationship Id="rId918" Type="http://schemas.openxmlformats.org/officeDocument/2006/relationships/hyperlink" Target="https://drive.google.com/file/d/1KjBxdYkM4BGB3-WNMA77gFlPSc7f1GP6/view?usp=drivesdk" TargetMode="External"/><Relationship Id="rId1628" Type="http://schemas.openxmlformats.org/officeDocument/2006/relationships/hyperlink" Target="https://drive.google.com/file/d/1r4HUGrX2pyO9c1W1oLK8QgCqYrOv_2ku/view?usp=drivesdk" TargetMode="External"/><Relationship Id="rId2959" Type="http://schemas.openxmlformats.org/officeDocument/2006/relationships/hyperlink" Target="https://drive.google.com/file/d/1HziKOiUrUe0JuziilejoIEP5w1SnBkZT/view?usp=drivesdk" TargetMode="External"/><Relationship Id="rId917" Type="http://schemas.openxmlformats.org/officeDocument/2006/relationships/hyperlink" Target="https://drive.google.com/file/d/1uX5keQs7x-mQ4z3kldNBuEPSOWXH4Be4/view?usp=drivesdk" TargetMode="External"/><Relationship Id="rId1629" Type="http://schemas.openxmlformats.org/officeDocument/2006/relationships/hyperlink" Target="https://drive.google.com/file/d/1frNYM09kXLEY7h2T6_sQEQhHxfQhi2DI/view?usp=drivesdk" TargetMode="External"/><Relationship Id="rId916" Type="http://schemas.openxmlformats.org/officeDocument/2006/relationships/hyperlink" Target="https://drive.google.com/file/d/1bFzqWUd_bT2DAvVV28Fko83-4IuF4hR9/view?usp=drivesdk" TargetMode="External"/><Relationship Id="rId915" Type="http://schemas.openxmlformats.org/officeDocument/2006/relationships/hyperlink" Target="https://drive.google.com/file/d/10MZ94baUPd81cE5IjwMQYwoRgDc5Fw89/view?usp=drivesdk" TargetMode="External"/><Relationship Id="rId919" Type="http://schemas.openxmlformats.org/officeDocument/2006/relationships/hyperlink" Target="https://drive.google.com/file/d/1DW-JlD2zhkMjcjf2PA3o3TZ72g6Iukr3/view?usp=drivesdk" TargetMode="External"/><Relationship Id="rId910" Type="http://schemas.openxmlformats.org/officeDocument/2006/relationships/hyperlink" Target="https://drive.google.com/file/d/1-eCvSL4XnjNCuhSuewwwo4cNK5Wdgwx7/view?usp=drivesdk" TargetMode="External"/><Relationship Id="rId914" Type="http://schemas.openxmlformats.org/officeDocument/2006/relationships/hyperlink" Target="https://drive.google.com/file/d/1lofarULcAzZW73DGhYnMg2LHZ05wtWOL/view?usp=drivesdk" TargetMode="External"/><Relationship Id="rId913" Type="http://schemas.openxmlformats.org/officeDocument/2006/relationships/hyperlink" Target="https://drive.google.com/file/d/13KBP8_aDxTBeipD_NiuJB1VlV-l23Iub/view?usp=drivesdk" TargetMode="External"/><Relationship Id="rId912" Type="http://schemas.openxmlformats.org/officeDocument/2006/relationships/hyperlink" Target="https://drive.google.com/file/d/1q5zMKXxCnf67ybGd-x-6mhDEa_7X8eEi/view?usp=drivesdk" TargetMode="External"/><Relationship Id="rId911" Type="http://schemas.openxmlformats.org/officeDocument/2006/relationships/hyperlink" Target="https://drive.google.com/file/d/1XCSc2y3d9WSS1HTsA1x-Vwp9It8FcfN-/view?usp=drivesdk" TargetMode="External"/><Relationship Id="rId2950" Type="http://schemas.openxmlformats.org/officeDocument/2006/relationships/hyperlink" Target="https://drive.google.com/file/d/1lpqUXL99rO7XjGD3ktB3Oyzl37SkzCVi/view?usp=drivesdk" TargetMode="External"/><Relationship Id="rId2900" Type="http://schemas.openxmlformats.org/officeDocument/2006/relationships/hyperlink" Target="https://drive.google.com/file/d/1T941cclTnFchjkf1dscSXUg9yHvg8an3/view?usp=drivesdk" TargetMode="External"/><Relationship Id="rId2901" Type="http://schemas.openxmlformats.org/officeDocument/2006/relationships/hyperlink" Target="https://drive.google.com/file/d/1b1un7j_F0aXyOPKafdiR82dRoC2OpCan/view?usp=drivesdk" TargetMode="External"/><Relationship Id="rId2902" Type="http://schemas.openxmlformats.org/officeDocument/2006/relationships/hyperlink" Target="https://drive.google.com/file/d/1Yos1mOAQoiaCdSqriNF1sgs1qGdfGDb9/view?usp=drivesdk" TargetMode="External"/><Relationship Id="rId2903" Type="http://schemas.openxmlformats.org/officeDocument/2006/relationships/hyperlink" Target="http://b.sc/B.Com" TargetMode="External"/><Relationship Id="rId2904" Type="http://schemas.openxmlformats.org/officeDocument/2006/relationships/hyperlink" Target="https://drive.google.com/file/d/1piBfgQJE0D6uzaOZbP2cass1cpxNaHKt/view?usp=drivesdk" TargetMode="External"/><Relationship Id="rId2905" Type="http://schemas.openxmlformats.org/officeDocument/2006/relationships/hyperlink" Target="https://drive.google.com/file/d/1U7oTNf2v_IrpujHjUqcyr1wOCZNHHReE/view?usp=drivesdk" TargetMode="External"/><Relationship Id="rId2906" Type="http://schemas.openxmlformats.org/officeDocument/2006/relationships/hyperlink" Target="https://drive.google.com/file/d/1oyrrtwWR3g_PbAI5-Dyy127WdZX3KkWU/view?usp=drivesdk" TargetMode="External"/><Relationship Id="rId2907" Type="http://schemas.openxmlformats.org/officeDocument/2006/relationships/hyperlink" Target="https://drive.google.com/file/d/1dDIgw5eW2OrT1Arz5arwgShF0URdf9S3/view?usp=drivesdk" TargetMode="External"/><Relationship Id="rId2908" Type="http://schemas.openxmlformats.org/officeDocument/2006/relationships/hyperlink" Target="https://drive.google.com/file/d/1Sz8utpZq_8KsfCtww0c77Dgwg9VCk3YC/view?usp=drivesdk" TargetMode="External"/><Relationship Id="rId2909" Type="http://schemas.openxmlformats.org/officeDocument/2006/relationships/hyperlink" Target="https://drive.google.com/file/d/1BPIHqN8MtkT5uohQOMMiZNOjp_fxT70k/view?usp=drivesdk" TargetMode="External"/><Relationship Id="rId2920" Type="http://schemas.openxmlformats.org/officeDocument/2006/relationships/hyperlink" Target="https://drive.google.com/file/d/1KVeURvgKr5iDEOX6IExa3EsHldPo-kT9/view?usp=drivesdk" TargetMode="External"/><Relationship Id="rId2921" Type="http://schemas.openxmlformats.org/officeDocument/2006/relationships/hyperlink" Target="https://drive.google.com/file/d/19haUL4QjCfK-DNjk_BoyfMdwVdOJKSZJ/view?usp=drivesdk" TargetMode="External"/><Relationship Id="rId2922" Type="http://schemas.openxmlformats.org/officeDocument/2006/relationships/hyperlink" Target="https://drive.google.com/file/d/13SzrYXTMpHMiqWlDU7KX51Fi1Tq3xd2f/view?usp=drivesdk" TargetMode="External"/><Relationship Id="rId2923" Type="http://schemas.openxmlformats.org/officeDocument/2006/relationships/hyperlink" Target="http://b.sc/B.Com" TargetMode="External"/><Relationship Id="rId2924" Type="http://schemas.openxmlformats.org/officeDocument/2006/relationships/hyperlink" Target="https://drive.google.com/file/d/1dIDixG99nzhcJlu9zb1-qiaEHc0rs9Ka/view?usp=drivesdk" TargetMode="External"/><Relationship Id="rId2925" Type="http://schemas.openxmlformats.org/officeDocument/2006/relationships/hyperlink" Target="https://drive.google.com/file/d/1QJfUXQwX0Ls9nhrmODvkQybT26KwAwcR/view?usp=drivesdk" TargetMode="External"/><Relationship Id="rId2926" Type="http://schemas.openxmlformats.org/officeDocument/2006/relationships/hyperlink" Target="https://drive.google.com/file/d/1kzKJxEGAezPt6CX8QNF7x9FtXcan5KQZ/view?usp=drivesdk" TargetMode="External"/><Relationship Id="rId2927" Type="http://schemas.openxmlformats.org/officeDocument/2006/relationships/hyperlink" Target="https://drive.google.com/file/d/1nq5Bh_G50BWClwOk2l2jiQvkAROtdvl3/view?usp=drivesdk" TargetMode="External"/><Relationship Id="rId2928" Type="http://schemas.openxmlformats.org/officeDocument/2006/relationships/hyperlink" Target="https://drive.google.com/file/d/13fr1ALkmaD_AslkxvuToMO89sA3uZgw8/view?usp=drivesdk" TargetMode="External"/><Relationship Id="rId2929" Type="http://schemas.openxmlformats.org/officeDocument/2006/relationships/hyperlink" Target="https://drive.google.com/file/d/1GxOyh91RncMN7qebXnBYgDP0YcrjDo85/view?usp=drivesdk" TargetMode="External"/><Relationship Id="rId2910" Type="http://schemas.openxmlformats.org/officeDocument/2006/relationships/hyperlink" Target="https://drive.google.com/file/d/1odTxx7_ox3euAkv8MO93denGKPpAM2g4/view?usp=drivesdk" TargetMode="External"/><Relationship Id="rId2911" Type="http://schemas.openxmlformats.org/officeDocument/2006/relationships/hyperlink" Target="https://drive.google.com/file/d/1pb99ZTkySJIDCIS_8n72OGp2C1nvcqcy/view?usp=drivesdk" TargetMode="External"/><Relationship Id="rId2912" Type="http://schemas.openxmlformats.org/officeDocument/2006/relationships/hyperlink" Target="https://drive.google.com/file/d/1W6O0FWjeTzER1LiuHBHJipQ1w498CfL1/view?usp=drivesdk" TargetMode="External"/><Relationship Id="rId2913" Type="http://schemas.openxmlformats.org/officeDocument/2006/relationships/hyperlink" Target="https://drive.google.com/file/d/11krQQnmEh-AizAZnmHKLtNFVBWcjwXuX/view?usp=drivesdk" TargetMode="External"/><Relationship Id="rId2914" Type="http://schemas.openxmlformats.org/officeDocument/2006/relationships/hyperlink" Target="https://drive.google.com/file/d/1JA0Zz-0XfNIguEYZMeomJc3bsu4kLWuq/view?usp=drivesdk" TargetMode="External"/><Relationship Id="rId2915" Type="http://schemas.openxmlformats.org/officeDocument/2006/relationships/hyperlink" Target="https://drive.google.com/file/d/12PY9aIUUs9nm5BZu-Vb8ksPRAWHqm8hF/view?usp=drivesdk" TargetMode="External"/><Relationship Id="rId2916" Type="http://schemas.openxmlformats.org/officeDocument/2006/relationships/hyperlink" Target="https://drive.google.com/file/d/1oDJu9l7JCVS0R_lHixxnfcS6EBKQL4u4/view?usp=drivesdk" TargetMode="External"/><Relationship Id="rId2917" Type="http://schemas.openxmlformats.org/officeDocument/2006/relationships/hyperlink" Target="https://drive.google.com/file/d/1IRR4FomqbBCnRWpqrBxJioEGWajlH6_G/view?usp=drivesdk" TargetMode="External"/><Relationship Id="rId2918" Type="http://schemas.openxmlformats.org/officeDocument/2006/relationships/hyperlink" Target="https://drive.google.com/file/d/1jnwUGO6-kOK4tMd_Law8cJeSzQhKD8sC/view?usp=drivesdk" TargetMode="External"/><Relationship Id="rId2919" Type="http://schemas.openxmlformats.org/officeDocument/2006/relationships/hyperlink" Target="https://drive.google.com/file/d/15sR1-2ZqSb7u3VRklmomStBFW2C5vciM/view?usp=drivesdk" TargetMode="External"/><Relationship Id="rId1697" Type="http://schemas.openxmlformats.org/officeDocument/2006/relationships/hyperlink" Target="https://drive.google.com/file/d/1s9RqSLn4GuEFl0uNZEcuLjRVioe9eYd8/view?usp=drivesdk" TargetMode="External"/><Relationship Id="rId1698" Type="http://schemas.openxmlformats.org/officeDocument/2006/relationships/hyperlink" Target="https://drive.google.com/file/d/1_Kk-Ed7KkmHVgK7WWxcxc8_IBRlxqJhZ/view?usp=drivesdk" TargetMode="External"/><Relationship Id="rId1699" Type="http://schemas.openxmlformats.org/officeDocument/2006/relationships/hyperlink" Target="https://drive.google.com/file/d/19pKNIXtLfz_LHQkOC9PRJ-fVNs0VjNh1/view?usp=drivesdk" TargetMode="External"/><Relationship Id="rId866" Type="http://schemas.openxmlformats.org/officeDocument/2006/relationships/hyperlink" Target="https://drive.google.com/file/d/19AxzuQ3tTVGc2t9IbHF3m_JSIBa80C_P/view?usp=drivesdk" TargetMode="External"/><Relationship Id="rId865" Type="http://schemas.openxmlformats.org/officeDocument/2006/relationships/hyperlink" Target="https://drive.google.com/file/d/1jEQdnyyQadiHL8Jn4G8nHPgZ87Vcra1S/view?usp=drivesdk" TargetMode="External"/><Relationship Id="rId864" Type="http://schemas.openxmlformats.org/officeDocument/2006/relationships/hyperlink" Target="https://drive.google.com/file/d/1nvzCInsqdM0--4JHeNOvAqZwSAfPbI8H/view?usp=drivesdk" TargetMode="External"/><Relationship Id="rId863" Type="http://schemas.openxmlformats.org/officeDocument/2006/relationships/hyperlink" Target="https://drive.google.com/file/d/1XC4bzIt4T0Ai-jSAEAuofQvyTCvArYfL/view?usp=drivesdk" TargetMode="External"/><Relationship Id="rId869" Type="http://schemas.openxmlformats.org/officeDocument/2006/relationships/hyperlink" Target="https://drive.google.com/file/d/1d5hcj8k-pILkIYiTJiYrzuXiR4Aa3fAy/view?usp=drivesdk" TargetMode="External"/><Relationship Id="rId868" Type="http://schemas.openxmlformats.org/officeDocument/2006/relationships/hyperlink" Target="https://drive.google.com/file/d/1GCYUso88qCIc30m_RM68NVqw7KxdCowE/view?usp=drivesdk" TargetMode="External"/><Relationship Id="rId867" Type="http://schemas.openxmlformats.org/officeDocument/2006/relationships/hyperlink" Target="https://drive.google.com/file/d/1yVaMCQ0-P3UAFon3QHWbAcFRKJXtzsHi/view?usp=drivesdk" TargetMode="External"/><Relationship Id="rId1690" Type="http://schemas.openxmlformats.org/officeDocument/2006/relationships/hyperlink" Target="https://drive.google.com/file/d/10EdGghxJT1UuidRQapu22704lqMdeayi/view?usp=drivesdk" TargetMode="External"/><Relationship Id="rId1691" Type="http://schemas.openxmlformats.org/officeDocument/2006/relationships/hyperlink" Target="https://drive.google.com/file/d/1WnXYnj3ZRX9yUu1SirZljl8vNRrsrq9p/view?usp=drivesdk" TargetMode="External"/><Relationship Id="rId1692" Type="http://schemas.openxmlformats.org/officeDocument/2006/relationships/hyperlink" Target="https://drive.google.com/file/d/1Wsg9zAHwc_L0HLwrdg_r2KwcBiuePcdh/view?usp=drivesdk" TargetMode="External"/><Relationship Id="rId862" Type="http://schemas.openxmlformats.org/officeDocument/2006/relationships/hyperlink" Target="https://drive.google.com/file/d/1U2QoIBePLM6_Tfc21Y4royvF4xM4kUTk/view?usp=drivesdk" TargetMode="External"/><Relationship Id="rId1693" Type="http://schemas.openxmlformats.org/officeDocument/2006/relationships/hyperlink" Target="https://drive.google.com/file/d/1-uBAIr0nFWjkLHAPxANYGPi6MGNbxawN/view?usp=drivesdk" TargetMode="External"/><Relationship Id="rId861" Type="http://schemas.openxmlformats.org/officeDocument/2006/relationships/hyperlink" Target="https://drive.google.com/file/d/1do7AncjTkFFJiqcVi4NEZEox9HUbAQct/view?usp=drivesdk" TargetMode="External"/><Relationship Id="rId1694" Type="http://schemas.openxmlformats.org/officeDocument/2006/relationships/hyperlink" Target="https://drive.google.com/file/d/1z5yEmmbO_PAeg2M5YCNjEMTpwzAG54xw/view?usp=drivesdk" TargetMode="External"/><Relationship Id="rId860" Type="http://schemas.openxmlformats.org/officeDocument/2006/relationships/hyperlink" Target="https://drive.google.com/file/d/1iw8opIWlMSEfY9YwJmMYd8YZVgONmz18/view?usp=drivesdk" TargetMode="External"/><Relationship Id="rId1695" Type="http://schemas.openxmlformats.org/officeDocument/2006/relationships/hyperlink" Target="https://drive.google.com/file/d/1L_uYmZwnWidnkSLbJiKV3nHYkdfonuD4/view?usp=drivesdk" TargetMode="External"/><Relationship Id="rId1696" Type="http://schemas.openxmlformats.org/officeDocument/2006/relationships/hyperlink" Target="https://drive.google.com/file/d/1hC-sNAcq6cTBPg5kdiKbOomjpmDqNFOA/view?usp=drivesdk" TargetMode="External"/><Relationship Id="rId1686" Type="http://schemas.openxmlformats.org/officeDocument/2006/relationships/hyperlink" Target="https://drive.google.com/file/d/1-uk9lHMi8XLXszc89pSXC3GG-szXgChc/view?usp=drivesdk" TargetMode="External"/><Relationship Id="rId1687" Type="http://schemas.openxmlformats.org/officeDocument/2006/relationships/hyperlink" Target="https://drive.google.com/file/d/1cYv4aI-sOiGYxddjw5LivoU43fbr-i8G/view?usp=drivesdk" TargetMode="External"/><Relationship Id="rId1688" Type="http://schemas.openxmlformats.org/officeDocument/2006/relationships/hyperlink" Target="https://drive.google.com/file/d/164ObaBP5WK-jnzOLa3o2ZGzclRQQ3uhV/view?usp=drivesdk" TargetMode="External"/><Relationship Id="rId1689" Type="http://schemas.openxmlformats.org/officeDocument/2006/relationships/hyperlink" Target="https://drive.google.com/file/d/1Hs9YKgobXEaviDhSV7VBY9G53JumPvoy/view?usp=drivesdk" TargetMode="External"/><Relationship Id="rId855" Type="http://schemas.openxmlformats.org/officeDocument/2006/relationships/hyperlink" Target="https://drive.google.com/file/d/1whRNO6gvUNEZSgBFmw3xFHvCL16RKy4Y/view?usp=drivesdk" TargetMode="External"/><Relationship Id="rId854" Type="http://schemas.openxmlformats.org/officeDocument/2006/relationships/hyperlink" Target="https://drive.google.com/file/d/1PAdLvDU1A8OcBp0lmHDj9gGJn-zD2MS_/view?usp=drivesdk" TargetMode="External"/><Relationship Id="rId853" Type="http://schemas.openxmlformats.org/officeDocument/2006/relationships/hyperlink" Target="https://drive.google.com/file/d/1h7PyNW8BRV_DHgtgERRZr-jHTa-5C1FC/view?usp=drivesdk" TargetMode="External"/><Relationship Id="rId852" Type="http://schemas.openxmlformats.org/officeDocument/2006/relationships/hyperlink" Target="https://drive.google.com/file/d/14Y0d8I5zbqIfwk-Ad1dKwyV8M3HnQedc/view?usp=drivesdk" TargetMode="External"/><Relationship Id="rId859" Type="http://schemas.openxmlformats.org/officeDocument/2006/relationships/hyperlink" Target="https://drive.google.com/file/d/1FNG3JC17LSjA-jYWY0fm1aZdIQW1ZDcJ/view?usp=drivesdk" TargetMode="External"/><Relationship Id="rId858" Type="http://schemas.openxmlformats.org/officeDocument/2006/relationships/hyperlink" Target="https://drive.google.com/file/d/1KEucp2VluHtUbZkZsFg4C4OMxO_wKfvo/view?usp=drivesdk" TargetMode="External"/><Relationship Id="rId857" Type="http://schemas.openxmlformats.org/officeDocument/2006/relationships/hyperlink" Target="https://drive.google.com/file/d/1K4jn63MPRtACPl3GKureS-WE_4Xsyj_3/view?usp=drivesdk" TargetMode="External"/><Relationship Id="rId856" Type="http://schemas.openxmlformats.org/officeDocument/2006/relationships/hyperlink" Target="https://drive.google.com/file/d/1LKoO-pOwPk7bEo4BXmgeaqUcZ6iZuQHq/view?usp=drivesdk" TargetMode="External"/><Relationship Id="rId1680" Type="http://schemas.openxmlformats.org/officeDocument/2006/relationships/hyperlink" Target="https://drive.google.com/file/d/1a3PjUfcT7Ogrr2ceJbYW6-xJ44W21edp/view?usp=drivesdk" TargetMode="External"/><Relationship Id="rId1681" Type="http://schemas.openxmlformats.org/officeDocument/2006/relationships/hyperlink" Target="https://drive.google.com/file/d/1e1E03UbOd_zVOabLL1tGAb06dmA0dDwn/view?usp=drivesdk" TargetMode="External"/><Relationship Id="rId851" Type="http://schemas.openxmlformats.org/officeDocument/2006/relationships/hyperlink" Target="https://drive.google.com/file/d/1EOO8bZFpvflyaZGhLJPSCnVX3Ky4Xbn2/view?usp=drivesdk" TargetMode="External"/><Relationship Id="rId1682" Type="http://schemas.openxmlformats.org/officeDocument/2006/relationships/hyperlink" Target="https://drive.google.com/file/d/1ssfefj1UBwxOKNJNB3n12Niu0b_QAj5n/view?usp=drivesdk" TargetMode="External"/><Relationship Id="rId850" Type="http://schemas.openxmlformats.org/officeDocument/2006/relationships/hyperlink" Target="https://drive.google.com/file/d/1rGaqMCWDPI_WZjYn4zypL86X-IU-JAIJ/view?usp=drivesdk" TargetMode="External"/><Relationship Id="rId1683" Type="http://schemas.openxmlformats.org/officeDocument/2006/relationships/hyperlink" Target="https://drive.google.com/file/d/1Q_Ho5r5bzc17szQr3DomApQHyawGsGc4/view?usp=drivesdk" TargetMode="External"/><Relationship Id="rId1684" Type="http://schemas.openxmlformats.org/officeDocument/2006/relationships/hyperlink" Target="https://drive.google.com/file/d/1oJXlxEBs3oM6GdQzE1p-WjcXo_D-zW6J/view?usp=drivesdk" TargetMode="External"/><Relationship Id="rId1685" Type="http://schemas.openxmlformats.org/officeDocument/2006/relationships/hyperlink" Target="https://drive.google.com/file/d/1AO_nOBfcCuPIsp6zIrcygMkCQKRDkApm/view?usp=drivesdk" TargetMode="External"/><Relationship Id="rId888" Type="http://schemas.openxmlformats.org/officeDocument/2006/relationships/hyperlink" Target="https://drive.google.com/file/d/1RKzsnXTbu3HwXFeIAH4OjtX0DBFykNVx/view?usp=drivesdk" TargetMode="External"/><Relationship Id="rId887" Type="http://schemas.openxmlformats.org/officeDocument/2006/relationships/hyperlink" Target="https://drive.google.com/file/d/1VCYz3go4UtVR5m3hk4hWktITMt8jYbDt/view?usp=drivesdk" TargetMode="External"/><Relationship Id="rId886" Type="http://schemas.openxmlformats.org/officeDocument/2006/relationships/hyperlink" Target="https://drive.google.com/file/d/1278YxcK4W5G_ipdFVHPtJHovhUVVg9gK/view?usp=drivesdk" TargetMode="External"/><Relationship Id="rId885" Type="http://schemas.openxmlformats.org/officeDocument/2006/relationships/hyperlink" Target="https://drive.google.com/file/d/1gVvi3VXd2zNfRlZA_Gd6ssjtP8-XE6JV/view?usp=drivesdk" TargetMode="External"/><Relationship Id="rId889" Type="http://schemas.openxmlformats.org/officeDocument/2006/relationships/hyperlink" Target="https://drive.google.com/file/d/1FCMyxyczF-USmIX1sL8VYAng-lu8dV0r/view?usp=drivesdk" TargetMode="External"/><Relationship Id="rId880" Type="http://schemas.openxmlformats.org/officeDocument/2006/relationships/hyperlink" Target="https://drive.google.com/file/d/1CG06lZwpktqULPnf3peUxD48RCzFBUgj/view?usp=drivesdk" TargetMode="External"/><Relationship Id="rId884" Type="http://schemas.openxmlformats.org/officeDocument/2006/relationships/hyperlink" Target="https://drive.google.com/file/d/11BLEtk15pvx1tKQ1xm_Ud5k55c1u9Ag2/view?usp=drivesdk" TargetMode="External"/><Relationship Id="rId883" Type="http://schemas.openxmlformats.org/officeDocument/2006/relationships/hyperlink" Target="https://drive.google.com/file/d/19BWqar8CPQ7Bi5eHH18see7QovDdVtiU/view?usp=drivesdk" TargetMode="External"/><Relationship Id="rId882" Type="http://schemas.openxmlformats.org/officeDocument/2006/relationships/hyperlink" Target="https://drive.google.com/file/d/1C-fWfV5OX63qPSQWKyGXDS2qb1hbOn2F/view?usp=drivesdk" TargetMode="External"/><Relationship Id="rId881" Type="http://schemas.openxmlformats.org/officeDocument/2006/relationships/hyperlink" Target="https://drive.google.com/file/d/1DebRXBGm1quNud6bvIgwgYIBhh1BKIW8/view?usp=drivesdk" TargetMode="External"/><Relationship Id="rId877" Type="http://schemas.openxmlformats.org/officeDocument/2006/relationships/hyperlink" Target="https://drive.google.com/file/d/1k1XjLYJsVQpQoL_qDaS0vd3YZp8KsyEo/view?usp=drivesdk" TargetMode="External"/><Relationship Id="rId876" Type="http://schemas.openxmlformats.org/officeDocument/2006/relationships/hyperlink" Target="https://drive.google.com/file/d/1Xa-6wNmwCC1tYrO0vknyaJiS7Thi1WXD/view?usp=drivesdk" TargetMode="External"/><Relationship Id="rId875" Type="http://schemas.openxmlformats.org/officeDocument/2006/relationships/hyperlink" Target="https://drive.google.com/file/d/13fz9BV1puPk7Pf7ame6Ph1cg-XGg3Elx/view?usp=drivesdk" TargetMode="External"/><Relationship Id="rId874" Type="http://schemas.openxmlformats.org/officeDocument/2006/relationships/hyperlink" Target="https://drive.google.com/file/d/1SKNxTdWQuLA-1-mxMTJuOKYBN9fTjsKO/view?usp=drivesdk" TargetMode="External"/><Relationship Id="rId879" Type="http://schemas.openxmlformats.org/officeDocument/2006/relationships/hyperlink" Target="https://drive.google.com/file/d/1vmBJ0JLgL_6XEVz32BQP_LX1zfNo2mbM/view?usp=drivesdk" TargetMode="External"/><Relationship Id="rId878" Type="http://schemas.openxmlformats.org/officeDocument/2006/relationships/hyperlink" Target="https://drive.google.com/file/d/1tdvhhGwwOK1yWfcQhR2AnQJam_3vPcau/view?usp=drivesdk" TargetMode="External"/><Relationship Id="rId873" Type="http://schemas.openxmlformats.org/officeDocument/2006/relationships/hyperlink" Target="https://drive.google.com/file/d/1B83U2Hd9ROMBsF9BgTereUFw1qpYav1m/view?usp=drivesdk" TargetMode="External"/><Relationship Id="rId872" Type="http://schemas.openxmlformats.org/officeDocument/2006/relationships/hyperlink" Target="https://drive.google.com/file/d/1THxhHjLjb5d9dR0c8BqI5YykmV_APOTO/view?usp=drivesdk" TargetMode="External"/><Relationship Id="rId871" Type="http://schemas.openxmlformats.org/officeDocument/2006/relationships/hyperlink" Target="https://drive.google.com/file/d/1_0UCd3YJ0PLLkYV4j0TrpLndbUG8y6u1/view?usp=drivesdk" TargetMode="External"/><Relationship Id="rId870" Type="http://schemas.openxmlformats.org/officeDocument/2006/relationships/hyperlink" Target="https://drive.google.com/file/d/1n8mrM4Bj8mZ3d-x6vGxu-OXrsXo2XlU9/view?usp=drivesdk" TargetMode="External"/><Relationship Id="rId1653" Type="http://schemas.openxmlformats.org/officeDocument/2006/relationships/hyperlink" Target="https://drive.google.com/file/d/1hX9liZUBSduGbL9-plJe9V2tL6OgJuVn/view?usp=drivesdk" TargetMode="External"/><Relationship Id="rId2984" Type="http://schemas.openxmlformats.org/officeDocument/2006/relationships/hyperlink" Target="https://drive.google.com/file/d/1ottCjANvo4Tqa6rQxBGN7mMynpPMYcdp/view?usp=drivesdk" TargetMode="External"/><Relationship Id="rId1654" Type="http://schemas.openxmlformats.org/officeDocument/2006/relationships/hyperlink" Target="https://drive.google.com/file/d/1owbAl0bRyJzh-RFZFRVWi6483d1-TML8/view?usp=drivesdk" TargetMode="External"/><Relationship Id="rId2985" Type="http://schemas.openxmlformats.org/officeDocument/2006/relationships/hyperlink" Target="https://drive.google.com/file/d/1TsDlyl00L4o_aV-0y9FFxJLtJ0z2cAC8/view?usp=drivesdk" TargetMode="External"/><Relationship Id="rId1655" Type="http://schemas.openxmlformats.org/officeDocument/2006/relationships/hyperlink" Target="https://drive.google.com/file/d/19f2KYbgZe2mxvfs56I_V2z1eLpF7_GHW/view?usp=drivesdk" TargetMode="External"/><Relationship Id="rId2986" Type="http://schemas.openxmlformats.org/officeDocument/2006/relationships/hyperlink" Target="https://drive.google.com/file/d/1vnLCC4Hi2oDXrHNjJBtHf1j4SnV37qfm/view?usp=drivesdk" TargetMode="External"/><Relationship Id="rId1656" Type="http://schemas.openxmlformats.org/officeDocument/2006/relationships/hyperlink" Target="https://drive.google.com/file/d/1KbLJp9tsLQdhdQMvZbqU7s2F5mLHaDt9/view?usp=drivesdk" TargetMode="External"/><Relationship Id="rId2987" Type="http://schemas.openxmlformats.org/officeDocument/2006/relationships/hyperlink" Target="https://drive.google.com/file/d/1KwdGCP2RwX_VCI7teWjXJO3EVDSwyF2Y/view?usp=drivesdk" TargetMode="External"/><Relationship Id="rId1657" Type="http://schemas.openxmlformats.org/officeDocument/2006/relationships/hyperlink" Target="https://drive.google.com/file/d/1ALvs7IC3yi-p7ZUDk7tdgjsrtHNfzVvF/view?usp=drivesdk" TargetMode="External"/><Relationship Id="rId2988" Type="http://schemas.openxmlformats.org/officeDocument/2006/relationships/hyperlink" Target="https://drive.google.com/file/d/18yf_HHTXxRFM8K7wH_rsQ7kkuW7V1xtH/view?usp=drivesdk" TargetMode="External"/><Relationship Id="rId1658" Type="http://schemas.openxmlformats.org/officeDocument/2006/relationships/hyperlink" Target="https://drive.google.com/file/d/1xRaZGs-aCOSSad8U7i0E5V7bBuDlpWsq/view?usp=drivesdk" TargetMode="External"/><Relationship Id="rId2989" Type="http://schemas.openxmlformats.org/officeDocument/2006/relationships/hyperlink" Target="https://drive.google.com/file/d/1MlxPwNTObRRo2DSg3ivhR3odwbKiB3-f/view?usp=drivesdk" TargetMode="External"/><Relationship Id="rId1659" Type="http://schemas.openxmlformats.org/officeDocument/2006/relationships/hyperlink" Target="https://drive.google.com/file/d/1i86hnxRd9AbwJGYOm1-1SU8X0SUTtuF0/view?usp=drivesdk" TargetMode="External"/><Relationship Id="rId829" Type="http://schemas.openxmlformats.org/officeDocument/2006/relationships/hyperlink" Target="https://drive.google.com/file/d/1NYCNI_obcoViY4_IKrkYIyqLQCJ4apKT/view?usp=drivesdk" TargetMode="External"/><Relationship Id="rId828" Type="http://schemas.openxmlformats.org/officeDocument/2006/relationships/hyperlink" Target="https://drive.google.com/file/d/1ufnNbiuHod-mA3eAins-KmjNbVtP1LbF/view?usp=drivesdk" TargetMode="External"/><Relationship Id="rId827" Type="http://schemas.openxmlformats.org/officeDocument/2006/relationships/hyperlink" Target="https://drive.google.com/file/d/1cLoVxiErhjyszfXwSuH6Z5-imfu4zBxT/view?usp=drivesdk" TargetMode="External"/><Relationship Id="rId822" Type="http://schemas.openxmlformats.org/officeDocument/2006/relationships/hyperlink" Target="https://drive.google.com/file/d/1IouI97fvh4a4-5ne2sB_wpn5Bw7z_shM/view?usp=drivesdk" TargetMode="External"/><Relationship Id="rId821" Type="http://schemas.openxmlformats.org/officeDocument/2006/relationships/hyperlink" Target="https://drive.google.com/file/d/1XceOaYN58B4aa9N5tkXvJMCNTGzZi1aY/view?usp=drivesdk" TargetMode="External"/><Relationship Id="rId820" Type="http://schemas.openxmlformats.org/officeDocument/2006/relationships/hyperlink" Target="https://drive.google.com/file/d/1wJ6FODqBYSp9QWbvpt4BwGLRFV_zC22j/view?usp=drivesdk" TargetMode="External"/><Relationship Id="rId826" Type="http://schemas.openxmlformats.org/officeDocument/2006/relationships/hyperlink" Target="https://drive.google.com/file/d/1oiM3pOYtA5UejpALVRWrwnlLiPXO3h07/view?usp=drivesdk" TargetMode="External"/><Relationship Id="rId825" Type="http://schemas.openxmlformats.org/officeDocument/2006/relationships/hyperlink" Target="https://drive.google.com/file/d/1yMkyPrT0t8a9NCaCJGuyhr1jiqmviIe8/view?usp=drivesdk" TargetMode="External"/><Relationship Id="rId824" Type="http://schemas.openxmlformats.org/officeDocument/2006/relationships/hyperlink" Target="https://drive.google.com/file/d/1OP0ENNYnLQaziWPdR0U-WFZOmT1BoLOZ/view?usp=drivesdk" TargetMode="External"/><Relationship Id="rId823" Type="http://schemas.openxmlformats.org/officeDocument/2006/relationships/hyperlink" Target="https://drive.google.com/file/d/10SuuwjARaSUnjdUWlso3wwL6Ori0fAk4/view?usp=drivesdk" TargetMode="External"/><Relationship Id="rId2980" Type="http://schemas.openxmlformats.org/officeDocument/2006/relationships/hyperlink" Target="https://drive.google.com/file/d/1Xnnh41t9Z7-TIlXngaeUGhLCglCpLLhj/view?usp=drivesdk" TargetMode="External"/><Relationship Id="rId1650" Type="http://schemas.openxmlformats.org/officeDocument/2006/relationships/hyperlink" Target="https://drive.google.com/file/d/1bQq1GDW2EGLxaKpBjOevQM8D6ZyJoMKu/view?usp=drivesdk" TargetMode="External"/><Relationship Id="rId2981" Type="http://schemas.openxmlformats.org/officeDocument/2006/relationships/hyperlink" Target="https://drive.google.com/file/d/1gNSmjztxOPLwtiGKDIqGJlQ0M6wFXno5/view?usp=drivesdk" TargetMode="External"/><Relationship Id="rId1651" Type="http://schemas.openxmlformats.org/officeDocument/2006/relationships/hyperlink" Target="https://drive.google.com/file/d/1BxLDE7Y2LoxkRArSbP33dPDeeZNxSYYN/view?usp=drivesdk" TargetMode="External"/><Relationship Id="rId2982" Type="http://schemas.openxmlformats.org/officeDocument/2006/relationships/hyperlink" Target="https://drive.google.com/file/d/1kPKpBTxHP6zDzy55vow0MhzaID0Nb3M4/view?usp=drivesdk" TargetMode="External"/><Relationship Id="rId1652" Type="http://schemas.openxmlformats.org/officeDocument/2006/relationships/hyperlink" Target="http://b.sc/B.Com" TargetMode="External"/><Relationship Id="rId2983" Type="http://schemas.openxmlformats.org/officeDocument/2006/relationships/hyperlink" Target="https://drive.google.com/file/d/12VPLAJxgEeicpkvLwBfaPBzfTQew4fvo/view?usp=drivesdk" TargetMode="External"/><Relationship Id="rId1642" Type="http://schemas.openxmlformats.org/officeDocument/2006/relationships/hyperlink" Target="https://drive.google.com/file/d/1bWmfNh3IUG3U0bpPuDBRLWO_JB6Zn7wG/view?usp=drivesdk" TargetMode="External"/><Relationship Id="rId2973" Type="http://schemas.openxmlformats.org/officeDocument/2006/relationships/hyperlink" Target="https://drive.google.com/file/d/1Gmx7f8y1lvtI9L85trnpKSEy-s3TJHfl/view?usp=drivesdk" TargetMode="External"/><Relationship Id="rId1643" Type="http://schemas.openxmlformats.org/officeDocument/2006/relationships/hyperlink" Target="https://drive.google.com/file/d/17lNX-2I7GIkyRe3uG_Ovctto-hRJwsbf/view?usp=drivesdk" TargetMode="External"/><Relationship Id="rId2974" Type="http://schemas.openxmlformats.org/officeDocument/2006/relationships/hyperlink" Target="https://drive.google.com/file/d/1DiJg6SyGlJR8urK3xDfxdDtisd37vHCB/view?usp=drivesdk" TargetMode="External"/><Relationship Id="rId1644" Type="http://schemas.openxmlformats.org/officeDocument/2006/relationships/hyperlink" Target="https://drive.google.com/file/d/1qciOFSC7swlOd-aoh9RUerveH9msO2Pe/view?usp=drivesdk" TargetMode="External"/><Relationship Id="rId2975" Type="http://schemas.openxmlformats.org/officeDocument/2006/relationships/hyperlink" Target="https://drive.google.com/file/d/1AYjab2Ggnw-dnodO1v03lDC0c8W-KANb/view?usp=drivesdk" TargetMode="External"/><Relationship Id="rId1645" Type="http://schemas.openxmlformats.org/officeDocument/2006/relationships/hyperlink" Target="https://drive.google.com/file/d/1fIWiaxsy0kRHCMjhsRjiNHKDG-xJiOaG/view?usp=drivesdk" TargetMode="External"/><Relationship Id="rId2976" Type="http://schemas.openxmlformats.org/officeDocument/2006/relationships/hyperlink" Target="https://drive.google.com/file/d/1UuQmTcKx1T0XUufrIxSQqqGulsMg52HM/view?usp=drivesdk" TargetMode="External"/><Relationship Id="rId1646" Type="http://schemas.openxmlformats.org/officeDocument/2006/relationships/hyperlink" Target="https://drive.google.com/file/d/10SWU3fw_mGZSKIOyp3Ihy0yGNSCqsMjS/view?usp=drivesdk" TargetMode="External"/><Relationship Id="rId2977" Type="http://schemas.openxmlformats.org/officeDocument/2006/relationships/hyperlink" Target="https://drive.google.com/file/d/102Jkn3XDNQT2g8OXUIO-01SCyKv1zPmF/view?usp=drivesdk" TargetMode="External"/><Relationship Id="rId1647" Type="http://schemas.openxmlformats.org/officeDocument/2006/relationships/hyperlink" Target="https://drive.google.com/file/d/1qSVzkLnWW4SkqqWEAwbO2cH2ILOuDgZV/view?usp=drivesdk" TargetMode="External"/><Relationship Id="rId2978" Type="http://schemas.openxmlformats.org/officeDocument/2006/relationships/hyperlink" Target="https://drive.google.com/file/d/1gQROzsmoFxgzUq6WCQoF0WdkghgEFuRG/view?usp=drivesdk" TargetMode="External"/><Relationship Id="rId1648" Type="http://schemas.openxmlformats.org/officeDocument/2006/relationships/hyperlink" Target="https://drive.google.com/file/d/1jzEJddtDuRPN4Ky19a0eReho32KeW84s/view?usp=drivesdk" TargetMode="External"/><Relationship Id="rId2979" Type="http://schemas.openxmlformats.org/officeDocument/2006/relationships/hyperlink" Target="https://drive.google.com/file/d/1kq0NkFBhfwlsxBYESdeQ6N9rBcSTMW6Z/view?usp=drivesdk" TargetMode="External"/><Relationship Id="rId1649" Type="http://schemas.openxmlformats.org/officeDocument/2006/relationships/hyperlink" Target="https://drive.google.com/file/d/1cxo1GqIQx5N4vz7BBgssdoLacxAWECQG/view?usp=drivesdk" TargetMode="External"/><Relationship Id="rId819" Type="http://schemas.openxmlformats.org/officeDocument/2006/relationships/hyperlink" Target="https://drive.google.com/file/d/19TAD03KaZVKrmx7cF-LT3n05jpdKgyaX/view?usp=drivesdk" TargetMode="External"/><Relationship Id="rId818" Type="http://schemas.openxmlformats.org/officeDocument/2006/relationships/hyperlink" Target="https://drive.google.com/file/d/1vgM5LTAReivSYHCt0qTKSvkF_gx95fXW/view?usp=drivesdk" TargetMode="External"/><Relationship Id="rId817" Type="http://schemas.openxmlformats.org/officeDocument/2006/relationships/hyperlink" Target="https://drive.google.com/file/d/1FEwZUSA7RfAP_6gEqr6ge2ABvMfQAf-U/view?usp=drivesdk" TargetMode="External"/><Relationship Id="rId816" Type="http://schemas.openxmlformats.org/officeDocument/2006/relationships/hyperlink" Target="https://drive.google.com/file/d/1_lMki0wn3cBWBH44E6H4xsDdJcWc0nR4/view?usp=drivesdk" TargetMode="External"/><Relationship Id="rId811" Type="http://schemas.openxmlformats.org/officeDocument/2006/relationships/hyperlink" Target="https://drive.google.com/file/d/1RCm2OyTVqHRyyXwGdMJMRj15Hbr_PjFc/view?usp=drivesdk" TargetMode="External"/><Relationship Id="rId810" Type="http://schemas.openxmlformats.org/officeDocument/2006/relationships/hyperlink" Target="https://drive.google.com/file/d/1nNTRicAXhnQyXs8ABGPKZW7nME-lJt6F/view?usp=drivesdk" TargetMode="External"/><Relationship Id="rId815" Type="http://schemas.openxmlformats.org/officeDocument/2006/relationships/hyperlink" Target="https://drive.google.com/file/d/1OaH0krypcXNAWF_g3g8zGuqVTCM_PFQc/view?usp=drivesdk" TargetMode="External"/><Relationship Id="rId814" Type="http://schemas.openxmlformats.org/officeDocument/2006/relationships/hyperlink" Target="https://drive.google.com/file/d/1NRO7sH1y4JisO_grMHzHqOwFMgoGdXjS/view?usp=drivesdk" TargetMode="External"/><Relationship Id="rId813" Type="http://schemas.openxmlformats.org/officeDocument/2006/relationships/hyperlink" Target="https://drive.google.com/file/d/18WTSwkAaaF3pVmh5HS4u-454E9zJAfVV/view?usp=drivesdk" TargetMode="External"/><Relationship Id="rId812" Type="http://schemas.openxmlformats.org/officeDocument/2006/relationships/hyperlink" Target="https://drive.google.com/file/d/1Mil9BteL1m0bSagV9Qg1hrIsf9dfz-Ax/view?usp=drivesdk" TargetMode="External"/><Relationship Id="rId2970" Type="http://schemas.openxmlformats.org/officeDocument/2006/relationships/hyperlink" Target="https://drive.google.com/file/d/1PcIolEoLxu-Aco114e7aWNCXMTprBeMC/view?usp=drivesdk" TargetMode="External"/><Relationship Id="rId1640" Type="http://schemas.openxmlformats.org/officeDocument/2006/relationships/hyperlink" Target="https://drive.google.com/file/d/1Pjz7IlDTW17tdsZ7jaZgvEK9pcr5EQie/view?usp=drivesdk" TargetMode="External"/><Relationship Id="rId2971" Type="http://schemas.openxmlformats.org/officeDocument/2006/relationships/hyperlink" Target="https://drive.google.com/file/d/1p9U0Sxi54PVYWpM-zUqHeJLmee8TaLWg/view?usp=drivesdk" TargetMode="External"/><Relationship Id="rId1641" Type="http://schemas.openxmlformats.org/officeDocument/2006/relationships/hyperlink" Target="https://drive.google.com/file/d/1x7ytAdqM9y8eRjuR4EdPDvpSarfma8FR/view?usp=drivesdk" TargetMode="External"/><Relationship Id="rId2972" Type="http://schemas.openxmlformats.org/officeDocument/2006/relationships/hyperlink" Target="https://drive.google.com/file/d/1h_1e11JUG2-8WAOv8CeGpfAZbpKlCIPF/view?usp=drivesdk" TargetMode="External"/><Relationship Id="rId1675" Type="http://schemas.openxmlformats.org/officeDocument/2006/relationships/hyperlink" Target="https://drive.google.com/file/d/1T_7DGT1RH9iBRoR2b1g_fhzogcgfoPla/view?usp=drivesdk" TargetMode="External"/><Relationship Id="rId1676" Type="http://schemas.openxmlformats.org/officeDocument/2006/relationships/hyperlink" Target="https://drive.google.com/file/d/17rb7rSPNWrFZXl13Vc6InuKRVpWMhYJh/view?usp=drivesdk" TargetMode="External"/><Relationship Id="rId1677" Type="http://schemas.openxmlformats.org/officeDocument/2006/relationships/hyperlink" Target="https://drive.google.com/file/d/1DkxWeaJKcgmnfgJy8O18MHhnHrVsLfMe/view?usp=drivesdk" TargetMode="External"/><Relationship Id="rId1678" Type="http://schemas.openxmlformats.org/officeDocument/2006/relationships/hyperlink" Target="https://drive.google.com/file/d/1bN32HCQaBU852kdgnFazurHizcGQZAHY/view?usp=drivesdk" TargetMode="External"/><Relationship Id="rId1679" Type="http://schemas.openxmlformats.org/officeDocument/2006/relationships/hyperlink" Target="https://drive.google.com/file/d/10VwtF3JVhbpfZ1Ic7UClNmLcjWELHBw6/view?usp=drivesdk" TargetMode="External"/><Relationship Id="rId849" Type="http://schemas.openxmlformats.org/officeDocument/2006/relationships/hyperlink" Target="https://drive.google.com/file/d/1Ahxhb4KlpeBBcaqXukOUtDDdf5zlJ8ip/view?usp=drivesdk" TargetMode="External"/><Relationship Id="rId844" Type="http://schemas.openxmlformats.org/officeDocument/2006/relationships/hyperlink" Target="https://drive.google.com/file/d/1fbKP3QtTe6AFZdztgmDvs2iRup5E-tYD/view?usp=drivesdk" TargetMode="External"/><Relationship Id="rId843" Type="http://schemas.openxmlformats.org/officeDocument/2006/relationships/hyperlink" Target="https://drive.google.com/file/d/17sxF8Ugo3mPlAerq63y8a709htrKBQJV/view?usp=drivesdk" TargetMode="External"/><Relationship Id="rId842" Type="http://schemas.openxmlformats.org/officeDocument/2006/relationships/hyperlink" Target="http://b.sc/B.Com" TargetMode="External"/><Relationship Id="rId841" Type="http://schemas.openxmlformats.org/officeDocument/2006/relationships/hyperlink" Target="https://drive.google.com/file/d/18VD1V8y-V2YsMCiXtL0rb-sWvSjcpyfF/view?usp=drivesdk" TargetMode="External"/><Relationship Id="rId848" Type="http://schemas.openxmlformats.org/officeDocument/2006/relationships/hyperlink" Target="https://drive.google.com/file/d/1W7Xr9Zr8u9HabGxX_DOAGYMvh-E9x5-T/view?usp=drivesdk" TargetMode="External"/><Relationship Id="rId847" Type="http://schemas.openxmlformats.org/officeDocument/2006/relationships/hyperlink" Target="https://drive.google.com/file/d/1kk_2eQ4hc0vKcaVEhnR8UiXf2hasa7QU/view?usp=drivesdk" TargetMode="External"/><Relationship Id="rId846" Type="http://schemas.openxmlformats.org/officeDocument/2006/relationships/hyperlink" Target="https://drive.google.com/file/d/1_gAxWEJ_qOOalkYPrZnxOyzVIeL4WFfN/view?usp=drivesdk" TargetMode="External"/><Relationship Id="rId845" Type="http://schemas.openxmlformats.org/officeDocument/2006/relationships/hyperlink" Target="https://drive.google.com/file/d/1KlihtFsjOajUwC_RN0EjPw1Brrsd_ljM/view?usp=drivesdk" TargetMode="External"/><Relationship Id="rId1670" Type="http://schemas.openxmlformats.org/officeDocument/2006/relationships/hyperlink" Target="https://drive.google.com/file/d/19PUPU3OFUxi8i9dnvex3AP3wK1EK4Oza/view?usp=drivesdk" TargetMode="External"/><Relationship Id="rId840" Type="http://schemas.openxmlformats.org/officeDocument/2006/relationships/hyperlink" Target="http://b.sc/B.Com" TargetMode="External"/><Relationship Id="rId1671" Type="http://schemas.openxmlformats.org/officeDocument/2006/relationships/hyperlink" Target="https://drive.google.com/file/d/1HRHGAgDVjT6CvijmTQRDLHx7jjscxdg1/view?usp=drivesdk" TargetMode="External"/><Relationship Id="rId1672" Type="http://schemas.openxmlformats.org/officeDocument/2006/relationships/hyperlink" Target="https://drive.google.com/file/d/1JRASDxsO6ys7R8cnaFjKOyXsUW5KNSBO/view?usp=drivesdk" TargetMode="External"/><Relationship Id="rId1673" Type="http://schemas.openxmlformats.org/officeDocument/2006/relationships/hyperlink" Target="https://drive.google.com/file/d/135MAV60pe6OdxVuO4f4dPwMo3_cJzWGK/view?usp=drivesdk" TargetMode="External"/><Relationship Id="rId1674" Type="http://schemas.openxmlformats.org/officeDocument/2006/relationships/hyperlink" Target="https://drive.google.com/file/d/1rc6wMSgEYNhPAmikW_ak9mOcYe9i6FfH/view?usp=drivesdk" TargetMode="External"/><Relationship Id="rId1664" Type="http://schemas.openxmlformats.org/officeDocument/2006/relationships/hyperlink" Target="https://drive.google.com/file/d/15H0U1HJ7NLzeUZvnAXrrt65Cu-WIuVaC/view?usp=drivesdk" TargetMode="External"/><Relationship Id="rId2995" Type="http://schemas.openxmlformats.org/officeDocument/2006/relationships/hyperlink" Target="https://drive.google.com/file/d/1MZqavWlAoZueezj6OpepBBlI0tMB1kbr/view?usp=drivesdk" TargetMode="External"/><Relationship Id="rId1665" Type="http://schemas.openxmlformats.org/officeDocument/2006/relationships/hyperlink" Target="https://drive.google.com/file/d/1-x8fhsYBw6VapQZ2adoZdDi8bSPK17Dh/view?usp=drivesdk" TargetMode="External"/><Relationship Id="rId2996" Type="http://schemas.openxmlformats.org/officeDocument/2006/relationships/hyperlink" Target="https://drive.google.com/file/d/1-PM48BJFT-fMxPhyBJUfa7QrA5AErp61/view?usp=drivesdk" TargetMode="External"/><Relationship Id="rId1666" Type="http://schemas.openxmlformats.org/officeDocument/2006/relationships/hyperlink" Target="https://drive.google.com/file/d/1x36vjR9EQy6P3Bvq1xXDJLukemzk0t1d/view?usp=drivesdk" TargetMode="External"/><Relationship Id="rId2997" Type="http://schemas.openxmlformats.org/officeDocument/2006/relationships/hyperlink" Target="https://drive.google.com/file/d/1F6mpeij1Br-NZhI4DYfpE2NxVqVQ15UF/view?usp=drivesdk" TargetMode="External"/><Relationship Id="rId1667" Type="http://schemas.openxmlformats.org/officeDocument/2006/relationships/hyperlink" Target="https://drive.google.com/file/d/1I8KG1luLMeF6vtNcjdGLjCIpkVkxJ_OO/view?usp=drivesdk" TargetMode="External"/><Relationship Id="rId2998" Type="http://schemas.openxmlformats.org/officeDocument/2006/relationships/hyperlink" Target="https://drive.google.com/file/d/1-AYIS0H9si7uMGIJ_Mgm_E-OiYEMWDi3/view?usp=drivesdk" TargetMode="External"/><Relationship Id="rId1668" Type="http://schemas.openxmlformats.org/officeDocument/2006/relationships/hyperlink" Target="https://drive.google.com/file/d/14t_r2uWCsmSGBBp1io5Zy27izXmgzq96/view?usp=drivesdk" TargetMode="External"/><Relationship Id="rId2999" Type="http://schemas.openxmlformats.org/officeDocument/2006/relationships/hyperlink" Target="https://drive.google.com/file/d/1Q672a_OYJVDSOnn1o3MXu-r5b5WiGJMD/view?usp=drivesdk" TargetMode="External"/><Relationship Id="rId1669" Type="http://schemas.openxmlformats.org/officeDocument/2006/relationships/hyperlink" Target="https://drive.google.com/file/d/1PQKAHnWbOSvJpsnh44Iabs3pj-eJUFCZ/view?usp=drivesdk" TargetMode="External"/><Relationship Id="rId839" Type="http://schemas.openxmlformats.org/officeDocument/2006/relationships/hyperlink" Target="https://drive.google.com/file/d/16IHHalyOy5vK5FRWapv6uyAb9XV0UqsQ/view?usp=drivesdk" TargetMode="External"/><Relationship Id="rId838" Type="http://schemas.openxmlformats.org/officeDocument/2006/relationships/hyperlink" Target="https://drive.google.com/file/d/1RjNFuOtyh3t74EnzCe_ytzlyo1lAyQ8z/view?usp=drivesdk" TargetMode="External"/><Relationship Id="rId833" Type="http://schemas.openxmlformats.org/officeDocument/2006/relationships/hyperlink" Target="https://drive.google.com/file/d/1ktSDBJ_GrWFalzaNrqIsAvWAqBcY6r9t/view?usp=drivesdk" TargetMode="External"/><Relationship Id="rId832" Type="http://schemas.openxmlformats.org/officeDocument/2006/relationships/hyperlink" Target="https://drive.google.com/file/d/1i3UN8TOIAyTUINhX1QtJGwL0q9jJMFi2/view?usp=drivesdk" TargetMode="External"/><Relationship Id="rId831" Type="http://schemas.openxmlformats.org/officeDocument/2006/relationships/hyperlink" Target="https://drive.google.com/file/d/1yIZ396eDGt7rB1mguk8amHy-WAAgKrYN/view?usp=drivesdk" TargetMode="External"/><Relationship Id="rId830" Type="http://schemas.openxmlformats.org/officeDocument/2006/relationships/hyperlink" Target="https://drive.google.com/file/d/1uuSf2a8DJrkNVmaofXEl3mKI-qlRQHSU/view?usp=drivesdk" TargetMode="External"/><Relationship Id="rId837" Type="http://schemas.openxmlformats.org/officeDocument/2006/relationships/hyperlink" Target="https://drive.google.com/file/d/1HsCtY9FyNm5XTp27ZHkajBVXVghG_r0f/view?usp=drivesdk" TargetMode="External"/><Relationship Id="rId836" Type="http://schemas.openxmlformats.org/officeDocument/2006/relationships/hyperlink" Target="https://drive.google.com/file/d/1xkTRJ2G7Me7X8-IaahMKdWy8VyRYdU3U/view?usp=drivesdk" TargetMode="External"/><Relationship Id="rId835" Type="http://schemas.openxmlformats.org/officeDocument/2006/relationships/hyperlink" Target="https://drive.google.com/file/d/1arX-eUr13j9NGkXo2bdwrw9aj5J29pBA/view?usp=drivesdk" TargetMode="External"/><Relationship Id="rId834" Type="http://schemas.openxmlformats.org/officeDocument/2006/relationships/hyperlink" Target="https://drive.google.com/file/d/1ozrKp16CXNfwcufXMI0Tr67GoNPOxnWs/view?usp=drivesdk" TargetMode="External"/><Relationship Id="rId2990" Type="http://schemas.openxmlformats.org/officeDocument/2006/relationships/hyperlink" Target="https://drive.google.com/file/d/1sj3a5SL3n1BfX44_60NTMHtqaGViKGas/view?usp=drivesdk" TargetMode="External"/><Relationship Id="rId1660" Type="http://schemas.openxmlformats.org/officeDocument/2006/relationships/hyperlink" Target="https://drive.google.com/file/d/1dozW95hlFiqYgGH5fnPZsrqtQRRxBoG6/view?usp=drivesdk" TargetMode="External"/><Relationship Id="rId2991" Type="http://schemas.openxmlformats.org/officeDocument/2006/relationships/hyperlink" Target="https://drive.google.com/file/d/1iWwG5B4XdIAfVFV1GuYiArisGDo_zWrY/view?usp=drivesdk" TargetMode="External"/><Relationship Id="rId1661" Type="http://schemas.openxmlformats.org/officeDocument/2006/relationships/hyperlink" Target="https://drive.google.com/file/d/106IRKnEJOoAIsbEVclxfGgIvQe5ms5GL/view?usp=drivesdk" TargetMode="External"/><Relationship Id="rId2992" Type="http://schemas.openxmlformats.org/officeDocument/2006/relationships/hyperlink" Target="https://drive.google.com/file/d/1nY2LIgpOSSeZIjvdbrievou2CbIC8whR/view?usp=drivesdk" TargetMode="External"/><Relationship Id="rId1662" Type="http://schemas.openxmlformats.org/officeDocument/2006/relationships/hyperlink" Target="https://drive.google.com/file/d/1r-Y4WSoi0OyxmIzkhXQ0tuGCQOV3IZ8A/view?usp=drivesdk" TargetMode="External"/><Relationship Id="rId2993" Type="http://schemas.openxmlformats.org/officeDocument/2006/relationships/hyperlink" Target="https://drive.google.com/file/d/1NgTBl2canPl3sV6l0sLINCMRabbQ5av8/view?usp=drivesdk" TargetMode="External"/><Relationship Id="rId1663" Type="http://schemas.openxmlformats.org/officeDocument/2006/relationships/hyperlink" Target="https://drive.google.com/file/d/19y_7CumqyZhGLYKl8jRc57H7TsOUYLTw/view?usp=drivesdk" TargetMode="External"/><Relationship Id="rId2994" Type="http://schemas.openxmlformats.org/officeDocument/2006/relationships/hyperlink" Target="https://drive.google.com/file/d/11-B_Ihck1by-UUoptpCGdHEn5ETojlfx/view?usp=drivesdk" TargetMode="External"/><Relationship Id="rId2148" Type="http://schemas.openxmlformats.org/officeDocument/2006/relationships/hyperlink" Target="https://drive.google.com/file/d/1HPThCsY3IODCGfKmj1L151HrgK-hu5e9/view?usp=drivesdk" TargetMode="External"/><Relationship Id="rId2149" Type="http://schemas.openxmlformats.org/officeDocument/2006/relationships/hyperlink" Target="https://drive.google.com/file/d/1rivYY75ekfpEbcuqF1e_xYO3_jO6Mt4i/view?usp=drivesdk" TargetMode="External"/><Relationship Id="rId2140" Type="http://schemas.openxmlformats.org/officeDocument/2006/relationships/hyperlink" Target="https://drive.google.com/file/d/1ToMTLBIFMKsCmQSDfiQDuKoCAi0Rq_7K/view?usp=drivesdk" TargetMode="External"/><Relationship Id="rId2141" Type="http://schemas.openxmlformats.org/officeDocument/2006/relationships/hyperlink" Target="https://drive.google.com/file/d/1ZCVxwGS7YPsQ88enGjzPX5ijgKMXpzi7/view?usp=drivesdk" TargetMode="External"/><Relationship Id="rId2142" Type="http://schemas.openxmlformats.org/officeDocument/2006/relationships/hyperlink" Target="https://drive.google.com/file/d/1IuKlNHHXtUIA71rRpkz354i0E6PTanTw/view?usp=drivesdk" TargetMode="External"/><Relationship Id="rId2143" Type="http://schemas.openxmlformats.org/officeDocument/2006/relationships/hyperlink" Target="https://drive.google.com/file/d/12PWN1wtaASXelMa6DUXALVQ17PwQanIj/view?usp=drivesdk" TargetMode="External"/><Relationship Id="rId2144" Type="http://schemas.openxmlformats.org/officeDocument/2006/relationships/hyperlink" Target="https://drive.google.com/file/d/1ui9yFfk7TIIZOOgge7eH2ioBGlRDPuqL/view?usp=drivesdk" TargetMode="External"/><Relationship Id="rId2145" Type="http://schemas.openxmlformats.org/officeDocument/2006/relationships/hyperlink" Target="https://drive.google.com/file/d/1LbLtxVbtdfFc6xU88N4aVwVjAfzSr48A/view?usp=drivesdk" TargetMode="External"/><Relationship Id="rId2146" Type="http://schemas.openxmlformats.org/officeDocument/2006/relationships/hyperlink" Target="https://drive.google.com/file/d/17speOUubkSsW3R-ybEYymGpn2JZ6H17s/view?usp=drivesdk" TargetMode="External"/><Relationship Id="rId2147" Type="http://schemas.openxmlformats.org/officeDocument/2006/relationships/hyperlink" Target="https://drive.google.com/file/d/1cLmhM384p8ubxXrNl2_qe7ZpJ1EnzkoU/view?usp=drivesdk" TargetMode="External"/><Relationship Id="rId2137" Type="http://schemas.openxmlformats.org/officeDocument/2006/relationships/hyperlink" Target="https://drive.google.com/file/d/1u3A6Xxnz5trIcC-IGbzIRJNHPlsbpVtP/view?usp=drivesdk" TargetMode="External"/><Relationship Id="rId2138" Type="http://schemas.openxmlformats.org/officeDocument/2006/relationships/hyperlink" Target="https://drive.google.com/file/d/113ZVE0COVB8Md1MbMff6YNsq03ybdQDV/view?usp=drivesdk" TargetMode="External"/><Relationship Id="rId2139" Type="http://schemas.openxmlformats.org/officeDocument/2006/relationships/hyperlink" Target="https://drive.google.com/file/d/1e2nCJ8vKmS-ftRRbEV5SwuXL4EnBjAgW/view?usp=drivesdk" TargetMode="External"/><Relationship Id="rId2130" Type="http://schemas.openxmlformats.org/officeDocument/2006/relationships/hyperlink" Target="https://drive.google.com/file/d/1wIxuj--y7-1DSTcs-_gfvr96BSl6L3P2/view?usp=drivesdk" TargetMode="External"/><Relationship Id="rId2131" Type="http://schemas.openxmlformats.org/officeDocument/2006/relationships/hyperlink" Target="https://drive.google.com/file/d/1S7jdF4BEsWSaSOnC5qWiCYL6TI4UBxLI/view?usp=drivesdk" TargetMode="External"/><Relationship Id="rId2132" Type="http://schemas.openxmlformats.org/officeDocument/2006/relationships/hyperlink" Target="https://drive.google.com/file/d/100I-nPdrwbvH22MBXfZeGEZz0Ijt9T6I/view?usp=drivesdk" TargetMode="External"/><Relationship Id="rId2133" Type="http://schemas.openxmlformats.org/officeDocument/2006/relationships/hyperlink" Target="https://drive.google.com/file/d/1osTHHW1QAJGfgaDXUCTYJ_mZZgsUndXj/view?usp=drivesdk" TargetMode="External"/><Relationship Id="rId2134" Type="http://schemas.openxmlformats.org/officeDocument/2006/relationships/hyperlink" Target="https://drive.google.com/file/d/1ea13FEhGnaIQ_skJscVj5Hjt7m2CgOv_/view?usp=drivesdk" TargetMode="External"/><Relationship Id="rId2135" Type="http://schemas.openxmlformats.org/officeDocument/2006/relationships/hyperlink" Target="https://drive.google.com/file/d/1yQ_kkZSEtwdxdy_mu3DrfUf-7aDaYgxg/view?usp=drivesdk" TargetMode="External"/><Relationship Id="rId2136" Type="http://schemas.openxmlformats.org/officeDocument/2006/relationships/hyperlink" Target="https://drive.google.com/file/d/1tadZNsTIz40DzfwWEeZxFT_V3nv_CqO2/view?usp=drivesdk" TargetMode="External"/><Relationship Id="rId2160" Type="http://schemas.openxmlformats.org/officeDocument/2006/relationships/hyperlink" Target="https://drive.google.com/file/d/1_BKNEx1QsTsnwxsVgMfJzuXWZ79WSUkV/view?usp=drivesdk" TargetMode="External"/><Relationship Id="rId2161" Type="http://schemas.openxmlformats.org/officeDocument/2006/relationships/hyperlink" Target="https://drive.google.com/file/d/1m8-CMrbJU_bP00xYCMCYf4Fd8pUqgg5a/view?usp=drivesdk" TargetMode="External"/><Relationship Id="rId2162" Type="http://schemas.openxmlformats.org/officeDocument/2006/relationships/hyperlink" Target="https://drive.google.com/file/d/16yBfjXrH0yi2sje1Q6DALcUEFLg27dGR/view?usp=drivesdk" TargetMode="External"/><Relationship Id="rId2163" Type="http://schemas.openxmlformats.org/officeDocument/2006/relationships/hyperlink" Target="https://drive.google.com/file/d/1JUzvv_ssbqSXPwjGT0M2BsxHNStEWkJc/view?usp=drivesdk" TargetMode="External"/><Relationship Id="rId2164" Type="http://schemas.openxmlformats.org/officeDocument/2006/relationships/hyperlink" Target="https://drive.google.com/file/d/14sqjG20GA9X9AJq5M0j9OxT3BmmmaLRO/view?usp=drivesdk" TargetMode="External"/><Relationship Id="rId2165" Type="http://schemas.openxmlformats.org/officeDocument/2006/relationships/hyperlink" Target="https://drive.google.com/file/d/1PrR1BM5ol_FRnjhR81Oml5W3vFIHNKS4/view?usp=drivesdk" TargetMode="External"/><Relationship Id="rId2166" Type="http://schemas.openxmlformats.org/officeDocument/2006/relationships/hyperlink" Target="https://drive.google.com/file/d/18DRs21SiBnbiyu5aegoG4TSx5P0ERGgl/view?usp=drivesdk" TargetMode="External"/><Relationship Id="rId2167" Type="http://schemas.openxmlformats.org/officeDocument/2006/relationships/hyperlink" Target="https://drive.google.com/file/d/1cx0KLNTuemlsR8GcoCOZ8wTdCLLwnocq/view?usp=drivesdk" TargetMode="External"/><Relationship Id="rId2168" Type="http://schemas.openxmlformats.org/officeDocument/2006/relationships/hyperlink" Target="https://drive.google.com/file/d/1MTx0W4cgfSHU3PkHuVZLe0yqk8VaAdRT/view?usp=drivesdk" TargetMode="External"/><Relationship Id="rId2169" Type="http://schemas.openxmlformats.org/officeDocument/2006/relationships/hyperlink" Target="https://drive.google.com/file/d/1XIktzi-62VIyO0EwG_GFVPR0M4PpvWME/view?usp=drivesdk" TargetMode="External"/><Relationship Id="rId2159" Type="http://schemas.openxmlformats.org/officeDocument/2006/relationships/hyperlink" Target="https://drive.google.com/file/d/1VyoJrf7kju50q1uzXRx1KU27kF7B-zmM/view?usp=drivesdk" TargetMode="External"/><Relationship Id="rId2150" Type="http://schemas.openxmlformats.org/officeDocument/2006/relationships/hyperlink" Target="https://drive.google.com/file/d/1o-pK6ShdayPow8P2SyfwPFcGXutbIalH/view?usp=drivesdk" TargetMode="External"/><Relationship Id="rId2151" Type="http://schemas.openxmlformats.org/officeDocument/2006/relationships/hyperlink" Target="https://drive.google.com/file/d/1QLxVIjOn9uki8ayEvni06xhPFDUfdUr_/view?usp=drivesdk" TargetMode="External"/><Relationship Id="rId2152" Type="http://schemas.openxmlformats.org/officeDocument/2006/relationships/hyperlink" Target="https://drive.google.com/file/d/16fEhqRddW1mMdpeAJ2HX6fl7pBZWdKRv/view?usp=drivesdk" TargetMode="External"/><Relationship Id="rId2153" Type="http://schemas.openxmlformats.org/officeDocument/2006/relationships/hyperlink" Target="https://drive.google.com/file/d/1OCxhhI0-Icb7FhlRjRRhhkATmTVpV1WL/view?usp=drivesdk" TargetMode="External"/><Relationship Id="rId2154" Type="http://schemas.openxmlformats.org/officeDocument/2006/relationships/hyperlink" Target="https://drive.google.com/file/d/1twzGji-Opfl_9TFXK3WPQuB7M9KjcGnB/view?usp=drivesdk" TargetMode="External"/><Relationship Id="rId2155" Type="http://schemas.openxmlformats.org/officeDocument/2006/relationships/hyperlink" Target="https://drive.google.com/file/d/1Hie_Ye0qbRif3SBvfnJyJDNsjvs8rKEY/view?usp=drivesdk" TargetMode="External"/><Relationship Id="rId2156" Type="http://schemas.openxmlformats.org/officeDocument/2006/relationships/hyperlink" Target="https://drive.google.com/file/d/1YQa_9DC_7EhT9Ks_LH8rE2L3FUCHSHF7/view?usp=drivesdk" TargetMode="External"/><Relationship Id="rId2157" Type="http://schemas.openxmlformats.org/officeDocument/2006/relationships/hyperlink" Target="https://drive.google.com/file/d/1TaUYgAOdowxjv4QCYGRV_hFqclRl-LrU/view?usp=drivesdk" TargetMode="External"/><Relationship Id="rId2158" Type="http://schemas.openxmlformats.org/officeDocument/2006/relationships/hyperlink" Target="https://drive.google.com/file/d/1mvS6tdYgEzru2WbIdOC4LDkcZrG7saJo/view?usp=drivesdk" TargetMode="External"/><Relationship Id="rId2104" Type="http://schemas.openxmlformats.org/officeDocument/2006/relationships/hyperlink" Target="https://drive.google.com/file/d/1nNtKR6TkMxf8qol0pDjjbuRUbyl9-WOr/view?usp=drivesdk" TargetMode="External"/><Relationship Id="rId2105" Type="http://schemas.openxmlformats.org/officeDocument/2006/relationships/hyperlink" Target="https://drive.google.com/file/d/1beK_lW9YK6meZ49fmiTgWiuyCioFNHCQ/view?usp=drivesdk" TargetMode="External"/><Relationship Id="rId2106" Type="http://schemas.openxmlformats.org/officeDocument/2006/relationships/hyperlink" Target="https://drive.google.com/file/d/1yO50D4nBLztdO0212mQglIQFmKmBfj_j/view?usp=drivesdk" TargetMode="External"/><Relationship Id="rId2107" Type="http://schemas.openxmlformats.org/officeDocument/2006/relationships/hyperlink" Target="https://drive.google.com/file/d/1WJh2EX5qgR7yVKdZhJCPFTmc48iCsY0i/view?usp=drivesdk" TargetMode="External"/><Relationship Id="rId2108" Type="http://schemas.openxmlformats.org/officeDocument/2006/relationships/hyperlink" Target="https://drive.google.com/file/d/1xS23HhF5iXS2mvbO1iHV0gEqinXhEwsi/view?usp=drivesdk" TargetMode="External"/><Relationship Id="rId2109" Type="http://schemas.openxmlformats.org/officeDocument/2006/relationships/hyperlink" Target="https://drive.google.com/file/d/1_nIgnJaJmWZgsUJp-zBYbQ9xRdW3Tuek/view?usp=drivesdk" TargetMode="External"/><Relationship Id="rId2100" Type="http://schemas.openxmlformats.org/officeDocument/2006/relationships/hyperlink" Target="https://drive.google.com/file/d/1XKsbx3OvvGmrD0aQR5DQLN2ki8YUZz5I/view?usp=drivesdk" TargetMode="External"/><Relationship Id="rId2101" Type="http://schemas.openxmlformats.org/officeDocument/2006/relationships/hyperlink" Target="https://drive.google.com/file/d/1hbSjl6_F6BVi35v8DpjFAKUuVui1FLuD/view?usp=drivesdk" TargetMode="External"/><Relationship Id="rId2102" Type="http://schemas.openxmlformats.org/officeDocument/2006/relationships/hyperlink" Target="https://drive.google.com/file/d/1R7mE-QnV8LDpB3HMxVzKDnIMDe6fD4JZ/view?usp=drivesdk" TargetMode="External"/><Relationship Id="rId2103" Type="http://schemas.openxmlformats.org/officeDocument/2006/relationships/hyperlink" Target="https://drive.google.com/file/d/1aD-BNOHxcjlyv-ygVMCK3wZmFxtzP3D3/view?usp=drivesdk" TargetMode="External"/><Relationship Id="rId899" Type="http://schemas.openxmlformats.org/officeDocument/2006/relationships/hyperlink" Target="https://drive.google.com/file/d/1c6amt094s7UuP73B3L-UutpGm0T-bevC/view?usp=drivesdk" TargetMode="External"/><Relationship Id="rId898" Type="http://schemas.openxmlformats.org/officeDocument/2006/relationships/hyperlink" Target="https://drive.google.com/file/d/1WbwlFgJDiZyAvKOVhdrn8NDw1ohSRU82/view?usp=drivesdk" TargetMode="External"/><Relationship Id="rId897" Type="http://schemas.openxmlformats.org/officeDocument/2006/relationships/hyperlink" Target="https://drive.google.com/file/d/1Tc3r6nHJ6Dv88WPJloZ3dG8IVSCyADy9/view?usp=drivesdk" TargetMode="External"/><Relationship Id="rId896" Type="http://schemas.openxmlformats.org/officeDocument/2006/relationships/hyperlink" Target="https://drive.google.com/file/d/1o_Okvhs6Y2fchcauB9HSYJKL4PS96RaN/view?usp=drivesdk" TargetMode="External"/><Relationship Id="rId891" Type="http://schemas.openxmlformats.org/officeDocument/2006/relationships/hyperlink" Target="https://drive.google.com/file/d/1fz_a5G9Up0XjyFVK_tYTaJEIE80KVXek/view?usp=drivesdk" TargetMode="External"/><Relationship Id="rId890" Type="http://schemas.openxmlformats.org/officeDocument/2006/relationships/hyperlink" Target="https://drive.google.com/file/d/11B33iCr8XsHGoQq4vKR4_Qr7V-G_Lex4/view?usp=drivesdk" TargetMode="External"/><Relationship Id="rId895" Type="http://schemas.openxmlformats.org/officeDocument/2006/relationships/hyperlink" Target="https://drive.google.com/file/d/16_DGdTn6yBHPCoKT4WYg3gryKNaOcjWt/view?usp=drivesdk" TargetMode="External"/><Relationship Id="rId894" Type="http://schemas.openxmlformats.org/officeDocument/2006/relationships/hyperlink" Target="https://drive.google.com/file/d/1hYyNNAroIQ_GXZ8tptY51qNkF84Qd5_F/view?usp=drivesdk" TargetMode="External"/><Relationship Id="rId893" Type="http://schemas.openxmlformats.org/officeDocument/2006/relationships/hyperlink" Target="https://drive.google.com/file/d/1nhRHRHUOTnFVWjoYyyIDhvymeYqWXVfb/view?usp=drivesdk" TargetMode="External"/><Relationship Id="rId892" Type="http://schemas.openxmlformats.org/officeDocument/2006/relationships/hyperlink" Target="https://drive.google.com/file/d/1tgxVb5f9CYuxAcqHboVCTS--oFJv5ZV0/view?usp=drivesdk" TargetMode="External"/><Relationship Id="rId2126" Type="http://schemas.openxmlformats.org/officeDocument/2006/relationships/hyperlink" Target="https://drive.google.com/file/d/1h69Lu8faBxLaGe5fBtOLEUC9IfWj45rP/view?usp=drivesdk" TargetMode="External"/><Relationship Id="rId2127" Type="http://schemas.openxmlformats.org/officeDocument/2006/relationships/hyperlink" Target="https://drive.google.com/file/d/1xPklZMa2hDG6tnWfzZDn0w_R5GfHzx2r/view?usp=drivesdk" TargetMode="External"/><Relationship Id="rId2128" Type="http://schemas.openxmlformats.org/officeDocument/2006/relationships/hyperlink" Target="https://drive.google.com/file/d/1VsykXBqe_Gay12aoRXz72g3Vn19co37m/view?usp=drivesdk" TargetMode="External"/><Relationship Id="rId2129" Type="http://schemas.openxmlformats.org/officeDocument/2006/relationships/hyperlink" Target="https://drive.google.com/file/d/1fuMbcFhlRPl1xxQ35L5onIv4R1EYfNB4/view?usp=drivesdk" TargetMode="External"/><Relationship Id="rId2120" Type="http://schemas.openxmlformats.org/officeDocument/2006/relationships/hyperlink" Target="https://drive.google.com/file/d/1R2hBboTQ_ZmaqylKc4Nx03TVcCAV4cud/view?usp=drivesdk" TargetMode="External"/><Relationship Id="rId2121" Type="http://schemas.openxmlformats.org/officeDocument/2006/relationships/hyperlink" Target="https://drive.google.com/file/d/1QVmby4TrFCzb_Ht9gIz_Pg5puR7dU_Xy/view?usp=drivesdk" TargetMode="External"/><Relationship Id="rId2122" Type="http://schemas.openxmlformats.org/officeDocument/2006/relationships/hyperlink" Target="https://drive.google.com/file/d/1OHFRR3jB6PFaLs4A1RsVt34i7GYUI0Fv/view?usp=drivesdk" TargetMode="External"/><Relationship Id="rId2123" Type="http://schemas.openxmlformats.org/officeDocument/2006/relationships/hyperlink" Target="https://drive.google.com/file/d/1HR_EN60nXhLzX_4BX5xaZ-5MIiXym3j_/view?usp=drivesdk" TargetMode="External"/><Relationship Id="rId2124" Type="http://schemas.openxmlformats.org/officeDocument/2006/relationships/hyperlink" Target="https://drive.google.com/file/d/19rwXOtwGX79puEA-iEQY3WCYVnM2u-OS/view?usp=drivesdk" TargetMode="External"/><Relationship Id="rId2125" Type="http://schemas.openxmlformats.org/officeDocument/2006/relationships/hyperlink" Target="https://drive.google.com/file/d/1zB6zFCKW7qQhcGQA7m_qrFJr0hmkAuL4/view?usp=drivesdk" TargetMode="External"/><Relationship Id="rId2115" Type="http://schemas.openxmlformats.org/officeDocument/2006/relationships/hyperlink" Target="https://drive.google.com/file/d/1J3waKNs06uNfttbotz9MHbKF60ND7_lz/view?usp=drivesdk" TargetMode="External"/><Relationship Id="rId2116" Type="http://schemas.openxmlformats.org/officeDocument/2006/relationships/hyperlink" Target="https://drive.google.com/file/d/1ylJwL_f5LZH_08PtcqLnzJOvC7RsBGp9/view?usp=drivesdk" TargetMode="External"/><Relationship Id="rId2117" Type="http://schemas.openxmlformats.org/officeDocument/2006/relationships/hyperlink" Target="https://drive.google.com/file/d/170WDDtRxLRKDHUvT94IMZOTeWk4prYUb/view?usp=drivesdk" TargetMode="External"/><Relationship Id="rId2118" Type="http://schemas.openxmlformats.org/officeDocument/2006/relationships/hyperlink" Target="https://drive.google.com/file/d/1mywGlKiQjLqK3deQYRPbSOuvu0TF9hMm/view?usp=drivesdk" TargetMode="External"/><Relationship Id="rId2119" Type="http://schemas.openxmlformats.org/officeDocument/2006/relationships/hyperlink" Target="http://b.sc/B.Com" TargetMode="External"/><Relationship Id="rId2110" Type="http://schemas.openxmlformats.org/officeDocument/2006/relationships/hyperlink" Target="https://drive.google.com/file/d/1_NwEcmIIGA2aP51MxssUI_1fg7ZqLtcn/view?usp=drivesdk" TargetMode="External"/><Relationship Id="rId2111" Type="http://schemas.openxmlformats.org/officeDocument/2006/relationships/hyperlink" Target="https://drive.google.com/file/d/1G3Xk9JS6LtdUDW7BR7Twtp-Ka5HC-amt/view?usp=drivesdk" TargetMode="External"/><Relationship Id="rId2112" Type="http://schemas.openxmlformats.org/officeDocument/2006/relationships/hyperlink" Target="https://drive.google.com/file/d/1PUzUn2JmvXIzn5J8IDb_4eVjyek52OZw/view?usp=drivesdk" TargetMode="External"/><Relationship Id="rId2113" Type="http://schemas.openxmlformats.org/officeDocument/2006/relationships/hyperlink" Target="https://drive.google.com/file/d/1h2ihK9YQtkfObO0tWNzQZa7BE_jWmxAG/view?usp=drivesdk" TargetMode="External"/><Relationship Id="rId2114" Type="http://schemas.openxmlformats.org/officeDocument/2006/relationships/hyperlink" Target="https://drive.google.com/file/d/1KzlMdG-Oa5gDVywPlVR3ZC3pXr3x4xik/view?usp=drivesd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18.88"/>
    <col customWidth="1" min="2" max="2" width="22.63"/>
    <col customWidth="1" hidden="1" min="3" max="3" width="18.88"/>
    <col customWidth="1" hidden="1" min="4" max="4" width="9.63"/>
    <col customWidth="1" hidden="1" min="5" max="5" width="10.75"/>
    <col customWidth="1" hidden="1" min="6" max="6" width="11.75"/>
    <col customWidth="1" hidden="1" min="7" max="7" width="14.63"/>
    <col customWidth="1" hidden="1" min="8" max="8" width="11.5"/>
    <col customWidth="1" hidden="1" min="9" max="9" width="18.88"/>
    <col customWidth="1" hidden="1" min="10" max="10" width="10.75"/>
    <col customWidth="1" hidden="1" min="11" max="13" width="18.88"/>
    <col customWidth="1" hidden="1" min="14" max="14" width="34.25"/>
    <col customWidth="1" hidden="1" min="15" max="16" width="18.88"/>
    <col customWidth="1" min="17" max="17" width="20.88"/>
    <col customWidth="1" min="18" max="18" width="18.88"/>
    <col customWidth="1" hidden="1" min="19" max="19" width="18.88"/>
  </cols>
  <sheetData>
    <row r="1" ht="22.5" customHeight="1">
      <c r="A1" s="3" t="s">
        <v>41</v>
      </c>
      <c r="B1" s="3" t="s">
        <v>42</v>
      </c>
      <c r="C1" s="3" t="s">
        <v>43</v>
      </c>
      <c r="D1" s="3" t="s">
        <v>44</v>
      </c>
      <c r="E1" s="3" t="s">
        <v>45</v>
      </c>
      <c r="F1" s="3" t="s">
        <v>46</v>
      </c>
      <c r="G1" s="3" t="s">
        <v>47</v>
      </c>
      <c r="H1" s="3" t="s">
        <v>48</v>
      </c>
      <c r="I1" s="3" t="s">
        <v>49</v>
      </c>
      <c r="J1" s="3" t="s">
        <v>50</v>
      </c>
      <c r="K1" s="3" t="s">
        <v>51</v>
      </c>
      <c r="L1" s="3" t="s">
        <v>52</v>
      </c>
      <c r="M1" s="3" t="s">
        <v>53</v>
      </c>
      <c r="N1" s="3" t="s">
        <v>54</v>
      </c>
      <c r="O1" s="4" t="s">
        <v>55</v>
      </c>
      <c r="P1" s="5" t="s">
        <v>56</v>
      </c>
      <c r="Q1" s="5" t="s">
        <v>57</v>
      </c>
      <c r="R1" s="5" t="s">
        <v>58</v>
      </c>
      <c r="S1" s="5" t="s">
        <v>59</v>
      </c>
    </row>
    <row r="2" ht="22.5" customHeight="1">
      <c r="A2" s="6" t="s">
        <v>60</v>
      </c>
      <c r="B2" s="7" t="s">
        <v>61</v>
      </c>
      <c r="C2" s="8" t="s">
        <v>60</v>
      </c>
      <c r="D2" s="8" t="s">
        <v>60</v>
      </c>
      <c r="E2" s="8" t="s">
        <v>60</v>
      </c>
      <c r="F2" s="8" t="s">
        <v>60</v>
      </c>
      <c r="G2" s="8" t="s">
        <v>60</v>
      </c>
      <c r="H2" s="8" t="s">
        <v>60</v>
      </c>
      <c r="I2" s="8" t="s">
        <v>60</v>
      </c>
      <c r="J2" s="8" t="s">
        <v>60</v>
      </c>
      <c r="K2" s="8" t="s">
        <v>60</v>
      </c>
      <c r="L2" s="8" t="s">
        <v>60</v>
      </c>
      <c r="M2" s="8" t="s">
        <v>60</v>
      </c>
      <c r="N2" s="8" t="s">
        <v>60</v>
      </c>
      <c r="O2" s="8" t="s">
        <v>60</v>
      </c>
      <c r="P2" s="8" t="s">
        <v>62</v>
      </c>
      <c r="Q2" s="9" t="s">
        <v>63</v>
      </c>
      <c r="R2" s="9" t="s">
        <v>64</v>
      </c>
      <c r="S2" s="8" t="s">
        <v>65</v>
      </c>
    </row>
    <row r="3" ht="22.5" customHeight="1">
      <c r="A3" s="10">
        <v>46255.44984939815</v>
      </c>
      <c r="B3" s="11" t="s">
        <v>66</v>
      </c>
      <c r="C3" s="11" t="s">
        <v>67</v>
      </c>
      <c r="D3" s="11" t="s">
        <v>68</v>
      </c>
      <c r="E3" s="12">
        <v>46255.0</v>
      </c>
      <c r="F3" s="12">
        <v>46286.0</v>
      </c>
      <c r="G3" s="11" t="s">
        <v>69</v>
      </c>
      <c r="H3" s="11">
        <v>8.010114135E9</v>
      </c>
      <c r="I3" s="11" t="s">
        <v>70</v>
      </c>
      <c r="J3" s="11" t="s">
        <v>71</v>
      </c>
      <c r="K3" s="11" t="s">
        <v>72</v>
      </c>
      <c r="L3" s="11" t="s">
        <v>73</v>
      </c>
      <c r="M3" s="11" t="s">
        <v>74</v>
      </c>
      <c r="N3" s="11" t="s">
        <v>75</v>
      </c>
      <c r="O3" s="11" t="s">
        <v>71</v>
      </c>
      <c r="P3" s="11" t="s">
        <v>76</v>
      </c>
      <c r="Q3" s="13" t="s">
        <v>77</v>
      </c>
      <c r="R3" s="14" t="str">
        <f>HYPERLINK("https://drive.google.com/file/d/1UMzypiil0Xw0jcfDLG39ReKAuZ7Lr1m7/view?usp=drivesdk","OFFER LETTER")</f>
        <v>OFFER LETTER</v>
      </c>
      <c r="S3" s="11" t="s">
        <v>78</v>
      </c>
    </row>
    <row r="4" ht="22.5" customHeight="1">
      <c r="A4" s="10">
        <v>46255.451063009255</v>
      </c>
      <c r="B4" s="11" t="s">
        <v>79</v>
      </c>
      <c r="C4" s="11" t="s">
        <v>80</v>
      </c>
      <c r="D4" s="11" t="s">
        <v>68</v>
      </c>
      <c r="E4" s="12">
        <v>46256.0</v>
      </c>
      <c r="F4" s="12">
        <v>46287.0</v>
      </c>
      <c r="G4" s="11" t="s">
        <v>81</v>
      </c>
      <c r="H4" s="11">
        <v>7.54889427E9</v>
      </c>
      <c r="I4" s="11" t="s">
        <v>82</v>
      </c>
      <c r="J4" s="11" t="s">
        <v>83</v>
      </c>
      <c r="K4" s="11" t="s">
        <v>72</v>
      </c>
      <c r="L4" s="11" t="s">
        <v>84</v>
      </c>
      <c r="M4" s="11" t="s">
        <v>85</v>
      </c>
      <c r="N4" s="11" t="s">
        <v>86</v>
      </c>
      <c r="O4" s="11" t="s">
        <v>71</v>
      </c>
      <c r="P4" s="11" t="s">
        <v>87</v>
      </c>
      <c r="Q4" s="13" t="s">
        <v>88</v>
      </c>
      <c r="R4" s="14" t="str">
        <f>HYPERLINK("https://drive.google.com/file/d/1iKUEKfuCW0QWgHBnz7jO1AFepyAfwhLZ/view?usp=drivesdk","OFFER LETTER")</f>
        <v>OFFER LETTER</v>
      </c>
      <c r="S4" s="11" t="s">
        <v>89</v>
      </c>
    </row>
    <row r="5" ht="22.5" customHeight="1">
      <c r="A5" s="10">
        <v>46255.45116438657</v>
      </c>
      <c r="B5" s="11" t="s">
        <v>90</v>
      </c>
      <c r="C5" s="11" t="s">
        <v>91</v>
      </c>
      <c r="D5" s="11" t="s">
        <v>68</v>
      </c>
      <c r="E5" s="12">
        <v>46224.0</v>
      </c>
      <c r="F5" s="12">
        <v>46255.0</v>
      </c>
      <c r="G5" s="11" t="s">
        <v>92</v>
      </c>
      <c r="H5" s="11">
        <v>8.919430077E9</v>
      </c>
      <c r="I5" s="11" t="s">
        <v>82</v>
      </c>
      <c r="J5" s="11" t="s">
        <v>71</v>
      </c>
      <c r="K5" s="11" t="s">
        <v>72</v>
      </c>
      <c r="L5" s="11" t="s">
        <v>84</v>
      </c>
      <c r="M5" s="11" t="s">
        <v>93</v>
      </c>
      <c r="N5" s="11" t="s">
        <v>86</v>
      </c>
      <c r="O5" s="11" t="s">
        <v>71</v>
      </c>
      <c r="P5" s="11" t="s">
        <v>94</v>
      </c>
      <c r="Q5" s="13" t="s">
        <v>95</v>
      </c>
      <c r="R5" s="14" t="str">
        <f>HYPERLINK("https://drive.google.com/file/d/1obQIJN3kcJs9IFUqsCxy8KO4FCNAY_tg/view?usp=drivesdk","OFFER LETTER")</f>
        <v>OFFER LETTER</v>
      </c>
      <c r="S5" s="11" t="s">
        <v>96</v>
      </c>
    </row>
    <row r="6" ht="22.5" customHeight="1">
      <c r="A6" s="10">
        <v>46255.452399560185</v>
      </c>
      <c r="B6" s="11" t="s">
        <v>97</v>
      </c>
      <c r="C6" s="11" t="s">
        <v>91</v>
      </c>
      <c r="D6" s="11" t="s">
        <v>68</v>
      </c>
      <c r="E6" s="12">
        <v>46224.0</v>
      </c>
      <c r="F6" s="12">
        <v>46255.0</v>
      </c>
      <c r="G6" s="11" t="s">
        <v>98</v>
      </c>
      <c r="H6" s="11">
        <v>8.143484844E9</v>
      </c>
      <c r="I6" s="11" t="s">
        <v>82</v>
      </c>
      <c r="J6" s="11" t="s">
        <v>71</v>
      </c>
      <c r="K6" s="11" t="s">
        <v>72</v>
      </c>
      <c r="L6" s="11" t="s">
        <v>84</v>
      </c>
      <c r="M6" s="11" t="s">
        <v>99</v>
      </c>
      <c r="N6" s="11" t="s">
        <v>75</v>
      </c>
      <c r="O6" s="11" t="s">
        <v>71</v>
      </c>
      <c r="P6" s="11" t="s">
        <v>100</v>
      </c>
      <c r="Q6" s="13" t="s">
        <v>101</v>
      </c>
      <c r="R6" s="14" t="str">
        <f>HYPERLINK("https://drive.google.com/file/d/1wq0yfnu702QFPLPcIgC0qQSW47hvM8Kf/view?usp=drivesdk","OFFER LETTER")</f>
        <v>OFFER LETTER</v>
      </c>
      <c r="S6" s="11" t="s">
        <v>102</v>
      </c>
    </row>
    <row r="7" ht="22.5" customHeight="1">
      <c r="A7" s="10">
        <v>46255.453375173616</v>
      </c>
      <c r="B7" s="11" t="s">
        <v>66</v>
      </c>
      <c r="C7" s="11" t="s">
        <v>67</v>
      </c>
      <c r="D7" s="11" t="s">
        <v>68</v>
      </c>
      <c r="E7" s="12">
        <v>46255.0</v>
      </c>
      <c r="F7" s="12">
        <v>46286.0</v>
      </c>
      <c r="G7" s="11" t="s">
        <v>69</v>
      </c>
      <c r="H7" s="11">
        <v>8.010114135E9</v>
      </c>
      <c r="I7" s="11" t="s">
        <v>70</v>
      </c>
      <c r="J7" s="11" t="s">
        <v>71</v>
      </c>
      <c r="K7" s="11" t="s">
        <v>72</v>
      </c>
      <c r="L7" s="11" t="s">
        <v>73</v>
      </c>
      <c r="M7" s="11" t="s">
        <v>74</v>
      </c>
      <c r="N7" s="11" t="s">
        <v>75</v>
      </c>
      <c r="O7" s="11" t="s">
        <v>71</v>
      </c>
      <c r="P7" s="11" t="s">
        <v>103</v>
      </c>
      <c r="Q7" s="13" t="s">
        <v>104</v>
      </c>
      <c r="R7" s="14" t="str">
        <f>HYPERLINK("https://drive.google.com/file/d/1A2i0PUhShdLusMDncOTmDr7ecsgW_LHT/view?usp=drivesdk","OFFER LETTER")</f>
        <v>OFFER LETTER</v>
      </c>
      <c r="S7" s="11" t="s">
        <v>105</v>
      </c>
    </row>
    <row r="8" ht="22.5" customHeight="1">
      <c r="A8" s="10">
        <v>46255.45563858796</v>
      </c>
      <c r="B8" s="11" t="s">
        <v>106</v>
      </c>
      <c r="C8" s="11" t="s">
        <v>107</v>
      </c>
      <c r="D8" s="11" t="s">
        <v>108</v>
      </c>
      <c r="E8" s="12">
        <v>46255.0</v>
      </c>
      <c r="F8" s="12">
        <v>46316.0</v>
      </c>
      <c r="G8" s="11" t="s">
        <v>109</v>
      </c>
      <c r="H8" s="11">
        <v>8.384035915E9</v>
      </c>
      <c r="I8" s="11" t="s">
        <v>82</v>
      </c>
      <c r="J8" s="11" t="s">
        <v>71</v>
      </c>
      <c r="K8" s="11" t="s">
        <v>110</v>
      </c>
      <c r="L8" s="11" t="s">
        <v>73</v>
      </c>
      <c r="M8" s="11" t="s">
        <v>111</v>
      </c>
      <c r="N8" s="11" t="s">
        <v>86</v>
      </c>
      <c r="O8" s="11" t="s">
        <v>71</v>
      </c>
      <c r="P8" s="11" t="s">
        <v>112</v>
      </c>
      <c r="Q8" s="13" t="s">
        <v>113</v>
      </c>
      <c r="R8" s="14" t="str">
        <f>HYPERLINK("https://drive.google.com/file/d/1XJxL-ejno9kEay0xeTyzIoq8_XtrYw_M/view?usp=drivesdk","OFFER LETTER")</f>
        <v>OFFER LETTER</v>
      </c>
      <c r="S8" s="11" t="s">
        <v>114</v>
      </c>
    </row>
    <row r="9" ht="22.5" customHeight="1">
      <c r="A9" s="10">
        <v>46255.45694002315</v>
      </c>
      <c r="B9" s="11" t="s">
        <v>115</v>
      </c>
      <c r="C9" s="11" t="s">
        <v>107</v>
      </c>
      <c r="D9" s="11" t="s">
        <v>108</v>
      </c>
      <c r="E9" s="12">
        <v>46255.0</v>
      </c>
      <c r="F9" s="12">
        <v>46316.0</v>
      </c>
      <c r="G9" s="11" t="s">
        <v>116</v>
      </c>
      <c r="H9" s="11">
        <v>9.267969701E9</v>
      </c>
      <c r="I9" s="11" t="s">
        <v>82</v>
      </c>
      <c r="J9" s="11" t="s">
        <v>71</v>
      </c>
      <c r="K9" s="11" t="s">
        <v>110</v>
      </c>
      <c r="L9" s="11" t="s">
        <v>73</v>
      </c>
      <c r="M9" s="11" t="s">
        <v>117</v>
      </c>
      <c r="N9" s="11" t="s">
        <v>86</v>
      </c>
      <c r="O9" s="11" t="s">
        <v>71</v>
      </c>
      <c r="P9" s="11" t="s">
        <v>118</v>
      </c>
      <c r="Q9" s="13" t="s">
        <v>119</v>
      </c>
      <c r="R9" s="14" t="str">
        <f>HYPERLINK("https://drive.google.com/file/d/1btsG2ej4WT7O3WzaH2FRU1NijtBlnopL/view?usp=drivesdk","OFFER LETTER")</f>
        <v>OFFER LETTER</v>
      </c>
      <c r="S9" s="11" t="s">
        <v>120</v>
      </c>
    </row>
    <row r="10" ht="22.5" customHeight="1">
      <c r="A10" s="10">
        <v>46255.45702155093</v>
      </c>
      <c r="B10" s="11" t="s">
        <v>121</v>
      </c>
      <c r="C10" s="11" t="s">
        <v>91</v>
      </c>
      <c r="D10" s="11" t="s">
        <v>68</v>
      </c>
      <c r="E10" s="12">
        <v>46224.0</v>
      </c>
      <c r="F10" s="12">
        <v>46255.0</v>
      </c>
      <c r="G10" s="11" t="s">
        <v>122</v>
      </c>
      <c r="H10" s="11">
        <v>8.179308831E9</v>
      </c>
      <c r="I10" s="11" t="s">
        <v>82</v>
      </c>
      <c r="J10" s="11" t="s">
        <v>71</v>
      </c>
      <c r="K10" s="11" t="s">
        <v>72</v>
      </c>
      <c r="L10" s="11" t="s">
        <v>84</v>
      </c>
      <c r="M10" s="11" t="s">
        <v>123</v>
      </c>
      <c r="N10" s="11" t="s">
        <v>75</v>
      </c>
      <c r="O10" s="11" t="s">
        <v>71</v>
      </c>
      <c r="P10" s="11" t="s">
        <v>124</v>
      </c>
      <c r="Q10" s="13" t="s">
        <v>125</v>
      </c>
      <c r="R10" s="14" t="str">
        <f>HYPERLINK("https://drive.google.com/file/d/1eWVpwItPx19q1iMxcWVRnwO0__UDci05/view?usp=drivesdk","OFFER LETTER")</f>
        <v>OFFER LETTER</v>
      </c>
      <c r="S10" s="11" t="s">
        <v>126</v>
      </c>
    </row>
    <row r="11" ht="22.5" customHeight="1">
      <c r="A11" s="10">
        <v>46255.45945216435</v>
      </c>
      <c r="B11" s="11" t="s">
        <v>127</v>
      </c>
      <c r="C11" s="11" t="s">
        <v>128</v>
      </c>
      <c r="D11" s="11" t="s">
        <v>68</v>
      </c>
      <c r="E11" s="12">
        <v>46256.0</v>
      </c>
      <c r="F11" s="12">
        <v>46246.0</v>
      </c>
      <c r="G11" s="11" t="s">
        <v>129</v>
      </c>
      <c r="H11" s="11">
        <v>9.381856182E9</v>
      </c>
      <c r="I11" s="11" t="s">
        <v>82</v>
      </c>
      <c r="J11" s="11" t="s">
        <v>130</v>
      </c>
      <c r="K11" s="11" t="s">
        <v>72</v>
      </c>
      <c r="L11" s="11" t="s">
        <v>131</v>
      </c>
      <c r="M11" s="11" t="s">
        <v>132</v>
      </c>
      <c r="N11" s="11" t="s">
        <v>133</v>
      </c>
      <c r="O11" s="11" t="s">
        <v>71</v>
      </c>
      <c r="P11" s="11" t="s">
        <v>134</v>
      </c>
      <c r="Q11" s="15" t="s">
        <v>135</v>
      </c>
      <c r="R11" s="16" t="s">
        <v>136</v>
      </c>
      <c r="S11" s="11" t="s">
        <v>137</v>
      </c>
    </row>
    <row r="12" ht="22.5" customHeight="1">
      <c r="A12" s="10">
        <v>46255.45977777778</v>
      </c>
      <c r="B12" s="11" t="s">
        <v>138</v>
      </c>
      <c r="C12" s="11" t="s">
        <v>91</v>
      </c>
      <c r="D12" s="11" t="s">
        <v>68</v>
      </c>
      <c r="E12" s="12">
        <v>46224.0</v>
      </c>
      <c r="F12" s="12">
        <v>46255.0</v>
      </c>
      <c r="G12" s="11" t="s">
        <v>139</v>
      </c>
      <c r="H12" s="11">
        <v>8.500888384E9</v>
      </c>
      <c r="I12" s="11" t="s">
        <v>82</v>
      </c>
      <c r="J12" s="11" t="s">
        <v>71</v>
      </c>
      <c r="K12" s="11" t="s">
        <v>72</v>
      </c>
      <c r="L12" s="11" t="s">
        <v>84</v>
      </c>
      <c r="M12" s="11" t="s">
        <v>140</v>
      </c>
      <c r="N12" s="11" t="s">
        <v>86</v>
      </c>
      <c r="O12" s="11" t="s">
        <v>71</v>
      </c>
      <c r="P12" s="11" t="s">
        <v>141</v>
      </c>
      <c r="Q12" s="13" t="s">
        <v>142</v>
      </c>
      <c r="R12" s="14" t="str">
        <f>HYPERLINK("https://drive.google.com/file/d/15JSEtAn3_7OG976ItK_VFuK2jmkU0H4c/view?usp=drivesdk","OFFER LETTER")</f>
        <v>OFFER LETTER</v>
      </c>
      <c r="S12" s="11" t="s">
        <v>143</v>
      </c>
    </row>
    <row r="13" ht="22.5" customHeight="1">
      <c r="A13" s="10">
        <v>46255.46202435185</v>
      </c>
      <c r="B13" s="11" t="s">
        <v>144</v>
      </c>
      <c r="C13" s="11" t="s">
        <v>107</v>
      </c>
      <c r="D13" s="11" t="s">
        <v>108</v>
      </c>
      <c r="E13" s="12">
        <v>46255.0</v>
      </c>
      <c r="F13" s="12">
        <v>46316.0</v>
      </c>
      <c r="G13" s="11" t="s">
        <v>145</v>
      </c>
      <c r="H13" s="11">
        <v>9.267943021E9</v>
      </c>
      <c r="I13" s="11" t="s">
        <v>82</v>
      </c>
      <c r="J13" s="11" t="s">
        <v>71</v>
      </c>
      <c r="K13" s="11" t="s">
        <v>110</v>
      </c>
      <c r="L13" s="11" t="s">
        <v>73</v>
      </c>
      <c r="M13" s="11" t="s">
        <v>111</v>
      </c>
      <c r="N13" s="11" t="s">
        <v>75</v>
      </c>
      <c r="O13" s="11" t="s">
        <v>71</v>
      </c>
      <c r="P13" s="11" t="s">
        <v>146</v>
      </c>
      <c r="Q13" s="13" t="s">
        <v>147</v>
      </c>
      <c r="R13" s="14" t="str">
        <f>HYPERLINK("https://drive.google.com/file/d/1CFxXsElGbHTUaH2Hr0m92uXc01B3NKxS/view?usp=drivesdk","OFFER LETTER")</f>
        <v>OFFER LETTER</v>
      </c>
      <c r="S13" s="11" t="s">
        <v>148</v>
      </c>
    </row>
    <row r="14" ht="22.5" customHeight="1">
      <c r="A14" s="10">
        <v>46255.46441487268</v>
      </c>
      <c r="B14" s="11" t="s">
        <v>149</v>
      </c>
      <c r="C14" s="11" t="s">
        <v>107</v>
      </c>
      <c r="D14" s="11" t="s">
        <v>108</v>
      </c>
      <c r="E14" s="12">
        <v>46255.0</v>
      </c>
      <c r="F14" s="12">
        <v>46316.0</v>
      </c>
      <c r="G14" s="11" t="s">
        <v>150</v>
      </c>
      <c r="H14" s="11">
        <v>7.488998819E9</v>
      </c>
      <c r="I14" s="11" t="s">
        <v>82</v>
      </c>
      <c r="J14" s="11" t="s">
        <v>71</v>
      </c>
      <c r="K14" s="11" t="s">
        <v>110</v>
      </c>
      <c r="L14" s="11" t="s">
        <v>73</v>
      </c>
      <c r="M14" s="11" t="s">
        <v>151</v>
      </c>
      <c r="N14" s="11" t="s">
        <v>86</v>
      </c>
      <c r="O14" s="11" t="s">
        <v>71</v>
      </c>
      <c r="P14" s="11" t="s">
        <v>152</v>
      </c>
      <c r="Q14" s="13" t="s">
        <v>153</v>
      </c>
      <c r="R14" s="14" t="str">
        <f>HYPERLINK("https://drive.google.com/file/d/1ifwKR1SIivrqz4ovPA4NHjRUVP8WL0L0/view?usp=drivesdk","OFFER LETTER")</f>
        <v>OFFER LETTER</v>
      </c>
      <c r="S14" s="11" t="s">
        <v>154</v>
      </c>
    </row>
    <row r="15" ht="22.5" customHeight="1">
      <c r="A15" s="10">
        <v>46255.46788408565</v>
      </c>
      <c r="B15" s="11" t="s">
        <v>127</v>
      </c>
      <c r="C15" s="11" t="s">
        <v>128</v>
      </c>
      <c r="D15" s="11" t="s">
        <v>68</v>
      </c>
      <c r="E15" s="12">
        <v>46256.0</v>
      </c>
      <c r="F15" s="12">
        <v>46277.0</v>
      </c>
      <c r="G15" s="11" t="s">
        <v>129</v>
      </c>
      <c r="H15" s="11">
        <v>9.381856182E9</v>
      </c>
      <c r="I15" s="11" t="s">
        <v>82</v>
      </c>
      <c r="J15" s="11" t="s">
        <v>130</v>
      </c>
      <c r="K15" s="11" t="s">
        <v>72</v>
      </c>
      <c r="L15" s="11" t="s">
        <v>131</v>
      </c>
      <c r="M15" s="11" t="s">
        <v>132</v>
      </c>
      <c r="N15" s="11" t="s">
        <v>155</v>
      </c>
      <c r="O15" s="11" t="s">
        <v>71</v>
      </c>
      <c r="P15" s="11" t="s">
        <v>156</v>
      </c>
      <c r="Q15" s="15" t="s">
        <v>135</v>
      </c>
      <c r="R15" s="16" t="s">
        <v>136</v>
      </c>
      <c r="S15" s="11" t="s">
        <v>157</v>
      </c>
    </row>
    <row r="16" ht="22.5" customHeight="1">
      <c r="A16" s="10">
        <v>46255.46809445602</v>
      </c>
      <c r="B16" s="11" t="s">
        <v>158</v>
      </c>
      <c r="C16" s="11" t="s">
        <v>91</v>
      </c>
      <c r="D16" s="11" t="s">
        <v>68</v>
      </c>
      <c r="E16" s="12">
        <v>46224.0</v>
      </c>
      <c r="F16" s="12">
        <v>46255.0</v>
      </c>
      <c r="G16" s="11" t="s">
        <v>159</v>
      </c>
      <c r="H16" s="11">
        <v>9.18246467E9</v>
      </c>
      <c r="I16" s="11" t="s">
        <v>82</v>
      </c>
      <c r="J16" s="11" t="s">
        <v>71</v>
      </c>
      <c r="K16" s="11" t="s">
        <v>72</v>
      </c>
      <c r="L16" s="11" t="s">
        <v>84</v>
      </c>
      <c r="M16" s="11" t="s">
        <v>160</v>
      </c>
      <c r="N16" s="11" t="s">
        <v>86</v>
      </c>
      <c r="O16" s="11" t="s">
        <v>71</v>
      </c>
      <c r="P16" s="11" t="s">
        <v>161</v>
      </c>
      <c r="Q16" s="13" t="s">
        <v>162</v>
      </c>
      <c r="R16" s="14" t="str">
        <f>HYPERLINK("https://drive.google.com/file/d/1RZ6IYCm2V8IjJ25WZJrkE5i2iJLqbj4h/view?usp=drivesdk","OFFER LETTER")</f>
        <v>OFFER LETTER</v>
      </c>
      <c r="S16" s="11" t="s">
        <v>163</v>
      </c>
    </row>
    <row r="17" ht="22.5" customHeight="1">
      <c r="A17" s="10">
        <v>46255.4711080787</v>
      </c>
      <c r="B17" s="11" t="s">
        <v>164</v>
      </c>
      <c r="C17" s="11" t="s">
        <v>165</v>
      </c>
      <c r="D17" s="11" t="s">
        <v>68</v>
      </c>
      <c r="E17" s="12">
        <v>46255.0</v>
      </c>
      <c r="F17" s="12">
        <v>46286.0</v>
      </c>
      <c r="G17" s="11" t="s">
        <v>166</v>
      </c>
      <c r="H17" s="11">
        <v>7.219090249E9</v>
      </c>
      <c r="I17" s="11" t="s">
        <v>82</v>
      </c>
      <c r="J17" s="11" t="s">
        <v>71</v>
      </c>
      <c r="K17" s="11" t="s">
        <v>167</v>
      </c>
      <c r="L17" s="11" t="s">
        <v>84</v>
      </c>
      <c r="M17" s="11" t="s">
        <v>168</v>
      </c>
      <c r="N17" s="11" t="s">
        <v>86</v>
      </c>
      <c r="O17" s="11" t="s">
        <v>71</v>
      </c>
      <c r="P17" s="11" t="s">
        <v>169</v>
      </c>
      <c r="Q17" s="13" t="s">
        <v>170</v>
      </c>
      <c r="R17" s="14" t="str">
        <f>HYPERLINK("https://drive.google.com/file/d/1HeAeG8zkMtQRHnAYMc5ZFymXzF4_HZcT/view?usp=drivesdk","OFFER LETTER")</f>
        <v>OFFER LETTER</v>
      </c>
      <c r="S17" s="11" t="s">
        <v>171</v>
      </c>
    </row>
    <row r="18" ht="22.5" customHeight="1">
      <c r="A18" s="10">
        <v>46255.474704189815</v>
      </c>
      <c r="B18" s="11" t="s">
        <v>172</v>
      </c>
      <c r="C18" s="11" t="s">
        <v>173</v>
      </c>
      <c r="D18" s="11" t="s">
        <v>68</v>
      </c>
      <c r="E18" s="12">
        <v>46177.0</v>
      </c>
      <c r="F18" s="12">
        <v>46207.0</v>
      </c>
      <c r="G18" s="11" t="s">
        <v>174</v>
      </c>
      <c r="H18" s="11">
        <v>9.335835584E9</v>
      </c>
      <c r="I18" s="11" t="s">
        <v>82</v>
      </c>
      <c r="J18" s="11" t="s">
        <v>71</v>
      </c>
      <c r="K18" s="11" t="s">
        <v>72</v>
      </c>
      <c r="L18" s="11" t="s">
        <v>84</v>
      </c>
      <c r="M18" s="11" t="s">
        <v>175</v>
      </c>
      <c r="N18" s="11" t="s">
        <v>75</v>
      </c>
      <c r="O18" s="11" t="s">
        <v>71</v>
      </c>
      <c r="P18" s="11" t="s">
        <v>176</v>
      </c>
      <c r="Q18" s="13" t="s">
        <v>177</v>
      </c>
      <c r="R18" s="14" t="str">
        <f>HYPERLINK("https://drive.google.com/file/d/11UsfIaAtuMqe0xOTvecJus7dkjuGanTZ/view?usp=drivesdk","OFFER LETTER")</f>
        <v>OFFER LETTER</v>
      </c>
      <c r="S18" s="11" t="s">
        <v>178</v>
      </c>
    </row>
    <row r="19" ht="22.5" customHeight="1">
      <c r="A19" s="10">
        <v>46255.47893142361</v>
      </c>
      <c r="B19" s="11" t="s">
        <v>179</v>
      </c>
      <c r="C19" s="11" t="s">
        <v>91</v>
      </c>
      <c r="D19" s="11" t="s">
        <v>68</v>
      </c>
      <c r="E19" s="12">
        <v>46224.0</v>
      </c>
      <c r="F19" s="12">
        <v>46255.0</v>
      </c>
      <c r="G19" s="11" t="s">
        <v>180</v>
      </c>
      <c r="H19" s="11">
        <v>9.963603566E9</v>
      </c>
      <c r="I19" s="11" t="s">
        <v>82</v>
      </c>
      <c r="J19" s="11" t="s">
        <v>71</v>
      </c>
      <c r="K19" s="11" t="s">
        <v>72</v>
      </c>
      <c r="L19" s="11" t="s">
        <v>84</v>
      </c>
      <c r="M19" s="11" t="s">
        <v>140</v>
      </c>
      <c r="N19" s="11" t="s">
        <v>86</v>
      </c>
      <c r="O19" s="11" t="s">
        <v>71</v>
      </c>
      <c r="P19" s="11" t="s">
        <v>181</v>
      </c>
      <c r="Q19" s="13" t="s">
        <v>182</v>
      </c>
      <c r="R19" s="14" t="str">
        <f>HYPERLINK("https://drive.google.com/file/d/1bBwq0zwatmTTzTkshQ4s_nfT2RGHUY1h/view?usp=drivesdk","OFFER LETTER")</f>
        <v>OFFER LETTER</v>
      </c>
      <c r="S19" s="11" t="s">
        <v>183</v>
      </c>
    </row>
    <row r="20" ht="22.5" customHeight="1">
      <c r="A20" s="10">
        <v>46255.483759166666</v>
      </c>
      <c r="B20" s="11" t="s">
        <v>184</v>
      </c>
      <c r="C20" s="11" t="s">
        <v>91</v>
      </c>
      <c r="D20" s="11" t="s">
        <v>68</v>
      </c>
      <c r="E20" s="12">
        <v>46224.0</v>
      </c>
      <c r="F20" s="12">
        <v>46255.0</v>
      </c>
      <c r="G20" s="11" t="s">
        <v>185</v>
      </c>
      <c r="H20" s="11">
        <v>9.866075275E9</v>
      </c>
      <c r="I20" s="11" t="s">
        <v>82</v>
      </c>
      <c r="J20" s="11" t="s">
        <v>71</v>
      </c>
      <c r="K20" s="11" t="s">
        <v>72</v>
      </c>
      <c r="L20" s="11" t="s">
        <v>84</v>
      </c>
      <c r="M20" s="11" t="s">
        <v>140</v>
      </c>
      <c r="N20" s="11" t="s">
        <v>86</v>
      </c>
      <c r="O20" s="11" t="s">
        <v>71</v>
      </c>
      <c r="P20" s="11" t="s">
        <v>186</v>
      </c>
      <c r="Q20" s="13" t="s">
        <v>187</v>
      </c>
      <c r="R20" s="14" t="str">
        <f>HYPERLINK("https://drive.google.com/file/d/1PWVfCJ0QUdPvoEp8G9L2ApPNJ0FIDtSW/view?usp=drivesdk","OFFER LETTER")</f>
        <v>OFFER LETTER</v>
      </c>
      <c r="S20" s="11" t="s">
        <v>188</v>
      </c>
    </row>
    <row r="21" ht="22.5" customHeight="1">
      <c r="A21" s="10">
        <v>46255.48849767361</v>
      </c>
      <c r="B21" s="11" t="s">
        <v>189</v>
      </c>
      <c r="C21" s="11" t="s">
        <v>91</v>
      </c>
      <c r="D21" s="11" t="s">
        <v>68</v>
      </c>
      <c r="E21" s="12">
        <v>46224.0</v>
      </c>
      <c r="F21" s="12">
        <v>46255.0</v>
      </c>
      <c r="G21" s="11" t="s">
        <v>190</v>
      </c>
      <c r="H21" s="11">
        <v>8.790301897E9</v>
      </c>
      <c r="I21" s="11" t="s">
        <v>82</v>
      </c>
      <c r="J21" s="11" t="s">
        <v>71</v>
      </c>
      <c r="K21" s="11" t="s">
        <v>72</v>
      </c>
      <c r="L21" s="11" t="s">
        <v>84</v>
      </c>
      <c r="M21" s="11" t="s">
        <v>140</v>
      </c>
      <c r="N21" s="11" t="s">
        <v>86</v>
      </c>
      <c r="O21" s="11" t="s">
        <v>71</v>
      </c>
      <c r="P21" s="11" t="s">
        <v>191</v>
      </c>
      <c r="Q21" s="13" t="s">
        <v>192</v>
      </c>
      <c r="R21" s="14" t="str">
        <f>HYPERLINK("https://drive.google.com/file/d/1eOd2jhXxcxD8PyTb49rx_eGapDRVuw7h/view?usp=drivesdk","OFFER LETTER")</f>
        <v>OFFER LETTER</v>
      </c>
      <c r="S21" s="11" t="s">
        <v>193</v>
      </c>
    </row>
    <row r="22" ht="22.5" customHeight="1">
      <c r="A22" s="10">
        <v>46255.49111754629</v>
      </c>
      <c r="B22" s="11" t="s">
        <v>194</v>
      </c>
      <c r="C22" s="11" t="s">
        <v>195</v>
      </c>
      <c r="D22" s="11" t="s">
        <v>68</v>
      </c>
      <c r="E22" s="12">
        <v>46194.0</v>
      </c>
      <c r="F22" s="12">
        <v>46225.0</v>
      </c>
      <c r="G22" s="11" t="s">
        <v>196</v>
      </c>
      <c r="H22" s="11">
        <v>9.905039488E9</v>
      </c>
      <c r="I22" s="11" t="s">
        <v>82</v>
      </c>
      <c r="J22" s="11" t="s">
        <v>71</v>
      </c>
      <c r="K22" s="11" t="s">
        <v>72</v>
      </c>
      <c r="L22" s="11" t="s">
        <v>84</v>
      </c>
      <c r="M22" s="11" t="s">
        <v>197</v>
      </c>
      <c r="N22" s="11" t="s">
        <v>198</v>
      </c>
      <c r="O22" s="11" t="s">
        <v>71</v>
      </c>
      <c r="P22" s="11" t="s">
        <v>199</v>
      </c>
      <c r="Q22" s="13" t="s">
        <v>200</v>
      </c>
      <c r="R22" s="14" t="str">
        <f>HYPERLINK("https://drive.google.com/file/d/18zyolrrLG6W3K2VpoUR5Oo6j_s4y7nWO/view?usp=drivesdk","OFFER LETTER")</f>
        <v>OFFER LETTER</v>
      </c>
      <c r="S22" s="11" t="s">
        <v>201</v>
      </c>
    </row>
    <row r="23" ht="22.5" customHeight="1">
      <c r="A23" s="10">
        <v>46255.49405127315</v>
      </c>
      <c r="B23" s="11" t="s">
        <v>202</v>
      </c>
      <c r="C23" s="11" t="s">
        <v>91</v>
      </c>
      <c r="D23" s="11" t="s">
        <v>68</v>
      </c>
      <c r="E23" s="12">
        <v>46224.0</v>
      </c>
      <c r="F23" s="12">
        <v>46255.0</v>
      </c>
      <c r="G23" s="11" t="s">
        <v>203</v>
      </c>
      <c r="H23" s="11">
        <v>9.010152763E9</v>
      </c>
      <c r="I23" s="11" t="s">
        <v>82</v>
      </c>
      <c r="J23" s="11" t="s">
        <v>71</v>
      </c>
      <c r="K23" s="11" t="s">
        <v>72</v>
      </c>
      <c r="L23" s="11" t="s">
        <v>84</v>
      </c>
      <c r="M23" s="11" t="s">
        <v>140</v>
      </c>
      <c r="N23" s="11" t="s">
        <v>86</v>
      </c>
      <c r="O23" s="11" t="s">
        <v>71</v>
      </c>
      <c r="P23" s="11" t="s">
        <v>204</v>
      </c>
      <c r="Q23" s="13" t="s">
        <v>205</v>
      </c>
      <c r="R23" s="14" t="str">
        <f>HYPERLINK("https://drive.google.com/file/d/1PCjRqjA2kD1uLtN9h_JmhaJL1JK-GbWv/view?usp=drivesdk","OFFER LETTER")</f>
        <v>OFFER LETTER</v>
      </c>
      <c r="S23" s="11" t="s">
        <v>206</v>
      </c>
    </row>
    <row r="24" ht="22.5" customHeight="1">
      <c r="A24" s="10">
        <v>46255.49591946759</v>
      </c>
      <c r="B24" s="11" t="s">
        <v>184</v>
      </c>
      <c r="C24" s="11" t="s">
        <v>91</v>
      </c>
      <c r="D24" s="11" t="s">
        <v>68</v>
      </c>
      <c r="E24" s="12">
        <v>46224.0</v>
      </c>
      <c r="F24" s="12">
        <v>46255.0</v>
      </c>
      <c r="G24" s="11" t="s">
        <v>185</v>
      </c>
      <c r="H24" s="11">
        <v>9.866075275E9</v>
      </c>
      <c r="I24" s="11" t="s">
        <v>82</v>
      </c>
      <c r="J24" s="11" t="s">
        <v>71</v>
      </c>
      <c r="K24" s="11" t="s">
        <v>72</v>
      </c>
      <c r="L24" s="11" t="s">
        <v>84</v>
      </c>
      <c r="M24" s="11" t="s">
        <v>140</v>
      </c>
      <c r="N24" s="11" t="s">
        <v>86</v>
      </c>
      <c r="O24" s="11" t="s">
        <v>71</v>
      </c>
      <c r="P24" s="11" t="s">
        <v>207</v>
      </c>
      <c r="Q24" s="13" t="s">
        <v>208</v>
      </c>
      <c r="R24" s="14" t="str">
        <f>HYPERLINK("https://drive.google.com/file/d/1iDoyI-r7ixhFrCmOA_ReA7Cvfykp_xyc/view?usp=drivesdk","OFFER LETTER")</f>
        <v>OFFER LETTER</v>
      </c>
      <c r="S24" s="11" t="s">
        <v>209</v>
      </c>
    </row>
    <row r="25" ht="22.5" customHeight="1">
      <c r="A25" s="10">
        <v>46255.503028101855</v>
      </c>
      <c r="B25" s="11" t="s">
        <v>210</v>
      </c>
      <c r="C25" s="11" t="s">
        <v>195</v>
      </c>
      <c r="D25" s="11" t="s">
        <v>68</v>
      </c>
      <c r="E25" s="12">
        <v>46255.0</v>
      </c>
      <c r="F25" s="12">
        <v>46286.0</v>
      </c>
      <c r="G25" s="11" t="s">
        <v>211</v>
      </c>
      <c r="H25" s="11">
        <v>9.110399156E9</v>
      </c>
      <c r="I25" s="11" t="s">
        <v>70</v>
      </c>
      <c r="J25" s="11" t="s">
        <v>71</v>
      </c>
      <c r="K25" s="11" t="s">
        <v>72</v>
      </c>
      <c r="L25" s="11" t="s">
        <v>73</v>
      </c>
      <c r="M25" s="11" t="s">
        <v>212</v>
      </c>
      <c r="N25" s="11" t="s">
        <v>86</v>
      </c>
      <c r="O25" s="11" t="s">
        <v>71</v>
      </c>
      <c r="P25" s="11" t="s">
        <v>213</v>
      </c>
      <c r="Q25" s="13" t="s">
        <v>214</v>
      </c>
      <c r="R25" s="14" t="str">
        <f>HYPERLINK("https://drive.google.com/file/d/1QUMy9dFwSjdehIbad6dkvRPDxZhakaHL/view?usp=drivesdk","OFFER LETTER")</f>
        <v>OFFER LETTER</v>
      </c>
      <c r="S25" s="11" t="s">
        <v>215</v>
      </c>
    </row>
    <row r="26" ht="22.5" customHeight="1">
      <c r="A26" s="10">
        <v>46255.50799636574</v>
      </c>
      <c r="B26" s="11" t="s">
        <v>216</v>
      </c>
      <c r="C26" s="11" t="s">
        <v>107</v>
      </c>
      <c r="D26" s="11" t="s">
        <v>108</v>
      </c>
      <c r="E26" s="12">
        <v>46246.0</v>
      </c>
      <c r="F26" s="12">
        <v>46307.0</v>
      </c>
      <c r="G26" s="11" t="s">
        <v>217</v>
      </c>
      <c r="H26" s="11">
        <v>9.310758217E9</v>
      </c>
      <c r="I26" s="11" t="s">
        <v>82</v>
      </c>
      <c r="J26" s="11" t="s">
        <v>71</v>
      </c>
      <c r="K26" s="11" t="s">
        <v>110</v>
      </c>
      <c r="L26" s="11" t="s">
        <v>73</v>
      </c>
      <c r="M26" s="11" t="s">
        <v>218</v>
      </c>
      <c r="N26" s="11" t="s">
        <v>219</v>
      </c>
      <c r="O26" s="11" t="s">
        <v>71</v>
      </c>
      <c r="P26" s="11" t="s">
        <v>220</v>
      </c>
      <c r="Q26" s="13" t="s">
        <v>221</v>
      </c>
      <c r="R26" s="14" t="str">
        <f>HYPERLINK("https://drive.google.com/file/d/1JmFujo5enrWa9bdn6UszAAh_iVGNWzyj/view?usp=drivesdk","OFFER LETTER")</f>
        <v>OFFER LETTER</v>
      </c>
      <c r="S26" s="11" t="s">
        <v>222</v>
      </c>
    </row>
    <row r="27" ht="22.5" customHeight="1">
      <c r="A27" s="10">
        <v>46255.55479197917</v>
      </c>
      <c r="B27" s="11" t="s">
        <v>223</v>
      </c>
      <c r="C27" s="11" t="s">
        <v>195</v>
      </c>
      <c r="D27" s="11" t="s">
        <v>108</v>
      </c>
      <c r="E27" s="12">
        <v>46204.0</v>
      </c>
      <c r="F27" s="12">
        <v>46264.0</v>
      </c>
      <c r="G27" s="11" t="s">
        <v>224</v>
      </c>
      <c r="H27" s="11">
        <v>7.579333436E9</v>
      </c>
      <c r="I27" s="11" t="s">
        <v>70</v>
      </c>
      <c r="J27" s="11" t="s">
        <v>71</v>
      </c>
      <c r="K27" s="11" t="s">
        <v>110</v>
      </c>
      <c r="L27" s="11" t="s">
        <v>73</v>
      </c>
      <c r="M27" s="11" t="s">
        <v>225</v>
      </c>
      <c r="N27" s="11" t="s">
        <v>226</v>
      </c>
      <c r="O27" s="11" t="s">
        <v>71</v>
      </c>
      <c r="P27" s="11" t="s">
        <v>227</v>
      </c>
      <c r="Q27" s="13" t="s">
        <v>228</v>
      </c>
      <c r="R27" s="14" t="str">
        <f>HYPERLINK("https://drive.google.com/file/d/1EpU99q4kCt_IEdUXa60bBURLwz1bYIy2/view?usp=drivesdk","OFFER LETTER")</f>
        <v>OFFER LETTER</v>
      </c>
      <c r="S27" s="11" t="s">
        <v>229</v>
      </c>
    </row>
    <row r="28" ht="22.5" customHeight="1">
      <c r="A28" s="10">
        <v>46255.55787741898</v>
      </c>
      <c r="B28" s="11" t="s">
        <v>230</v>
      </c>
      <c r="C28" s="11" t="s">
        <v>173</v>
      </c>
      <c r="D28" s="11" t="s">
        <v>68</v>
      </c>
      <c r="E28" s="12">
        <v>46174.0</v>
      </c>
      <c r="F28" s="12">
        <v>46203.0</v>
      </c>
      <c r="G28" s="11" t="s">
        <v>231</v>
      </c>
      <c r="H28" s="11">
        <v>9.125744157E9</v>
      </c>
      <c r="I28" s="11" t="s">
        <v>82</v>
      </c>
      <c r="J28" s="11" t="s">
        <v>71</v>
      </c>
      <c r="K28" s="11" t="s">
        <v>110</v>
      </c>
      <c r="L28" s="11" t="s">
        <v>73</v>
      </c>
      <c r="M28" s="11" t="s">
        <v>232</v>
      </c>
      <c r="N28" s="11" t="s">
        <v>86</v>
      </c>
      <c r="O28" s="11" t="s">
        <v>71</v>
      </c>
      <c r="P28" s="11" t="s">
        <v>233</v>
      </c>
      <c r="Q28" s="13" t="s">
        <v>234</v>
      </c>
      <c r="R28" s="14" t="str">
        <f>HYPERLINK("https://drive.google.com/file/d/1z22MeThJLeu-nLN4fWjGonID-ypcIq8e/view?usp=drivesdk","OFFER LETTER")</f>
        <v>OFFER LETTER</v>
      </c>
      <c r="S28" s="11" t="s">
        <v>235</v>
      </c>
    </row>
    <row r="29" ht="22.5" customHeight="1">
      <c r="A29" s="10">
        <v>46255.562284189815</v>
      </c>
      <c r="B29" s="11" t="s">
        <v>236</v>
      </c>
      <c r="C29" s="11" t="s">
        <v>237</v>
      </c>
      <c r="D29" s="11" t="s">
        <v>238</v>
      </c>
      <c r="E29" s="12">
        <v>46255.0</v>
      </c>
      <c r="F29" s="12">
        <v>46347.0</v>
      </c>
      <c r="G29" s="11" t="s">
        <v>239</v>
      </c>
      <c r="H29" s="11">
        <v>8.101953353E9</v>
      </c>
      <c r="I29" s="11" t="s">
        <v>82</v>
      </c>
      <c r="J29" s="11" t="s">
        <v>71</v>
      </c>
      <c r="K29" s="11" t="s">
        <v>72</v>
      </c>
      <c r="L29" s="11" t="s">
        <v>131</v>
      </c>
      <c r="M29" s="11" t="s">
        <v>240</v>
      </c>
      <c r="N29" s="11" t="s">
        <v>241</v>
      </c>
      <c r="O29" s="11" t="s">
        <v>71</v>
      </c>
      <c r="P29" s="11" t="s">
        <v>242</v>
      </c>
      <c r="Q29" s="13" t="s">
        <v>243</v>
      </c>
      <c r="R29" s="14" t="str">
        <f>HYPERLINK("https://drive.google.com/file/d/1pzTumrCmX9hbxWrzFKU1MNCAHNIHtlfn/view?usp=drivesdk","OFFER LETTER")</f>
        <v>OFFER LETTER</v>
      </c>
      <c r="S29" s="11" t="s">
        <v>244</v>
      </c>
    </row>
    <row r="30" ht="22.5" customHeight="1">
      <c r="A30" s="10">
        <v>46255.56312665509</v>
      </c>
      <c r="B30" s="11" t="s">
        <v>245</v>
      </c>
      <c r="C30" s="11" t="s">
        <v>107</v>
      </c>
      <c r="D30" s="11" t="s">
        <v>68</v>
      </c>
      <c r="E30" s="12">
        <v>46253.0</v>
      </c>
      <c r="F30" s="12">
        <v>46284.0</v>
      </c>
      <c r="G30" s="11" t="s">
        <v>246</v>
      </c>
      <c r="H30" s="11">
        <v>8.767940638E9</v>
      </c>
      <c r="I30" s="11" t="s">
        <v>70</v>
      </c>
      <c r="J30" s="11" t="s">
        <v>71</v>
      </c>
      <c r="K30" s="11" t="s">
        <v>110</v>
      </c>
      <c r="L30" s="11" t="s">
        <v>247</v>
      </c>
      <c r="M30" s="11" t="s">
        <v>248</v>
      </c>
      <c r="N30" s="11" t="s">
        <v>75</v>
      </c>
      <c r="O30" s="11" t="s">
        <v>71</v>
      </c>
      <c r="P30" s="11" t="s">
        <v>249</v>
      </c>
      <c r="Q30" s="13" t="s">
        <v>250</v>
      </c>
      <c r="R30" s="14" t="str">
        <f>HYPERLINK("https://drive.google.com/file/d/10NGET9yd_cLojvdVSBeyGbA2yaJfNf76/view?usp=drivesdk","OFFER LETTER")</f>
        <v>OFFER LETTER</v>
      </c>
      <c r="S30" s="11" t="s">
        <v>251</v>
      </c>
    </row>
    <row r="31" ht="22.5" customHeight="1">
      <c r="A31" s="10">
        <v>46255.566121944445</v>
      </c>
      <c r="B31" s="11" t="s">
        <v>252</v>
      </c>
      <c r="C31" s="11" t="s">
        <v>237</v>
      </c>
      <c r="D31" s="11" t="s">
        <v>238</v>
      </c>
      <c r="E31" s="12">
        <v>46255.0</v>
      </c>
      <c r="F31" s="12">
        <v>46347.0</v>
      </c>
      <c r="G31" s="11" t="s">
        <v>253</v>
      </c>
      <c r="H31" s="11">
        <v>7.478100927E9</v>
      </c>
      <c r="I31" s="11" t="s">
        <v>82</v>
      </c>
      <c r="J31" s="11" t="s">
        <v>71</v>
      </c>
      <c r="K31" s="11" t="s">
        <v>72</v>
      </c>
      <c r="L31" s="11" t="s">
        <v>131</v>
      </c>
      <c r="M31" s="11" t="s">
        <v>254</v>
      </c>
      <c r="N31" s="11" t="s">
        <v>241</v>
      </c>
      <c r="O31" s="11" t="s">
        <v>71</v>
      </c>
      <c r="P31" s="11" t="s">
        <v>255</v>
      </c>
      <c r="Q31" s="13" t="s">
        <v>256</v>
      </c>
      <c r="R31" s="14" t="str">
        <f>HYPERLINK("https://drive.google.com/file/d/13gF6R3jigqfcsx0N6sjk2TYYaoAQPVwl/view?usp=drivesdk","OFFER LETTER")</f>
        <v>OFFER LETTER</v>
      </c>
      <c r="S31" s="11" t="s">
        <v>257</v>
      </c>
    </row>
    <row r="32" ht="22.5" customHeight="1">
      <c r="A32" s="10">
        <v>46255.573717708336</v>
      </c>
      <c r="B32" s="11" t="s">
        <v>258</v>
      </c>
      <c r="C32" s="11" t="s">
        <v>259</v>
      </c>
      <c r="D32" s="11" t="s">
        <v>68</v>
      </c>
      <c r="E32" s="12">
        <v>46245.0</v>
      </c>
      <c r="F32" s="12">
        <v>46276.0</v>
      </c>
      <c r="G32" s="11" t="s">
        <v>260</v>
      </c>
      <c r="H32" s="11">
        <v>9.649573494E9</v>
      </c>
      <c r="I32" s="11" t="s">
        <v>82</v>
      </c>
      <c r="J32" s="11" t="s">
        <v>71</v>
      </c>
      <c r="K32" s="11" t="s">
        <v>110</v>
      </c>
      <c r="L32" s="11" t="s">
        <v>73</v>
      </c>
      <c r="M32" s="11" t="s">
        <v>261</v>
      </c>
      <c r="N32" s="11" t="s">
        <v>262</v>
      </c>
      <c r="O32" s="11" t="s">
        <v>263</v>
      </c>
      <c r="P32" s="11" t="s">
        <v>264</v>
      </c>
      <c r="Q32" s="13" t="s">
        <v>265</v>
      </c>
      <c r="R32" s="14" t="str">
        <f>HYPERLINK("https://drive.google.com/file/d/14BhH_KqLpSYgcslkCsxxEascuXe5aOIU/view?usp=drivesdk","OFFER LETTER")</f>
        <v>OFFER LETTER</v>
      </c>
      <c r="S32" s="11" t="s">
        <v>266</v>
      </c>
    </row>
    <row r="33" ht="22.5" customHeight="1">
      <c r="A33" s="10">
        <v>46255.57871752315</v>
      </c>
      <c r="B33" s="11" t="s">
        <v>267</v>
      </c>
      <c r="C33" s="11" t="s">
        <v>91</v>
      </c>
      <c r="D33" s="11" t="s">
        <v>68</v>
      </c>
      <c r="E33" s="12">
        <v>46224.0</v>
      </c>
      <c r="F33" s="12">
        <v>46255.0</v>
      </c>
      <c r="G33" s="11" t="s">
        <v>268</v>
      </c>
      <c r="H33" s="11">
        <v>8.179171254E9</v>
      </c>
      <c r="I33" s="11" t="s">
        <v>82</v>
      </c>
      <c r="J33" s="11" t="s">
        <v>71</v>
      </c>
      <c r="K33" s="11" t="s">
        <v>72</v>
      </c>
      <c r="L33" s="11" t="s">
        <v>84</v>
      </c>
      <c r="M33" s="11" t="s">
        <v>140</v>
      </c>
      <c r="N33" s="11" t="s">
        <v>86</v>
      </c>
      <c r="O33" s="11" t="s">
        <v>71</v>
      </c>
      <c r="P33" s="11" t="s">
        <v>269</v>
      </c>
      <c r="Q33" s="13" t="s">
        <v>270</v>
      </c>
      <c r="R33" s="14" t="str">
        <f>HYPERLINK("https://drive.google.com/file/d/1482KXppSVik1BAid8AvO3zPaw9NEMMOy/view?usp=drivesdk","OFFER LETTER")</f>
        <v>OFFER LETTER</v>
      </c>
      <c r="S33" s="11" t="s">
        <v>271</v>
      </c>
    </row>
    <row r="34" ht="22.5" customHeight="1">
      <c r="A34" s="10">
        <v>46255.58944391204</v>
      </c>
      <c r="B34" s="11" t="s">
        <v>272</v>
      </c>
      <c r="C34" s="11" t="s">
        <v>173</v>
      </c>
      <c r="D34" s="11" t="s">
        <v>68</v>
      </c>
      <c r="E34" s="12">
        <v>46204.0</v>
      </c>
      <c r="F34" s="12">
        <v>46235.0</v>
      </c>
      <c r="G34" s="11" t="s">
        <v>273</v>
      </c>
      <c r="H34" s="17" t="s">
        <v>274</v>
      </c>
      <c r="I34" s="11" t="s">
        <v>70</v>
      </c>
      <c r="J34" s="11" t="s">
        <v>71</v>
      </c>
      <c r="K34" s="11" t="s">
        <v>72</v>
      </c>
      <c r="L34" s="11" t="s">
        <v>131</v>
      </c>
      <c r="M34" s="11" t="s">
        <v>275</v>
      </c>
      <c r="N34" s="11" t="s">
        <v>75</v>
      </c>
      <c r="O34" s="11" t="s">
        <v>71</v>
      </c>
      <c r="P34" s="11" t="s">
        <v>276</v>
      </c>
      <c r="Q34" s="13" t="s">
        <v>277</v>
      </c>
      <c r="R34" s="14" t="str">
        <f>HYPERLINK("https://drive.google.com/file/d/1zbZ6kwkcFPl3-AM7UtXA05K4fV_64Wf7/view?usp=drivesdk","OFFER LETTER")</f>
        <v>OFFER LETTER</v>
      </c>
      <c r="S34" s="11" t="s">
        <v>278</v>
      </c>
    </row>
    <row r="35" ht="22.5" customHeight="1">
      <c r="A35" s="10">
        <v>46255.59437208333</v>
      </c>
      <c r="B35" s="11" t="s">
        <v>279</v>
      </c>
      <c r="C35" s="11" t="s">
        <v>91</v>
      </c>
      <c r="D35" s="11" t="s">
        <v>68</v>
      </c>
      <c r="E35" s="12">
        <v>46224.0</v>
      </c>
      <c r="F35" s="12">
        <v>46255.0</v>
      </c>
      <c r="G35" s="11" t="s">
        <v>280</v>
      </c>
      <c r="H35" s="11">
        <v>9.542339815E9</v>
      </c>
      <c r="I35" s="11" t="s">
        <v>82</v>
      </c>
      <c r="J35" s="11" t="s">
        <v>71</v>
      </c>
      <c r="K35" s="11" t="s">
        <v>72</v>
      </c>
      <c r="L35" s="11" t="s">
        <v>84</v>
      </c>
      <c r="M35" s="11" t="s">
        <v>281</v>
      </c>
      <c r="N35" s="11" t="s">
        <v>86</v>
      </c>
      <c r="O35" s="11" t="s">
        <v>71</v>
      </c>
      <c r="P35" s="11" t="s">
        <v>282</v>
      </c>
      <c r="Q35" s="13" t="s">
        <v>283</v>
      </c>
      <c r="R35" s="14" t="str">
        <f>HYPERLINK("https://drive.google.com/file/d/1fFtAAEWVyS-ACkj19vpNurWm9TVCQxqv/view?usp=drivesdk","OFFER LETTER")</f>
        <v>OFFER LETTER</v>
      </c>
      <c r="S35" s="11" t="s">
        <v>284</v>
      </c>
    </row>
    <row r="36" ht="22.5" customHeight="1">
      <c r="A36" s="10">
        <v>46255.60459505787</v>
      </c>
      <c r="B36" s="11" t="s">
        <v>285</v>
      </c>
      <c r="C36" s="11" t="s">
        <v>173</v>
      </c>
      <c r="D36" s="11" t="s">
        <v>68</v>
      </c>
      <c r="E36" s="12">
        <v>46204.0</v>
      </c>
      <c r="F36" s="12">
        <v>46235.0</v>
      </c>
      <c r="G36" s="11" t="s">
        <v>286</v>
      </c>
      <c r="H36" s="11">
        <v>6.394152189E9</v>
      </c>
      <c r="I36" s="11" t="s">
        <v>70</v>
      </c>
      <c r="J36" s="11" t="s">
        <v>71</v>
      </c>
      <c r="K36" s="11" t="s">
        <v>72</v>
      </c>
      <c r="L36" s="11" t="s">
        <v>131</v>
      </c>
      <c r="M36" s="11" t="s">
        <v>287</v>
      </c>
      <c r="N36" s="11" t="s">
        <v>75</v>
      </c>
      <c r="O36" s="11" t="s">
        <v>71</v>
      </c>
      <c r="P36" s="11" t="s">
        <v>288</v>
      </c>
      <c r="Q36" s="13" t="s">
        <v>289</v>
      </c>
      <c r="R36" s="14" t="str">
        <f>HYPERLINK("https://drive.google.com/file/d/1SAcI5iof4HahkrO8XKBWyCoF4tUWNHeB/view?usp=drivesdk","OFFER LETTER")</f>
        <v>OFFER LETTER</v>
      </c>
      <c r="S36" s="11" t="s">
        <v>290</v>
      </c>
    </row>
    <row r="37" ht="22.5" customHeight="1">
      <c r="A37" s="10">
        <v>46255.60724681713</v>
      </c>
      <c r="B37" s="11" t="s">
        <v>291</v>
      </c>
      <c r="C37" s="11" t="s">
        <v>91</v>
      </c>
      <c r="D37" s="11" t="s">
        <v>68</v>
      </c>
      <c r="E37" s="12">
        <v>46224.0</v>
      </c>
      <c r="F37" s="12">
        <v>46255.0</v>
      </c>
      <c r="G37" s="11" t="s">
        <v>292</v>
      </c>
      <c r="H37" s="11">
        <v>6.281583825E9</v>
      </c>
      <c r="I37" s="11" t="s">
        <v>82</v>
      </c>
      <c r="J37" s="11" t="s">
        <v>71</v>
      </c>
      <c r="K37" s="11" t="s">
        <v>72</v>
      </c>
      <c r="L37" s="11" t="s">
        <v>84</v>
      </c>
      <c r="M37" s="11" t="s">
        <v>93</v>
      </c>
      <c r="N37" s="11" t="s">
        <v>293</v>
      </c>
      <c r="O37" s="11" t="s">
        <v>71</v>
      </c>
      <c r="P37" s="11" t="s">
        <v>294</v>
      </c>
      <c r="Q37" s="13" t="s">
        <v>295</v>
      </c>
      <c r="R37" s="14" t="str">
        <f>HYPERLINK("https://drive.google.com/file/d/1U8_HER9H3DiLUptGC5nOzI2eUf3EL-Q9/view?usp=drivesdk","OFFER LETTER")</f>
        <v>OFFER LETTER</v>
      </c>
      <c r="S37" s="11" t="s">
        <v>296</v>
      </c>
    </row>
    <row r="38" ht="22.5" customHeight="1">
      <c r="A38" s="10">
        <v>46255.61480591435</v>
      </c>
      <c r="B38" s="11" t="s">
        <v>297</v>
      </c>
      <c r="C38" s="11" t="s">
        <v>298</v>
      </c>
      <c r="D38" s="11" t="s">
        <v>108</v>
      </c>
      <c r="E38" s="12">
        <v>46255.0</v>
      </c>
      <c r="F38" s="12">
        <v>46316.0</v>
      </c>
      <c r="G38" s="11" t="s">
        <v>299</v>
      </c>
      <c r="H38" s="17" t="s">
        <v>300</v>
      </c>
      <c r="I38" s="11" t="s">
        <v>82</v>
      </c>
      <c r="J38" s="11" t="s">
        <v>71</v>
      </c>
      <c r="K38" s="11" t="s">
        <v>72</v>
      </c>
      <c r="L38" s="11" t="s">
        <v>84</v>
      </c>
      <c r="M38" s="11" t="s">
        <v>301</v>
      </c>
      <c r="N38" s="11" t="s">
        <v>86</v>
      </c>
      <c r="O38" s="11" t="s">
        <v>71</v>
      </c>
      <c r="P38" s="11" t="s">
        <v>302</v>
      </c>
      <c r="Q38" s="13" t="s">
        <v>303</v>
      </c>
      <c r="R38" s="14" t="str">
        <f>HYPERLINK("https://drive.google.com/file/d/1x9sU0cQhMqDWUTx0L8CEgG753CA0aVOw/view?usp=drivesdk","OFFER LETTER")</f>
        <v>OFFER LETTER</v>
      </c>
      <c r="S38" s="11" t="s">
        <v>304</v>
      </c>
    </row>
    <row r="39" ht="22.5" customHeight="1">
      <c r="A39" s="10">
        <v>46255.617592615745</v>
      </c>
      <c r="B39" s="11" t="s">
        <v>305</v>
      </c>
      <c r="C39" s="11" t="s">
        <v>91</v>
      </c>
      <c r="D39" s="11" t="s">
        <v>68</v>
      </c>
      <c r="E39" s="12">
        <v>46224.0</v>
      </c>
      <c r="F39" s="12">
        <v>46255.0</v>
      </c>
      <c r="G39" s="11" t="s">
        <v>306</v>
      </c>
      <c r="H39" s="11">
        <v>9.989307439E9</v>
      </c>
      <c r="I39" s="11" t="s">
        <v>82</v>
      </c>
      <c r="J39" s="11" t="s">
        <v>71</v>
      </c>
      <c r="K39" s="11" t="s">
        <v>72</v>
      </c>
      <c r="L39" s="11" t="s">
        <v>84</v>
      </c>
      <c r="M39" s="11" t="s">
        <v>123</v>
      </c>
      <c r="N39" s="11" t="s">
        <v>307</v>
      </c>
      <c r="O39" s="11" t="s">
        <v>71</v>
      </c>
      <c r="P39" s="11" t="s">
        <v>308</v>
      </c>
      <c r="Q39" s="13" t="s">
        <v>309</v>
      </c>
      <c r="R39" s="14" t="str">
        <f>HYPERLINK("https://drive.google.com/file/d/19PviKfnxxyqfq03jPQb5lNHyRjv_nbr4/view?usp=drivesdk","OFFER LETTER")</f>
        <v>OFFER LETTER</v>
      </c>
      <c r="S39" s="11" t="s">
        <v>310</v>
      </c>
    </row>
    <row r="40" ht="22.5" customHeight="1">
      <c r="A40" s="10">
        <v>46255.63113267361</v>
      </c>
      <c r="B40" s="11" t="s">
        <v>311</v>
      </c>
      <c r="C40" s="11" t="s">
        <v>173</v>
      </c>
      <c r="D40" s="11" t="s">
        <v>68</v>
      </c>
      <c r="E40" s="12">
        <v>46204.0</v>
      </c>
      <c r="F40" s="12">
        <v>46235.0</v>
      </c>
      <c r="G40" s="11" t="s">
        <v>312</v>
      </c>
      <c r="H40" s="11">
        <v>9.936286238E9</v>
      </c>
      <c r="I40" s="11" t="s">
        <v>82</v>
      </c>
      <c r="J40" s="11" t="s">
        <v>71</v>
      </c>
      <c r="K40" s="11" t="s">
        <v>72</v>
      </c>
      <c r="L40" s="11" t="s">
        <v>131</v>
      </c>
      <c r="M40" s="11" t="s">
        <v>313</v>
      </c>
      <c r="N40" s="11" t="s">
        <v>75</v>
      </c>
      <c r="O40" s="11" t="s">
        <v>71</v>
      </c>
      <c r="P40" s="11" t="s">
        <v>314</v>
      </c>
      <c r="Q40" s="13" t="s">
        <v>315</v>
      </c>
      <c r="R40" s="14" t="str">
        <f>HYPERLINK("https://drive.google.com/file/d/1_DF0h3KZ4cRhvo8PPVFvqIH2WvvEEM9P/view?usp=drivesdk","OFFER LETTER")</f>
        <v>OFFER LETTER</v>
      </c>
      <c r="S40" s="11" t="s">
        <v>316</v>
      </c>
    </row>
    <row r="41" ht="22.5" customHeight="1">
      <c r="A41" s="10">
        <v>46255.633408877315</v>
      </c>
      <c r="B41" s="11" t="s">
        <v>317</v>
      </c>
      <c r="C41" s="11" t="s">
        <v>107</v>
      </c>
      <c r="D41" s="11" t="s">
        <v>68</v>
      </c>
      <c r="E41" s="12">
        <v>46220.0</v>
      </c>
      <c r="F41" s="12">
        <v>46283.0</v>
      </c>
      <c r="G41" s="11" t="s">
        <v>318</v>
      </c>
      <c r="H41" s="11">
        <v>9.667360416E9</v>
      </c>
      <c r="I41" s="11" t="s">
        <v>70</v>
      </c>
      <c r="J41" s="11" t="s">
        <v>71</v>
      </c>
      <c r="K41" s="11" t="s">
        <v>72</v>
      </c>
      <c r="L41" s="11" t="s">
        <v>131</v>
      </c>
      <c r="M41" s="11" t="s">
        <v>319</v>
      </c>
      <c r="N41" s="11" t="s">
        <v>320</v>
      </c>
      <c r="O41" s="11" t="s">
        <v>71</v>
      </c>
      <c r="P41" s="11" t="s">
        <v>321</v>
      </c>
      <c r="Q41" s="13" t="s">
        <v>322</v>
      </c>
      <c r="R41" s="14" t="str">
        <f>HYPERLINK("https://drive.google.com/file/d/1UTtEak660_EP0tpoBK_bmaoDeRV-54ZN/view?usp=drivesdk","OFFER LETTER")</f>
        <v>OFFER LETTER</v>
      </c>
      <c r="S41" s="11" t="s">
        <v>323</v>
      </c>
    </row>
    <row r="42" ht="22.5" customHeight="1">
      <c r="A42" s="10">
        <v>46255.63375168982</v>
      </c>
      <c r="B42" s="11" t="s">
        <v>324</v>
      </c>
      <c r="C42" s="11" t="s">
        <v>237</v>
      </c>
      <c r="D42" s="11" t="s">
        <v>68</v>
      </c>
      <c r="E42" s="12">
        <v>46255.0</v>
      </c>
      <c r="F42" s="12">
        <v>46286.0</v>
      </c>
      <c r="G42" s="11" t="s">
        <v>325</v>
      </c>
      <c r="H42" s="11">
        <v>9.182943674E9</v>
      </c>
      <c r="I42" s="11" t="s">
        <v>70</v>
      </c>
      <c r="J42" s="11" t="s">
        <v>71</v>
      </c>
      <c r="K42" s="11" t="s">
        <v>72</v>
      </c>
      <c r="L42" s="11" t="s">
        <v>73</v>
      </c>
      <c r="M42" s="11" t="s">
        <v>326</v>
      </c>
      <c r="N42" s="11" t="s">
        <v>86</v>
      </c>
      <c r="O42" s="11" t="s">
        <v>71</v>
      </c>
      <c r="P42" s="11" t="s">
        <v>327</v>
      </c>
      <c r="Q42" s="13" t="s">
        <v>328</v>
      </c>
      <c r="R42" s="14" t="str">
        <f>HYPERLINK("https://drive.google.com/file/d/1gD_rreMll8CQqqv0t6TvVX_xvWQIqllE/view?usp=drivesdk","OFFER LETTER")</f>
        <v>OFFER LETTER</v>
      </c>
      <c r="S42" s="11" t="s">
        <v>329</v>
      </c>
    </row>
    <row r="43" ht="22.5" customHeight="1">
      <c r="A43" s="10">
        <v>46255.6410239699</v>
      </c>
      <c r="B43" s="11" t="s">
        <v>330</v>
      </c>
      <c r="C43" s="11" t="s">
        <v>173</v>
      </c>
      <c r="D43" s="11" t="s">
        <v>68</v>
      </c>
      <c r="E43" s="12">
        <v>46184.0</v>
      </c>
      <c r="F43" s="12">
        <v>46214.0</v>
      </c>
      <c r="G43" s="11" t="s">
        <v>331</v>
      </c>
      <c r="H43" s="11">
        <v>9.580279023E9</v>
      </c>
      <c r="I43" s="11" t="s">
        <v>82</v>
      </c>
      <c r="J43" s="11" t="s">
        <v>71</v>
      </c>
      <c r="K43" s="11" t="s">
        <v>72</v>
      </c>
      <c r="L43" s="11" t="s">
        <v>131</v>
      </c>
      <c r="M43" s="11" t="s">
        <v>287</v>
      </c>
      <c r="N43" s="11" t="s">
        <v>75</v>
      </c>
      <c r="O43" s="11" t="s">
        <v>71</v>
      </c>
      <c r="P43" s="11" t="s">
        <v>332</v>
      </c>
      <c r="Q43" s="13" t="s">
        <v>333</v>
      </c>
      <c r="R43" s="14" t="str">
        <f>HYPERLINK("https://drive.google.com/file/d/1-PyRwrP4fq3ZypPuKdK4IMUNae6XrwM_/view?usp=drivesdk","OFFER LETTER")</f>
        <v>OFFER LETTER</v>
      </c>
      <c r="S43" s="11" t="s">
        <v>334</v>
      </c>
    </row>
    <row r="44" ht="22.5" customHeight="1">
      <c r="A44" s="10">
        <v>46255.65796136574</v>
      </c>
      <c r="B44" s="11" t="s">
        <v>335</v>
      </c>
      <c r="C44" s="11" t="s">
        <v>259</v>
      </c>
      <c r="D44" s="11" t="s">
        <v>68</v>
      </c>
      <c r="E44" s="12">
        <v>46255.0</v>
      </c>
      <c r="F44" s="12">
        <v>46286.0</v>
      </c>
      <c r="G44" s="11" t="s">
        <v>336</v>
      </c>
      <c r="H44" s="11">
        <v>7.975322701E9</v>
      </c>
      <c r="I44" s="11" t="s">
        <v>82</v>
      </c>
      <c r="J44" s="11" t="s">
        <v>83</v>
      </c>
      <c r="K44" s="11" t="s">
        <v>72</v>
      </c>
      <c r="L44" s="11" t="s">
        <v>131</v>
      </c>
      <c r="M44" s="11" t="s">
        <v>337</v>
      </c>
      <c r="N44" s="11" t="s">
        <v>86</v>
      </c>
      <c r="O44" s="11" t="s">
        <v>71</v>
      </c>
      <c r="P44" s="11" t="s">
        <v>338</v>
      </c>
      <c r="Q44" s="13" t="s">
        <v>339</v>
      </c>
      <c r="R44" s="14" t="str">
        <f>HYPERLINK("https://drive.google.com/file/d/19kDNgva3bb4wfHRxGLopDXQ-DLCvm32V/view?usp=drivesdk","OFFER LETTER")</f>
        <v>OFFER LETTER</v>
      </c>
      <c r="S44" s="11" t="s">
        <v>340</v>
      </c>
    </row>
    <row r="45" ht="22.5" customHeight="1">
      <c r="A45" s="10">
        <v>46255.659043125</v>
      </c>
      <c r="B45" s="11" t="s">
        <v>341</v>
      </c>
      <c r="C45" s="11" t="s">
        <v>173</v>
      </c>
      <c r="D45" s="11" t="s">
        <v>68</v>
      </c>
      <c r="E45" s="12">
        <v>46191.0</v>
      </c>
      <c r="F45" s="12">
        <v>46221.0</v>
      </c>
      <c r="G45" s="11" t="s">
        <v>342</v>
      </c>
      <c r="H45" s="11">
        <v>6.396626469E9</v>
      </c>
      <c r="I45" s="11" t="s">
        <v>82</v>
      </c>
      <c r="J45" s="11" t="s">
        <v>83</v>
      </c>
      <c r="K45" s="11" t="s">
        <v>72</v>
      </c>
      <c r="L45" s="11" t="s">
        <v>131</v>
      </c>
      <c r="M45" s="11" t="s">
        <v>343</v>
      </c>
      <c r="N45" s="11" t="s">
        <v>86</v>
      </c>
      <c r="O45" s="11" t="s">
        <v>71</v>
      </c>
      <c r="P45" s="11" t="s">
        <v>344</v>
      </c>
      <c r="Q45" s="13" t="s">
        <v>345</v>
      </c>
      <c r="R45" s="14" t="str">
        <f>HYPERLINK("https://drive.google.com/file/d/15-IVofeaCzdob-oNHz7bvuU_ZwcOFxmN/view?usp=drivesdk","OFFER LETTER")</f>
        <v>OFFER LETTER</v>
      </c>
      <c r="S45" s="11" t="s">
        <v>346</v>
      </c>
    </row>
    <row r="46" ht="22.5" customHeight="1">
      <c r="A46" s="10">
        <v>46255.670539513885</v>
      </c>
      <c r="B46" s="11" t="s">
        <v>347</v>
      </c>
      <c r="C46" s="11" t="s">
        <v>173</v>
      </c>
      <c r="D46" s="11" t="s">
        <v>68</v>
      </c>
      <c r="E46" s="12">
        <v>46255.0</v>
      </c>
      <c r="F46" s="12">
        <v>46286.0</v>
      </c>
      <c r="G46" s="11" t="s">
        <v>348</v>
      </c>
      <c r="H46" s="11">
        <v>9.146479384E9</v>
      </c>
      <c r="I46" s="11" t="s">
        <v>82</v>
      </c>
      <c r="K46" s="11" t="s">
        <v>72</v>
      </c>
      <c r="L46" s="11" t="s">
        <v>73</v>
      </c>
      <c r="M46" s="11" t="s">
        <v>349</v>
      </c>
      <c r="N46" s="11" t="s">
        <v>86</v>
      </c>
      <c r="O46" s="11" t="s">
        <v>71</v>
      </c>
      <c r="P46" s="11" t="s">
        <v>350</v>
      </c>
      <c r="Q46" s="13" t="s">
        <v>351</v>
      </c>
      <c r="R46" s="14" t="str">
        <f>HYPERLINK("https://drive.google.com/file/d/1STVk-_RgQmEIIJZ3Ywj32w-dLGPOIs_B/view?usp=drivesdk","OFFER LETTER")</f>
        <v>OFFER LETTER</v>
      </c>
      <c r="S46" s="11" t="s">
        <v>352</v>
      </c>
    </row>
    <row r="47" ht="22.5" customHeight="1">
      <c r="A47" s="10">
        <v>46255.67129230324</v>
      </c>
      <c r="B47" s="11" t="s">
        <v>353</v>
      </c>
      <c r="C47" s="11" t="s">
        <v>354</v>
      </c>
      <c r="D47" s="11" t="s">
        <v>238</v>
      </c>
      <c r="E47" s="12">
        <v>46258.0</v>
      </c>
      <c r="F47" s="12">
        <v>46351.0</v>
      </c>
      <c r="G47" s="11" t="s">
        <v>355</v>
      </c>
      <c r="H47" s="11">
        <v>7.350560201E9</v>
      </c>
      <c r="I47" s="11" t="s">
        <v>82</v>
      </c>
      <c r="J47" s="11" t="s">
        <v>71</v>
      </c>
      <c r="K47" s="11" t="s">
        <v>356</v>
      </c>
      <c r="L47" s="11" t="s">
        <v>357</v>
      </c>
      <c r="M47" s="11" t="s">
        <v>358</v>
      </c>
      <c r="N47" s="11" t="s">
        <v>75</v>
      </c>
      <c r="O47" s="11" t="s">
        <v>71</v>
      </c>
      <c r="P47" s="11" t="s">
        <v>359</v>
      </c>
      <c r="Q47" s="13" t="s">
        <v>360</v>
      </c>
      <c r="R47" s="14" t="str">
        <f>HYPERLINK("https://drive.google.com/file/d/1BJNRuxlPg9Ch1TN7Ej9EyYqC9xYv_u5b/view?usp=drivesdk","OFFER LETTER")</f>
        <v>OFFER LETTER</v>
      </c>
      <c r="S47" s="11" t="s">
        <v>361</v>
      </c>
    </row>
    <row r="48" ht="22.5" customHeight="1">
      <c r="A48" s="10">
        <v>46255.68343924769</v>
      </c>
      <c r="B48" s="11" t="s">
        <v>362</v>
      </c>
      <c r="C48" s="11" t="s">
        <v>165</v>
      </c>
      <c r="D48" s="11" t="s">
        <v>108</v>
      </c>
      <c r="E48" s="12">
        <v>46157.0</v>
      </c>
      <c r="F48" s="12">
        <v>46218.0</v>
      </c>
      <c r="G48" s="11" t="s">
        <v>363</v>
      </c>
      <c r="H48" s="11">
        <v>7.983615605E9</v>
      </c>
      <c r="I48" s="11" t="s">
        <v>82</v>
      </c>
      <c r="J48" s="11" t="s">
        <v>71</v>
      </c>
      <c r="K48" s="11" t="s">
        <v>72</v>
      </c>
      <c r="L48" s="11" t="s">
        <v>131</v>
      </c>
      <c r="M48" s="11" t="s">
        <v>364</v>
      </c>
      <c r="N48" s="11" t="s">
        <v>75</v>
      </c>
      <c r="O48" s="11" t="s">
        <v>71</v>
      </c>
      <c r="P48" s="11" t="s">
        <v>365</v>
      </c>
      <c r="Q48" s="13" t="s">
        <v>366</v>
      </c>
      <c r="R48" s="14" t="str">
        <f>HYPERLINK("https://drive.google.com/file/d/1f4QBAogh-3_Q_UkaUwgA2hR-un4PVz_e/view?usp=drivesdk","OFFER LETTER")</f>
        <v>OFFER LETTER</v>
      </c>
      <c r="S48" s="11" t="s">
        <v>367</v>
      </c>
    </row>
    <row r="49" ht="22.5" customHeight="1">
      <c r="A49" s="10">
        <v>46255.68595755787</v>
      </c>
      <c r="B49" s="11" t="s">
        <v>368</v>
      </c>
      <c r="C49" s="11" t="s">
        <v>195</v>
      </c>
      <c r="D49" s="11" t="s">
        <v>68</v>
      </c>
      <c r="E49" s="12">
        <v>46255.0</v>
      </c>
      <c r="F49" s="12">
        <v>46295.0</v>
      </c>
      <c r="G49" s="11" t="s">
        <v>369</v>
      </c>
      <c r="H49" s="11">
        <v>8.767659283E9</v>
      </c>
      <c r="I49" s="11" t="s">
        <v>82</v>
      </c>
      <c r="J49" s="11" t="s">
        <v>71</v>
      </c>
      <c r="K49" s="11" t="s">
        <v>356</v>
      </c>
      <c r="L49" s="11" t="s">
        <v>247</v>
      </c>
      <c r="M49" s="11" t="s">
        <v>370</v>
      </c>
      <c r="N49" s="11" t="s">
        <v>86</v>
      </c>
      <c r="O49" s="11" t="s">
        <v>71</v>
      </c>
      <c r="P49" s="11" t="s">
        <v>371</v>
      </c>
      <c r="Q49" s="13" t="s">
        <v>372</v>
      </c>
      <c r="R49" s="14" t="str">
        <f>HYPERLINK("https://drive.google.com/file/d/1x4XQsEsOVBgW-EbtStwR_5hVL0NKKGo_/view?usp=drivesdk","OFFER LETTER")</f>
        <v>OFFER LETTER</v>
      </c>
      <c r="S49" s="11" t="s">
        <v>373</v>
      </c>
    </row>
    <row r="50" ht="22.5" customHeight="1">
      <c r="A50" s="10">
        <v>46255.68800165509</v>
      </c>
      <c r="B50" s="11" t="s">
        <v>374</v>
      </c>
      <c r="C50" s="11" t="s">
        <v>107</v>
      </c>
      <c r="D50" s="11" t="s">
        <v>238</v>
      </c>
      <c r="E50" s="12">
        <v>46257.0</v>
      </c>
      <c r="F50" s="12">
        <v>46349.0</v>
      </c>
      <c r="G50" s="11" t="s">
        <v>375</v>
      </c>
      <c r="H50" s="11">
        <v>7.277514581E9</v>
      </c>
      <c r="I50" s="11" t="s">
        <v>82</v>
      </c>
      <c r="J50" s="11" t="s">
        <v>71</v>
      </c>
      <c r="K50" s="11" t="s">
        <v>72</v>
      </c>
      <c r="L50" s="11" t="s">
        <v>131</v>
      </c>
      <c r="M50" s="11" t="s">
        <v>376</v>
      </c>
      <c r="N50" s="11" t="s">
        <v>241</v>
      </c>
      <c r="O50" s="11" t="s">
        <v>71</v>
      </c>
      <c r="P50" s="11" t="s">
        <v>377</v>
      </c>
      <c r="Q50" s="13" t="s">
        <v>378</v>
      </c>
      <c r="R50" s="14" t="str">
        <f>HYPERLINK("https://drive.google.com/file/d/1LpR8jHlJ7eXJeGbeNwUJtlzY_yDRbNIw/view?usp=drivesdk","OFFER LETTER")</f>
        <v>OFFER LETTER</v>
      </c>
      <c r="S50" s="11" t="s">
        <v>379</v>
      </c>
    </row>
    <row r="51" ht="22.5" customHeight="1">
      <c r="A51" s="10">
        <v>46255.69081743056</v>
      </c>
      <c r="B51" s="11" t="s">
        <v>380</v>
      </c>
      <c r="C51" s="11" t="s">
        <v>80</v>
      </c>
      <c r="D51" s="11" t="s">
        <v>68</v>
      </c>
      <c r="E51" s="12">
        <v>46255.0</v>
      </c>
      <c r="F51" s="12">
        <v>46286.0</v>
      </c>
      <c r="G51" s="11" t="s">
        <v>381</v>
      </c>
      <c r="H51" s="11">
        <v>9.353390946E9</v>
      </c>
      <c r="I51" s="11" t="s">
        <v>82</v>
      </c>
      <c r="J51" s="11" t="s">
        <v>71</v>
      </c>
      <c r="K51" s="11" t="s">
        <v>72</v>
      </c>
      <c r="L51" s="11" t="s">
        <v>131</v>
      </c>
      <c r="M51" s="11" t="s">
        <v>382</v>
      </c>
      <c r="N51" s="11" t="s">
        <v>86</v>
      </c>
      <c r="O51" s="11" t="s">
        <v>71</v>
      </c>
      <c r="P51" s="11" t="s">
        <v>383</v>
      </c>
      <c r="Q51" s="13" t="s">
        <v>384</v>
      </c>
      <c r="R51" s="14" t="str">
        <f>HYPERLINK("https://drive.google.com/file/d/1O1unHcOv-vKUo8whFPjCz-sE7NdHk98-/view?usp=drivesdk","OFFER LETTER")</f>
        <v>OFFER LETTER</v>
      </c>
      <c r="S51" s="11" t="s">
        <v>385</v>
      </c>
    </row>
    <row r="52" ht="22.5" customHeight="1">
      <c r="A52" s="10">
        <v>46255.69208782408</v>
      </c>
      <c r="B52" s="11" t="s">
        <v>386</v>
      </c>
      <c r="C52" s="11" t="s">
        <v>173</v>
      </c>
      <c r="D52" s="11" t="s">
        <v>68</v>
      </c>
      <c r="E52" s="12">
        <v>46255.0</v>
      </c>
      <c r="F52" s="12">
        <v>46285.0</v>
      </c>
      <c r="G52" s="11" t="s">
        <v>387</v>
      </c>
      <c r="H52" s="11">
        <v>8.595799394E9</v>
      </c>
      <c r="I52" s="11" t="s">
        <v>82</v>
      </c>
      <c r="J52" s="11" t="s">
        <v>71</v>
      </c>
      <c r="K52" s="11" t="s">
        <v>110</v>
      </c>
      <c r="L52" s="11" t="s">
        <v>73</v>
      </c>
      <c r="M52" s="11" t="s">
        <v>388</v>
      </c>
      <c r="N52" s="11" t="s">
        <v>226</v>
      </c>
      <c r="O52" s="11" t="s">
        <v>71</v>
      </c>
      <c r="P52" s="11" t="s">
        <v>389</v>
      </c>
      <c r="Q52" s="13" t="s">
        <v>390</v>
      </c>
      <c r="R52" s="14" t="str">
        <f>HYPERLINK("https://drive.google.com/file/d/1pKlQwPoln7rDHGD670Yrc4XHFN45VMGW/view?usp=drivesdk","OFFER LETTER")</f>
        <v>OFFER LETTER</v>
      </c>
      <c r="S52" s="11" t="s">
        <v>391</v>
      </c>
    </row>
    <row r="53" ht="22.5" customHeight="1">
      <c r="A53" s="10">
        <v>46255.808933831024</v>
      </c>
      <c r="B53" s="11" t="s">
        <v>392</v>
      </c>
      <c r="C53" s="11" t="s">
        <v>173</v>
      </c>
      <c r="D53" s="11" t="s">
        <v>68</v>
      </c>
      <c r="E53" s="12">
        <v>46219.0</v>
      </c>
      <c r="F53" s="12">
        <v>46236.0</v>
      </c>
      <c r="G53" s="11" t="s">
        <v>393</v>
      </c>
      <c r="H53" s="11">
        <v>9.259277215E9</v>
      </c>
      <c r="I53" s="11" t="s">
        <v>82</v>
      </c>
      <c r="J53" s="11" t="s">
        <v>71</v>
      </c>
      <c r="K53" s="11" t="s">
        <v>72</v>
      </c>
      <c r="L53" s="11" t="s">
        <v>73</v>
      </c>
      <c r="M53" s="11" t="s">
        <v>394</v>
      </c>
      <c r="N53" s="11" t="s">
        <v>86</v>
      </c>
      <c r="O53" s="11" t="s">
        <v>71</v>
      </c>
      <c r="P53" s="11" t="s">
        <v>395</v>
      </c>
      <c r="Q53" s="13" t="s">
        <v>396</v>
      </c>
      <c r="R53" s="14" t="str">
        <f>HYPERLINK("https://drive.google.com/file/d/1aTlq9lSI2mC315-EdmJM2i6BfYm-WWs2/view?usp=drivesdk","OFFER LETTER")</f>
        <v>OFFER LETTER</v>
      </c>
      <c r="S53" s="11" t="s">
        <v>397</v>
      </c>
    </row>
    <row r="54" ht="22.5" customHeight="1">
      <c r="A54" s="10">
        <v>46255.812622743055</v>
      </c>
      <c r="B54" s="11" t="s">
        <v>398</v>
      </c>
      <c r="C54" s="11" t="s">
        <v>91</v>
      </c>
      <c r="D54" s="11" t="s">
        <v>68</v>
      </c>
      <c r="E54" s="12">
        <v>46228.0</v>
      </c>
      <c r="F54" s="12">
        <v>46259.0</v>
      </c>
      <c r="G54" s="11" t="s">
        <v>399</v>
      </c>
      <c r="H54" s="11">
        <v>7.416623535E9</v>
      </c>
      <c r="I54" s="11" t="s">
        <v>82</v>
      </c>
      <c r="J54" s="11" t="s">
        <v>71</v>
      </c>
      <c r="K54" s="11" t="s">
        <v>72</v>
      </c>
      <c r="L54" s="11" t="s">
        <v>84</v>
      </c>
      <c r="M54" s="11" t="s">
        <v>400</v>
      </c>
      <c r="N54" s="11" t="s">
        <v>198</v>
      </c>
      <c r="O54" s="11" t="s">
        <v>71</v>
      </c>
      <c r="P54" s="11" t="s">
        <v>401</v>
      </c>
      <c r="Q54" s="13" t="s">
        <v>402</v>
      </c>
      <c r="R54" s="14" t="str">
        <f>HYPERLINK("https://drive.google.com/file/d/15Ek7X6wFVza3wEDFjgKwAdTUktamRimI/view?usp=drivesdk","OFFER LETTER")</f>
        <v>OFFER LETTER</v>
      </c>
      <c r="S54" s="11" t="s">
        <v>403</v>
      </c>
    </row>
    <row r="55" ht="22.5" customHeight="1">
      <c r="A55" s="10">
        <v>46255.815504618055</v>
      </c>
      <c r="B55" s="11" t="s">
        <v>404</v>
      </c>
      <c r="C55" s="11" t="s">
        <v>173</v>
      </c>
      <c r="D55" s="11" t="s">
        <v>108</v>
      </c>
      <c r="E55" s="12">
        <v>46188.0</v>
      </c>
      <c r="F55" s="12">
        <v>46249.0</v>
      </c>
      <c r="G55" s="11" t="s">
        <v>405</v>
      </c>
      <c r="H55" s="11">
        <v>9.923532669E9</v>
      </c>
      <c r="I55" s="11" t="s">
        <v>70</v>
      </c>
      <c r="J55" s="11" t="s">
        <v>71</v>
      </c>
      <c r="K55" s="11" t="s">
        <v>356</v>
      </c>
      <c r="L55" s="11" t="s">
        <v>357</v>
      </c>
      <c r="M55" s="11" t="s">
        <v>406</v>
      </c>
      <c r="N55" s="11" t="s">
        <v>75</v>
      </c>
      <c r="O55" s="11" t="s">
        <v>71</v>
      </c>
      <c r="P55" s="11" t="s">
        <v>407</v>
      </c>
      <c r="Q55" s="13" t="s">
        <v>408</v>
      </c>
      <c r="R55" s="14" t="str">
        <f>HYPERLINK("https://drive.google.com/file/d/1tGdxrmkaIJ9ID5-rdglxxueO2H5HUKeN/view?usp=drivesdk","OFFER LETTER")</f>
        <v>OFFER LETTER</v>
      </c>
      <c r="S55" s="11" t="s">
        <v>409</v>
      </c>
    </row>
    <row r="56" ht="22.5" customHeight="1">
      <c r="A56" s="10">
        <v>46255.81779576388</v>
      </c>
      <c r="B56" s="11" t="s">
        <v>410</v>
      </c>
      <c r="C56" s="11" t="s">
        <v>195</v>
      </c>
      <c r="D56" s="11" t="s">
        <v>68</v>
      </c>
      <c r="E56" s="12">
        <v>46248.0</v>
      </c>
      <c r="F56" s="12">
        <v>46286.0</v>
      </c>
      <c r="G56" s="11" t="s">
        <v>411</v>
      </c>
      <c r="H56" s="11">
        <v>6.302400454E9</v>
      </c>
      <c r="I56" s="11" t="s">
        <v>70</v>
      </c>
      <c r="J56" s="11" t="s">
        <v>71</v>
      </c>
      <c r="K56" s="11" t="s">
        <v>72</v>
      </c>
      <c r="L56" s="11" t="s">
        <v>131</v>
      </c>
      <c r="M56" s="11" t="s">
        <v>412</v>
      </c>
      <c r="N56" s="11" t="s">
        <v>241</v>
      </c>
      <c r="O56" s="11" t="s">
        <v>71</v>
      </c>
      <c r="P56" s="11" t="s">
        <v>413</v>
      </c>
      <c r="Q56" s="13" t="s">
        <v>414</v>
      </c>
      <c r="R56" s="14" t="str">
        <f>HYPERLINK("https://drive.google.com/file/d/1JbOyFDuaP-6CUulRYhDoo8qlFCkMocVv/view?usp=drivesdk","OFFER LETTER")</f>
        <v>OFFER LETTER</v>
      </c>
      <c r="S56" s="11" t="s">
        <v>415</v>
      </c>
    </row>
    <row r="57" ht="22.5" customHeight="1">
      <c r="A57" s="10">
        <v>46255.828141481485</v>
      </c>
      <c r="B57" s="11" t="s">
        <v>416</v>
      </c>
      <c r="C57" s="11" t="s">
        <v>417</v>
      </c>
      <c r="D57" s="11" t="s">
        <v>108</v>
      </c>
      <c r="E57" s="12">
        <v>46255.0</v>
      </c>
      <c r="F57" s="12">
        <v>46317.0</v>
      </c>
      <c r="G57" s="11" t="s">
        <v>418</v>
      </c>
      <c r="H57" s="11">
        <v>7.619444008E9</v>
      </c>
      <c r="I57" s="11" t="s">
        <v>82</v>
      </c>
      <c r="J57" s="11" t="s">
        <v>71</v>
      </c>
      <c r="K57" s="11" t="s">
        <v>356</v>
      </c>
      <c r="L57" s="11" t="s">
        <v>84</v>
      </c>
      <c r="M57" s="11" t="s">
        <v>419</v>
      </c>
      <c r="N57" s="11" t="s">
        <v>420</v>
      </c>
      <c r="O57" s="11" t="s">
        <v>71</v>
      </c>
      <c r="P57" s="11" t="s">
        <v>421</v>
      </c>
      <c r="Q57" s="13" t="s">
        <v>422</v>
      </c>
      <c r="R57" s="14" t="str">
        <f>HYPERLINK("https://drive.google.com/file/d/1kLyWFLxGEKmMzDWl6N5wLELQ8OlDu527/view?usp=drivesdk","OFFER LETTER")</f>
        <v>OFFER LETTER</v>
      </c>
      <c r="S57" s="11" t="s">
        <v>423</v>
      </c>
    </row>
    <row r="58" ht="22.5" customHeight="1">
      <c r="A58" s="10">
        <v>46255.830246701385</v>
      </c>
      <c r="B58" s="11" t="s">
        <v>424</v>
      </c>
      <c r="C58" s="11" t="s">
        <v>107</v>
      </c>
      <c r="D58" s="11" t="s">
        <v>68</v>
      </c>
      <c r="E58" s="12">
        <v>46255.0</v>
      </c>
      <c r="F58" s="12">
        <v>46255.0</v>
      </c>
      <c r="G58" s="11" t="s">
        <v>425</v>
      </c>
      <c r="H58" s="11">
        <v>9.266410255E9</v>
      </c>
      <c r="I58" s="11" t="s">
        <v>82</v>
      </c>
      <c r="J58" s="11" t="s">
        <v>71</v>
      </c>
      <c r="K58" s="11" t="s">
        <v>167</v>
      </c>
      <c r="L58" s="11" t="s">
        <v>84</v>
      </c>
      <c r="M58" s="11" t="s">
        <v>426</v>
      </c>
      <c r="N58" s="11" t="s">
        <v>86</v>
      </c>
      <c r="O58" s="11" t="s">
        <v>71</v>
      </c>
      <c r="P58" s="11" t="s">
        <v>427</v>
      </c>
      <c r="Q58" s="13" t="s">
        <v>428</v>
      </c>
      <c r="R58" s="14" t="str">
        <f>HYPERLINK("https://drive.google.com/file/d/1jG8OFmOHv2pOMcsxIylNkPZg87v6a6iL/view?usp=drivesdk","OFFER LETTER")</f>
        <v>OFFER LETTER</v>
      </c>
      <c r="S58" s="11" t="s">
        <v>429</v>
      </c>
    </row>
    <row r="59" ht="22.5" customHeight="1">
      <c r="A59" s="10">
        <v>46255.842438472224</v>
      </c>
      <c r="B59" s="11" t="s">
        <v>430</v>
      </c>
      <c r="C59" s="11" t="s">
        <v>67</v>
      </c>
      <c r="D59" s="11" t="s">
        <v>108</v>
      </c>
      <c r="E59" s="12">
        <v>46255.0</v>
      </c>
      <c r="F59" s="12">
        <v>46316.0</v>
      </c>
      <c r="G59" s="11" t="s">
        <v>431</v>
      </c>
      <c r="H59" s="11">
        <v>7.795386115E9</v>
      </c>
      <c r="I59" s="11" t="s">
        <v>82</v>
      </c>
      <c r="J59" s="11" t="s">
        <v>71</v>
      </c>
      <c r="K59" s="11" t="s">
        <v>356</v>
      </c>
      <c r="L59" s="11" t="s">
        <v>84</v>
      </c>
      <c r="M59" s="11" t="s">
        <v>419</v>
      </c>
      <c r="N59" s="11" t="s">
        <v>420</v>
      </c>
      <c r="O59" s="11" t="s">
        <v>71</v>
      </c>
      <c r="P59" s="11" t="s">
        <v>432</v>
      </c>
      <c r="Q59" s="13" t="s">
        <v>433</v>
      </c>
      <c r="R59" s="14" t="str">
        <f>HYPERLINK("https://drive.google.com/file/d/1-Meu4WfPOEOTj42cz9vv83ilsKySR9bG/view?usp=drivesdk","OFFER LETTER")</f>
        <v>OFFER LETTER</v>
      </c>
      <c r="S59" s="11" t="s">
        <v>434</v>
      </c>
    </row>
    <row r="60" ht="22.5" customHeight="1">
      <c r="A60" s="10">
        <v>46255.85834203704</v>
      </c>
      <c r="B60" s="11" t="s">
        <v>435</v>
      </c>
      <c r="C60" s="11" t="s">
        <v>128</v>
      </c>
      <c r="D60" s="11" t="s">
        <v>68</v>
      </c>
      <c r="E60" s="12">
        <v>46255.0</v>
      </c>
      <c r="F60" s="12">
        <v>46286.0</v>
      </c>
      <c r="G60" s="11" t="s">
        <v>436</v>
      </c>
      <c r="H60" s="11">
        <v>6.204234707E9</v>
      </c>
      <c r="I60" s="11" t="s">
        <v>82</v>
      </c>
      <c r="J60" s="11" t="s">
        <v>71</v>
      </c>
      <c r="K60" s="11" t="s">
        <v>72</v>
      </c>
      <c r="L60" s="11" t="s">
        <v>84</v>
      </c>
      <c r="M60" s="11" t="s">
        <v>437</v>
      </c>
      <c r="N60" s="11" t="s">
        <v>86</v>
      </c>
      <c r="O60" s="11" t="s">
        <v>71</v>
      </c>
      <c r="P60" s="11" t="s">
        <v>438</v>
      </c>
      <c r="Q60" s="13" t="s">
        <v>439</v>
      </c>
      <c r="R60" s="14" t="str">
        <f>HYPERLINK("https://drive.google.com/file/d/1c_FJM7dhnB3XAYwSvr6tahmXdPrjOFoo/view?usp=drivesdk","OFFER LETTER")</f>
        <v>OFFER LETTER</v>
      </c>
      <c r="S60" s="11" t="s">
        <v>440</v>
      </c>
    </row>
    <row r="61" ht="22.5" customHeight="1">
      <c r="A61" s="10">
        <v>46255.88091806713</v>
      </c>
      <c r="B61" s="11" t="s">
        <v>441</v>
      </c>
      <c r="C61" s="11" t="s">
        <v>107</v>
      </c>
      <c r="D61" s="11" t="s">
        <v>68</v>
      </c>
      <c r="E61" s="12">
        <v>46255.0</v>
      </c>
      <c r="F61" s="12">
        <v>46286.0</v>
      </c>
      <c r="G61" s="11" t="s">
        <v>442</v>
      </c>
      <c r="H61" s="11">
        <v>8.52207329E9</v>
      </c>
      <c r="I61" s="11" t="s">
        <v>70</v>
      </c>
      <c r="J61" s="11" t="s">
        <v>71</v>
      </c>
      <c r="K61" s="13" t="s">
        <v>443</v>
      </c>
      <c r="L61" s="11" t="s">
        <v>73</v>
      </c>
      <c r="M61" s="11" t="s">
        <v>444</v>
      </c>
      <c r="N61" s="11" t="s">
        <v>241</v>
      </c>
      <c r="O61" s="11" t="s">
        <v>71</v>
      </c>
      <c r="P61" s="11" t="s">
        <v>445</v>
      </c>
      <c r="Q61" s="13" t="s">
        <v>446</v>
      </c>
      <c r="R61" s="14" t="str">
        <f>HYPERLINK("https://drive.google.com/file/d/1y7zrlX8Q_M2jtwDKPfY42zSX4DT1Z3dl/view?usp=drivesdk","OFFER LETTER")</f>
        <v>OFFER LETTER</v>
      </c>
      <c r="S61" s="11" t="s">
        <v>447</v>
      </c>
    </row>
    <row r="62" ht="22.5" customHeight="1">
      <c r="A62" s="10">
        <v>46255.89213494213</v>
      </c>
      <c r="B62" s="11" t="s">
        <v>448</v>
      </c>
      <c r="C62" s="11" t="s">
        <v>107</v>
      </c>
      <c r="D62" s="11" t="s">
        <v>108</v>
      </c>
      <c r="E62" s="12">
        <v>46266.0</v>
      </c>
      <c r="F62" s="12">
        <v>46326.0</v>
      </c>
      <c r="G62" s="11" t="s">
        <v>449</v>
      </c>
      <c r="H62" s="11">
        <v>6.363470563E9</v>
      </c>
      <c r="I62" s="11" t="s">
        <v>82</v>
      </c>
      <c r="J62" s="11" t="s">
        <v>71</v>
      </c>
      <c r="K62" s="11" t="s">
        <v>356</v>
      </c>
      <c r="L62" s="11" t="s">
        <v>84</v>
      </c>
      <c r="M62" s="11" t="s">
        <v>450</v>
      </c>
      <c r="N62" s="11" t="s">
        <v>226</v>
      </c>
      <c r="O62" s="11" t="s">
        <v>71</v>
      </c>
      <c r="P62" s="11" t="s">
        <v>451</v>
      </c>
      <c r="Q62" s="13" t="s">
        <v>452</v>
      </c>
      <c r="R62" s="14" t="str">
        <f>HYPERLINK("https://drive.google.com/file/d/1a3PHrKNduNNyzS0vnkFRmZrnt_AH84-3/view?usp=drivesdk","OFFER LETTER")</f>
        <v>OFFER LETTER</v>
      </c>
      <c r="S62" s="11" t="s">
        <v>453</v>
      </c>
    </row>
    <row r="63" ht="22.5" customHeight="1">
      <c r="A63" s="10">
        <v>46255.896546006945</v>
      </c>
      <c r="B63" s="11" t="s">
        <v>454</v>
      </c>
      <c r="C63" s="11" t="s">
        <v>107</v>
      </c>
      <c r="D63" s="11" t="s">
        <v>68</v>
      </c>
      <c r="E63" s="12">
        <v>46254.0</v>
      </c>
      <c r="F63" s="12">
        <v>46284.0</v>
      </c>
      <c r="G63" s="11" t="s">
        <v>455</v>
      </c>
      <c r="H63" s="11">
        <v>7.985262099E9</v>
      </c>
      <c r="I63" s="11" t="s">
        <v>82</v>
      </c>
      <c r="J63" s="11" t="s">
        <v>71</v>
      </c>
      <c r="K63" s="11" t="s">
        <v>72</v>
      </c>
      <c r="L63" s="11" t="s">
        <v>131</v>
      </c>
      <c r="M63" s="11" t="s">
        <v>456</v>
      </c>
      <c r="N63" s="11" t="s">
        <v>457</v>
      </c>
      <c r="O63" s="11" t="s">
        <v>71</v>
      </c>
      <c r="P63" s="11" t="s">
        <v>458</v>
      </c>
      <c r="Q63" s="13" t="s">
        <v>459</v>
      </c>
      <c r="R63" s="14" t="str">
        <f>HYPERLINK("https://drive.google.com/file/d/13LcQT4OVqaiZUvIEuvueOaoDGMJP24CB/view?usp=drivesdk","OFFER LETTER")</f>
        <v>OFFER LETTER</v>
      </c>
      <c r="S63" s="11" t="s">
        <v>460</v>
      </c>
    </row>
    <row r="64" ht="22.5" customHeight="1">
      <c r="A64" s="10">
        <v>46255.92672150463</v>
      </c>
      <c r="B64" s="11" t="s">
        <v>461</v>
      </c>
      <c r="C64" s="11" t="s">
        <v>259</v>
      </c>
      <c r="D64" s="11" t="s">
        <v>108</v>
      </c>
      <c r="E64" s="12">
        <v>46255.0</v>
      </c>
      <c r="F64" s="12">
        <v>46316.0</v>
      </c>
      <c r="G64" s="11" t="s">
        <v>462</v>
      </c>
      <c r="H64" s="11">
        <v>9.556228889E9</v>
      </c>
      <c r="I64" s="11" t="s">
        <v>82</v>
      </c>
      <c r="J64" s="11" t="s">
        <v>71</v>
      </c>
      <c r="K64" s="11" t="s">
        <v>110</v>
      </c>
      <c r="L64" s="11" t="s">
        <v>84</v>
      </c>
      <c r="M64" s="11" t="s">
        <v>463</v>
      </c>
      <c r="N64" s="11" t="s">
        <v>86</v>
      </c>
      <c r="O64" s="11" t="s">
        <v>71</v>
      </c>
      <c r="P64" s="11" t="s">
        <v>464</v>
      </c>
      <c r="Q64" s="13" t="s">
        <v>465</v>
      </c>
      <c r="R64" s="14" t="str">
        <f>HYPERLINK("https://drive.google.com/file/d/1Y03xVcJCPK3ANx97zdQX4cFE79KsBGCv/view?usp=drivesdk","OFFER LETTER")</f>
        <v>OFFER LETTER</v>
      </c>
      <c r="S64" s="11" t="s">
        <v>466</v>
      </c>
    </row>
    <row r="65" ht="22.5" customHeight="1">
      <c r="A65" s="10">
        <v>46255.93392725695</v>
      </c>
      <c r="B65" s="11" t="s">
        <v>467</v>
      </c>
      <c r="C65" s="11" t="s">
        <v>417</v>
      </c>
      <c r="D65" s="11" t="s">
        <v>108</v>
      </c>
      <c r="E65" s="12">
        <v>46256.0</v>
      </c>
      <c r="F65" s="12">
        <v>46317.0</v>
      </c>
      <c r="G65" s="11" t="s">
        <v>468</v>
      </c>
      <c r="H65" s="11">
        <v>9.337927365E9</v>
      </c>
      <c r="I65" s="11" t="s">
        <v>82</v>
      </c>
      <c r="J65" s="11" t="s">
        <v>71</v>
      </c>
      <c r="K65" s="11" t="s">
        <v>110</v>
      </c>
      <c r="L65" s="11" t="s">
        <v>84</v>
      </c>
      <c r="M65" s="11" t="s">
        <v>469</v>
      </c>
      <c r="N65" s="11" t="s">
        <v>86</v>
      </c>
      <c r="O65" s="11" t="s">
        <v>71</v>
      </c>
      <c r="P65" s="11" t="s">
        <v>470</v>
      </c>
      <c r="Q65" s="13" t="s">
        <v>471</v>
      </c>
      <c r="R65" s="14" t="str">
        <f>HYPERLINK("https://drive.google.com/file/d/1-UWtkcGESJmGBh7Pp8o9ujDSex6vxX8T/view?usp=drivesdk","OFFER LETTER")</f>
        <v>OFFER LETTER</v>
      </c>
      <c r="S65" s="11" t="s">
        <v>472</v>
      </c>
    </row>
    <row r="66" ht="22.5" customHeight="1">
      <c r="A66" s="10">
        <v>46255.93652832176</v>
      </c>
      <c r="B66" s="11" t="s">
        <v>473</v>
      </c>
      <c r="C66" s="11" t="s">
        <v>298</v>
      </c>
      <c r="D66" s="11" t="s">
        <v>68</v>
      </c>
      <c r="E66" s="12">
        <v>46235.0</v>
      </c>
      <c r="F66" s="12">
        <v>46266.0</v>
      </c>
      <c r="G66" s="11" t="s">
        <v>474</v>
      </c>
      <c r="H66" s="11">
        <v>9.097826256E9</v>
      </c>
      <c r="I66" s="11" t="s">
        <v>82</v>
      </c>
      <c r="J66" s="11" t="s">
        <v>71</v>
      </c>
      <c r="K66" s="11" t="s">
        <v>72</v>
      </c>
      <c r="L66" s="11" t="s">
        <v>247</v>
      </c>
      <c r="M66" s="11" t="s">
        <v>475</v>
      </c>
      <c r="N66" s="11" t="s">
        <v>198</v>
      </c>
      <c r="O66" s="11" t="s">
        <v>71</v>
      </c>
      <c r="P66" s="11" t="s">
        <v>476</v>
      </c>
      <c r="Q66" s="13" t="s">
        <v>477</v>
      </c>
      <c r="R66" s="14" t="str">
        <f>HYPERLINK("https://drive.google.com/file/d/13npMvLYhEGkx5YXkRX7NVUQSU8_icYYC/view?usp=drivesdk","OFFER LETTER")</f>
        <v>OFFER LETTER</v>
      </c>
      <c r="S66" s="11" t="s">
        <v>478</v>
      </c>
    </row>
    <row r="67" ht="22.5" customHeight="1">
      <c r="A67" s="10">
        <v>46255.936605509254</v>
      </c>
      <c r="B67" s="11" t="s">
        <v>479</v>
      </c>
      <c r="C67" s="11" t="s">
        <v>173</v>
      </c>
      <c r="D67" s="11" t="s">
        <v>108</v>
      </c>
      <c r="E67" s="12">
        <v>46256.0</v>
      </c>
      <c r="F67" s="12">
        <v>46317.0</v>
      </c>
      <c r="G67" s="11" t="s">
        <v>480</v>
      </c>
      <c r="H67" s="11">
        <v>8.63724273E9</v>
      </c>
      <c r="I67" s="11" t="s">
        <v>82</v>
      </c>
      <c r="J67" s="11" t="s">
        <v>71</v>
      </c>
      <c r="K67" s="11" t="s">
        <v>110</v>
      </c>
      <c r="L67" s="11" t="s">
        <v>84</v>
      </c>
      <c r="M67" s="11" t="s">
        <v>481</v>
      </c>
      <c r="N67" s="11" t="s">
        <v>86</v>
      </c>
      <c r="O67" s="11" t="s">
        <v>71</v>
      </c>
      <c r="P67" s="11" t="s">
        <v>482</v>
      </c>
      <c r="Q67" s="13" t="s">
        <v>483</v>
      </c>
      <c r="R67" s="14" t="str">
        <f>HYPERLINK("https://drive.google.com/file/d/1FZYsa9gzlsdcO2Bu5nGuxblvIqoQWuF9/view?usp=drivesdk","OFFER LETTER")</f>
        <v>OFFER LETTER</v>
      </c>
      <c r="S67" s="11" t="s">
        <v>484</v>
      </c>
    </row>
    <row r="68" ht="22.5" customHeight="1">
      <c r="A68" s="10">
        <v>46255.938510486114</v>
      </c>
      <c r="B68" s="11" t="s">
        <v>485</v>
      </c>
      <c r="C68" s="11" t="s">
        <v>67</v>
      </c>
      <c r="D68" s="11" t="s">
        <v>68</v>
      </c>
      <c r="E68" s="12">
        <v>46204.0</v>
      </c>
      <c r="F68" s="12">
        <v>46235.0</v>
      </c>
      <c r="G68" s="11" t="s">
        <v>486</v>
      </c>
      <c r="H68" s="11">
        <v>8.127118335E9</v>
      </c>
      <c r="I68" s="11" t="s">
        <v>82</v>
      </c>
      <c r="J68" s="11" t="s">
        <v>71</v>
      </c>
      <c r="K68" s="11" t="s">
        <v>72</v>
      </c>
      <c r="L68" s="11" t="s">
        <v>131</v>
      </c>
      <c r="M68" s="11" t="s">
        <v>487</v>
      </c>
      <c r="N68" s="11" t="s">
        <v>75</v>
      </c>
      <c r="O68" s="11" t="s">
        <v>71</v>
      </c>
      <c r="P68" s="11" t="s">
        <v>488</v>
      </c>
      <c r="Q68" s="13" t="s">
        <v>489</v>
      </c>
      <c r="R68" s="14" t="str">
        <f>HYPERLINK("https://drive.google.com/file/d/1bDrEtVBruvk6FV8HqFKve339-ZfPMM_p/view?usp=drivesdk","OFFER LETTER")</f>
        <v>OFFER LETTER</v>
      </c>
      <c r="S68" s="11" t="s">
        <v>490</v>
      </c>
    </row>
    <row r="69" ht="22.5" customHeight="1">
      <c r="A69" s="10">
        <v>46255.94123297454</v>
      </c>
      <c r="B69" s="11" t="s">
        <v>491</v>
      </c>
      <c r="C69" s="11" t="s">
        <v>173</v>
      </c>
      <c r="D69" s="11" t="s">
        <v>108</v>
      </c>
      <c r="E69" s="12">
        <v>46174.0</v>
      </c>
      <c r="F69" s="12">
        <v>46235.0</v>
      </c>
      <c r="G69" s="11" t="s">
        <v>492</v>
      </c>
      <c r="H69" s="11">
        <v>6.395115991E9</v>
      </c>
      <c r="I69" s="11" t="s">
        <v>70</v>
      </c>
      <c r="J69" s="11" t="s">
        <v>83</v>
      </c>
      <c r="K69" s="11" t="s">
        <v>72</v>
      </c>
      <c r="L69" s="11" t="s">
        <v>131</v>
      </c>
      <c r="M69" s="11" t="s">
        <v>493</v>
      </c>
      <c r="N69" s="11" t="s">
        <v>75</v>
      </c>
      <c r="O69" s="11" t="s">
        <v>71</v>
      </c>
      <c r="P69" s="11" t="s">
        <v>494</v>
      </c>
      <c r="Q69" s="13" t="s">
        <v>495</v>
      </c>
      <c r="R69" s="14" t="str">
        <f>HYPERLINK("https://drive.google.com/file/d/1sz9JwTyxIWSLlsk1CvCK7lh8jW0fMbYi/view?usp=drivesdk","OFFER LETTER")</f>
        <v>OFFER LETTER</v>
      </c>
      <c r="S69" s="11" t="s">
        <v>496</v>
      </c>
    </row>
    <row r="70" ht="22.5" customHeight="1">
      <c r="A70" s="10">
        <v>46255.943615358796</v>
      </c>
      <c r="B70" s="11" t="s">
        <v>497</v>
      </c>
      <c r="C70" s="11" t="s">
        <v>67</v>
      </c>
      <c r="D70" s="11" t="s">
        <v>108</v>
      </c>
      <c r="E70" s="12">
        <v>46266.0</v>
      </c>
      <c r="F70" s="12">
        <v>46323.0</v>
      </c>
      <c r="G70" s="11" t="s">
        <v>498</v>
      </c>
      <c r="H70" s="11" t="s">
        <v>499</v>
      </c>
      <c r="I70" s="11" t="s">
        <v>82</v>
      </c>
      <c r="J70" s="11" t="s">
        <v>71</v>
      </c>
      <c r="K70" s="11" t="s">
        <v>356</v>
      </c>
      <c r="L70" s="11" t="s">
        <v>84</v>
      </c>
      <c r="M70" s="11" t="s">
        <v>500</v>
      </c>
      <c r="N70" s="11" t="s">
        <v>75</v>
      </c>
      <c r="O70" s="11" t="s">
        <v>71</v>
      </c>
      <c r="P70" s="11" t="s">
        <v>501</v>
      </c>
      <c r="Q70" s="13" t="s">
        <v>502</v>
      </c>
      <c r="R70" s="14" t="str">
        <f>HYPERLINK("https://drive.google.com/file/d/1i8hlj-ajdOEgZc8uuHuKdhXIPPs94GDN/view?usp=drivesdk","OFFER LETTER")</f>
        <v>OFFER LETTER</v>
      </c>
      <c r="S70" s="11" t="s">
        <v>503</v>
      </c>
    </row>
    <row r="71" ht="22.5" customHeight="1">
      <c r="A71" s="10">
        <v>46255.947610937495</v>
      </c>
      <c r="B71" s="11" t="s">
        <v>504</v>
      </c>
      <c r="C71" s="11" t="s">
        <v>107</v>
      </c>
      <c r="D71" s="11" t="s">
        <v>68</v>
      </c>
      <c r="E71" s="12">
        <v>46253.0</v>
      </c>
      <c r="F71" s="12">
        <v>46285.0</v>
      </c>
      <c r="G71" s="11" t="s">
        <v>505</v>
      </c>
      <c r="H71" s="11">
        <v>7.905314516E9</v>
      </c>
      <c r="I71" s="11" t="s">
        <v>82</v>
      </c>
      <c r="J71" s="11" t="s">
        <v>71</v>
      </c>
      <c r="K71" s="11" t="s">
        <v>72</v>
      </c>
      <c r="L71" s="11" t="s">
        <v>131</v>
      </c>
      <c r="M71" s="11" t="s">
        <v>506</v>
      </c>
      <c r="N71" s="11" t="s">
        <v>241</v>
      </c>
      <c r="O71" s="11" t="s">
        <v>71</v>
      </c>
      <c r="P71" s="11" t="s">
        <v>507</v>
      </c>
      <c r="Q71" s="13" t="s">
        <v>508</v>
      </c>
      <c r="R71" s="14" t="str">
        <f>HYPERLINK("https://drive.google.com/file/d/1VzPdp4FeqP1QTQbJqQLEaPxtazM-cflY/view?usp=drivesdk","OFFER LETTER")</f>
        <v>OFFER LETTER</v>
      </c>
      <c r="S71" s="11" t="s">
        <v>509</v>
      </c>
    </row>
    <row r="72" ht="22.5" customHeight="1">
      <c r="A72" s="10">
        <v>46255.94928170139</v>
      </c>
      <c r="B72" s="11" t="s">
        <v>510</v>
      </c>
      <c r="C72" s="11" t="s">
        <v>259</v>
      </c>
      <c r="D72" s="11" t="s">
        <v>108</v>
      </c>
      <c r="E72" s="12">
        <v>46255.0</v>
      </c>
      <c r="F72" s="12">
        <v>46316.0</v>
      </c>
      <c r="G72" s="11" t="s">
        <v>511</v>
      </c>
      <c r="H72" s="11">
        <v>9.861019447E9</v>
      </c>
      <c r="I72" s="11" t="s">
        <v>82</v>
      </c>
      <c r="J72" s="11" t="s">
        <v>83</v>
      </c>
      <c r="K72" s="11" t="s">
        <v>110</v>
      </c>
      <c r="L72" s="11" t="s">
        <v>84</v>
      </c>
      <c r="M72" s="11" t="s">
        <v>512</v>
      </c>
      <c r="N72" s="11" t="s">
        <v>198</v>
      </c>
      <c r="O72" s="11" t="s">
        <v>71</v>
      </c>
      <c r="P72" s="11" t="s">
        <v>513</v>
      </c>
      <c r="Q72" s="13" t="s">
        <v>514</v>
      </c>
      <c r="R72" s="14" t="str">
        <f>HYPERLINK("https://drive.google.com/file/d/1AxwX3pjcsbyLbf2NqV_XEwTanj0uR59M/view?usp=drivesdk","OFFER LETTER")</f>
        <v>OFFER LETTER</v>
      </c>
      <c r="S72" s="11" t="s">
        <v>515</v>
      </c>
    </row>
    <row r="73" ht="22.5" customHeight="1">
      <c r="A73" s="10">
        <v>46255.964865138885</v>
      </c>
      <c r="B73" s="11" t="s">
        <v>516</v>
      </c>
      <c r="C73" s="11" t="s">
        <v>195</v>
      </c>
      <c r="D73" s="11" t="s">
        <v>68</v>
      </c>
      <c r="E73" s="12">
        <v>46224.0</v>
      </c>
      <c r="F73" s="12">
        <v>46255.0</v>
      </c>
      <c r="G73" s="11" t="s">
        <v>517</v>
      </c>
      <c r="H73" s="11">
        <v>7.30408087E9</v>
      </c>
      <c r="I73" s="11" t="s">
        <v>82</v>
      </c>
      <c r="J73" s="11" t="s">
        <v>71</v>
      </c>
      <c r="K73" s="11" t="s">
        <v>72</v>
      </c>
      <c r="L73" s="11" t="s">
        <v>73</v>
      </c>
      <c r="M73" s="11" t="s">
        <v>518</v>
      </c>
      <c r="N73" s="11" t="s">
        <v>86</v>
      </c>
      <c r="O73" s="11" t="s">
        <v>71</v>
      </c>
      <c r="P73" s="11" t="s">
        <v>519</v>
      </c>
      <c r="Q73" s="13" t="s">
        <v>520</v>
      </c>
      <c r="R73" s="14" t="str">
        <f>HYPERLINK("https://drive.google.com/file/d/1WIpywABzWsEF0olXl9jsQDp4Dh-WlseU/view?usp=drivesdk","OFFER LETTER")</f>
        <v>OFFER LETTER</v>
      </c>
      <c r="S73" s="11" t="s">
        <v>521</v>
      </c>
    </row>
    <row r="74" ht="22.5" customHeight="1">
      <c r="A74" s="10">
        <v>46255.97148717592</v>
      </c>
      <c r="B74" s="11" t="s">
        <v>522</v>
      </c>
      <c r="C74" s="11" t="s">
        <v>128</v>
      </c>
      <c r="D74" s="11" t="s">
        <v>108</v>
      </c>
      <c r="E74" s="12">
        <v>46193.0</v>
      </c>
      <c r="F74" s="12">
        <v>46254.0</v>
      </c>
      <c r="G74" s="11" t="s">
        <v>523</v>
      </c>
      <c r="H74" s="11">
        <v>9.927588165E9</v>
      </c>
      <c r="I74" s="11" t="s">
        <v>70</v>
      </c>
      <c r="J74" s="11" t="s">
        <v>71</v>
      </c>
      <c r="K74" s="11" t="s">
        <v>110</v>
      </c>
      <c r="L74" s="11" t="s">
        <v>73</v>
      </c>
      <c r="M74" s="11" t="s">
        <v>524</v>
      </c>
      <c r="N74" s="11" t="s">
        <v>198</v>
      </c>
      <c r="O74" s="11" t="s">
        <v>71</v>
      </c>
      <c r="P74" s="11" t="s">
        <v>525</v>
      </c>
      <c r="Q74" s="13" t="s">
        <v>526</v>
      </c>
      <c r="R74" s="14" t="str">
        <f>HYPERLINK("https://drive.google.com/file/d/1_iY-o4ieHxoIL-QNLslYOGjM4TeK-ghm/view?usp=drivesdk","OFFER LETTER")</f>
        <v>OFFER LETTER</v>
      </c>
      <c r="S74" s="11" t="s">
        <v>527</v>
      </c>
    </row>
    <row r="75" ht="22.5" customHeight="1">
      <c r="A75" s="10">
        <v>46255.985578541666</v>
      </c>
      <c r="B75" s="11" t="s">
        <v>528</v>
      </c>
      <c r="C75" s="11" t="s">
        <v>173</v>
      </c>
      <c r="D75" s="11" t="s">
        <v>68</v>
      </c>
      <c r="E75" s="12">
        <v>46252.0</v>
      </c>
      <c r="F75" s="12">
        <v>46251.0</v>
      </c>
      <c r="G75" s="11" t="s">
        <v>529</v>
      </c>
      <c r="H75" s="11">
        <v>7.989423021E9</v>
      </c>
      <c r="I75" s="11" t="s">
        <v>82</v>
      </c>
      <c r="J75" s="11" t="s">
        <v>71</v>
      </c>
      <c r="K75" s="11" t="s">
        <v>72</v>
      </c>
      <c r="L75" s="11" t="s">
        <v>131</v>
      </c>
      <c r="M75" s="11" t="s">
        <v>530</v>
      </c>
      <c r="N75" s="11" t="s">
        <v>86</v>
      </c>
      <c r="O75" s="11" t="s">
        <v>71</v>
      </c>
      <c r="P75" s="11" t="s">
        <v>531</v>
      </c>
      <c r="Q75" s="13" t="s">
        <v>532</v>
      </c>
      <c r="R75" s="14" t="str">
        <f>HYPERLINK("https://drive.google.com/file/d/1e-Wt3yXpAJvw2OkfPcL_4Tn3inanW48G/view?usp=drivesdk","OFFER LETTER")</f>
        <v>OFFER LETTER</v>
      </c>
      <c r="S75" s="11" t="s">
        <v>533</v>
      </c>
    </row>
    <row r="76" ht="22.5" customHeight="1">
      <c r="A76" s="10">
        <v>46255.997386689814</v>
      </c>
      <c r="B76" s="11" t="s">
        <v>534</v>
      </c>
      <c r="C76" s="11" t="s">
        <v>107</v>
      </c>
      <c r="D76" s="11" t="s">
        <v>68</v>
      </c>
      <c r="E76" s="12">
        <v>46204.0</v>
      </c>
      <c r="F76" s="12">
        <v>46235.0</v>
      </c>
      <c r="G76" s="11" t="s">
        <v>535</v>
      </c>
      <c r="H76" s="11">
        <v>9.958720772E9</v>
      </c>
      <c r="I76" s="11" t="s">
        <v>82</v>
      </c>
      <c r="J76" s="11" t="s">
        <v>71</v>
      </c>
      <c r="K76" s="11" t="s">
        <v>72</v>
      </c>
      <c r="L76" s="11" t="s">
        <v>131</v>
      </c>
      <c r="M76" s="11" t="s">
        <v>536</v>
      </c>
      <c r="N76" s="11" t="s">
        <v>226</v>
      </c>
      <c r="O76" s="11" t="s">
        <v>71</v>
      </c>
      <c r="P76" s="11" t="s">
        <v>537</v>
      </c>
      <c r="Q76" s="13" t="s">
        <v>538</v>
      </c>
      <c r="R76" s="14" t="str">
        <f>HYPERLINK("https://drive.google.com/file/d/1i-Nive_8Ax1lUJWp6iUD39lqD15X3zxK/view?usp=drivesdk","OFFER LETTER")</f>
        <v>OFFER LETTER</v>
      </c>
      <c r="S76" s="11" t="s">
        <v>539</v>
      </c>
    </row>
    <row r="77" ht="22.5" customHeight="1">
      <c r="A77" s="10">
        <v>46255.999949942125</v>
      </c>
      <c r="B77" s="11" t="s">
        <v>540</v>
      </c>
      <c r="C77" s="11" t="s">
        <v>107</v>
      </c>
      <c r="D77" s="11" t="s">
        <v>68</v>
      </c>
      <c r="E77" s="12">
        <v>46255.0</v>
      </c>
      <c r="F77" s="12">
        <v>46286.0</v>
      </c>
      <c r="G77" s="11" t="s">
        <v>541</v>
      </c>
      <c r="H77" s="11">
        <v>8.882670851E9</v>
      </c>
      <c r="I77" s="11" t="s">
        <v>82</v>
      </c>
      <c r="J77" s="11" t="s">
        <v>71</v>
      </c>
      <c r="K77" s="11" t="s">
        <v>110</v>
      </c>
      <c r="L77" s="11" t="s">
        <v>73</v>
      </c>
      <c r="M77" s="11" t="s">
        <v>542</v>
      </c>
      <c r="N77" s="11" t="s">
        <v>86</v>
      </c>
      <c r="O77" s="11" t="s">
        <v>71</v>
      </c>
      <c r="P77" s="11" t="s">
        <v>543</v>
      </c>
      <c r="Q77" s="13" t="s">
        <v>544</v>
      </c>
      <c r="R77" s="14" t="str">
        <f>HYPERLINK("https://drive.google.com/file/d/1CleXOVST16CIiCHQ58dwhj7nFw9c-eIX/view?usp=drivesdk","OFFER LETTER")</f>
        <v>OFFER LETTER</v>
      </c>
      <c r="S77" s="11" t="s">
        <v>545</v>
      </c>
    </row>
    <row r="78" ht="22.5" customHeight="1">
      <c r="A78" s="10">
        <v>46256.00056490741</v>
      </c>
      <c r="B78" s="11" t="s">
        <v>546</v>
      </c>
      <c r="C78" s="11" t="s">
        <v>91</v>
      </c>
      <c r="D78" s="11" t="s">
        <v>68</v>
      </c>
      <c r="E78" s="12">
        <v>46248.0</v>
      </c>
      <c r="F78" s="12">
        <v>46279.0</v>
      </c>
      <c r="G78" s="11" t="s">
        <v>547</v>
      </c>
      <c r="H78" s="11">
        <v>7.209800781E9</v>
      </c>
      <c r="I78" s="11" t="s">
        <v>82</v>
      </c>
      <c r="J78" s="11" t="s">
        <v>71</v>
      </c>
      <c r="K78" s="11" t="s">
        <v>72</v>
      </c>
      <c r="L78" s="11" t="s">
        <v>84</v>
      </c>
      <c r="M78" s="11" t="s">
        <v>548</v>
      </c>
      <c r="N78" s="11" t="s">
        <v>219</v>
      </c>
      <c r="O78" s="11" t="s">
        <v>71</v>
      </c>
      <c r="P78" s="11" t="s">
        <v>549</v>
      </c>
      <c r="Q78" s="13" t="s">
        <v>550</v>
      </c>
      <c r="R78" s="14" t="str">
        <f>HYPERLINK("https://drive.google.com/file/d/1Ws1ZUxtPcIduumgwTpoD4numIwqpnSZo/view?usp=drivesdk","OFFER LETTER")</f>
        <v>OFFER LETTER</v>
      </c>
      <c r="S78" s="11" t="s">
        <v>551</v>
      </c>
    </row>
    <row r="79" ht="22.5" customHeight="1">
      <c r="A79" s="10">
        <v>46256.03868233797</v>
      </c>
      <c r="B79" s="11" t="s">
        <v>552</v>
      </c>
      <c r="C79" s="11" t="s">
        <v>195</v>
      </c>
      <c r="D79" s="11" t="s">
        <v>108</v>
      </c>
      <c r="E79" s="12">
        <v>46256.0</v>
      </c>
      <c r="F79" s="12">
        <v>46317.0</v>
      </c>
      <c r="G79" s="11" t="s">
        <v>553</v>
      </c>
      <c r="H79" s="11">
        <v>8.356850766E9</v>
      </c>
      <c r="I79" s="11" t="s">
        <v>82</v>
      </c>
      <c r="J79" s="11" t="s">
        <v>71</v>
      </c>
      <c r="K79" s="11" t="s">
        <v>167</v>
      </c>
      <c r="L79" s="11" t="s">
        <v>84</v>
      </c>
      <c r="M79" s="11" t="s">
        <v>554</v>
      </c>
      <c r="N79" s="11" t="s">
        <v>75</v>
      </c>
      <c r="O79" s="11" t="s">
        <v>71</v>
      </c>
      <c r="P79" s="11" t="s">
        <v>555</v>
      </c>
      <c r="Q79" s="13" t="s">
        <v>556</v>
      </c>
      <c r="R79" s="14" t="str">
        <f>HYPERLINK("https://drive.google.com/file/d/1BEKxWk3pq6Bkpd1HwrLDn0OYG2XDE6HV/view?usp=drivesdk","OFFER LETTER")</f>
        <v>OFFER LETTER</v>
      </c>
      <c r="S79" s="11" t="s">
        <v>557</v>
      </c>
    </row>
    <row r="80" ht="22.5" customHeight="1">
      <c r="A80" s="10">
        <v>46256.043032789355</v>
      </c>
      <c r="B80" s="11" t="s">
        <v>558</v>
      </c>
      <c r="C80" s="11" t="s">
        <v>195</v>
      </c>
      <c r="D80" s="11" t="s">
        <v>68</v>
      </c>
      <c r="E80" s="12">
        <v>46213.0</v>
      </c>
      <c r="F80" s="12">
        <v>46244.0</v>
      </c>
      <c r="G80" s="11" t="s">
        <v>559</v>
      </c>
      <c r="H80" s="11">
        <v>9.755457158E9</v>
      </c>
      <c r="I80" s="11" t="s">
        <v>82</v>
      </c>
      <c r="J80" s="11" t="s">
        <v>71</v>
      </c>
      <c r="K80" s="11" t="s">
        <v>72</v>
      </c>
      <c r="L80" s="11" t="s">
        <v>84</v>
      </c>
      <c r="M80" s="11" t="s">
        <v>560</v>
      </c>
      <c r="N80" s="11" t="s">
        <v>86</v>
      </c>
      <c r="O80" s="11" t="s">
        <v>71</v>
      </c>
      <c r="P80" s="11" t="s">
        <v>561</v>
      </c>
      <c r="Q80" s="13" t="s">
        <v>562</v>
      </c>
      <c r="R80" s="14" t="str">
        <f>HYPERLINK("https://drive.google.com/file/d/1Hss444XpTOI757iF47LG9h63hP8GNk5F/view?usp=drivesdk","OFFER LETTER")</f>
        <v>OFFER LETTER</v>
      </c>
      <c r="S80" s="11" t="s">
        <v>563</v>
      </c>
    </row>
    <row r="81" ht="22.5" customHeight="1">
      <c r="A81" s="10">
        <v>46256.18561505787</v>
      </c>
      <c r="B81" s="11" t="s">
        <v>564</v>
      </c>
      <c r="C81" s="11" t="s">
        <v>107</v>
      </c>
      <c r="D81" s="11" t="s">
        <v>68</v>
      </c>
      <c r="E81" s="12">
        <v>46054.0</v>
      </c>
      <c r="F81" s="12">
        <v>46082.0</v>
      </c>
      <c r="G81" s="11" t="s">
        <v>565</v>
      </c>
      <c r="H81" s="17" t="s">
        <v>566</v>
      </c>
      <c r="I81" s="11" t="s">
        <v>82</v>
      </c>
      <c r="J81" s="11" t="s">
        <v>71</v>
      </c>
      <c r="K81" s="11" t="s">
        <v>72</v>
      </c>
      <c r="L81" s="11" t="s">
        <v>131</v>
      </c>
      <c r="M81" s="11" t="s">
        <v>567</v>
      </c>
      <c r="N81" s="11" t="s">
        <v>198</v>
      </c>
      <c r="O81" s="11" t="s">
        <v>71</v>
      </c>
      <c r="P81" s="11" t="s">
        <v>568</v>
      </c>
      <c r="Q81" s="13" t="s">
        <v>569</v>
      </c>
      <c r="R81" s="14" t="str">
        <f>HYPERLINK("https://drive.google.com/file/d/1zO0hiKAoda5VTm035ePdSW-4BwTA9GGz/view?usp=drivesdk","OFFER LETTER")</f>
        <v>OFFER LETTER</v>
      </c>
      <c r="S81" s="11" t="s">
        <v>570</v>
      </c>
    </row>
    <row r="82" ht="22.5" customHeight="1">
      <c r="A82" s="10">
        <v>46256.354185833334</v>
      </c>
      <c r="B82" s="11" t="s">
        <v>571</v>
      </c>
      <c r="C82" s="11" t="s">
        <v>195</v>
      </c>
      <c r="D82" s="11" t="s">
        <v>68</v>
      </c>
      <c r="E82" s="12">
        <v>46256.0</v>
      </c>
      <c r="F82" s="12">
        <v>46287.0</v>
      </c>
      <c r="G82" s="11" t="s">
        <v>572</v>
      </c>
      <c r="H82" s="11">
        <v>7.702682158E9</v>
      </c>
      <c r="I82" s="11" t="s">
        <v>82</v>
      </c>
      <c r="J82" s="11" t="s">
        <v>71</v>
      </c>
      <c r="K82" s="11" t="s">
        <v>72</v>
      </c>
      <c r="L82" s="11" t="s">
        <v>73</v>
      </c>
      <c r="M82" s="11" t="s">
        <v>573</v>
      </c>
      <c r="N82" s="11" t="s">
        <v>86</v>
      </c>
      <c r="O82" s="11" t="s">
        <v>71</v>
      </c>
      <c r="P82" s="11" t="s">
        <v>574</v>
      </c>
      <c r="Q82" s="13" t="s">
        <v>575</v>
      </c>
      <c r="R82" s="14" t="str">
        <f>HYPERLINK("https://drive.google.com/file/d/1Xg6Pu38mI4FkxYU2rd2p6w2GA3FeO83L/view?usp=drivesdk","OFFER LETTER")</f>
        <v>OFFER LETTER</v>
      </c>
      <c r="S82" s="11" t="s">
        <v>576</v>
      </c>
    </row>
    <row r="83" ht="22.5" customHeight="1">
      <c r="A83" s="10">
        <v>46256.35986625</v>
      </c>
      <c r="B83" s="11" t="s">
        <v>577</v>
      </c>
      <c r="C83" s="11" t="s">
        <v>107</v>
      </c>
      <c r="D83" s="11" t="s">
        <v>108</v>
      </c>
      <c r="E83" s="12">
        <v>46191.0</v>
      </c>
      <c r="F83" s="12">
        <v>46252.0</v>
      </c>
      <c r="G83" s="11" t="s">
        <v>578</v>
      </c>
      <c r="H83" s="11">
        <v>7.79952523E9</v>
      </c>
      <c r="I83" s="11" t="s">
        <v>82</v>
      </c>
      <c r="J83" s="11" t="s">
        <v>71</v>
      </c>
      <c r="K83" s="11" t="s">
        <v>72</v>
      </c>
      <c r="L83" s="11" t="s">
        <v>131</v>
      </c>
      <c r="M83" s="11" t="s">
        <v>579</v>
      </c>
      <c r="N83" s="11" t="s">
        <v>86</v>
      </c>
      <c r="O83" s="11" t="s">
        <v>71</v>
      </c>
      <c r="P83" s="11" t="s">
        <v>580</v>
      </c>
      <c r="Q83" s="13" t="s">
        <v>581</v>
      </c>
      <c r="R83" s="14" t="str">
        <f>HYPERLINK("https://drive.google.com/file/d/1u4NVP1kdwDfhGAWl8uZ3GzJE5kFxeYmW/view?usp=drivesdk","OFFER LETTER")</f>
        <v>OFFER LETTER</v>
      </c>
      <c r="S83" s="11" t="s">
        <v>582</v>
      </c>
    </row>
    <row r="84" ht="22.5" customHeight="1">
      <c r="A84" s="10">
        <v>46256.36117829861</v>
      </c>
      <c r="B84" s="11" t="s">
        <v>583</v>
      </c>
      <c r="C84" s="11" t="s">
        <v>195</v>
      </c>
      <c r="D84" s="11" t="s">
        <v>68</v>
      </c>
      <c r="E84" s="12">
        <v>46256.0</v>
      </c>
      <c r="F84" s="12">
        <v>46277.0</v>
      </c>
      <c r="G84" s="11" t="s">
        <v>584</v>
      </c>
      <c r="H84" s="11">
        <v>6.204701018E9</v>
      </c>
      <c r="I84" s="11" t="s">
        <v>82</v>
      </c>
      <c r="J84" s="11" t="s">
        <v>71</v>
      </c>
      <c r="K84" s="11" t="s">
        <v>72</v>
      </c>
      <c r="L84" s="11" t="s">
        <v>131</v>
      </c>
      <c r="M84" s="11" t="s">
        <v>585</v>
      </c>
      <c r="N84" s="11" t="s">
        <v>86</v>
      </c>
      <c r="O84" s="11" t="s">
        <v>71</v>
      </c>
      <c r="P84" s="11" t="s">
        <v>586</v>
      </c>
      <c r="Q84" s="13" t="s">
        <v>587</v>
      </c>
      <c r="R84" s="14" t="str">
        <f>HYPERLINK("https://drive.google.com/file/d/182efA5rR0LMl8upnNuEmnnjiTTfD5agg/view?usp=drivesdk","OFFER LETTER")</f>
        <v>OFFER LETTER</v>
      </c>
      <c r="S84" s="11" t="s">
        <v>588</v>
      </c>
    </row>
    <row r="85" ht="22.5" customHeight="1">
      <c r="A85" s="10">
        <v>46256.40417850694</v>
      </c>
      <c r="B85" s="11" t="s">
        <v>589</v>
      </c>
      <c r="C85" s="11" t="s">
        <v>354</v>
      </c>
      <c r="D85" s="11" t="s">
        <v>68</v>
      </c>
      <c r="E85" s="12">
        <v>46256.0</v>
      </c>
      <c r="F85" s="12">
        <v>46287.0</v>
      </c>
      <c r="G85" s="11" t="s">
        <v>590</v>
      </c>
      <c r="H85" s="11">
        <v>7.505374328E9</v>
      </c>
      <c r="I85" s="11" t="s">
        <v>82</v>
      </c>
      <c r="J85" s="11" t="s">
        <v>71</v>
      </c>
      <c r="K85" s="11" t="s">
        <v>110</v>
      </c>
      <c r="L85" s="11" t="s">
        <v>73</v>
      </c>
      <c r="M85" s="11" t="s">
        <v>591</v>
      </c>
      <c r="N85" s="11" t="s">
        <v>226</v>
      </c>
      <c r="O85" s="11" t="s">
        <v>71</v>
      </c>
      <c r="P85" s="11" t="s">
        <v>592</v>
      </c>
      <c r="Q85" s="13" t="s">
        <v>593</v>
      </c>
      <c r="R85" s="14" t="str">
        <f>HYPERLINK("https://drive.google.com/file/d/101N2cuE6e5ykx_z90pSVz09Fzug-h1pw/view?usp=drivesdk","OFFER LETTER")</f>
        <v>OFFER LETTER</v>
      </c>
      <c r="S85" s="11" t="s">
        <v>594</v>
      </c>
    </row>
    <row r="86" ht="22.5" customHeight="1">
      <c r="A86" s="10">
        <v>46256.40937829862</v>
      </c>
      <c r="B86" s="11" t="s">
        <v>595</v>
      </c>
      <c r="C86" s="11" t="s">
        <v>596</v>
      </c>
      <c r="D86" s="11" t="s">
        <v>238</v>
      </c>
      <c r="E86" s="12">
        <v>46174.0</v>
      </c>
      <c r="F86" s="12">
        <v>46266.0</v>
      </c>
      <c r="G86" s="11" t="s">
        <v>597</v>
      </c>
      <c r="H86" s="11">
        <v>9.392651991E9</v>
      </c>
      <c r="I86" s="11" t="s">
        <v>82</v>
      </c>
      <c r="J86" s="11" t="s">
        <v>71</v>
      </c>
      <c r="K86" s="11" t="s">
        <v>72</v>
      </c>
      <c r="L86" s="11" t="s">
        <v>131</v>
      </c>
      <c r="M86" s="11" t="s">
        <v>598</v>
      </c>
      <c r="N86" s="11" t="s">
        <v>86</v>
      </c>
      <c r="O86" s="11" t="s">
        <v>71</v>
      </c>
      <c r="P86" s="11" t="s">
        <v>599</v>
      </c>
      <c r="Q86" s="13" t="s">
        <v>600</v>
      </c>
      <c r="R86" s="14" t="str">
        <f>HYPERLINK("https://drive.google.com/file/d/1-8cejfcPI1BkPe5PuoJPgOUCVW78Ts7F/view?usp=drivesdk","OFFER LETTER")</f>
        <v>OFFER LETTER</v>
      </c>
      <c r="S86" s="11" t="s">
        <v>601</v>
      </c>
    </row>
    <row r="87" ht="22.5" customHeight="1">
      <c r="A87" s="10">
        <v>46256.42324304398</v>
      </c>
      <c r="B87" s="11" t="s">
        <v>602</v>
      </c>
      <c r="C87" s="11" t="s">
        <v>80</v>
      </c>
      <c r="D87" s="11" t="s">
        <v>68</v>
      </c>
      <c r="E87" s="12">
        <v>46266.0</v>
      </c>
      <c r="F87" s="12">
        <v>46296.0</v>
      </c>
      <c r="G87" s="11" t="s">
        <v>603</v>
      </c>
      <c r="H87" s="11">
        <v>7.708321936E9</v>
      </c>
      <c r="I87" s="11" t="s">
        <v>70</v>
      </c>
      <c r="J87" s="11" t="s">
        <v>71</v>
      </c>
      <c r="K87" s="11" t="s">
        <v>72</v>
      </c>
      <c r="L87" s="11" t="s">
        <v>84</v>
      </c>
      <c r="M87" s="11" t="s">
        <v>85</v>
      </c>
      <c r="N87" s="11" t="s">
        <v>241</v>
      </c>
      <c r="O87" s="11" t="s">
        <v>71</v>
      </c>
      <c r="P87" s="11" t="s">
        <v>604</v>
      </c>
      <c r="Q87" s="13" t="s">
        <v>605</v>
      </c>
      <c r="R87" s="14" t="str">
        <f>HYPERLINK("https://drive.google.com/file/d/1ecaZUba7-L3QL3hhX5tr7bwB6cXpSDoU/view?usp=drivesdk","OFFER LETTER")</f>
        <v>OFFER LETTER</v>
      </c>
      <c r="S87" s="11" t="s">
        <v>606</v>
      </c>
    </row>
    <row r="88" ht="22.5" customHeight="1">
      <c r="A88" s="10">
        <v>46256.42408240741</v>
      </c>
      <c r="B88" s="11" t="s">
        <v>607</v>
      </c>
      <c r="C88" s="11" t="s">
        <v>80</v>
      </c>
      <c r="D88" s="11" t="s">
        <v>68</v>
      </c>
      <c r="E88" s="12">
        <v>46266.0</v>
      </c>
      <c r="F88" s="12">
        <v>46296.0</v>
      </c>
      <c r="G88" s="11" t="s">
        <v>608</v>
      </c>
      <c r="H88" s="11">
        <v>9.79059141E9</v>
      </c>
      <c r="I88" s="11" t="s">
        <v>70</v>
      </c>
      <c r="J88" s="11" t="s">
        <v>71</v>
      </c>
      <c r="K88" s="11" t="s">
        <v>72</v>
      </c>
      <c r="L88" s="11" t="s">
        <v>84</v>
      </c>
      <c r="M88" s="11" t="s">
        <v>609</v>
      </c>
      <c r="N88" s="11" t="s">
        <v>241</v>
      </c>
      <c r="O88" s="11" t="s">
        <v>71</v>
      </c>
      <c r="P88" s="11" t="s">
        <v>610</v>
      </c>
      <c r="Q88" s="13" t="s">
        <v>611</v>
      </c>
      <c r="R88" s="14" t="str">
        <f>HYPERLINK("https://drive.google.com/file/d/1ELKNuxoZH0hD1QGT6JIPFiyOQI2COK9q/view?usp=drivesdk","OFFER LETTER")</f>
        <v>OFFER LETTER</v>
      </c>
      <c r="S88" s="11" t="s">
        <v>612</v>
      </c>
    </row>
    <row r="89" ht="22.5" customHeight="1">
      <c r="A89" s="10">
        <v>46256.42745138889</v>
      </c>
      <c r="B89" s="11" t="s">
        <v>613</v>
      </c>
      <c r="C89" s="11" t="s">
        <v>80</v>
      </c>
      <c r="D89" s="11" t="s">
        <v>68</v>
      </c>
      <c r="E89" s="12">
        <v>46256.0</v>
      </c>
      <c r="F89" s="12">
        <v>46287.0</v>
      </c>
      <c r="G89" s="11" t="s">
        <v>614</v>
      </c>
      <c r="H89" s="11">
        <v>9.994117286E9</v>
      </c>
      <c r="I89" s="11" t="s">
        <v>70</v>
      </c>
      <c r="J89" s="11" t="s">
        <v>71</v>
      </c>
      <c r="K89" s="11" t="s">
        <v>72</v>
      </c>
      <c r="L89" s="11" t="s">
        <v>84</v>
      </c>
      <c r="M89" s="11" t="s">
        <v>85</v>
      </c>
      <c r="N89" s="11" t="s">
        <v>241</v>
      </c>
      <c r="O89" s="11" t="s">
        <v>71</v>
      </c>
      <c r="P89" s="11" t="s">
        <v>615</v>
      </c>
      <c r="Q89" s="13" t="s">
        <v>616</v>
      </c>
      <c r="R89" s="14" t="str">
        <f>HYPERLINK("https://drive.google.com/file/d/1jU2MRoeCwCmmMGgSSQZf-sXNfxil1WoR/view?usp=drivesdk","OFFER LETTER")</f>
        <v>OFFER LETTER</v>
      </c>
      <c r="S89" s="11" t="s">
        <v>617</v>
      </c>
    </row>
    <row r="90" ht="22.5" customHeight="1">
      <c r="A90" s="10">
        <v>46256.42936105324</v>
      </c>
      <c r="B90" s="11" t="s">
        <v>618</v>
      </c>
      <c r="C90" s="11" t="s">
        <v>80</v>
      </c>
      <c r="D90" s="11" t="s">
        <v>68</v>
      </c>
      <c r="E90" s="12">
        <v>46272.0</v>
      </c>
      <c r="F90" s="12">
        <v>46303.0</v>
      </c>
      <c r="G90" s="11" t="s">
        <v>619</v>
      </c>
      <c r="H90" s="11">
        <v>9.025983997E9</v>
      </c>
      <c r="I90" s="11" t="s">
        <v>70</v>
      </c>
      <c r="J90" s="11" t="s">
        <v>71</v>
      </c>
      <c r="K90" s="11" t="s">
        <v>72</v>
      </c>
      <c r="L90" s="11" t="s">
        <v>84</v>
      </c>
      <c r="M90" s="11" t="s">
        <v>85</v>
      </c>
      <c r="N90" s="11" t="s">
        <v>75</v>
      </c>
      <c r="O90" s="11" t="s">
        <v>71</v>
      </c>
      <c r="P90" s="11" t="s">
        <v>620</v>
      </c>
      <c r="Q90" s="13" t="s">
        <v>621</v>
      </c>
      <c r="R90" s="14" t="str">
        <f>HYPERLINK("https://drive.google.com/file/d/1JnRtaS0hi-imKTWQ7_3oT-ekUSyTzt8R/view?usp=drivesdk","OFFER LETTER")</f>
        <v>OFFER LETTER</v>
      </c>
      <c r="S90" s="11" t="s">
        <v>622</v>
      </c>
    </row>
    <row r="91" ht="22.5" customHeight="1">
      <c r="A91" s="10">
        <v>46256.43170310185</v>
      </c>
      <c r="B91" s="11" t="s">
        <v>392</v>
      </c>
      <c r="C91" s="11" t="s">
        <v>173</v>
      </c>
      <c r="D91" s="11" t="s">
        <v>68</v>
      </c>
      <c r="E91" s="12">
        <v>46204.0</v>
      </c>
      <c r="F91" s="12">
        <v>46235.0</v>
      </c>
      <c r="G91" s="11" t="s">
        <v>393</v>
      </c>
      <c r="H91" s="11">
        <v>9.259277215E9</v>
      </c>
      <c r="I91" s="11" t="s">
        <v>82</v>
      </c>
      <c r="J91" s="11" t="s">
        <v>71</v>
      </c>
      <c r="K91" s="11" t="s">
        <v>72</v>
      </c>
      <c r="L91" s="11" t="s">
        <v>73</v>
      </c>
      <c r="M91" s="11" t="s">
        <v>623</v>
      </c>
      <c r="N91" s="11" t="s">
        <v>86</v>
      </c>
      <c r="O91" s="11" t="s">
        <v>71</v>
      </c>
      <c r="P91" s="11" t="s">
        <v>624</v>
      </c>
      <c r="Q91" s="13" t="s">
        <v>625</v>
      </c>
      <c r="R91" s="14" t="str">
        <f>HYPERLINK("https://drive.google.com/file/d/16Rp3S9cOZgAVNvhQ8yKGy6uUzuAgbkZY/view?usp=drivesdk","OFFER LETTER")</f>
        <v>OFFER LETTER</v>
      </c>
      <c r="S91" s="11" t="s">
        <v>626</v>
      </c>
    </row>
    <row r="92" ht="22.5" customHeight="1">
      <c r="A92" s="10">
        <v>46256.43935115741</v>
      </c>
      <c r="B92" s="11" t="s">
        <v>627</v>
      </c>
      <c r="C92" s="11" t="s">
        <v>354</v>
      </c>
      <c r="D92" s="11" t="s">
        <v>68</v>
      </c>
      <c r="E92" s="12">
        <v>46256.0</v>
      </c>
      <c r="F92" s="12">
        <v>46287.0</v>
      </c>
      <c r="G92" s="11" t="s">
        <v>628</v>
      </c>
      <c r="H92" s="11">
        <v>9.743464791E9</v>
      </c>
      <c r="I92" s="11" t="s">
        <v>70</v>
      </c>
      <c r="J92" s="11" t="s">
        <v>71</v>
      </c>
      <c r="K92" s="11" t="s">
        <v>72</v>
      </c>
      <c r="L92" s="11" t="s">
        <v>131</v>
      </c>
      <c r="M92" s="11" t="s">
        <v>629</v>
      </c>
      <c r="N92" s="11" t="s">
        <v>630</v>
      </c>
      <c r="O92" s="11" t="s">
        <v>71</v>
      </c>
      <c r="P92" s="11" t="s">
        <v>631</v>
      </c>
      <c r="Q92" s="13" t="s">
        <v>632</v>
      </c>
      <c r="R92" s="14" t="str">
        <f>HYPERLINK("https://drive.google.com/file/d/1odr0Z2v_3rVxgNv8B0wreJuLEi-b_BsN/view?usp=drivesdk","OFFER LETTER")</f>
        <v>OFFER LETTER</v>
      </c>
      <c r="S92" s="11" t="s">
        <v>633</v>
      </c>
    </row>
    <row r="93" ht="22.5" customHeight="1">
      <c r="A93" s="10">
        <v>46256.44100461806</v>
      </c>
      <c r="B93" s="11" t="s">
        <v>634</v>
      </c>
      <c r="C93" s="11" t="s">
        <v>195</v>
      </c>
      <c r="D93" s="11" t="s">
        <v>68</v>
      </c>
      <c r="E93" s="12">
        <v>46256.0</v>
      </c>
      <c r="F93" s="12">
        <v>46292.0</v>
      </c>
      <c r="G93" s="11" t="s">
        <v>635</v>
      </c>
      <c r="H93" s="11">
        <v>8.341497209E9</v>
      </c>
      <c r="I93" s="11" t="s">
        <v>70</v>
      </c>
      <c r="J93" s="11" t="s">
        <v>71</v>
      </c>
      <c r="K93" s="11" t="s">
        <v>72</v>
      </c>
      <c r="L93" s="11" t="s">
        <v>131</v>
      </c>
      <c r="M93" s="11" t="s">
        <v>636</v>
      </c>
      <c r="N93" s="11" t="s">
        <v>630</v>
      </c>
      <c r="O93" s="11" t="s">
        <v>71</v>
      </c>
      <c r="P93" s="11" t="s">
        <v>637</v>
      </c>
      <c r="Q93" s="13" t="s">
        <v>638</v>
      </c>
      <c r="R93" s="14" t="str">
        <f>HYPERLINK("https://drive.google.com/file/d/1d6qjr4mkWDeMpYmnX58qhU4_WkYqSi9X/view?usp=drivesdk","OFFER LETTER")</f>
        <v>OFFER LETTER</v>
      </c>
      <c r="S93" s="11" t="s">
        <v>639</v>
      </c>
    </row>
    <row r="94" ht="22.5" customHeight="1">
      <c r="A94" s="10">
        <v>46256.4471155787</v>
      </c>
      <c r="B94" s="11" t="s">
        <v>640</v>
      </c>
      <c r="C94" s="11" t="s">
        <v>80</v>
      </c>
      <c r="D94" s="11" t="s">
        <v>68</v>
      </c>
      <c r="E94" s="12">
        <v>46280.0</v>
      </c>
      <c r="F94" s="12">
        <v>46311.0</v>
      </c>
      <c r="G94" s="11" t="s">
        <v>641</v>
      </c>
      <c r="H94" s="11">
        <v>9.34441719E9</v>
      </c>
      <c r="I94" s="11" t="s">
        <v>70</v>
      </c>
      <c r="J94" s="11" t="s">
        <v>71</v>
      </c>
      <c r="K94" s="11" t="s">
        <v>72</v>
      </c>
      <c r="L94" s="11" t="s">
        <v>84</v>
      </c>
      <c r="M94" s="11" t="s">
        <v>642</v>
      </c>
      <c r="N94" s="11" t="s">
        <v>198</v>
      </c>
      <c r="O94" s="11" t="s">
        <v>71</v>
      </c>
      <c r="P94" s="11" t="s">
        <v>643</v>
      </c>
      <c r="Q94" s="13" t="s">
        <v>644</v>
      </c>
      <c r="R94" s="14" t="str">
        <f>HYPERLINK("https://drive.google.com/file/d/1fStPY3XYdrN-iS80EyWC3IxfQwc496Ug/view?usp=drivesdk","OFFER LETTER")</f>
        <v>OFFER LETTER</v>
      </c>
      <c r="S94" s="11" t="s">
        <v>645</v>
      </c>
    </row>
    <row r="95" ht="22.5" customHeight="1">
      <c r="A95" s="10">
        <v>46256.45100513889</v>
      </c>
      <c r="B95" s="11" t="s">
        <v>646</v>
      </c>
      <c r="C95" s="11" t="s">
        <v>128</v>
      </c>
      <c r="D95" s="11" t="s">
        <v>68</v>
      </c>
      <c r="E95" s="12">
        <v>46256.0</v>
      </c>
      <c r="F95" s="12">
        <v>46287.0</v>
      </c>
      <c r="G95" s="11" t="s">
        <v>647</v>
      </c>
      <c r="H95" s="11">
        <v>8.318895781E9</v>
      </c>
      <c r="I95" s="11" t="s">
        <v>82</v>
      </c>
      <c r="J95" s="11" t="s">
        <v>83</v>
      </c>
      <c r="K95" s="11" t="s">
        <v>72</v>
      </c>
      <c r="L95" s="11" t="s">
        <v>84</v>
      </c>
      <c r="M95" s="11" t="s">
        <v>648</v>
      </c>
      <c r="N95" s="11" t="s">
        <v>86</v>
      </c>
      <c r="O95" s="11" t="s">
        <v>71</v>
      </c>
      <c r="P95" s="11" t="s">
        <v>649</v>
      </c>
      <c r="Q95" s="13" t="s">
        <v>650</v>
      </c>
      <c r="R95" s="14" t="str">
        <f>HYPERLINK("https://drive.google.com/file/d/1ICas30Jlsgrm35ZPqtPr1N0j8mIk06bm/view?usp=drivesdk","OFFER LETTER")</f>
        <v>OFFER LETTER</v>
      </c>
      <c r="S95" s="11" t="s">
        <v>651</v>
      </c>
    </row>
    <row r="96" ht="22.5" customHeight="1">
      <c r="A96" s="10">
        <v>46256.45385276621</v>
      </c>
      <c r="B96" s="11" t="s">
        <v>652</v>
      </c>
      <c r="C96" s="11" t="s">
        <v>128</v>
      </c>
      <c r="D96" s="11" t="s">
        <v>68</v>
      </c>
      <c r="E96" s="12">
        <v>46218.0</v>
      </c>
      <c r="F96" s="12">
        <v>46249.0</v>
      </c>
      <c r="G96" s="11" t="s">
        <v>653</v>
      </c>
      <c r="H96" s="11">
        <v>6.382917897E9</v>
      </c>
      <c r="I96" s="11" t="s">
        <v>82</v>
      </c>
      <c r="J96" s="11" t="s">
        <v>71</v>
      </c>
      <c r="K96" s="11" t="s">
        <v>72</v>
      </c>
      <c r="L96" s="11" t="s">
        <v>84</v>
      </c>
      <c r="M96" s="11" t="s">
        <v>654</v>
      </c>
      <c r="N96" s="11" t="s">
        <v>655</v>
      </c>
      <c r="O96" s="11" t="s">
        <v>71</v>
      </c>
      <c r="P96" s="11" t="s">
        <v>656</v>
      </c>
      <c r="Q96" s="13" t="s">
        <v>657</v>
      </c>
      <c r="R96" s="14" t="str">
        <f>HYPERLINK("https://drive.google.com/file/d/1FWRkSHgfOC5SVsjsIC0iPeCtm0DCCAbG/view?usp=drivesdk","OFFER LETTER")</f>
        <v>OFFER LETTER</v>
      </c>
      <c r="S96" s="11" t="s">
        <v>658</v>
      </c>
    </row>
    <row r="97" ht="22.5" customHeight="1">
      <c r="A97" s="10">
        <v>46256.46091903935</v>
      </c>
      <c r="B97" s="11" t="s">
        <v>659</v>
      </c>
      <c r="C97" s="11" t="s">
        <v>195</v>
      </c>
      <c r="D97" s="11" t="s">
        <v>68</v>
      </c>
      <c r="E97" s="12">
        <v>46249.0</v>
      </c>
      <c r="F97" s="12">
        <v>46249.0</v>
      </c>
      <c r="G97" s="11" t="s">
        <v>660</v>
      </c>
      <c r="H97" s="17" t="s">
        <v>661</v>
      </c>
      <c r="I97" s="11" t="s">
        <v>82</v>
      </c>
      <c r="J97" s="11" t="s">
        <v>83</v>
      </c>
      <c r="K97" s="11" t="s">
        <v>72</v>
      </c>
      <c r="L97" s="11" t="s">
        <v>73</v>
      </c>
      <c r="M97" s="11" t="s">
        <v>662</v>
      </c>
      <c r="N97" s="11" t="s">
        <v>241</v>
      </c>
      <c r="O97" s="11" t="s">
        <v>71</v>
      </c>
      <c r="P97" s="11" t="s">
        <v>663</v>
      </c>
      <c r="Q97" s="13" t="s">
        <v>664</v>
      </c>
      <c r="R97" s="14" t="str">
        <f>HYPERLINK("https://drive.google.com/file/d/1Uavb4oUVpLRRdwLiHv5DTNwEK6-inqU4/view?usp=drivesdk","OFFER LETTER")</f>
        <v>OFFER LETTER</v>
      </c>
      <c r="S97" s="11" t="s">
        <v>665</v>
      </c>
    </row>
    <row r="98" ht="22.5" customHeight="1">
      <c r="A98" s="10">
        <v>46256.462417627314</v>
      </c>
      <c r="B98" s="11" t="s">
        <v>666</v>
      </c>
      <c r="C98" s="11" t="s">
        <v>173</v>
      </c>
      <c r="D98" s="11" t="s">
        <v>68</v>
      </c>
      <c r="E98" s="12">
        <v>46256.0</v>
      </c>
      <c r="F98" s="12">
        <v>46287.0</v>
      </c>
      <c r="G98" s="11" t="s">
        <v>667</v>
      </c>
      <c r="H98" s="11">
        <v>6.392202226E9</v>
      </c>
      <c r="I98" s="11" t="s">
        <v>82</v>
      </c>
      <c r="J98" s="11" t="s">
        <v>71</v>
      </c>
      <c r="K98" s="11" t="s">
        <v>110</v>
      </c>
      <c r="L98" s="11" t="s">
        <v>73</v>
      </c>
      <c r="M98" s="11" t="s">
        <v>668</v>
      </c>
      <c r="N98" s="11" t="s">
        <v>86</v>
      </c>
      <c r="O98" s="11" t="s">
        <v>71</v>
      </c>
      <c r="P98" s="11" t="s">
        <v>669</v>
      </c>
      <c r="Q98" s="13" t="s">
        <v>670</v>
      </c>
      <c r="R98" s="14" t="str">
        <f>HYPERLINK("https://drive.google.com/file/d/1tvwqs9jMvmsdfVf9X360qt2MSmCkaN15/view?usp=drivesdk","OFFER LETTER")</f>
        <v>OFFER LETTER</v>
      </c>
      <c r="S98" s="11" t="s">
        <v>671</v>
      </c>
    </row>
    <row r="99" ht="22.5" customHeight="1">
      <c r="A99" s="10">
        <v>46256.46408579861</v>
      </c>
      <c r="B99" s="11" t="s">
        <v>672</v>
      </c>
      <c r="C99" s="11" t="s">
        <v>107</v>
      </c>
      <c r="D99" s="11" t="s">
        <v>108</v>
      </c>
      <c r="E99" s="12">
        <v>46247.0</v>
      </c>
      <c r="F99" s="12">
        <v>46307.0</v>
      </c>
      <c r="G99" s="11" t="s">
        <v>673</v>
      </c>
      <c r="H99" s="11">
        <v>9.767356523E9</v>
      </c>
      <c r="I99" s="11" t="s">
        <v>82</v>
      </c>
      <c r="J99" s="11" t="s">
        <v>71</v>
      </c>
      <c r="K99" s="13" t="s">
        <v>674</v>
      </c>
      <c r="L99" s="11" t="s">
        <v>247</v>
      </c>
      <c r="M99" s="11" t="s">
        <v>675</v>
      </c>
      <c r="N99" s="11" t="s">
        <v>75</v>
      </c>
      <c r="O99" s="11" t="s">
        <v>71</v>
      </c>
      <c r="P99" s="11" t="s">
        <v>676</v>
      </c>
      <c r="Q99" s="13" t="s">
        <v>677</v>
      </c>
      <c r="R99" s="14" t="str">
        <f>HYPERLINK("https://drive.google.com/file/d/1ZGdTn8YYbqokJz5PAW2j2eDEl37BBORA/view?usp=drivesdk","OFFER LETTER")</f>
        <v>OFFER LETTER</v>
      </c>
      <c r="S99" s="11" t="s">
        <v>678</v>
      </c>
    </row>
    <row r="100" ht="22.5" customHeight="1">
      <c r="A100" s="10">
        <v>46256.464481724535</v>
      </c>
      <c r="B100" s="11" t="s">
        <v>666</v>
      </c>
      <c r="C100" s="11" t="s">
        <v>173</v>
      </c>
      <c r="D100" s="11" t="s">
        <v>68</v>
      </c>
      <c r="E100" s="12">
        <v>46256.0</v>
      </c>
      <c r="F100" s="12">
        <v>46287.0</v>
      </c>
      <c r="G100" s="11" t="s">
        <v>667</v>
      </c>
      <c r="H100" s="11">
        <v>6.392202226E9</v>
      </c>
      <c r="I100" s="11" t="s">
        <v>82</v>
      </c>
      <c r="J100" s="11" t="s">
        <v>71</v>
      </c>
      <c r="K100" s="11" t="s">
        <v>110</v>
      </c>
      <c r="L100" s="11" t="s">
        <v>73</v>
      </c>
      <c r="M100" s="11" t="s">
        <v>668</v>
      </c>
      <c r="N100" s="11" t="s">
        <v>655</v>
      </c>
      <c r="O100" s="11" t="s">
        <v>71</v>
      </c>
      <c r="P100" s="11" t="s">
        <v>679</v>
      </c>
      <c r="Q100" s="13" t="s">
        <v>680</v>
      </c>
      <c r="R100" s="14" t="str">
        <f>HYPERLINK("https://drive.google.com/file/d/1zyGB1PMI7T7YN3FR6xDdMD--v20GE87Q/view?usp=drivesdk","OFFER LETTER")</f>
        <v>OFFER LETTER</v>
      </c>
      <c r="S100" s="11" t="s">
        <v>681</v>
      </c>
    </row>
    <row r="101" ht="22.5" customHeight="1">
      <c r="A101" s="10">
        <v>46256.478358437496</v>
      </c>
      <c r="B101" s="11" t="s">
        <v>682</v>
      </c>
      <c r="C101" s="11" t="s">
        <v>107</v>
      </c>
      <c r="D101" s="11" t="s">
        <v>68</v>
      </c>
      <c r="E101" s="12">
        <v>46183.0</v>
      </c>
      <c r="F101" s="12">
        <v>46213.0</v>
      </c>
      <c r="G101" s="11" t="s">
        <v>683</v>
      </c>
      <c r="H101" s="11">
        <v>9.940330888E9</v>
      </c>
      <c r="I101" s="11" t="s">
        <v>82</v>
      </c>
      <c r="J101" s="11" t="s">
        <v>71</v>
      </c>
      <c r="K101" s="11" t="s">
        <v>72</v>
      </c>
      <c r="L101" s="11" t="s">
        <v>73</v>
      </c>
      <c r="M101" s="11" t="s">
        <v>684</v>
      </c>
      <c r="N101" s="11" t="s">
        <v>86</v>
      </c>
      <c r="O101" s="11" t="s">
        <v>71</v>
      </c>
      <c r="P101" s="11" t="s">
        <v>685</v>
      </c>
      <c r="Q101" s="13" t="s">
        <v>686</v>
      </c>
      <c r="R101" s="14" t="str">
        <f>HYPERLINK("https://drive.google.com/file/d/1CdrFM_My5zYyD-DUdqmijOBKBiDKQ50T/view?usp=drivesdk","OFFER LETTER")</f>
        <v>OFFER LETTER</v>
      </c>
      <c r="S101" s="11" t="s">
        <v>687</v>
      </c>
    </row>
    <row r="102" ht="22.5" customHeight="1">
      <c r="A102" s="10">
        <v>46256.49127061343</v>
      </c>
      <c r="B102" s="11" t="s">
        <v>688</v>
      </c>
      <c r="C102" s="11" t="s">
        <v>259</v>
      </c>
      <c r="D102" s="11" t="s">
        <v>108</v>
      </c>
      <c r="E102" s="12">
        <v>46256.0</v>
      </c>
      <c r="F102" s="12">
        <v>46317.0</v>
      </c>
      <c r="G102" s="11" t="s">
        <v>689</v>
      </c>
      <c r="H102" s="11">
        <v>9.437828656E9</v>
      </c>
      <c r="I102" s="11" t="s">
        <v>82</v>
      </c>
      <c r="J102" s="11" t="s">
        <v>71</v>
      </c>
      <c r="K102" s="11" t="s">
        <v>110</v>
      </c>
      <c r="L102" s="11" t="s">
        <v>84</v>
      </c>
      <c r="M102" s="11" t="s">
        <v>690</v>
      </c>
      <c r="N102" s="11" t="s">
        <v>86</v>
      </c>
      <c r="O102" s="11" t="s">
        <v>71</v>
      </c>
      <c r="P102" s="11" t="s">
        <v>691</v>
      </c>
      <c r="Q102" s="13" t="s">
        <v>692</v>
      </c>
      <c r="R102" s="14" t="str">
        <f>HYPERLINK("https://drive.google.com/file/d/1CR4hYfdj-9-M7ZQhTTM9K61kK0w5AktJ/view?usp=drivesdk","OFFER LETTER")</f>
        <v>OFFER LETTER</v>
      </c>
      <c r="S102" s="11" t="s">
        <v>693</v>
      </c>
    </row>
    <row r="103" ht="22.5" customHeight="1">
      <c r="A103" s="10">
        <v>46256.49724892361</v>
      </c>
      <c r="B103" s="11" t="s">
        <v>694</v>
      </c>
      <c r="C103" s="11" t="s">
        <v>259</v>
      </c>
      <c r="D103" s="11" t="s">
        <v>108</v>
      </c>
      <c r="E103" s="12">
        <v>46256.0</v>
      </c>
      <c r="F103" s="12">
        <v>46317.0</v>
      </c>
      <c r="G103" s="11" t="s">
        <v>695</v>
      </c>
      <c r="H103" s="11">
        <v>9.776220359E9</v>
      </c>
      <c r="I103" s="11" t="s">
        <v>82</v>
      </c>
      <c r="J103" s="11" t="s">
        <v>71</v>
      </c>
      <c r="K103" s="11" t="s">
        <v>110</v>
      </c>
      <c r="L103" s="11" t="s">
        <v>84</v>
      </c>
      <c r="M103" s="11" t="s">
        <v>696</v>
      </c>
      <c r="N103" s="11" t="s">
        <v>86</v>
      </c>
      <c r="O103" s="11" t="s">
        <v>71</v>
      </c>
      <c r="P103" s="11" t="s">
        <v>697</v>
      </c>
      <c r="Q103" s="13" t="s">
        <v>698</v>
      </c>
      <c r="R103" s="14" t="str">
        <f>HYPERLINK("https://drive.google.com/file/d/1_U9BOV_kvJhqYxU6KZ-__5SftHgDOS2B/view?usp=drivesdk","OFFER LETTER")</f>
        <v>OFFER LETTER</v>
      </c>
      <c r="S103" s="11" t="s">
        <v>699</v>
      </c>
    </row>
    <row r="104" ht="22.5" customHeight="1">
      <c r="A104" s="10">
        <v>46256.497545983795</v>
      </c>
      <c r="B104" s="11" t="s">
        <v>700</v>
      </c>
      <c r="C104" s="11" t="s">
        <v>259</v>
      </c>
      <c r="D104" s="11" t="s">
        <v>108</v>
      </c>
      <c r="E104" s="12">
        <v>46256.0</v>
      </c>
      <c r="F104" s="12">
        <v>46317.0</v>
      </c>
      <c r="G104" s="11" t="s">
        <v>701</v>
      </c>
      <c r="H104" s="11">
        <v>9.937007149E9</v>
      </c>
      <c r="I104" s="11" t="s">
        <v>70</v>
      </c>
      <c r="J104" s="11" t="s">
        <v>71</v>
      </c>
      <c r="K104" s="11" t="s">
        <v>110</v>
      </c>
      <c r="L104" s="11" t="s">
        <v>84</v>
      </c>
      <c r="M104" s="11" t="s">
        <v>702</v>
      </c>
      <c r="N104" s="11" t="s">
        <v>86</v>
      </c>
      <c r="O104" s="11" t="s">
        <v>71</v>
      </c>
      <c r="P104" s="11" t="s">
        <v>703</v>
      </c>
      <c r="Q104" s="13" t="s">
        <v>704</v>
      </c>
      <c r="R104" s="14" t="str">
        <f>HYPERLINK("https://drive.google.com/file/d/12CsVT7nl5AvuYA9QNHiPIDLd2yaoIXbv/view?usp=drivesdk","OFFER LETTER")</f>
        <v>OFFER LETTER</v>
      </c>
      <c r="S104" s="11" t="s">
        <v>705</v>
      </c>
    </row>
    <row r="105" ht="22.5" customHeight="1">
      <c r="A105" s="10">
        <v>46256.49754940972</v>
      </c>
      <c r="B105" s="11" t="s">
        <v>706</v>
      </c>
      <c r="C105" s="11" t="s">
        <v>259</v>
      </c>
      <c r="D105" s="11" t="s">
        <v>108</v>
      </c>
      <c r="E105" s="12">
        <v>46256.0</v>
      </c>
      <c r="F105" s="12">
        <v>46317.0</v>
      </c>
      <c r="G105" s="11" t="s">
        <v>707</v>
      </c>
      <c r="H105" s="11">
        <v>9.827680153E9</v>
      </c>
      <c r="I105" s="11" t="s">
        <v>70</v>
      </c>
      <c r="J105" s="11" t="s">
        <v>71</v>
      </c>
      <c r="K105" s="11" t="s">
        <v>110</v>
      </c>
      <c r="L105" s="11" t="s">
        <v>84</v>
      </c>
      <c r="M105" s="11" t="s">
        <v>702</v>
      </c>
      <c r="N105" s="11" t="s">
        <v>86</v>
      </c>
      <c r="O105" s="11" t="s">
        <v>71</v>
      </c>
      <c r="P105" s="11" t="s">
        <v>708</v>
      </c>
      <c r="Q105" s="13" t="s">
        <v>709</v>
      </c>
      <c r="R105" s="14" t="str">
        <f>HYPERLINK("https://drive.google.com/file/d/18w4cGK8-k_1NIPV4PCad0AizKD8P1J-w/view?usp=drivesdk","OFFER LETTER")</f>
        <v>OFFER LETTER</v>
      </c>
      <c r="S105" s="11" t="s">
        <v>710</v>
      </c>
    </row>
    <row r="106" ht="22.5" customHeight="1">
      <c r="A106" s="10">
        <v>46256.498445405094</v>
      </c>
      <c r="B106" s="11" t="s">
        <v>711</v>
      </c>
      <c r="C106" s="11" t="s">
        <v>259</v>
      </c>
      <c r="D106" s="11" t="s">
        <v>108</v>
      </c>
      <c r="E106" s="12">
        <v>46256.0</v>
      </c>
      <c r="F106" s="12">
        <v>46317.0</v>
      </c>
      <c r="G106" s="11" t="s">
        <v>712</v>
      </c>
      <c r="H106" s="11">
        <v>7.849086525E9</v>
      </c>
      <c r="I106" s="11" t="s">
        <v>70</v>
      </c>
      <c r="J106" s="11" t="s">
        <v>71</v>
      </c>
      <c r="K106" s="11" t="s">
        <v>110</v>
      </c>
      <c r="L106" s="11" t="s">
        <v>84</v>
      </c>
      <c r="M106" s="11" t="s">
        <v>713</v>
      </c>
      <c r="N106" s="11" t="s">
        <v>75</v>
      </c>
      <c r="O106" s="11" t="s">
        <v>71</v>
      </c>
      <c r="P106" s="11" t="s">
        <v>714</v>
      </c>
      <c r="Q106" s="13" t="s">
        <v>715</v>
      </c>
      <c r="R106" s="14" t="str">
        <f>HYPERLINK("https://drive.google.com/file/d/1nbKSjYw5fza6aICxiYsoMeAvm3yioBNs/view?usp=drivesdk","OFFER LETTER")</f>
        <v>OFFER LETTER</v>
      </c>
      <c r="S106" s="11" t="s">
        <v>716</v>
      </c>
    </row>
    <row r="107" ht="22.5" customHeight="1">
      <c r="A107" s="10">
        <v>46256.501667372686</v>
      </c>
      <c r="B107" s="11" t="s">
        <v>717</v>
      </c>
      <c r="C107" s="11" t="s">
        <v>173</v>
      </c>
      <c r="D107" s="11" t="s">
        <v>68</v>
      </c>
      <c r="E107" s="12">
        <v>46227.0</v>
      </c>
      <c r="F107" s="12">
        <v>46258.0</v>
      </c>
      <c r="G107" s="11" t="s">
        <v>718</v>
      </c>
      <c r="H107" s="11">
        <v>9.027839011E9</v>
      </c>
      <c r="I107" s="11" t="s">
        <v>82</v>
      </c>
      <c r="J107" s="11" t="s">
        <v>83</v>
      </c>
      <c r="K107" s="11" t="s">
        <v>72</v>
      </c>
      <c r="L107" s="11" t="s">
        <v>131</v>
      </c>
      <c r="M107" s="11" t="s">
        <v>719</v>
      </c>
      <c r="N107" s="11" t="s">
        <v>226</v>
      </c>
      <c r="O107" s="11" t="s">
        <v>71</v>
      </c>
      <c r="P107" s="11" t="s">
        <v>720</v>
      </c>
      <c r="Q107" s="13" t="s">
        <v>721</v>
      </c>
      <c r="R107" s="14" t="str">
        <f>HYPERLINK("https://drive.google.com/file/d/1zi-_OebAggqrJ8mQYVJUusdp5xf_2DYz/view?usp=drivesdk","OFFER LETTER")</f>
        <v>OFFER LETTER</v>
      </c>
      <c r="S107" s="11" t="s">
        <v>722</v>
      </c>
    </row>
    <row r="108" ht="22.5" customHeight="1">
      <c r="A108" s="10">
        <v>46256.50541351852</v>
      </c>
      <c r="B108" s="11" t="s">
        <v>711</v>
      </c>
      <c r="C108" s="11" t="s">
        <v>259</v>
      </c>
      <c r="D108" s="11" t="s">
        <v>108</v>
      </c>
      <c r="E108" s="12">
        <v>46256.0</v>
      </c>
      <c r="F108" s="12">
        <v>46317.0</v>
      </c>
      <c r="G108" s="11" t="s">
        <v>723</v>
      </c>
      <c r="H108" s="11">
        <v>7.849086525E9</v>
      </c>
      <c r="I108" s="11" t="s">
        <v>70</v>
      </c>
      <c r="J108" s="11" t="s">
        <v>71</v>
      </c>
      <c r="K108" s="11" t="s">
        <v>110</v>
      </c>
      <c r="L108" s="11" t="s">
        <v>84</v>
      </c>
      <c r="M108" s="11" t="s">
        <v>724</v>
      </c>
      <c r="N108" s="11" t="s">
        <v>655</v>
      </c>
      <c r="O108" s="11" t="s">
        <v>71</v>
      </c>
      <c r="P108" s="11" t="s">
        <v>725</v>
      </c>
      <c r="Q108" s="13" t="s">
        <v>726</v>
      </c>
      <c r="R108" s="14" t="str">
        <f>HYPERLINK("https://drive.google.com/file/d/1m7S2rvvPBmccCSJSYmQBd1AiV5ALDDqn/view?usp=drivesdk","OFFER LETTER")</f>
        <v>OFFER LETTER</v>
      </c>
      <c r="S108" s="11" t="s">
        <v>727</v>
      </c>
    </row>
    <row r="109" ht="22.5" customHeight="1">
      <c r="A109" s="10">
        <v>46256.508034513885</v>
      </c>
      <c r="B109" s="11" t="s">
        <v>728</v>
      </c>
      <c r="C109" s="11" t="s">
        <v>195</v>
      </c>
      <c r="D109" s="11" t="s">
        <v>68</v>
      </c>
      <c r="E109" s="12">
        <v>46256.0</v>
      </c>
      <c r="F109" s="12">
        <v>46256.0</v>
      </c>
      <c r="G109" s="11" t="s">
        <v>729</v>
      </c>
      <c r="H109" s="11" t="s">
        <v>730</v>
      </c>
      <c r="I109" s="11" t="s">
        <v>82</v>
      </c>
      <c r="J109" s="11" t="s">
        <v>71</v>
      </c>
      <c r="K109" s="11" t="s">
        <v>72</v>
      </c>
      <c r="L109" s="11" t="s">
        <v>131</v>
      </c>
      <c r="M109" s="11" t="s">
        <v>731</v>
      </c>
      <c r="N109" s="11" t="s">
        <v>86</v>
      </c>
      <c r="O109" s="11" t="s">
        <v>130</v>
      </c>
      <c r="P109" s="11" t="s">
        <v>732</v>
      </c>
      <c r="Q109" s="13" t="s">
        <v>733</v>
      </c>
      <c r="R109" s="14" t="str">
        <f>HYPERLINK("https://drive.google.com/file/d/1gaEd6puHZlKFrGJ4xZFjN2Er3j-UjjcL/view?usp=drivesdk","OFFER LETTER")</f>
        <v>OFFER LETTER</v>
      </c>
      <c r="S109" s="11" t="s">
        <v>734</v>
      </c>
    </row>
    <row r="110" ht="22.5" customHeight="1">
      <c r="A110" s="10">
        <v>46256.5132431713</v>
      </c>
      <c r="B110" s="11" t="s">
        <v>735</v>
      </c>
      <c r="C110" s="11" t="s">
        <v>107</v>
      </c>
      <c r="D110" s="11" t="s">
        <v>108</v>
      </c>
      <c r="E110" s="12">
        <v>46266.0</v>
      </c>
      <c r="F110" s="12">
        <v>46323.0</v>
      </c>
      <c r="G110" s="11" t="s">
        <v>736</v>
      </c>
      <c r="H110" s="11">
        <v>9.353990225E9</v>
      </c>
      <c r="I110" s="11" t="s">
        <v>70</v>
      </c>
      <c r="J110" s="11" t="s">
        <v>71</v>
      </c>
      <c r="K110" s="11" t="s">
        <v>356</v>
      </c>
      <c r="L110" s="11" t="s">
        <v>84</v>
      </c>
      <c r="M110" s="11" t="s">
        <v>737</v>
      </c>
      <c r="N110" s="11" t="s">
        <v>86</v>
      </c>
      <c r="O110" s="11" t="s">
        <v>71</v>
      </c>
      <c r="P110" s="11" t="s">
        <v>738</v>
      </c>
      <c r="Q110" s="13" t="s">
        <v>739</v>
      </c>
      <c r="R110" s="14" t="str">
        <f>HYPERLINK("https://drive.google.com/file/d/1w-HLniWP7wKSfPw8oEVcs8yY28Qm-OmI/view?usp=drivesdk","OFFER LETTER")</f>
        <v>OFFER LETTER</v>
      </c>
      <c r="S110" s="11" t="s">
        <v>740</v>
      </c>
    </row>
    <row r="111" ht="22.5" customHeight="1">
      <c r="A111" s="10">
        <v>46256.514880393515</v>
      </c>
      <c r="B111" s="11" t="s">
        <v>741</v>
      </c>
      <c r="C111" s="11" t="s">
        <v>742</v>
      </c>
      <c r="D111" s="11" t="s">
        <v>68</v>
      </c>
      <c r="E111" s="12">
        <v>46256.0</v>
      </c>
      <c r="F111" s="12">
        <v>46287.0</v>
      </c>
      <c r="G111" s="11" t="s">
        <v>743</v>
      </c>
      <c r="H111" s="11">
        <v>9.014865386E9</v>
      </c>
      <c r="I111" s="11" t="s">
        <v>70</v>
      </c>
      <c r="J111" s="11" t="s">
        <v>71</v>
      </c>
      <c r="K111" s="11" t="s">
        <v>72</v>
      </c>
      <c r="L111" s="11" t="s">
        <v>84</v>
      </c>
      <c r="M111" s="11" t="s">
        <v>140</v>
      </c>
      <c r="N111" s="11" t="s">
        <v>75</v>
      </c>
      <c r="O111" s="11" t="s">
        <v>71</v>
      </c>
      <c r="P111" s="11" t="s">
        <v>744</v>
      </c>
      <c r="Q111" s="13" t="s">
        <v>745</v>
      </c>
      <c r="R111" s="14" t="str">
        <f>HYPERLINK("https://drive.google.com/file/d/1bmuSE6mgd5Qo4Bw-odKuWhTqNxMqr3kd/view?usp=drivesdk","OFFER LETTER")</f>
        <v>OFFER LETTER</v>
      </c>
      <c r="S111" s="11" t="s">
        <v>746</v>
      </c>
    </row>
    <row r="112" ht="22.5" customHeight="1">
      <c r="A112" s="10">
        <v>46256.515201030095</v>
      </c>
      <c r="B112" s="11" t="s">
        <v>747</v>
      </c>
      <c r="C112" s="11" t="s">
        <v>259</v>
      </c>
      <c r="D112" s="11" t="s">
        <v>108</v>
      </c>
      <c r="E112" s="12">
        <v>46256.0</v>
      </c>
      <c r="F112" s="12">
        <v>46317.0</v>
      </c>
      <c r="G112" s="11" t="s">
        <v>748</v>
      </c>
      <c r="H112" s="11">
        <v>9.844001445E9</v>
      </c>
      <c r="I112" s="11" t="s">
        <v>82</v>
      </c>
      <c r="J112" s="11" t="s">
        <v>71</v>
      </c>
      <c r="K112" s="11" t="s">
        <v>110</v>
      </c>
      <c r="L112" s="11" t="s">
        <v>73</v>
      </c>
      <c r="M112" s="11" t="s">
        <v>749</v>
      </c>
      <c r="N112" s="11" t="s">
        <v>750</v>
      </c>
      <c r="O112" s="11" t="s">
        <v>71</v>
      </c>
      <c r="P112" s="11" t="s">
        <v>751</v>
      </c>
      <c r="Q112" s="13" t="s">
        <v>752</v>
      </c>
      <c r="R112" s="14" t="str">
        <f>HYPERLINK("https://drive.google.com/file/d/1iYJP8TSLBQuEITPRm-DEP-ejPrWXO47C/view?usp=drivesdk","OFFER LETTER")</f>
        <v>OFFER LETTER</v>
      </c>
      <c r="S112" s="11" t="s">
        <v>753</v>
      </c>
    </row>
    <row r="113" ht="22.5" customHeight="1">
      <c r="A113" s="10">
        <v>46256.51859898148</v>
      </c>
      <c r="B113" s="11" t="s">
        <v>754</v>
      </c>
      <c r="C113" s="11" t="s">
        <v>173</v>
      </c>
      <c r="D113" s="11" t="s">
        <v>68</v>
      </c>
      <c r="E113" s="12">
        <v>46250.0</v>
      </c>
      <c r="F113" s="12">
        <v>46281.0</v>
      </c>
      <c r="G113" s="11" t="s">
        <v>755</v>
      </c>
      <c r="H113" s="11">
        <v>8.871904605E9</v>
      </c>
      <c r="I113" s="11" t="s">
        <v>70</v>
      </c>
      <c r="J113" s="11" t="s">
        <v>71</v>
      </c>
      <c r="K113" s="11" t="s">
        <v>110</v>
      </c>
      <c r="L113" s="11" t="s">
        <v>73</v>
      </c>
      <c r="M113" s="11" t="s">
        <v>756</v>
      </c>
      <c r="N113" s="11" t="s">
        <v>86</v>
      </c>
      <c r="O113" s="11" t="s">
        <v>71</v>
      </c>
      <c r="P113" s="11" t="s">
        <v>757</v>
      </c>
      <c r="Q113" s="13" t="s">
        <v>758</v>
      </c>
      <c r="R113" s="14" t="str">
        <f>HYPERLINK("https://drive.google.com/file/d/1X3svtwYkrhEqlNtJN0Buhztmi-U42ZuK/view?usp=drivesdk","OFFER LETTER")</f>
        <v>OFFER LETTER</v>
      </c>
      <c r="S113" s="11" t="s">
        <v>759</v>
      </c>
    </row>
    <row r="114" ht="22.5" customHeight="1">
      <c r="A114" s="10">
        <v>46256.528415196764</v>
      </c>
      <c r="B114" s="11" t="s">
        <v>760</v>
      </c>
      <c r="C114" s="11" t="s">
        <v>107</v>
      </c>
      <c r="D114" s="11" t="s">
        <v>108</v>
      </c>
      <c r="E114" s="12">
        <v>46266.0</v>
      </c>
      <c r="F114" s="12">
        <v>46323.0</v>
      </c>
      <c r="G114" s="11" t="s">
        <v>736</v>
      </c>
      <c r="H114" s="11">
        <v>9.353990225E9</v>
      </c>
      <c r="I114" s="11" t="s">
        <v>70</v>
      </c>
      <c r="J114" s="11" t="s">
        <v>71</v>
      </c>
      <c r="K114" s="11" t="s">
        <v>356</v>
      </c>
      <c r="L114" s="11" t="s">
        <v>84</v>
      </c>
      <c r="M114" s="11" t="s">
        <v>737</v>
      </c>
      <c r="N114" s="11" t="s">
        <v>86</v>
      </c>
      <c r="O114" s="11" t="s">
        <v>71</v>
      </c>
      <c r="P114" s="11" t="s">
        <v>761</v>
      </c>
      <c r="Q114" s="13" t="s">
        <v>762</v>
      </c>
      <c r="R114" s="14" t="str">
        <f>HYPERLINK("https://drive.google.com/file/d/1WmE1jWAE8X2jWt2T4zpA2zS7Cc-vd7xb/view?usp=drivesdk","OFFER LETTER")</f>
        <v>OFFER LETTER</v>
      </c>
      <c r="S114" s="11" t="s">
        <v>763</v>
      </c>
    </row>
    <row r="115" ht="22.5" customHeight="1">
      <c r="A115" s="10">
        <v>46256.534167199075</v>
      </c>
      <c r="B115" s="11" t="s">
        <v>764</v>
      </c>
      <c r="C115" s="11" t="s">
        <v>107</v>
      </c>
      <c r="D115" s="11" t="s">
        <v>68</v>
      </c>
      <c r="E115" s="12">
        <v>46254.0</v>
      </c>
      <c r="F115" s="12">
        <v>46285.0</v>
      </c>
      <c r="G115" s="11" t="s">
        <v>765</v>
      </c>
      <c r="H115" s="11">
        <v>7.986062589E9</v>
      </c>
      <c r="I115" s="11" t="s">
        <v>70</v>
      </c>
      <c r="J115" s="11" t="s">
        <v>71</v>
      </c>
      <c r="K115" s="11" t="s">
        <v>110</v>
      </c>
      <c r="L115" s="11" t="s">
        <v>84</v>
      </c>
      <c r="M115" s="11" t="s">
        <v>766</v>
      </c>
      <c r="N115" s="11" t="s">
        <v>86</v>
      </c>
      <c r="O115" s="11" t="s">
        <v>71</v>
      </c>
      <c r="P115" s="11" t="s">
        <v>767</v>
      </c>
      <c r="Q115" s="13" t="s">
        <v>768</v>
      </c>
      <c r="R115" s="14" t="str">
        <f>HYPERLINK("https://drive.google.com/file/d/1xIkI4AAWMDonVEWy5osDlR0OtLErmvGG/view?usp=drivesdk","OFFER LETTER")</f>
        <v>OFFER LETTER</v>
      </c>
      <c r="S115" s="11" t="s">
        <v>769</v>
      </c>
    </row>
    <row r="116" ht="22.5" customHeight="1">
      <c r="A116" s="10">
        <v>46256.53470280093</v>
      </c>
      <c r="B116" s="11" t="s">
        <v>770</v>
      </c>
      <c r="C116" s="11" t="s">
        <v>259</v>
      </c>
      <c r="D116" s="11" t="s">
        <v>68</v>
      </c>
      <c r="E116" s="12">
        <v>46256.0</v>
      </c>
      <c r="F116" s="12">
        <v>46287.0</v>
      </c>
      <c r="G116" s="11" t="s">
        <v>771</v>
      </c>
      <c r="H116" s="11">
        <v>8.431293889E9</v>
      </c>
      <c r="I116" s="11" t="s">
        <v>82</v>
      </c>
      <c r="J116" s="11" t="s">
        <v>71</v>
      </c>
      <c r="K116" s="11" t="s">
        <v>110</v>
      </c>
      <c r="L116" s="11" t="s">
        <v>73</v>
      </c>
      <c r="M116" s="11" t="s">
        <v>772</v>
      </c>
      <c r="N116" s="11" t="s">
        <v>198</v>
      </c>
      <c r="O116" s="11" t="s">
        <v>71</v>
      </c>
      <c r="P116" s="11" t="s">
        <v>773</v>
      </c>
      <c r="Q116" s="13" t="s">
        <v>774</v>
      </c>
      <c r="R116" s="14" t="str">
        <f>HYPERLINK("https://drive.google.com/file/d/1-Ps2ZfKHGvCa5BwfxPt_DVNWGQbl_Hcz/view?usp=drivesdk","OFFER LETTER")</f>
        <v>OFFER LETTER</v>
      </c>
      <c r="S116" s="11" t="s">
        <v>775</v>
      </c>
    </row>
    <row r="117" ht="22.5" customHeight="1">
      <c r="A117" s="10">
        <v>46256.55500170139</v>
      </c>
      <c r="B117" s="11" t="s">
        <v>776</v>
      </c>
      <c r="C117" s="11" t="s">
        <v>91</v>
      </c>
      <c r="D117" s="11" t="s">
        <v>68</v>
      </c>
      <c r="E117" s="12">
        <v>46256.0</v>
      </c>
      <c r="F117" s="12">
        <v>46287.0</v>
      </c>
      <c r="G117" s="11" t="s">
        <v>777</v>
      </c>
      <c r="H117" s="11">
        <v>9.084831645E9</v>
      </c>
      <c r="I117" s="11" t="s">
        <v>82</v>
      </c>
      <c r="J117" s="11" t="s">
        <v>71</v>
      </c>
      <c r="K117" s="11" t="s">
        <v>72</v>
      </c>
      <c r="L117" s="11" t="s">
        <v>131</v>
      </c>
      <c r="M117" s="11" t="s">
        <v>778</v>
      </c>
      <c r="N117" s="11" t="s">
        <v>241</v>
      </c>
      <c r="O117" s="11" t="s">
        <v>71</v>
      </c>
      <c r="P117" s="11" t="s">
        <v>779</v>
      </c>
      <c r="Q117" s="13" t="s">
        <v>780</v>
      </c>
      <c r="R117" s="14" t="str">
        <f>HYPERLINK("https://drive.google.com/file/d/1H74EYZkT3r5YxuvcEe7Oo966e6Xf3quo/view?usp=drivesdk","OFFER LETTER")</f>
        <v>OFFER LETTER</v>
      </c>
      <c r="S117" s="11" t="s">
        <v>781</v>
      </c>
    </row>
    <row r="118" ht="22.5" customHeight="1">
      <c r="A118" s="10">
        <v>46256.55872519676</v>
      </c>
      <c r="B118" s="11" t="s">
        <v>782</v>
      </c>
      <c r="C118" s="11" t="s">
        <v>354</v>
      </c>
      <c r="D118" s="11" t="s">
        <v>68</v>
      </c>
      <c r="E118" s="12">
        <v>46225.0</v>
      </c>
      <c r="F118" s="12">
        <v>46256.0</v>
      </c>
      <c r="G118" s="11" t="s">
        <v>783</v>
      </c>
      <c r="H118" s="17" t="s">
        <v>784</v>
      </c>
      <c r="I118" s="11" t="s">
        <v>82</v>
      </c>
      <c r="J118" s="11" t="s">
        <v>71</v>
      </c>
      <c r="K118" s="11" t="s">
        <v>72</v>
      </c>
      <c r="L118" s="11" t="s">
        <v>247</v>
      </c>
      <c r="M118" s="11" t="s">
        <v>785</v>
      </c>
      <c r="N118" s="11" t="s">
        <v>226</v>
      </c>
      <c r="O118" s="11" t="s">
        <v>71</v>
      </c>
      <c r="P118" s="11" t="s">
        <v>786</v>
      </c>
      <c r="Q118" s="13" t="s">
        <v>787</v>
      </c>
      <c r="R118" s="14" t="str">
        <f>HYPERLINK("https://drive.google.com/file/d/1QJrXy6Jhji8a_v6ISFn3JwB83EAtiU3D/view?usp=drivesdk","OFFER LETTER")</f>
        <v>OFFER LETTER</v>
      </c>
      <c r="S118" s="11" t="s">
        <v>788</v>
      </c>
    </row>
    <row r="119" ht="22.5" customHeight="1">
      <c r="A119" s="10">
        <v>46256.57143196759</v>
      </c>
      <c r="B119" s="11" t="s">
        <v>789</v>
      </c>
      <c r="C119" s="11" t="s">
        <v>128</v>
      </c>
      <c r="D119" s="11" t="s">
        <v>68</v>
      </c>
      <c r="E119" s="12">
        <v>46255.0</v>
      </c>
      <c r="F119" s="12">
        <v>46286.0</v>
      </c>
      <c r="G119" s="11" t="s">
        <v>790</v>
      </c>
      <c r="H119" s="11">
        <v>9.528460334E9</v>
      </c>
      <c r="I119" s="11" t="s">
        <v>70</v>
      </c>
      <c r="J119" s="11" t="s">
        <v>71</v>
      </c>
      <c r="K119" s="11" t="s">
        <v>110</v>
      </c>
      <c r="L119" s="11" t="s">
        <v>73</v>
      </c>
      <c r="M119" s="11" t="s">
        <v>493</v>
      </c>
      <c r="N119" s="11" t="s">
        <v>86</v>
      </c>
      <c r="O119" s="11" t="s">
        <v>71</v>
      </c>
      <c r="P119" s="11" t="s">
        <v>791</v>
      </c>
      <c r="Q119" s="13" t="s">
        <v>792</v>
      </c>
      <c r="R119" s="14" t="str">
        <f>HYPERLINK("https://drive.google.com/file/d/1wpu3ptQdIpE0N1SPl-V6bFxY6RxqH7mL/view?usp=drivesdk","OFFER LETTER")</f>
        <v>OFFER LETTER</v>
      </c>
      <c r="S119" s="11" t="s">
        <v>793</v>
      </c>
    </row>
    <row r="120" ht="22.5" customHeight="1">
      <c r="A120" s="10">
        <v>46256.57281435185</v>
      </c>
      <c r="B120" s="11" t="s">
        <v>794</v>
      </c>
      <c r="C120" s="11" t="s">
        <v>195</v>
      </c>
      <c r="D120" s="11" t="s">
        <v>108</v>
      </c>
      <c r="E120" s="12">
        <v>46174.0</v>
      </c>
      <c r="F120" s="12">
        <v>46234.0</v>
      </c>
      <c r="G120" s="11" t="s">
        <v>795</v>
      </c>
      <c r="H120" s="11">
        <v>8.791202289E9</v>
      </c>
      <c r="I120" s="11" t="s">
        <v>82</v>
      </c>
      <c r="J120" s="11" t="s">
        <v>71</v>
      </c>
      <c r="K120" s="11" t="s">
        <v>72</v>
      </c>
      <c r="L120" s="11" t="s">
        <v>131</v>
      </c>
      <c r="M120" s="11" t="s">
        <v>796</v>
      </c>
      <c r="N120" s="11" t="s">
        <v>75</v>
      </c>
      <c r="O120" s="11" t="s">
        <v>71</v>
      </c>
      <c r="P120" s="11" t="s">
        <v>797</v>
      </c>
      <c r="Q120" s="13" t="s">
        <v>798</v>
      </c>
      <c r="R120" s="14" t="str">
        <f>HYPERLINK("https://drive.google.com/file/d/1DrQeLDDiniegs6zDyz_jrAtQaamFx8Z9/view?usp=drivesdk","OFFER LETTER")</f>
        <v>OFFER LETTER</v>
      </c>
      <c r="S120" s="11" t="s">
        <v>799</v>
      </c>
    </row>
    <row r="121" ht="22.5" customHeight="1">
      <c r="A121" s="10">
        <v>46256.57447825231</v>
      </c>
      <c r="B121" s="11" t="s">
        <v>800</v>
      </c>
      <c r="C121" s="11" t="s">
        <v>259</v>
      </c>
      <c r="D121" s="11" t="s">
        <v>68</v>
      </c>
      <c r="E121" s="12">
        <v>46256.0</v>
      </c>
      <c r="F121" s="12">
        <v>46256.0</v>
      </c>
      <c r="G121" s="11" t="s">
        <v>801</v>
      </c>
      <c r="H121" s="11">
        <v>7.569055269E9</v>
      </c>
      <c r="I121" s="11" t="s">
        <v>70</v>
      </c>
      <c r="J121" s="11" t="s">
        <v>71</v>
      </c>
      <c r="K121" s="11" t="s">
        <v>72</v>
      </c>
      <c r="L121" s="11" t="s">
        <v>131</v>
      </c>
      <c r="M121" s="11" t="s">
        <v>802</v>
      </c>
      <c r="N121" s="11" t="s">
        <v>86</v>
      </c>
      <c r="O121" s="11" t="s">
        <v>71</v>
      </c>
      <c r="P121" s="11" t="s">
        <v>803</v>
      </c>
      <c r="Q121" s="13" t="s">
        <v>804</v>
      </c>
      <c r="R121" s="14" t="str">
        <f>HYPERLINK("https://drive.google.com/file/d/1DN3lFtx3ooQyIDtYc6pDJnfBlWUpBU-F/view?usp=drivesdk","OFFER LETTER")</f>
        <v>OFFER LETTER</v>
      </c>
      <c r="S121" s="11" t="s">
        <v>805</v>
      </c>
    </row>
    <row r="122" ht="22.5" customHeight="1">
      <c r="A122" s="10">
        <v>46256.58185670139</v>
      </c>
      <c r="B122" s="11" t="s">
        <v>806</v>
      </c>
      <c r="C122" s="11" t="s">
        <v>80</v>
      </c>
      <c r="D122" s="11" t="s">
        <v>68</v>
      </c>
      <c r="E122" s="12">
        <v>46256.0</v>
      </c>
      <c r="F122" s="12">
        <v>46287.0</v>
      </c>
      <c r="G122" s="11" t="s">
        <v>807</v>
      </c>
      <c r="H122" s="11">
        <v>6.207405015E9</v>
      </c>
      <c r="I122" s="11" t="s">
        <v>82</v>
      </c>
      <c r="J122" s="11" t="s">
        <v>71</v>
      </c>
      <c r="K122" s="11" t="s">
        <v>72</v>
      </c>
      <c r="L122" s="11" t="s">
        <v>73</v>
      </c>
      <c r="M122" s="11" t="s">
        <v>808</v>
      </c>
      <c r="N122" s="11" t="s">
        <v>226</v>
      </c>
      <c r="O122" s="11" t="s">
        <v>71</v>
      </c>
      <c r="P122" s="11" t="s">
        <v>809</v>
      </c>
      <c r="Q122" s="13" t="s">
        <v>810</v>
      </c>
      <c r="R122" s="14" t="str">
        <f>HYPERLINK("https://drive.google.com/file/d/1MAZfmM44CelY1Bf_PjJiiKthhs7ne804/view?usp=drivesdk","OFFER LETTER")</f>
        <v>OFFER LETTER</v>
      </c>
      <c r="S122" s="11" t="s">
        <v>811</v>
      </c>
    </row>
    <row r="123" ht="22.5" customHeight="1">
      <c r="A123" s="10">
        <v>46256.58618827546</v>
      </c>
      <c r="B123" s="11" t="s">
        <v>812</v>
      </c>
      <c r="C123" s="11" t="s">
        <v>128</v>
      </c>
      <c r="D123" s="11" t="s">
        <v>68</v>
      </c>
      <c r="E123" s="12">
        <v>46256.0</v>
      </c>
      <c r="F123" s="12">
        <v>46287.0</v>
      </c>
      <c r="G123" s="11" t="s">
        <v>813</v>
      </c>
      <c r="H123" s="11">
        <v>9.008375019E9</v>
      </c>
      <c r="I123" s="11" t="s">
        <v>82</v>
      </c>
      <c r="J123" s="11" t="s">
        <v>71</v>
      </c>
      <c r="K123" s="11" t="s">
        <v>72</v>
      </c>
      <c r="L123" s="11" t="s">
        <v>73</v>
      </c>
      <c r="M123" s="11" t="s">
        <v>814</v>
      </c>
      <c r="N123" s="11" t="s">
        <v>75</v>
      </c>
      <c r="O123" s="11" t="s">
        <v>71</v>
      </c>
      <c r="P123" s="11" t="s">
        <v>815</v>
      </c>
      <c r="Q123" s="13" t="s">
        <v>816</v>
      </c>
      <c r="R123" s="14" t="str">
        <f>HYPERLINK("https://drive.google.com/file/d/1NKQYxb9eFyTVK5AV9V_QG4icLXfEhAbl/view?usp=drivesdk","OFFER LETTER")</f>
        <v>OFFER LETTER</v>
      </c>
      <c r="S123" s="11" t="s">
        <v>817</v>
      </c>
    </row>
    <row r="124" ht="22.5" customHeight="1">
      <c r="A124" s="10">
        <v>46256.58653503472</v>
      </c>
      <c r="B124" s="11" t="s">
        <v>800</v>
      </c>
      <c r="C124" s="11" t="s">
        <v>259</v>
      </c>
      <c r="D124" s="11" t="s">
        <v>68</v>
      </c>
      <c r="E124" s="12">
        <v>46256.0</v>
      </c>
      <c r="F124" s="12">
        <v>46287.0</v>
      </c>
      <c r="G124" s="11" t="s">
        <v>801</v>
      </c>
      <c r="H124" s="11">
        <v>7.569055269E9</v>
      </c>
      <c r="I124" s="11" t="s">
        <v>70</v>
      </c>
      <c r="J124" s="11" t="s">
        <v>71</v>
      </c>
      <c r="K124" s="11" t="s">
        <v>72</v>
      </c>
      <c r="L124" s="11" t="s">
        <v>131</v>
      </c>
      <c r="M124" s="11" t="s">
        <v>802</v>
      </c>
      <c r="N124" s="11" t="s">
        <v>86</v>
      </c>
      <c r="O124" s="11" t="s">
        <v>71</v>
      </c>
      <c r="P124" s="11" t="s">
        <v>818</v>
      </c>
      <c r="Q124" s="13" t="s">
        <v>819</v>
      </c>
      <c r="R124" s="14" t="str">
        <f>HYPERLINK("https://drive.google.com/file/d/1H3PQugm7W-qVLnjsMYopqbVhr7B8701I/view?usp=drivesdk","OFFER LETTER")</f>
        <v>OFFER LETTER</v>
      </c>
      <c r="S124" s="11" t="s">
        <v>820</v>
      </c>
    </row>
    <row r="125" ht="22.5" customHeight="1">
      <c r="A125" s="10">
        <v>46256.58790295139</v>
      </c>
      <c r="B125" s="11" t="s">
        <v>821</v>
      </c>
      <c r="C125" s="11" t="s">
        <v>354</v>
      </c>
      <c r="D125" s="11" t="s">
        <v>238</v>
      </c>
      <c r="E125" s="12">
        <v>46164.0</v>
      </c>
      <c r="F125" s="12">
        <v>46256.0</v>
      </c>
      <c r="G125" s="11" t="s">
        <v>783</v>
      </c>
      <c r="H125" s="17" t="s">
        <v>784</v>
      </c>
      <c r="I125" s="11" t="s">
        <v>82</v>
      </c>
      <c r="J125" s="11" t="s">
        <v>71</v>
      </c>
      <c r="K125" s="11" t="s">
        <v>72</v>
      </c>
      <c r="L125" s="11" t="s">
        <v>247</v>
      </c>
      <c r="M125" s="11" t="s">
        <v>785</v>
      </c>
      <c r="N125" s="11" t="s">
        <v>226</v>
      </c>
      <c r="O125" s="11" t="s">
        <v>71</v>
      </c>
      <c r="P125" s="11" t="s">
        <v>822</v>
      </c>
      <c r="Q125" s="13" t="s">
        <v>823</v>
      </c>
      <c r="R125" s="14" t="str">
        <f>HYPERLINK("https://drive.google.com/file/d/1izUfeuDqkfHWfC0nDnTk5z6pZvd8M0lr/view?usp=drivesdk","OFFER LETTER")</f>
        <v>OFFER LETTER</v>
      </c>
      <c r="S125" s="11" t="s">
        <v>824</v>
      </c>
    </row>
    <row r="126" ht="22.5" customHeight="1">
      <c r="A126" s="10">
        <v>46256.59544561343</v>
      </c>
      <c r="B126" s="11" t="s">
        <v>528</v>
      </c>
      <c r="C126" s="11" t="s">
        <v>173</v>
      </c>
      <c r="D126" s="11" t="s">
        <v>68</v>
      </c>
      <c r="E126" s="12">
        <v>46220.0</v>
      </c>
      <c r="F126" s="12">
        <v>46250.0</v>
      </c>
      <c r="G126" s="11" t="s">
        <v>529</v>
      </c>
      <c r="H126" s="11" t="s">
        <v>825</v>
      </c>
      <c r="I126" s="11" t="s">
        <v>82</v>
      </c>
      <c r="J126" s="11" t="s">
        <v>71</v>
      </c>
      <c r="K126" s="11" t="s">
        <v>72</v>
      </c>
      <c r="L126" s="11" t="s">
        <v>131</v>
      </c>
      <c r="M126" s="11" t="s">
        <v>530</v>
      </c>
      <c r="N126" s="11" t="s">
        <v>86</v>
      </c>
      <c r="O126" s="11" t="s">
        <v>71</v>
      </c>
      <c r="P126" s="11" t="s">
        <v>826</v>
      </c>
      <c r="Q126" s="13" t="s">
        <v>827</v>
      </c>
      <c r="R126" s="14" t="str">
        <f>HYPERLINK("https://drive.google.com/file/d/1ZhIIROqJY8Pw_qoe5FyK5iCVvtDHdv41/view?usp=drivesdk","OFFER LETTER")</f>
        <v>OFFER LETTER</v>
      </c>
      <c r="S126" s="11" t="s">
        <v>828</v>
      </c>
    </row>
    <row r="127" ht="22.5" customHeight="1">
      <c r="A127" s="10">
        <v>46256.60532594907</v>
      </c>
      <c r="B127" s="11" t="s">
        <v>829</v>
      </c>
      <c r="C127" s="11" t="s">
        <v>128</v>
      </c>
      <c r="D127" s="11" t="s">
        <v>68</v>
      </c>
      <c r="E127" s="12">
        <v>46256.0</v>
      </c>
      <c r="F127" s="12">
        <v>46287.0</v>
      </c>
      <c r="G127" s="11" t="s">
        <v>830</v>
      </c>
      <c r="H127" s="11">
        <v>9.628962652E9</v>
      </c>
      <c r="I127" s="11" t="s">
        <v>82</v>
      </c>
      <c r="J127" s="11" t="s">
        <v>71</v>
      </c>
      <c r="K127" s="11" t="s">
        <v>72</v>
      </c>
      <c r="L127" s="11" t="s">
        <v>73</v>
      </c>
      <c r="M127" s="11" t="s">
        <v>831</v>
      </c>
      <c r="N127" s="11" t="s">
        <v>75</v>
      </c>
      <c r="O127" s="11" t="s">
        <v>71</v>
      </c>
      <c r="P127" s="11" t="s">
        <v>832</v>
      </c>
      <c r="Q127" s="13" t="s">
        <v>833</v>
      </c>
      <c r="R127" s="14" t="str">
        <f>HYPERLINK("https://drive.google.com/file/d/1IxlxNZHwtZlMrJRWbHkrEPmTMl1rfB5e/view?usp=drivesdk","OFFER LETTER")</f>
        <v>OFFER LETTER</v>
      </c>
      <c r="S127" s="11" t="s">
        <v>834</v>
      </c>
    </row>
    <row r="128" ht="22.5" customHeight="1">
      <c r="A128" s="10">
        <v>46256.6068930787</v>
      </c>
      <c r="B128" s="11" t="s">
        <v>835</v>
      </c>
      <c r="C128" s="11" t="s">
        <v>195</v>
      </c>
      <c r="D128" s="11" t="s">
        <v>68</v>
      </c>
      <c r="E128" s="12">
        <v>46257.0</v>
      </c>
      <c r="F128" s="12">
        <v>46295.0</v>
      </c>
      <c r="G128" s="11" t="s">
        <v>836</v>
      </c>
      <c r="H128" s="17" t="s">
        <v>837</v>
      </c>
      <c r="I128" s="11" t="s">
        <v>82</v>
      </c>
      <c r="J128" s="11" t="s">
        <v>71</v>
      </c>
      <c r="K128" s="11" t="s">
        <v>72</v>
      </c>
      <c r="L128" s="11" t="s">
        <v>131</v>
      </c>
      <c r="M128" s="11" t="s">
        <v>838</v>
      </c>
      <c r="N128" s="11" t="s">
        <v>75</v>
      </c>
      <c r="O128" s="11" t="s">
        <v>71</v>
      </c>
      <c r="P128" s="11" t="s">
        <v>839</v>
      </c>
      <c r="Q128" s="13" t="s">
        <v>840</v>
      </c>
      <c r="R128" s="14" t="str">
        <f>HYPERLINK("https://drive.google.com/file/d/1wj3n78fcbGNeKPNNCoSjaxX6ZlaAiTrU/view?usp=drivesdk","OFFER LETTER")</f>
        <v>OFFER LETTER</v>
      </c>
      <c r="S128" s="11" t="s">
        <v>841</v>
      </c>
    </row>
    <row r="129" ht="22.5" customHeight="1">
      <c r="A129" s="10">
        <v>46256.606995532406</v>
      </c>
      <c r="B129" s="11" t="s">
        <v>842</v>
      </c>
      <c r="C129" s="11" t="s">
        <v>195</v>
      </c>
      <c r="D129" s="11" t="s">
        <v>68</v>
      </c>
      <c r="E129" s="12">
        <v>46225.0</v>
      </c>
      <c r="F129" s="12">
        <v>46256.0</v>
      </c>
      <c r="G129" s="11" t="s">
        <v>843</v>
      </c>
      <c r="H129" s="11">
        <v>8.209129686E9</v>
      </c>
      <c r="I129" s="11" t="s">
        <v>82</v>
      </c>
      <c r="J129" s="11" t="s">
        <v>71</v>
      </c>
      <c r="K129" s="11" t="s">
        <v>72</v>
      </c>
      <c r="L129" s="11" t="s">
        <v>84</v>
      </c>
      <c r="M129" s="11" t="s">
        <v>560</v>
      </c>
      <c r="N129" s="11" t="s">
        <v>226</v>
      </c>
      <c r="O129" s="11" t="s">
        <v>71</v>
      </c>
      <c r="P129" s="11" t="s">
        <v>844</v>
      </c>
      <c r="Q129" s="13" t="s">
        <v>845</v>
      </c>
      <c r="R129" s="14" t="str">
        <f>HYPERLINK("https://drive.google.com/file/d/1Anh1CyiOvjOBp2KwZfdjvJLUTuVrsfI1/view?usp=drivesdk","OFFER LETTER")</f>
        <v>OFFER LETTER</v>
      </c>
      <c r="S129" s="11" t="s">
        <v>846</v>
      </c>
    </row>
    <row r="130" ht="22.5" customHeight="1">
      <c r="A130" s="10">
        <v>46256.61783128472</v>
      </c>
      <c r="B130" s="11" t="s">
        <v>847</v>
      </c>
      <c r="C130" s="11" t="s">
        <v>195</v>
      </c>
      <c r="D130" s="11" t="s">
        <v>68</v>
      </c>
      <c r="E130" s="12">
        <v>46174.0</v>
      </c>
      <c r="F130" s="12">
        <v>46203.0</v>
      </c>
      <c r="G130" s="11" t="s">
        <v>848</v>
      </c>
      <c r="H130" s="11">
        <v>9.241247339E9</v>
      </c>
      <c r="I130" s="11" t="s">
        <v>82</v>
      </c>
      <c r="J130" s="11" t="s">
        <v>71</v>
      </c>
      <c r="K130" s="11" t="s">
        <v>72</v>
      </c>
      <c r="L130" s="11" t="s">
        <v>84</v>
      </c>
      <c r="M130" s="11" t="s">
        <v>849</v>
      </c>
      <c r="N130" s="11" t="s">
        <v>86</v>
      </c>
      <c r="O130" s="11" t="s">
        <v>71</v>
      </c>
      <c r="P130" s="11" t="s">
        <v>850</v>
      </c>
      <c r="Q130" s="13" t="s">
        <v>851</v>
      </c>
      <c r="R130" s="14" t="str">
        <f>HYPERLINK("https://drive.google.com/file/d/1DMh84xAK8YMjrOuo-b3TJvfkgcRPIKg3/view?usp=drivesdk","OFFER LETTER")</f>
        <v>OFFER LETTER</v>
      </c>
      <c r="S130" s="11" t="s">
        <v>852</v>
      </c>
    </row>
    <row r="131" ht="22.5" customHeight="1">
      <c r="A131" s="10">
        <v>46256.62723370371</v>
      </c>
      <c r="B131" s="11" t="s">
        <v>853</v>
      </c>
      <c r="C131" s="11" t="s">
        <v>173</v>
      </c>
      <c r="D131" s="11" t="s">
        <v>68</v>
      </c>
      <c r="E131" s="12">
        <v>46235.0</v>
      </c>
      <c r="F131" s="12">
        <v>46260.0</v>
      </c>
      <c r="G131" s="11" t="s">
        <v>854</v>
      </c>
      <c r="H131" s="11">
        <v>6.383803415E9</v>
      </c>
      <c r="I131" s="11" t="s">
        <v>82</v>
      </c>
      <c r="J131" s="11" t="s">
        <v>71</v>
      </c>
      <c r="K131" s="11" t="s">
        <v>72</v>
      </c>
      <c r="L131" s="11" t="s">
        <v>84</v>
      </c>
      <c r="M131" s="11" t="s">
        <v>855</v>
      </c>
      <c r="N131" s="11" t="s">
        <v>86</v>
      </c>
      <c r="O131" s="11" t="s">
        <v>71</v>
      </c>
      <c r="P131" s="11" t="s">
        <v>856</v>
      </c>
      <c r="Q131" s="13" t="s">
        <v>857</v>
      </c>
      <c r="R131" s="14" t="str">
        <f>HYPERLINK("https://drive.google.com/file/d/1loUhQPyX9yXY7nmmiWr8LbsZeb1j8E-d/view?usp=drivesdk","OFFER LETTER")</f>
        <v>OFFER LETTER</v>
      </c>
      <c r="S131" s="11" t="s">
        <v>858</v>
      </c>
    </row>
    <row r="132" ht="22.5" customHeight="1">
      <c r="A132" s="10">
        <v>46256.627908333336</v>
      </c>
      <c r="B132" s="11" t="s">
        <v>859</v>
      </c>
      <c r="C132" s="11" t="s">
        <v>173</v>
      </c>
      <c r="D132" s="11" t="s">
        <v>68</v>
      </c>
      <c r="E132" s="12">
        <v>46214.0</v>
      </c>
      <c r="F132" s="12">
        <v>46246.0</v>
      </c>
      <c r="G132" s="11" t="s">
        <v>860</v>
      </c>
      <c r="H132" s="11">
        <v>6.379192762E9</v>
      </c>
      <c r="I132" s="11" t="s">
        <v>82</v>
      </c>
      <c r="J132" s="11" t="s">
        <v>71</v>
      </c>
      <c r="K132" s="11" t="s">
        <v>72</v>
      </c>
      <c r="L132" s="11" t="s">
        <v>84</v>
      </c>
      <c r="M132" s="11" t="s">
        <v>861</v>
      </c>
      <c r="N132" s="11" t="s">
        <v>86</v>
      </c>
      <c r="O132" s="11" t="s">
        <v>71</v>
      </c>
      <c r="P132" s="11" t="s">
        <v>862</v>
      </c>
      <c r="Q132" s="13" t="s">
        <v>863</v>
      </c>
      <c r="R132" s="14" t="str">
        <f>HYPERLINK("https://drive.google.com/file/d/17j4ZAwtxpaIa3lmHNjUHFRCPexLIkHX8/view?usp=drivesdk","OFFER LETTER")</f>
        <v>OFFER LETTER</v>
      </c>
      <c r="S132" s="11" t="s">
        <v>864</v>
      </c>
    </row>
    <row r="133" ht="22.5" customHeight="1">
      <c r="A133" s="10">
        <v>46256.632016840274</v>
      </c>
      <c r="B133" s="11" t="s">
        <v>865</v>
      </c>
      <c r="C133" s="11" t="s">
        <v>91</v>
      </c>
      <c r="D133" s="11" t="s">
        <v>68</v>
      </c>
      <c r="E133" s="12">
        <v>46213.0</v>
      </c>
      <c r="F133" s="12">
        <v>46244.0</v>
      </c>
      <c r="G133" s="11" t="s">
        <v>866</v>
      </c>
      <c r="H133" s="11">
        <v>9.045358539E9</v>
      </c>
      <c r="I133" s="11" t="s">
        <v>82</v>
      </c>
      <c r="J133" s="11" t="s">
        <v>71</v>
      </c>
      <c r="K133" s="11" t="s">
        <v>110</v>
      </c>
      <c r="L133" s="11" t="s">
        <v>84</v>
      </c>
      <c r="M133" s="11" t="s">
        <v>867</v>
      </c>
      <c r="N133" s="11" t="s">
        <v>868</v>
      </c>
      <c r="O133" s="11" t="s">
        <v>71</v>
      </c>
      <c r="P133" s="11" t="s">
        <v>869</v>
      </c>
      <c r="Q133" s="13" t="s">
        <v>870</v>
      </c>
      <c r="R133" s="14" t="str">
        <f>HYPERLINK("https://drive.google.com/file/d/1abRlwSrGcF2pxSxkL5PUjNfsQY-5G6Av/view?usp=drivesdk","OFFER LETTER")</f>
        <v>OFFER LETTER</v>
      </c>
      <c r="S133" s="11" t="s">
        <v>871</v>
      </c>
    </row>
    <row r="134" ht="22.5" customHeight="1">
      <c r="A134" s="10">
        <v>46256.64080194445</v>
      </c>
      <c r="B134" s="11" t="s">
        <v>872</v>
      </c>
      <c r="C134" s="11" t="s">
        <v>107</v>
      </c>
      <c r="D134" s="11" t="s">
        <v>68</v>
      </c>
      <c r="E134" s="12">
        <v>46256.0</v>
      </c>
      <c r="F134" s="12">
        <v>46287.0</v>
      </c>
      <c r="G134" s="11" t="s">
        <v>873</v>
      </c>
      <c r="H134" s="11">
        <v>9.199708273E9</v>
      </c>
      <c r="I134" s="11" t="s">
        <v>82</v>
      </c>
      <c r="J134" s="11" t="s">
        <v>71</v>
      </c>
      <c r="K134" s="11" t="s">
        <v>72</v>
      </c>
      <c r="L134" s="11" t="s">
        <v>247</v>
      </c>
      <c r="M134" s="11" t="s">
        <v>874</v>
      </c>
      <c r="N134" s="11" t="s">
        <v>226</v>
      </c>
      <c r="O134" s="11" t="s">
        <v>71</v>
      </c>
      <c r="P134" s="11" t="s">
        <v>875</v>
      </c>
      <c r="Q134" s="13" t="s">
        <v>876</v>
      </c>
      <c r="R134" s="14" t="str">
        <f>HYPERLINK("https://drive.google.com/file/d/1wmSaKnLKRFvZPP3vN-PIwxjAMXRrBFnc/view?usp=drivesdk","OFFER LETTER")</f>
        <v>OFFER LETTER</v>
      </c>
      <c r="S134" s="11" t="s">
        <v>877</v>
      </c>
    </row>
    <row r="135" ht="22.5" customHeight="1">
      <c r="A135" s="10">
        <v>46256.64441270834</v>
      </c>
      <c r="B135" s="11" t="s">
        <v>878</v>
      </c>
      <c r="C135" s="11" t="s">
        <v>195</v>
      </c>
      <c r="D135" s="11" t="s">
        <v>68</v>
      </c>
      <c r="E135" s="12">
        <v>46213.0</v>
      </c>
      <c r="F135" s="12">
        <v>46244.0</v>
      </c>
      <c r="G135" s="11" t="s">
        <v>879</v>
      </c>
      <c r="H135" s="11">
        <v>7.902918322E9</v>
      </c>
      <c r="I135" s="11" t="s">
        <v>82</v>
      </c>
      <c r="K135" s="11" t="s">
        <v>110</v>
      </c>
      <c r="L135" s="11" t="s">
        <v>73</v>
      </c>
      <c r="M135" s="11" t="s">
        <v>880</v>
      </c>
      <c r="N135" s="11" t="s">
        <v>86</v>
      </c>
      <c r="O135" s="11" t="s">
        <v>71</v>
      </c>
      <c r="P135" s="11" t="s">
        <v>881</v>
      </c>
      <c r="Q135" s="13" t="s">
        <v>882</v>
      </c>
      <c r="R135" s="14" t="str">
        <f>HYPERLINK("https://drive.google.com/file/d/1bd6ODhDDq3pYxpOlbZ95YwYPlByFCyG5/view?usp=drivesdk","OFFER LETTER")</f>
        <v>OFFER LETTER</v>
      </c>
      <c r="S135" s="11" t="s">
        <v>883</v>
      </c>
    </row>
    <row r="136" ht="22.5" customHeight="1">
      <c r="A136" s="10">
        <v>46256.648415821765</v>
      </c>
      <c r="B136" s="11" t="s">
        <v>884</v>
      </c>
      <c r="C136" s="11" t="s">
        <v>173</v>
      </c>
      <c r="D136" s="11" t="s">
        <v>68</v>
      </c>
      <c r="E136" s="12">
        <v>46225.0</v>
      </c>
      <c r="F136" s="12">
        <v>46256.0</v>
      </c>
      <c r="G136" s="11" t="s">
        <v>885</v>
      </c>
      <c r="H136" s="11">
        <v>9.30425861E9</v>
      </c>
      <c r="I136" s="11" t="s">
        <v>82</v>
      </c>
      <c r="J136" s="11" t="s">
        <v>71</v>
      </c>
      <c r="K136" s="11" t="s">
        <v>72</v>
      </c>
      <c r="L136" s="11" t="s">
        <v>84</v>
      </c>
      <c r="M136" s="11" t="s">
        <v>886</v>
      </c>
      <c r="N136" s="11" t="s">
        <v>75</v>
      </c>
      <c r="O136" s="11" t="s">
        <v>71</v>
      </c>
      <c r="P136" s="11" t="s">
        <v>887</v>
      </c>
      <c r="Q136" s="13" t="s">
        <v>888</v>
      </c>
      <c r="R136" s="14" t="str">
        <f>HYPERLINK("https://drive.google.com/file/d/1jmQT4zdf-19lomuM30P8HqylMcM2whzj/view?usp=drivesdk","OFFER LETTER")</f>
        <v>OFFER LETTER</v>
      </c>
      <c r="S136" s="11" t="s">
        <v>889</v>
      </c>
    </row>
    <row r="137" ht="22.5" customHeight="1">
      <c r="A137" s="10">
        <v>46256.64948453703</v>
      </c>
      <c r="B137" s="11" t="s">
        <v>890</v>
      </c>
      <c r="C137" s="11" t="s">
        <v>91</v>
      </c>
      <c r="D137" s="11" t="s">
        <v>68</v>
      </c>
      <c r="E137" s="12">
        <v>46213.0</v>
      </c>
      <c r="F137" s="12">
        <v>46244.0</v>
      </c>
      <c r="G137" s="11" t="s">
        <v>891</v>
      </c>
      <c r="H137" s="11">
        <v>9.045358539E9</v>
      </c>
      <c r="I137" s="11" t="s">
        <v>82</v>
      </c>
      <c r="J137" s="11" t="s">
        <v>71</v>
      </c>
      <c r="K137" s="11" t="s">
        <v>110</v>
      </c>
      <c r="L137" s="11" t="s">
        <v>84</v>
      </c>
      <c r="M137" s="11" t="s">
        <v>867</v>
      </c>
      <c r="N137" s="11" t="s">
        <v>892</v>
      </c>
      <c r="O137" s="11" t="s">
        <v>71</v>
      </c>
      <c r="P137" s="11" t="s">
        <v>893</v>
      </c>
      <c r="Q137" s="13" t="s">
        <v>894</v>
      </c>
      <c r="R137" s="14" t="str">
        <f>HYPERLINK("https://drive.google.com/file/d/1f6pEoG9-UPv0-O28oYEjSBMWRcyaXpvL/view?usp=drivesdk","OFFER LETTER")</f>
        <v>OFFER LETTER</v>
      </c>
      <c r="S137" s="11" t="s">
        <v>895</v>
      </c>
    </row>
    <row r="138" ht="22.5" customHeight="1">
      <c r="A138" s="10">
        <v>46256.65540133102</v>
      </c>
      <c r="B138" s="11" t="s">
        <v>896</v>
      </c>
      <c r="C138" s="11" t="s">
        <v>107</v>
      </c>
      <c r="D138" s="11" t="s">
        <v>238</v>
      </c>
      <c r="E138" s="12">
        <v>46256.0</v>
      </c>
      <c r="F138" s="12">
        <v>46348.0</v>
      </c>
      <c r="G138" s="11" t="s">
        <v>897</v>
      </c>
      <c r="H138" s="11">
        <v>7.779992046E9</v>
      </c>
      <c r="I138" s="11" t="s">
        <v>82</v>
      </c>
      <c r="J138" s="11" t="s">
        <v>71</v>
      </c>
      <c r="K138" s="11" t="s">
        <v>72</v>
      </c>
      <c r="L138" s="11" t="s">
        <v>131</v>
      </c>
      <c r="M138" s="11" t="s">
        <v>898</v>
      </c>
      <c r="N138" s="11" t="s">
        <v>75</v>
      </c>
      <c r="O138" s="11" t="s">
        <v>71</v>
      </c>
      <c r="P138" s="11" t="s">
        <v>899</v>
      </c>
      <c r="Q138" s="13" t="s">
        <v>900</v>
      </c>
      <c r="R138" s="14" t="str">
        <f>HYPERLINK("https://drive.google.com/file/d/1MLUPc_VpnRIEcUjaFENmpz0njGMrVmfa/view?usp=drivesdk","OFFER LETTER")</f>
        <v>OFFER LETTER</v>
      </c>
      <c r="S138" s="11" t="s">
        <v>901</v>
      </c>
    </row>
    <row r="139" ht="22.5" customHeight="1">
      <c r="A139" s="10">
        <v>46256.65849724537</v>
      </c>
      <c r="B139" s="11" t="s">
        <v>902</v>
      </c>
      <c r="C139" s="11" t="s">
        <v>80</v>
      </c>
      <c r="D139" s="11" t="s">
        <v>68</v>
      </c>
      <c r="E139" s="12" t="s">
        <v>903</v>
      </c>
      <c r="F139" s="12" t="s">
        <v>904</v>
      </c>
      <c r="G139" s="11" t="s">
        <v>905</v>
      </c>
      <c r="H139" s="11">
        <v>7.020332929E9</v>
      </c>
      <c r="I139" s="11" t="s">
        <v>82</v>
      </c>
      <c r="J139" s="11" t="s">
        <v>71</v>
      </c>
      <c r="K139" s="11" t="s">
        <v>72</v>
      </c>
      <c r="L139" s="11" t="s">
        <v>131</v>
      </c>
      <c r="M139" s="11" t="s">
        <v>906</v>
      </c>
      <c r="N139" s="11" t="s">
        <v>75</v>
      </c>
      <c r="O139" s="11" t="s">
        <v>71</v>
      </c>
      <c r="P139" s="11" t="s">
        <v>907</v>
      </c>
      <c r="Q139" s="13" t="s">
        <v>908</v>
      </c>
      <c r="R139" s="14" t="str">
        <f>HYPERLINK("https://drive.google.com/file/d/1PhuhuMK9M8WukzOduwnF65qEyb0dNKUF/view?usp=drivesdk","OFFER LETTER")</f>
        <v>OFFER LETTER</v>
      </c>
      <c r="S139" s="11" t="s">
        <v>909</v>
      </c>
    </row>
    <row r="140" ht="22.5" customHeight="1">
      <c r="A140" s="10">
        <v>46256.66449800926</v>
      </c>
      <c r="B140" s="11" t="s">
        <v>910</v>
      </c>
      <c r="C140" s="11" t="s">
        <v>237</v>
      </c>
      <c r="D140" s="11" t="s">
        <v>68</v>
      </c>
      <c r="E140" s="12">
        <v>46256.0</v>
      </c>
      <c r="F140" s="12">
        <v>46287.0</v>
      </c>
      <c r="G140" s="11" t="s">
        <v>911</v>
      </c>
      <c r="H140" s="11">
        <v>9.12544237E9</v>
      </c>
      <c r="I140" s="11" t="s">
        <v>82</v>
      </c>
      <c r="J140" s="11" t="s">
        <v>71</v>
      </c>
      <c r="K140" s="11" t="s">
        <v>72</v>
      </c>
      <c r="L140" s="11" t="s">
        <v>73</v>
      </c>
      <c r="M140" s="11" t="s">
        <v>912</v>
      </c>
      <c r="N140" s="11" t="s">
        <v>226</v>
      </c>
      <c r="O140" s="11" t="s">
        <v>71</v>
      </c>
      <c r="P140" s="11" t="s">
        <v>913</v>
      </c>
      <c r="Q140" s="13" t="s">
        <v>914</v>
      </c>
      <c r="R140" s="14" t="str">
        <f>HYPERLINK("https://drive.google.com/file/d/1ENHO73Ag16beKYWVIFZ7RBZyvku2I368/view?usp=drivesdk","OFFER LETTER")</f>
        <v>OFFER LETTER</v>
      </c>
      <c r="S140" s="11" t="s">
        <v>915</v>
      </c>
    </row>
    <row r="141" ht="22.5" customHeight="1">
      <c r="A141" s="10">
        <v>46256.66489270833</v>
      </c>
      <c r="B141" s="11" t="s">
        <v>916</v>
      </c>
      <c r="C141" s="11" t="s">
        <v>173</v>
      </c>
      <c r="D141" s="11" t="s">
        <v>238</v>
      </c>
      <c r="E141" s="12">
        <v>46143.0</v>
      </c>
      <c r="F141" s="12">
        <v>46235.0</v>
      </c>
      <c r="G141" s="11" t="s">
        <v>917</v>
      </c>
      <c r="H141" s="11">
        <v>8.178044205E9</v>
      </c>
      <c r="I141" s="11" t="s">
        <v>82</v>
      </c>
      <c r="J141" s="11" t="s">
        <v>71</v>
      </c>
      <c r="K141" s="11" t="s">
        <v>72</v>
      </c>
      <c r="L141" s="11" t="s">
        <v>247</v>
      </c>
      <c r="M141" s="11" t="s">
        <v>918</v>
      </c>
      <c r="N141" s="11" t="s">
        <v>226</v>
      </c>
      <c r="O141" s="11" t="s">
        <v>71</v>
      </c>
      <c r="P141" s="11" t="s">
        <v>919</v>
      </c>
      <c r="Q141" s="13" t="s">
        <v>920</v>
      </c>
      <c r="R141" s="14" t="str">
        <f>HYPERLINK("https://drive.google.com/file/d/1F68j_qsjaVELRLzhmVorEafa7ZzmKSrR/view?usp=drivesdk","OFFER LETTER")</f>
        <v>OFFER LETTER</v>
      </c>
      <c r="S141" s="11" t="s">
        <v>921</v>
      </c>
    </row>
    <row r="142" ht="22.5" customHeight="1">
      <c r="A142" s="10">
        <v>46256.66500769676</v>
      </c>
      <c r="B142" s="11" t="s">
        <v>922</v>
      </c>
      <c r="C142" s="11" t="s">
        <v>195</v>
      </c>
      <c r="D142" s="11" t="s">
        <v>68</v>
      </c>
      <c r="E142" s="12">
        <v>46174.0</v>
      </c>
      <c r="F142" s="12">
        <v>46203.0</v>
      </c>
      <c r="G142" s="11" t="s">
        <v>923</v>
      </c>
      <c r="H142" s="17" t="s">
        <v>924</v>
      </c>
      <c r="I142" s="11" t="s">
        <v>82</v>
      </c>
      <c r="J142" s="11" t="s">
        <v>71</v>
      </c>
      <c r="K142" s="11" t="s">
        <v>72</v>
      </c>
      <c r="L142" s="11" t="s">
        <v>84</v>
      </c>
      <c r="M142" s="11" t="s">
        <v>925</v>
      </c>
      <c r="N142" s="11" t="s">
        <v>86</v>
      </c>
      <c r="O142" s="11" t="s">
        <v>71</v>
      </c>
      <c r="P142" s="11" t="s">
        <v>926</v>
      </c>
      <c r="Q142" s="13" t="s">
        <v>927</v>
      </c>
      <c r="R142" s="14" t="str">
        <f>HYPERLINK("https://drive.google.com/file/d/1eqOKgLezPMqP1d9FNTPeiZedShodQ6BK/view?usp=drivesdk","OFFER LETTER")</f>
        <v>OFFER LETTER</v>
      </c>
      <c r="S142" s="11" t="s">
        <v>928</v>
      </c>
    </row>
    <row r="143" ht="22.5" customHeight="1">
      <c r="A143" s="10">
        <v>46256.66634351852</v>
      </c>
      <c r="B143" s="11" t="s">
        <v>916</v>
      </c>
      <c r="C143" s="11" t="s">
        <v>173</v>
      </c>
      <c r="D143" s="11" t="s">
        <v>929</v>
      </c>
      <c r="E143" s="12">
        <v>46082.0</v>
      </c>
      <c r="F143" s="12">
        <v>46235.0</v>
      </c>
      <c r="G143" s="11" t="s">
        <v>917</v>
      </c>
      <c r="H143" s="11">
        <v>8.178044205E9</v>
      </c>
      <c r="I143" s="11" t="s">
        <v>82</v>
      </c>
      <c r="J143" s="11" t="s">
        <v>71</v>
      </c>
      <c r="K143" s="11" t="s">
        <v>72</v>
      </c>
      <c r="L143" s="11" t="s">
        <v>247</v>
      </c>
      <c r="M143" s="11" t="s">
        <v>918</v>
      </c>
      <c r="N143" s="11" t="s">
        <v>75</v>
      </c>
      <c r="O143" s="11" t="s">
        <v>71</v>
      </c>
      <c r="P143" s="11" t="s">
        <v>930</v>
      </c>
      <c r="Q143" s="13" t="s">
        <v>931</v>
      </c>
      <c r="R143" s="14" t="str">
        <f>HYPERLINK("https://drive.google.com/file/d/1jeB0F6GwjCsiFOMEmeU7T_ZxRM_Pz5K_/view?usp=drivesdk","OFFER LETTER")</f>
        <v>OFFER LETTER</v>
      </c>
      <c r="S143" s="11" t="s">
        <v>932</v>
      </c>
    </row>
    <row r="144" ht="22.5" customHeight="1">
      <c r="A144" s="10">
        <v>46256.67763958333</v>
      </c>
      <c r="B144" s="11" t="s">
        <v>933</v>
      </c>
      <c r="C144" s="11" t="s">
        <v>237</v>
      </c>
      <c r="D144" s="11" t="s">
        <v>68</v>
      </c>
      <c r="E144" s="12">
        <v>46256.0</v>
      </c>
      <c r="F144" s="12">
        <v>46287.0</v>
      </c>
      <c r="G144" s="11" t="s">
        <v>934</v>
      </c>
      <c r="H144" s="11">
        <v>8.95321134E9</v>
      </c>
      <c r="I144" s="11" t="s">
        <v>82</v>
      </c>
      <c r="J144" s="11" t="s">
        <v>71</v>
      </c>
      <c r="K144" s="11" t="s">
        <v>72</v>
      </c>
      <c r="L144" s="11" t="s">
        <v>73</v>
      </c>
      <c r="M144" s="11" t="s">
        <v>935</v>
      </c>
      <c r="N144" s="11" t="s">
        <v>936</v>
      </c>
      <c r="O144" s="11" t="s">
        <v>71</v>
      </c>
      <c r="P144" s="11" t="s">
        <v>937</v>
      </c>
      <c r="Q144" s="13" t="s">
        <v>938</v>
      </c>
      <c r="R144" s="14" t="str">
        <f>HYPERLINK("https://drive.google.com/file/d/18_M7nbR-MCvLbIbT8oOgRCAYsJi-VpeW/view?usp=drivesdk","OFFER LETTER")</f>
        <v>OFFER LETTER</v>
      </c>
      <c r="S144" s="11" t="s">
        <v>939</v>
      </c>
    </row>
    <row r="145" ht="22.5" customHeight="1">
      <c r="A145" s="10">
        <v>46256.678392013884</v>
      </c>
      <c r="B145" s="11" t="s">
        <v>940</v>
      </c>
      <c r="C145" s="11" t="s">
        <v>195</v>
      </c>
      <c r="D145" s="11" t="s">
        <v>68</v>
      </c>
      <c r="E145" s="12">
        <v>46213.0</v>
      </c>
      <c r="F145" s="12">
        <v>46244.0</v>
      </c>
      <c r="G145" s="11" t="s">
        <v>941</v>
      </c>
      <c r="H145" s="11">
        <v>7.012051141E9</v>
      </c>
      <c r="I145" s="11" t="s">
        <v>82</v>
      </c>
      <c r="J145" s="11" t="s">
        <v>83</v>
      </c>
      <c r="K145" s="11" t="s">
        <v>110</v>
      </c>
      <c r="L145" s="11" t="s">
        <v>73</v>
      </c>
      <c r="M145" s="11" t="s">
        <v>942</v>
      </c>
      <c r="N145" s="11" t="s">
        <v>86</v>
      </c>
      <c r="O145" s="11" t="s">
        <v>71</v>
      </c>
      <c r="P145" s="11" t="s">
        <v>943</v>
      </c>
      <c r="Q145" s="13" t="s">
        <v>944</v>
      </c>
      <c r="R145" s="14" t="str">
        <f>HYPERLINK("https://drive.google.com/file/d/1H5a4Q4zBthB1P6c7S5gD46hEQpkZ0eIG/view?usp=drivesdk","OFFER LETTER")</f>
        <v>OFFER LETTER</v>
      </c>
      <c r="S145" s="11" t="s">
        <v>945</v>
      </c>
    </row>
    <row r="146" ht="22.5" customHeight="1">
      <c r="A146" s="10">
        <v>46256.68367561343</v>
      </c>
      <c r="B146" s="11" t="s">
        <v>946</v>
      </c>
      <c r="C146" s="11" t="s">
        <v>354</v>
      </c>
      <c r="D146" s="11" t="s">
        <v>108</v>
      </c>
      <c r="E146" s="12">
        <v>46256.0</v>
      </c>
      <c r="F146" s="12">
        <v>46317.0</v>
      </c>
      <c r="G146" s="11" t="s">
        <v>947</v>
      </c>
      <c r="H146" s="11">
        <v>6.202360829E9</v>
      </c>
      <c r="I146" s="11" t="s">
        <v>82</v>
      </c>
      <c r="J146" s="11" t="s">
        <v>71</v>
      </c>
      <c r="K146" s="11" t="s">
        <v>72</v>
      </c>
      <c r="L146" s="11" t="s">
        <v>84</v>
      </c>
      <c r="M146" s="11" t="s">
        <v>197</v>
      </c>
      <c r="N146" s="11" t="s">
        <v>86</v>
      </c>
      <c r="O146" s="11" t="s">
        <v>71</v>
      </c>
      <c r="P146" s="11" t="s">
        <v>948</v>
      </c>
      <c r="Q146" s="13" t="s">
        <v>949</v>
      </c>
      <c r="R146" s="14" t="str">
        <f>HYPERLINK("https://drive.google.com/file/d/1-q2BrojqHRwMiIjTtO1TaGZ6wiDaC5uI/view?usp=drivesdk","OFFER LETTER")</f>
        <v>OFFER LETTER</v>
      </c>
      <c r="S146" s="11" t="s">
        <v>950</v>
      </c>
    </row>
    <row r="147" ht="22.5" customHeight="1">
      <c r="A147" s="10">
        <v>46256.684108483794</v>
      </c>
      <c r="B147" s="11" t="s">
        <v>951</v>
      </c>
      <c r="C147" s="11" t="s">
        <v>259</v>
      </c>
      <c r="D147" s="11" t="s">
        <v>108</v>
      </c>
      <c r="E147" s="12">
        <v>46254.0</v>
      </c>
      <c r="F147" s="12">
        <v>46315.0</v>
      </c>
      <c r="G147" s="11" t="s">
        <v>952</v>
      </c>
      <c r="H147" s="11">
        <v>9.860345619E9</v>
      </c>
      <c r="I147" s="11" t="s">
        <v>82</v>
      </c>
      <c r="J147" s="11" t="s">
        <v>71</v>
      </c>
      <c r="K147" s="11" t="s">
        <v>110</v>
      </c>
      <c r="L147" s="11" t="s">
        <v>73</v>
      </c>
      <c r="M147" s="11" t="s">
        <v>953</v>
      </c>
      <c r="N147" s="11" t="s">
        <v>75</v>
      </c>
      <c r="O147" s="11" t="s">
        <v>130</v>
      </c>
      <c r="P147" s="11" t="s">
        <v>954</v>
      </c>
      <c r="Q147" s="13" t="s">
        <v>955</v>
      </c>
      <c r="R147" s="14" t="str">
        <f>HYPERLINK("https://drive.google.com/file/d/1YJqdJSJk1YTlD5eiKz_k6pdmjtYr1gu2/view?usp=drivesdk","OFFER LETTER")</f>
        <v>OFFER LETTER</v>
      </c>
      <c r="S147" s="11" t="s">
        <v>956</v>
      </c>
    </row>
    <row r="148" ht="22.5" customHeight="1">
      <c r="A148" s="10">
        <v>46256.68451090278</v>
      </c>
      <c r="B148" s="11" t="s">
        <v>957</v>
      </c>
      <c r="C148" s="11" t="s">
        <v>107</v>
      </c>
      <c r="D148" s="11" t="s">
        <v>238</v>
      </c>
      <c r="E148" s="12">
        <v>46256.0</v>
      </c>
      <c r="F148" s="12">
        <v>46348.0</v>
      </c>
      <c r="G148" s="11" t="s">
        <v>958</v>
      </c>
      <c r="H148" s="11">
        <v>9.931755084E9</v>
      </c>
      <c r="I148" s="11" t="s">
        <v>82</v>
      </c>
      <c r="J148" s="11" t="s">
        <v>71</v>
      </c>
      <c r="K148" s="11" t="s">
        <v>72</v>
      </c>
      <c r="L148" s="11" t="s">
        <v>131</v>
      </c>
      <c r="M148" s="11" t="s">
        <v>959</v>
      </c>
      <c r="N148" s="11" t="s">
        <v>75</v>
      </c>
      <c r="O148" s="11" t="s">
        <v>71</v>
      </c>
      <c r="P148" s="11" t="s">
        <v>960</v>
      </c>
      <c r="Q148" s="13" t="s">
        <v>961</v>
      </c>
      <c r="R148" s="14" t="str">
        <f>HYPERLINK("https://drive.google.com/file/d/1TuhP-SFliLXbRRl-2ns3hXPshkoCc8-x/view?usp=drivesdk","OFFER LETTER")</f>
        <v>OFFER LETTER</v>
      </c>
      <c r="S148" s="11" t="s">
        <v>962</v>
      </c>
    </row>
    <row r="149" ht="22.5" customHeight="1">
      <c r="A149" s="10">
        <v>46256.70511589121</v>
      </c>
      <c r="B149" s="11" t="s">
        <v>963</v>
      </c>
      <c r="C149" s="11" t="s">
        <v>107</v>
      </c>
      <c r="D149" s="11" t="s">
        <v>238</v>
      </c>
      <c r="E149" s="12">
        <v>46259.0</v>
      </c>
      <c r="F149" s="12">
        <v>46351.0</v>
      </c>
      <c r="G149" s="11" t="s">
        <v>964</v>
      </c>
      <c r="H149" s="11">
        <v>7.050715706E9</v>
      </c>
      <c r="I149" s="11" t="s">
        <v>82</v>
      </c>
      <c r="J149" s="11" t="s">
        <v>71</v>
      </c>
      <c r="K149" s="11" t="s">
        <v>72</v>
      </c>
      <c r="L149" s="11" t="s">
        <v>131</v>
      </c>
      <c r="M149" s="11" t="s">
        <v>965</v>
      </c>
      <c r="N149" s="11" t="s">
        <v>226</v>
      </c>
      <c r="O149" s="11" t="s">
        <v>71</v>
      </c>
      <c r="P149" s="11" t="s">
        <v>966</v>
      </c>
      <c r="Q149" s="13" t="s">
        <v>967</v>
      </c>
      <c r="R149" s="14" t="str">
        <f>HYPERLINK("https://drive.google.com/file/d/1PNRP-X_YMObY_Z4gFeW_rNPqcJfm5Ble/view?usp=drivesdk","OFFER LETTER")</f>
        <v>OFFER LETTER</v>
      </c>
      <c r="S149" s="11" t="s">
        <v>968</v>
      </c>
    </row>
    <row r="150" ht="22.5" customHeight="1">
      <c r="A150" s="10">
        <v>46256.70568763889</v>
      </c>
      <c r="B150" s="11" t="s">
        <v>969</v>
      </c>
      <c r="C150" s="11" t="s">
        <v>259</v>
      </c>
      <c r="D150" s="11" t="s">
        <v>68</v>
      </c>
      <c r="E150" s="12">
        <v>46256.0</v>
      </c>
      <c r="F150" s="12">
        <v>46287.0</v>
      </c>
      <c r="G150" s="11" t="s">
        <v>970</v>
      </c>
      <c r="H150" s="11">
        <v>7.294867452E9</v>
      </c>
      <c r="I150" s="11" t="s">
        <v>82</v>
      </c>
      <c r="J150" s="11" t="s">
        <v>71</v>
      </c>
      <c r="K150" s="11" t="s">
        <v>72</v>
      </c>
      <c r="L150" s="11" t="s">
        <v>84</v>
      </c>
      <c r="M150" s="11" t="s">
        <v>971</v>
      </c>
      <c r="N150" s="11" t="s">
        <v>241</v>
      </c>
      <c r="O150" s="11" t="s">
        <v>71</v>
      </c>
      <c r="P150" s="11" t="s">
        <v>972</v>
      </c>
      <c r="Q150" s="13" t="s">
        <v>973</v>
      </c>
      <c r="R150" s="14" t="str">
        <f>HYPERLINK("https://drive.google.com/file/d/1LrXofQK-v7IWbkbF4z5UTNxbyike4nWE/view?usp=drivesdk","OFFER LETTER")</f>
        <v>OFFER LETTER</v>
      </c>
      <c r="S150" s="11" t="s">
        <v>974</v>
      </c>
    </row>
    <row r="151" ht="22.5" customHeight="1">
      <c r="A151" s="10">
        <v>46256.71667129629</v>
      </c>
      <c r="B151" s="11" t="s">
        <v>975</v>
      </c>
      <c r="C151" s="11" t="s">
        <v>259</v>
      </c>
      <c r="D151" s="11" t="s">
        <v>108</v>
      </c>
      <c r="E151" s="12">
        <v>46256.0</v>
      </c>
      <c r="F151" s="12">
        <v>46317.0</v>
      </c>
      <c r="G151" s="11" t="s">
        <v>976</v>
      </c>
      <c r="H151" s="11">
        <v>9.937007149E9</v>
      </c>
      <c r="I151" s="11" t="s">
        <v>70</v>
      </c>
      <c r="J151" s="11" t="s">
        <v>71</v>
      </c>
      <c r="K151" s="11" t="s">
        <v>110</v>
      </c>
      <c r="L151" s="11" t="s">
        <v>84</v>
      </c>
      <c r="M151" s="11" t="s">
        <v>481</v>
      </c>
      <c r="N151" s="11" t="s">
        <v>655</v>
      </c>
      <c r="O151" s="11" t="s">
        <v>71</v>
      </c>
      <c r="P151" s="11" t="s">
        <v>977</v>
      </c>
      <c r="Q151" s="13" t="s">
        <v>978</v>
      </c>
      <c r="R151" s="14" t="str">
        <f>HYPERLINK("https://drive.google.com/file/d/1Du3zNWsUGYXXpDN4iJNoLGfYBhz4oC68/view?usp=drivesdk","OFFER LETTER")</f>
        <v>OFFER LETTER</v>
      </c>
      <c r="S151" s="11" t="s">
        <v>979</v>
      </c>
    </row>
    <row r="152" ht="22.5" customHeight="1">
      <c r="A152" s="10">
        <v>46256.73280997685</v>
      </c>
      <c r="B152" s="11" t="s">
        <v>980</v>
      </c>
      <c r="C152" s="11" t="s">
        <v>91</v>
      </c>
      <c r="D152" s="11" t="s">
        <v>929</v>
      </c>
      <c r="E152" s="12">
        <v>46254.0</v>
      </c>
      <c r="F152" s="12">
        <v>46438.0</v>
      </c>
      <c r="G152" s="11" t="s">
        <v>981</v>
      </c>
      <c r="H152" s="11">
        <v>9.508747932E9</v>
      </c>
      <c r="I152" s="11" t="s">
        <v>82</v>
      </c>
      <c r="J152" s="11" t="s">
        <v>71</v>
      </c>
      <c r="K152" s="11" t="s">
        <v>72</v>
      </c>
      <c r="L152" s="11" t="s">
        <v>131</v>
      </c>
      <c r="M152" s="11" t="s">
        <v>982</v>
      </c>
      <c r="N152" s="11" t="s">
        <v>86</v>
      </c>
      <c r="O152" s="11" t="s">
        <v>71</v>
      </c>
      <c r="P152" s="11" t="s">
        <v>983</v>
      </c>
      <c r="Q152" s="13" t="s">
        <v>984</v>
      </c>
      <c r="R152" s="14" t="str">
        <f>HYPERLINK("https://drive.google.com/file/d/19rf6G7JcwyTJpmjus3B5OldSX8u2COML/view?usp=drivesdk","OFFER LETTER")</f>
        <v>OFFER LETTER</v>
      </c>
      <c r="S152" s="11" t="s">
        <v>985</v>
      </c>
    </row>
    <row r="153" ht="22.5" customHeight="1">
      <c r="A153" s="10">
        <v>46256.77703280092</v>
      </c>
      <c r="B153" s="11" t="s">
        <v>986</v>
      </c>
      <c r="C153" s="11" t="s">
        <v>80</v>
      </c>
      <c r="D153" s="11" t="s">
        <v>108</v>
      </c>
      <c r="E153" s="12">
        <v>46235.0</v>
      </c>
      <c r="F153" s="12">
        <v>46297.0</v>
      </c>
      <c r="G153" s="11" t="s">
        <v>987</v>
      </c>
      <c r="H153" s="11">
        <v>6.300856587E9</v>
      </c>
      <c r="I153" s="11" t="s">
        <v>82</v>
      </c>
      <c r="J153" s="11" t="s">
        <v>71</v>
      </c>
      <c r="K153" s="11" t="s">
        <v>72</v>
      </c>
      <c r="L153" s="11" t="s">
        <v>131</v>
      </c>
      <c r="M153" s="11" t="s">
        <v>988</v>
      </c>
      <c r="N153" s="11" t="s">
        <v>155</v>
      </c>
      <c r="O153" s="11" t="s">
        <v>71</v>
      </c>
      <c r="P153" s="11" t="s">
        <v>989</v>
      </c>
      <c r="Q153" s="13" t="s">
        <v>990</v>
      </c>
      <c r="R153" s="14" t="str">
        <f>HYPERLINK("https://drive.google.com/file/d/1mjZjq7isK56pR-iPs0nBF1Ng57c7yPTt/view?usp=drivesdk","OFFER LETTER")</f>
        <v>OFFER LETTER</v>
      </c>
      <c r="S153" s="11" t="s">
        <v>991</v>
      </c>
    </row>
    <row r="154" ht="22.5" customHeight="1">
      <c r="A154" s="10">
        <v>46256.77833959491</v>
      </c>
      <c r="B154" s="11" t="s">
        <v>992</v>
      </c>
      <c r="C154" s="11" t="s">
        <v>195</v>
      </c>
      <c r="D154" s="11" t="s">
        <v>68</v>
      </c>
      <c r="E154" s="12">
        <v>46254.0</v>
      </c>
      <c r="F154" s="12">
        <v>46285.0</v>
      </c>
      <c r="G154" s="11" t="s">
        <v>993</v>
      </c>
      <c r="H154" s="11">
        <v>9.591204201E9</v>
      </c>
      <c r="I154" s="11" t="s">
        <v>70</v>
      </c>
      <c r="J154" s="11" t="s">
        <v>71</v>
      </c>
      <c r="K154" s="11" t="s">
        <v>72</v>
      </c>
      <c r="L154" s="11" t="s">
        <v>131</v>
      </c>
      <c r="M154" s="11" t="s">
        <v>994</v>
      </c>
      <c r="N154" s="11" t="s">
        <v>241</v>
      </c>
      <c r="O154" s="11" t="s">
        <v>71</v>
      </c>
      <c r="P154" s="11" t="s">
        <v>995</v>
      </c>
      <c r="Q154" s="13" t="s">
        <v>996</v>
      </c>
      <c r="R154" s="14" t="str">
        <f>HYPERLINK("https://drive.google.com/file/d/1eMUgcdCx2z2NO2E7mVlQOWohOhTT9-lE/view?usp=drivesdk","OFFER LETTER")</f>
        <v>OFFER LETTER</v>
      </c>
      <c r="S154" s="11" t="s">
        <v>997</v>
      </c>
    </row>
    <row r="155" ht="22.5" customHeight="1">
      <c r="A155" s="10">
        <v>46256.783629363425</v>
      </c>
      <c r="B155" s="11" t="s">
        <v>998</v>
      </c>
      <c r="C155" s="11" t="s">
        <v>107</v>
      </c>
      <c r="D155" s="11" t="s">
        <v>108</v>
      </c>
      <c r="E155" s="12">
        <v>46258.0</v>
      </c>
      <c r="F155" s="12">
        <v>46317.0</v>
      </c>
      <c r="G155" s="11" t="s">
        <v>999</v>
      </c>
      <c r="H155" s="11">
        <v>6.361234489E9</v>
      </c>
      <c r="I155" s="11" t="s">
        <v>70</v>
      </c>
      <c r="J155" s="11" t="s">
        <v>71</v>
      </c>
      <c r="K155" s="11" t="s">
        <v>356</v>
      </c>
      <c r="L155" s="11" t="s">
        <v>84</v>
      </c>
      <c r="M155" s="11" t="s">
        <v>419</v>
      </c>
      <c r="N155" s="11" t="s">
        <v>86</v>
      </c>
      <c r="O155" s="11" t="s">
        <v>71</v>
      </c>
      <c r="P155" s="11" t="s">
        <v>1000</v>
      </c>
      <c r="Q155" s="13" t="s">
        <v>1001</v>
      </c>
      <c r="R155" s="14" t="str">
        <f>HYPERLINK("https://drive.google.com/file/d/12kgIy0U_n6VLUpMtzeXyMsOgQ-LXrMkH/view?usp=drivesdk","OFFER LETTER")</f>
        <v>OFFER LETTER</v>
      </c>
      <c r="S155" s="11" t="s">
        <v>1002</v>
      </c>
    </row>
    <row r="156" ht="22.5" customHeight="1">
      <c r="A156" s="10">
        <v>46256.80626065972</v>
      </c>
      <c r="B156" s="11" t="s">
        <v>1003</v>
      </c>
      <c r="C156" s="11" t="s">
        <v>107</v>
      </c>
      <c r="D156" s="11" t="s">
        <v>68</v>
      </c>
      <c r="E156" s="12">
        <v>46225.0</v>
      </c>
      <c r="F156" s="12">
        <v>46256.0</v>
      </c>
      <c r="G156" s="11" t="s">
        <v>1004</v>
      </c>
      <c r="H156" s="11">
        <v>9.81357037E9</v>
      </c>
      <c r="I156" s="11" t="s">
        <v>82</v>
      </c>
      <c r="J156" s="11" t="s">
        <v>71</v>
      </c>
      <c r="K156" s="11" t="s">
        <v>167</v>
      </c>
      <c r="L156" s="11" t="s">
        <v>84</v>
      </c>
      <c r="M156" s="11" t="s">
        <v>1005</v>
      </c>
      <c r="N156" s="11" t="s">
        <v>219</v>
      </c>
      <c r="O156" s="11" t="s">
        <v>71</v>
      </c>
      <c r="P156" s="11" t="s">
        <v>1006</v>
      </c>
      <c r="Q156" s="13" t="s">
        <v>1007</v>
      </c>
      <c r="R156" s="14" t="str">
        <f>HYPERLINK("https://drive.google.com/file/d/1R4RrvzZEGnNGtqb3z8p2tOcp1vfYrUew/view?usp=drivesdk","OFFER LETTER")</f>
        <v>OFFER LETTER</v>
      </c>
      <c r="S156" s="11" t="s">
        <v>1008</v>
      </c>
    </row>
    <row r="157" ht="22.5" customHeight="1">
      <c r="A157" s="10">
        <v>46256.8140905787</v>
      </c>
      <c r="B157" s="11" t="s">
        <v>1009</v>
      </c>
      <c r="C157" s="11" t="s">
        <v>195</v>
      </c>
      <c r="D157" s="11" t="s">
        <v>68</v>
      </c>
      <c r="E157" s="12">
        <v>46256.0</v>
      </c>
      <c r="F157" s="12">
        <v>46287.0</v>
      </c>
      <c r="G157" s="11" t="s">
        <v>1010</v>
      </c>
      <c r="H157" s="11">
        <v>9.359250908E9</v>
      </c>
      <c r="I157" s="11" t="s">
        <v>82</v>
      </c>
      <c r="J157" s="11" t="s">
        <v>71</v>
      </c>
      <c r="K157" s="11" t="s">
        <v>72</v>
      </c>
      <c r="L157" s="11" t="s">
        <v>131</v>
      </c>
      <c r="M157" s="11" t="s">
        <v>1011</v>
      </c>
      <c r="N157" s="11" t="s">
        <v>75</v>
      </c>
      <c r="O157" s="11" t="s">
        <v>71</v>
      </c>
      <c r="P157" s="11" t="s">
        <v>1012</v>
      </c>
      <c r="Q157" s="13" t="s">
        <v>1013</v>
      </c>
      <c r="R157" s="14" t="str">
        <f>HYPERLINK("https://drive.google.com/file/d/1OUFKFDjv1uuYO7Riknga4OUJiVD_6uix/view?usp=drivesdk","OFFER LETTER")</f>
        <v>OFFER LETTER</v>
      </c>
      <c r="S157" s="11" t="s">
        <v>1014</v>
      </c>
    </row>
    <row r="158" ht="22.5" customHeight="1">
      <c r="A158" s="10">
        <v>46256.81736898149</v>
      </c>
      <c r="B158" s="11" t="s">
        <v>1015</v>
      </c>
      <c r="C158" s="11" t="s">
        <v>173</v>
      </c>
      <c r="D158" s="11" t="s">
        <v>68</v>
      </c>
      <c r="E158" s="12">
        <v>46224.0</v>
      </c>
      <c r="F158" s="12">
        <v>46256.0</v>
      </c>
      <c r="G158" s="11" t="s">
        <v>1016</v>
      </c>
      <c r="H158" s="11">
        <v>8.159017987E9</v>
      </c>
      <c r="I158" s="11" t="s">
        <v>82</v>
      </c>
      <c r="J158" s="11" t="s">
        <v>71</v>
      </c>
      <c r="K158" s="11" t="s">
        <v>72</v>
      </c>
      <c r="L158" s="11" t="s">
        <v>131</v>
      </c>
      <c r="M158" s="11" t="s">
        <v>1017</v>
      </c>
      <c r="N158" s="11" t="s">
        <v>75</v>
      </c>
      <c r="O158" s="11" t="s">
        <v>71</v>
      </c>
      <c r="P158" s="11" t="s">
        <v>1018</v>
      </c>
      <c r="Q158" s="13" t="s">
        <v>1019</v>
      </c>
      <c r="R158" s="14" t="str">
        <f>HYPERLINK("https://drive.google.com/file/d/1jTayxkd46t865Tr32OESbG5RecjJ5hi2/view?usp=drivesdk","OFFER LETTER")</f>
        <v>OFFER LETTER</v>
      </c>
      <c r="S158" s="11" t="s">
        <v>1020</v>
      </c>
    </row>
    <row r="159" ht="22.5" customHeight="1">
      <c r="A159" s="10">
        <v>46256.818310532406</v>
      </c>
      <c r="B159" s="11" t="s">
        <v>1021</v>
      </c>
      <c r="C159" s="11" t="s">
        <v>67</v>
      </c>
      <c r="D159" s="11" t="s">
        <v>68</v>
      </c>
      <c r="E159" s="12">
        <v>46256.0</v>
      </c>
      <c r="F159" s="12">
        <v>46287.0</v>
      </c>
      <c r="G159" s="11" t="s">
        <v>1022</v>
      </c>
      <c r="H159" s="11">
        <v>8.707747086E9</v>
      </c>
      <c r="I159" s="11" t="s">
        <v>70</v>
      </c>
      <c r="J159" s="11" t="s">
        <v>83</v>
      </c>
      <c r="K159" s="11" t="s">
        <v>72</v>
      </c>
      <c r="L159" s="11" t="s">
        <v>131</v>
      </c>
      <c r="M159" s="11" t="s">
        <v>560</v>
      </c>
      <c r="N159" s="11" t="s">
        <v>75</v>
      </c>
      <c r="O159" s="11" t="s">
        <v>71</v>
      </c>
      <c r="P159" s="11" t="s">
        <v>1023</v>
      </c>
      <c r="Q159" s="13" t="s">
        <v>1024</v>
      </c>
      <c r="R159" s="14" t="str">
        <f>HYPERLINK("https://drive.google.com/file/d/1EPvVaZQpVSQisTIivBOjiYauKCvIm82z/view?usp=drivesdk","OFFER LETTER")</f>
        <v>OFFER LETTER</v>
      </c>
      <c r="S159" s="11" t="s">
        <v>1025</v>
      </c>
    </row>
    <row r="160" ht="22.5" customHeight="1">
      <c r="A160" s="10">
        <v>46256.823869189815</v>
      </c>
      <c r="B160" s="11" t="s">
        <v>1026</v>
      </c>
      <c r="C160" s="11" t="s">
        <v>173</v>
      </c>
      <c r="D160" s="11" t="s">
        <v>68</v>
      </c>
      <c r="E160" s="12">
        <v>46235.0</v>
      </c>
      <c r="F160" s="12">
        <v>46263.0</v>
      </c>
      <c r="G160" s="11" t="s">
        <v>1027</v>
      </c>
      <c r="H160" s="11">
        <v>8.180918045E9</v>
      </c>
      <c r="I160" s="11" t="s">
        <v>82</v>
      </c>
      <c r="J160" s="11" t="s">
        <v>71</v>
      </c>
      <c r="K160" s="11" t="s">
        <v>1028</v>
      </c>
      <c r="L160" s="11" t="s">
        <v>357</v>
      </c>
      <c r="M160" s="11" t="s">
        <v>1029</v>
      </c>
      <c r="N160" s="11" t="s">
        <v>241</v>
      </c>
      <c r="O160" s="11" t="s">
        <v>71</v>
      </c>
      <c r="P160" s="11" t="s">
        <v>1030</v>
      </c>
      <c r="Q160" s="13" t="s">
        <v>1031</v>
      </c>
      <c r="R160" s="14" t="str">
        <f>HYPERLINK("https://drive.google.com/file/d/1rx9PG3IHNAazqZk8rgJCPMW2VzoNg694/view?usp=drivesdk","OFFER LETTER")</f>
        <v>OFFER LETTER</v>
      </c>
      <c r="S160" s="11" t="s">
        <v>1032</v>
      </c>
    </row>
    <row r="161" ht="22.5" customHeight="1">
      <c r="A161" s="10">
        <v>46256.82553011574</v>
      </c>
      <c r="B161" s="11" t="s">
        <v>1033</v>
      </c>
      <c r="C161" s="11" t="s">
        <v>173</v>
      </c>
      <c r="D161" s="11" t="s">
        <v>68</v>
      </c>
      <c r="E161" s="12">
        <v>46256.0</v>
      </c>
      <c r="F161" s="12">
        <v>46287.0</v>
      </c>
      <c r="G161" s="11" t="s">
        <v>1034</v>
      </c>
      <c r="H161" s="11">
        <v>7.984966251E9</v>
      </c>
      <c r="I161" s="11" t="s">
        <v>82</v>
      </c>
      <c r="J161" s="11" t="s">
        <v>71</v>
      </c>
      <c r="K161" s="11" t="s">
        <v>110</v>
      </c>
      <c r="L161" s="11" t="s">
        <v>73</v>
      </c>
      <c r="M161" s="11" t="s">
        <v>1035</v>
      </c>
      <c r="N161" s="11" t="s">
        <v>75</v>
      </c>
      <c r="O161" s="11" t="s">
        <v>71</v>
      </c>
      <c r="P161" s="11" t="s">
        <v>1036</v>
      </c>
      <c r="Q161" s="13" t="s">
        <v>1037</v>
      </c>
      <c r="R161" s="14" t="str">
        <f>HYPERLINK("https://drive.google.com/file/d/1i4z5qAgN_gycpy3ioCJEHCPQj0jhUB6P/view?usp=drivesdk","OFFER LETTER")</f>
        <v>OFFER LETTER</v>
      </c>
      <c r="S161" s="11" t="s">
        <v>1038</v>
      </c>
    </row>
    <row r="162" ht="22.5" customHeight="1">
      <c r="A162" s="10">
        <v>46256.82972795139</v>
      </c>
      <c r="B162" s="11" t="s">
        <v>1039</v>
      </c>
      <c r="C162" s="11" t="s">
        <v>128</v>
      </c>
      <c r="D162" s="11" t="s">
        <v>68</v>
      </c>
      <c r="E162" s="12">
        <v>46258.0</v>
      </c>
      <c r="F162" s="12">
        <v>46289.0</v>
      </c>
      <c r="G162" s="11" t="s">
        <v>1040</v>
      </c>
      <c r="H162" s="11" t="s">
        <v>1041</v>
      </c>
      <c r="I162" s="11" t="s">
        <v>82</v>
      </c>
      <c r="J162" s="11" t="s">
        <v>71</v>
      </c>
      <c r="K162" s="13" t="s">
        <v>443</v>
      </c>
      <c r="L162" s="11" t="s">
        <v>73</v>
      </c>
      <c r="M162" s="11" t="s">
        <v>1042</v>
      </c>
      <c r="N162" s="11" t="s">
        <v>226</v>
      </c>
      <c r="O162" s="11" t="s">
        <v>71</v>
      </c>
      <c r="P162" s="11" t="s">
        <v>1043</v>
      </c>
      <c r="Q162" s="13" t="s">
        <v>1044</v>
      </c>
      <c r="R162" s="14" t="str">
        <f>HYPERLINK("https://drive.google.com/file/d/1WLKB-WHQOMlv77R5Z3VZWgkYuFr1KCbW/view?usp=drivesdk","OFFER LETTER")</f>
        <v>OFFER LETTER</v>
      </c>
      <c r="S162" s="11" t="s">
        <v>1045</v>
      </c>
    </row>
    <row r="163" ht="22.5" customHeight="1">
      <c r="A163" s="10">
        <v>46256.83251532407</v>
      </c>
      <c r="B163" s="11" t="s">
        <v>1046</v>
      </c>
      <c r="C163" s="11" t="s">
        <v>91</v>
      </c>
      <c r="D163" s="11" t="s">
        <v>929</v>
      </c>
      <c r="E163" s="12">
        <v>46252.0</v>
      </c>
      <c r="F163" s="12">
        <v>46436.0</v>
      </c>
      <c r="G163" s="11" t="s">
        <v>1047</v>
      </c>
      <c r="H163" s="11">
        <v>6.201049145E9</v>
      </c>
      <c r="I163" s="11" t="s">
        <v>82</v>
      </c>
      <c r="J163" s="11" t="s">
        <v>71</v>
      </c>
      <c r="K163" s="11" t="s">
        <v>72</v>
      </c>
      <c r="L163" s="11" t="s">
        <v>131</v>
      </c>
      <c r="M163" s="11" t="s">
        <v>1048</v>
      </c>
      <c r="N163" s="11" t="s">
        <v>155</v>
      </c>
      <c r="O163" s="11" t="s">
        <v>71</v>
      </c>
      <c r="P163" s="11" t="s">
        <v>1049</v>
      </c>
      <c r="Q163" s="13" t="s">
        <v>1050</v>
      </c>
      <c r="R163" s="14" t="str">
        <f>HYPERLINK("https://drive.google.com/file/d/1mFoPhY1p4O9w-UB6gOYSP6S52-EoL4pz/view?usp=drivesdk","OFFER LETTER")</f>
        <v>OFFER LETTER</v>
      </c>
      <c r="S163" s="11" t="s">
        <v>1051</v>
      </c>
    </row>
    <row r="164" ht="22.5" customHeight="1">
      <c r="A164" s="10">
        <v>46256.83310045139</v>
      </c>
      <c r="B164" s="11" t="s">
        <v>1003</v>
      </c>
      <c r="C164" s="11" t="s">
        <v>195</v>
      </c>
      <c r="D164" s="11" t="s">
        <v>68</v>
      </c>
      <c r="E164" s="12">
        <v>46256.0</v>
      </c>
      <c r="F164" s="12">
        <v>46287.0</v>
      </c>
      <c r="G164" s="11" t="s">
        <v>1004</v>
      </c>
      <c r="H164" s="11">
        <v>9.81357037E9</v>
      </c>
      <c r="I164" s="11" t="s">
        <v>82</v>
      </c>
      <c r="J164" s="11" t="s">
        <v>71</v>
      </c>
      <c r="K164" s="11" t="s">
        <v>167</v>
      </c>
      <c r="L164" s="11" t="s">
        <v>84</v>
      </c>
      <c r="M164" s="11" t="s">
        <v>1005</v>
      </c>
      <c r="N164" s="11" t="s">
        <v>219</v>
      </c>
      <c r="O164" s="11" t="s">
        <v>71</v>
      </c>
      <c r="P164" s="11" t="s">
        <v>1052</v>
      </c>
      <c r="Q164" s="13" t="s">
        <v>1053</v>
      </c>
      <c r="R164" s="14" t="str">
        <f>HYPERLINK("https://drive.google.com/file/d/1APQDM4J7vbAk0UbDx7yqZxWa5X7kD973/view?usp=drivesdk","OFFER LETTER")</f>
        <v>OFFER LETTER</v>
      </c>
      <c r="S164" s="11" t="s">
        <v>1054</v>
      </c>
    </row>
    <row r="165" ht="22.5" customHeight="1">
      <c r="A165" s="10">
        <v>46256.8359971412</v>
      </c>
      <c r="B165" s="11" t="s">
        <v>1055</v>
      </c>
      <c r="C165" s="11" t="s">
        <v>195</v>
      </c>
      <c r="D165" s="11" t="s">
        <v>68</v>
      </c>
      <c r="E165" s="12">
        <v>46256.0</v>
      </c>
      <c r="F165" s="12">
        <v>46287.0</v>
      </c>
      <c r="G165" s="11" t="s">
        <v>1056</v>
      </c>
      <c r="H165" s="11">
        <v>9.796438637E9</v>
      </c>
      <c r="I165" s="11" t="s">
        <v>70</v>
      </c>
      <c r="J165" s="11" t="s">
        <v>71</v>
      </c>
      <c r="K165" s="11" t="s">
        <v>72</v>
      </c>
      <c r="L165" s="11" t="s">
        <v>131</v>
      </c>
      <c r="M165" s="11" t="s">
        <v>1057</v>
      </c>
      <c r="N165" s="11" t="s">
        <v>86</v>
      </c>
      <c r="O165" s="11" t="s">
        <v>71</v>
      </c>
      <c r="P165" s="11" t="s">
        <v>1058</v>
      </c>
      <c r="Q165" s="13" t="s">
        <v>1059</v>
      </c>
      <c r="R165" s="14" t="str">
        <f>HYPERLINK("https://drive.google.com/file/d/1tcMXLTJK8jjd2awmNSOcV3e05g0pxxL0/view?usp=drivesdk","OFFER LETTER")</f>
        <v>OFFER LETTER</v>
      </c>
      <c r="S165" s="11" t="s">
        <v>1060</v>
      </c>
    </row>
    <row r="166" ht="22.5" customHeight="1">
      <c r="A166" s="10">
        <v>46256.83740266204</v>
      </c>
      <c r="B166" s="11" t="s">
        <v>1061</v>
      </c>
      <c r="C166" s="11" t="s">
        <v>596</v>
      </c>
      <c r="D166" s="11" t="s">
        <v>68</v>
      </c>
      <c r="E166" s="12">
        <v>46256.0</v>
      </c>
      <c r="F166" s="12">
        <v>46256.0</v>
      </c>
      <c r="G166" s="11" t="s">
        <v>1062</v>
      </c>
      <c r="H166" s="11">
        <v>9.562637065E9</v>
      </c>
      <c r="I166" s="11" t="s">
        <v>82</v>
      </c>
      <c r="J166" s="11" t="s">
        <v>71</v>
      </c>
      <c r="K166" s="11" t="s">
        <v>110</v>
      </c>
      <c r="L166" s="11" t="s">
        <v>73</v>
      </c>
      <c r="M166" s="11" t="s">
        <v>942</v>
      </c>
      <c r="N166" s="11" t="s">
        <v>86</v>
      </c>
      <c r="O166" s="11" t="s">
        <v>71</v>
      </c>
      <c r="P166" s="11" t="s">
        <v>1063</v>
      </c>
      <c r="Q166" s="13" t="s">
        <v>1064</v>
      </c>
      <c r="R166" s="14" t="str">
        <f>HYPERLINK("https://drive.google.com/file/d/1MNuo_YOxiyKphElrHTx17I4VnqbbZmIT/view?usp=drivesdk","OFFER LETTER")</f>
        <v>OFFER LETTER</v>
      </c>
      <c r="S166" s="11" t="s">
        <v>1065</v>
      </c>
    </row>
    <row r="167" ht="22.5" customHeight="1">
      <c r="A167" s="10">
        <v>46256.84261935185</v>
      </c>
      <c r="B167" s="11" t="s">
        <v>1066</v>
      </c>
      <c r="C167" s="11" t="s">
        <v>173</v>
      </c>
      <c r="D167" s="11" t="s">
        <v>68</v>
      </c>
      <c r="E167" s="12">
        <v>46214.0</v>
      </c>
      <c r="F167" s="12">
        <v>46245.0</v>
      </c>
      <c r="G167" s="11" t="s">
        <v>1067</v>
      </c>
      <c r="H167" s="11">
        <v>9.548377221E9</v>
      </c>
      <c r="I167" s="11" t="s">
        <v>82</v>
      </c>
      <c r="J167" s="11" t="s">
        <v>71</v>
      </c>
      <c r="K167" s="11" t="s">
        <v>72</v>
      </c>
      <c r="L167" s="11" t="s">
        <v>131</v>
      </c>
      <c r="M167" s="11" t="s">
        <v>493</v>
      </c>
      <c r="N167" s="11" t="s">
        <v>86</v>
      </c>
      <c r="O167" s="11" t="s">
        <v>71</v>
      </c>
      <c r="P167" s="11" t="s">
        <v>1068</v>
      </c>
      <c r="Q167" s="13" t="s">
        <v>1069</v>
      </c>
      <c r="R167" s="14" t="str">
        <f>HYPERLINK("https://drive.google.com/file/d/1XBM1warzaEQmsimLBrvS1EQpJSK2CMeb/view?usp=drivesdk","OFFER LETTER")</f>
        <v>OFFER LETTER</v>
      </c>
      <c r="S167" s="11" t="s">
        <v>1070</v>
      </c>
    </row>
    <row r="168" ht="22.5" customHeight="1">
      <c r="A168" s="10">
        <v>46256.84283517361</v>
      </c>
      <c r="B168" s="11" t="s">
        <v>1071</v>
      </c>
      <c r="C168" s="11" t="s">
        <v>195</v>
      </c>
      <c r="D168" s="11" t="s">
        <v>68</v>
      </c>
      <c r="E168" s="12">
        <v>46256.0</v>
      </c>
      <c r="F168" s="12">
        <v>46287.0</v>
      </c>
      <c r="G168" s="11" t="s">
        <v>1072</v>
      </c>
      <c r="H168" s="11">
        <v>9.334297001E9</v>
      </c>
      <c r="I168" s="11" t="s">
        <v>82</v>
      </c>
      <c r="J168" s="11" t="s">
        <v>71</v>
      </c>
      <c r="K168" s="11" t="s">
        <v>72</v>
      </c>
      <c r="L168" s="11" t="s">
        <v>84</v>
      </c>
      <c r="M168" s="11" t="s">
        <v>1073</v>
      </c>
      <c r="N168" s="11" t="s">
        <v>86</v>
      </c>
      <c r="O168" s="11" t="s">
        <v>71</v>
      </c>
      <c r="P168" s="11" t="s">
        <v>1074</v>
      </c>
      <c r="Q168" s="13" t="s">
        <v>1075</v>
      </c>
      <c r="R168" s="14" t="str">
        <f>HYPERLINK("https://drive.google.com/file/d/1ChD9dwFZ6gLAT4OBJo4rJ5mBmrcjIlVv/view?usp=drivesdk","OFFER LETTER")</f>
        <v>OFFER LETTER</v>
      </c>
      <c r="S168" s="11" t="s">
        <v>1076</v>
      </c>
    </row>
    <row r="169" ht="22.5" customHeight="1">
      <c r="A169" s="10">
        <v>46256.846139953705</v>
      </c>
      <c r="B169" s="11" t="s">
        <v>1077</v>
      </c>
      <c r="C169" s="11" t="s">
        <v>173</v>
      </c>
      <c r="D169" s="11" t="s">
        <v>68</v>
      </c>
      <c r="E169" s="12">
        <v>46235.0</v>
      </c>
      <c r="F169" s="12">
        <v>46265.0</v>
      </c>
      <c r="G169" s="11" t="s">
        <v>1078</v>
      </c>
      <c r="H169" s="11">
        <v>7.355670512E9</v>
      </c>
      <c r="I169" s="11" t="s">
        <v>82</v>
      </c>
      <c r="J169" s="11" t="s">
        <v>71</v>
      </c>
      <c r="K169" s="11" t="s">
        <v>72</v>
      </c>
      <c r="L169" s="11" t="s">
        <v>73</v>
      </c>
      <c r="M169" s="11" t="s">
        <v>1079</v>
      </c>
      <c r="N169" s="11" t="s">
        <v>655</v>
      </c>
      <c r="O169" s="11" t="s">
        <v>71</v>
      </c>
      <c r="P169" s="11" t="s">
        <v>1080</v>
      </c>
      <c r="Q169" s="13" t="s">
        <v>1081</v>
      </c>
      <c r="R169" s="14" t="str">
        <f>HYPERLINK("https://drive.google.com/file/d/1WdwVR16JpnyPZZjlghLEQqEB8mUA-7Df/view?usp=drivesdk","OFFER LETTER")</f>
        <v>OFFER LETTER</v>
      </c>
      <c r="S169" s="11" t="s">
        <v>1082</v>
      </c>
    </row>
    <row r="170" ht="22.5" customHeight="1">
      <c r="A170" s="10">
        <v>46256.85018940972</v>
      </c>
      <c r="B170" s="11" t="s">
        <v>1083</v>
      </c>
      <c r="C170" s="11" t="s">
        <v>354</v>
      </c>
      <c r="D170" s="11" t="s">
        <v>68</v>
      </c>
      <c r="E170" s="12">
        <v>46256.0</v>
      </c>
      <c r="F170" s="12">
        <v>46256.0</v>
      </c>
      <c r="G170" s="11" t="s">
        <v>1084</v>
      </c>
      <c r="H170" s="11">
        <v>9.022412494E9</v>
      </c>
      <c r="I170" s="11" t="s">
        <v>82</v>
      </c>
      <c r="J170" s="11" t="s">
        <v>71</v>
      </c>
      <c r="K170" s="13" t="s">
        <v>443</v>
      </c>
      <c r="L170" s="11" t="s">
        <v>73</v>
      </c>
      <c r="M170" s="11" t="s">
        <v>1085</v>
      </c>
      <c r="N170" s="11" t="s">
        <v>241</v>
      </c>
      <c r="O170" s="11" t="s">
        <v>71</v>
      </c>
      <c r="P170" s="11" t="s">
        <v>1086</v>
      </c>
      <c r="Q170" s="13" t="s">
        <v>1087</v>
      </c>
      <c r="R170" s="14" t="str">
        <f>HYPERLINK("https://drive.google.com/file/d/1wJrTmXgbf8PXxHsK0nGZhnED8-wWbeGv/view?usp=drivesdk","OFFER LETTER")</f>
        <v>OFFER LETTER</v>
      </c>
      <c r="S170" s="11" t="s">
        <v>1088</v>
      </c>
    </row>
    <row r="171" ht="22.5" customHeight="1">
      <c r="A171" s="10">
        <v>46256.85853868056</v>
      </c>
      <c r="B171" s="11" t="s">
        <v>1089</v>
      </c>
      <c r="C171" s="11" t="s">
        <v>107</v>
      </c>
      <c r="D171" s="11" t="s">
        <v>108</v>
      </c>
      <c r="E171" s="12">
        <v>46204.0</v>
      </c>
      <c r="F171" s="12">
        <v>46266.0</v>
      </c>
      <c r="G171" s="11" t="s">
        <v>1090</v>
      </c>
      <c r="H171" s="11">
        <v>8.113802204E9</v>
      </c>
      <c r="I171" s="11" t="s">
        <v>70</v>
      </c>
      <c r="J171" s="11" t="s">
        <v>130</v>
      </c>
      <c r="K171" s="13" t="s">
        <v>674</v>
      </c>
      <c r="L171" s="11" t="s">
        <v>84</v>
      </c>
      <c r="M171" s="11" t="s">
        <v>1091</v>
      </c>
      <c r="N171" s="11" t="s">
        <v>86</v>
      </c>
      <c r="O171" s="11" t="s">
        <v>71</v>
      </c>
      <c r="P171" s="11" t="s">
        <v>1092</v>
      </c>
      <c r="Q171" s="13" t="s">
        <v>1093</v>
      </c>
      <c r="R171" s="14" t="str">
        <f>HYPERLINK("https://drive.google.com/file/d/1b1PF_loabS8SReP0_byEKufGE0z4iew0/view?usp=drivesdk","OFFER LETTER")</f>
        <v>OFFER LETTER</v>
      </c>
      <c r="S171" s="11" t="s">
        <v>1094</v>
      </c>
    </row>
    <row r="172" ht="22.5" customHeight="1">
      <c r="A172" s="10">
        <v>46256.86835924769</v>
      </c>
      <c r="B172" s="11" t="s">
        <v>1095</v>
      </c>
      <c r="C172" s="11" t="s">
        <v>195</v>
      </c>
      <c r="D172" s="11" t="s">
        <v>68</v>
      </c>
      <c r="E172" s="12">
        <v>46249.0</v>
      </c>
      <c r="F172" s="12">
        <v>46290.0</v>
      </c>
      <c r="G172" s="11" t="s">
        <v>1096</v>
      </c>
      <c r="H172" s="11">
        <v>8.667091078E9</v>
      </c>
      <c r="I172" s="11" t="s">
        <v>82</v>
      </c>
      <c r="J172" s="11" t="s">
        <v>71</v>
      </c>
      <c r="K172" s="11" t="s">
        <v>72</v>
      </c>
      <c r="L172" s="11" t="s">
        <v>84</v>
      </c>
      <c r="M172" s="11" t="s">
        <v>1097</v>
      </c>
      <c r="N172" s="11" t="s">
        <v>75</v>
      </c>
      <c r="O172" s="11" t="s">
        <v>71</v>
      </c>
      <c r="P172" s="11" t="s">
        <v>1098</v>
      </c>
      <c r="Q172" s="13" t="s">
        <v>1099</v>
      </c>
      <c r="R172" s="14" t="str">
        <f>HYPERLINK("https://drive.google.com/file/d/1C9f8u377NAt6A8E9PWCx17IdFpDgzspw/view?usp=drivesdk","OFFER LETTER")</f>
        <v>OFFER LETTER</v>
      </c>
      <c r="S172" s="11" t="s">
        <v>1100</v>
      </c>
    </row>
    <row r="173" ht="22.5" customHeight="1">
      <c r="A173" s="10">
        <v>46256.86974708333</v>
      </c>
      <c r="B173" s="11" t="s">
        <v>1101</v>
      </c>
      <c r="C173" s="11" t="s">
        <v>742</v>
      </c>
      <c r="D173" s="11" t="s">
        <v>929</v>
      </c>
      <c r="E173" s="12">
        <v>46113.0</v>
      </c>
      <c r="F173" s="12">
        <v>46267.0</v>
      </c>
      <c r="G173" s="11" t="s">
        <v>1102</v>
      </c>
      <c r="H173" s="11">
        <v>8.860859217E9</v>
      </c>
      <c r="I173" s="11" t="s">
        <v>82</v>
      </c>
      <c r="J173" s="11" t="s">
        <v>71</v>
      </c>
      <c r="K173" s="11" t="s">
        <v>167</v>
      </c>
      <c r="L173" s="11" t="s">
        <v>247</v>
      </c>
      <c r="M173" s="11" t="s">
        <v>1103</v>
      </c>
      <c r="N173" s="11" t="s">
        <v>226</v>
      </c>
      <c r="O173" s="11" t="s">
        <v>71</v>
      </c>
      <c r="P173" s="11" t="s">
        <v>1104</v>
      </c>
      <c r="Q173" s="13" t="s">
        <v>1105</v>
      </c>
      <c r="R173" s="14" t="str">
        <f>HYPERLINK("https://drive.google.com/file/d/1pVJSUOHXQXWYytYpvHgtYO8-1chLuS1k/view?usp=drivesdk","OFFER LETTER")</f>
        <v>OFFER LETTER</v>
      </c>
      <c r="S173" s="11" t="s">
        <v>1106</v>
      </c>
    </row>
    <row r="174" ht="22.5" customHeight="1">
      <c r="A174" s="10">
        <v>46256.8746475</v>
      </c>
      <c r="B174" s="11" t="s">
        <v>1083</v>
      </c>
      <c r="C174" s="11" t="s">
        <v>354</v>
      </c>
      <c r="D174" s="11" t="s">
        <v>68</v>
      </c>
      <c r="E174" s="12">
        <v>46256.0</v>
      </c>
      <c r="F174" s="12">
        <v>46317.0</v>
      </c>
      <c r="G174" s="11" t="s">
        <v>1084</v>
      </c>
      <c r="H174" s="11">
        <v>9.022412494E9</v>
      </c>
      <c r="I174" s="11" t="s">
        <v>82</v>
      </c>
      <c r="J174" s="11" t="s">
        <v>71</v>
      </c>
      <c r="K174" s="13" t="s">
        <v>443</v>
      </c>
      <c r="L174" s="11" t="s">
        <v>73</v>
      </c>
      <c r="M174" s="11" t="s">
        <v>1085</v>
      </c>
      <c r="N174" s="11" t="s">
        <v>241</v>
      </c>
      <c r="O174" s="11" t="s">
        <v>71</v>
      </c>
      <c r="P174" s="11" t="s">
        <v>1107</v>
      </c>
      <c r="Q174" s="13" t="s">
        <v>1108</v>
      </c>
      <c r="R174" s="14" t="str">
        <f>HYPERLINK("https://drive.google.com/file/d/1waoz51rsIKsD0DJr0QZ1sV9redTXEjBy/view?usp=drivesdk","OFFER LETTER")</f>
        <v>OFFER LETTER</v>
      </c>
      <c r="S174" s="11" t="s">
        <v>1109</v>
      </c>
    </row>
    <row r="175" ht="22.5" customHeight="1">
      <c r="A175" s="10">
        <v>46256.87839268519</v>
      </c>
      <c r="B175" s="11" t="s">
        <v>1110</v>
      </c>
      <c r="C175" s="11" t="s">
        <v>259</v>
      </c>
      <c r="D175" s="11" t="s">
        <v>68</v>
      </c>
      <c r="E175" s="12">
        <v>46266.0</v>
      </c>
      <c r="F175" s="12">
        <v>46295.0</v>
      </c>
      <c r="G175" s="11" t="s">
        <v>1111</v>
      </c>
      <c r="H175" s="11">
        <v>7.020100416E9</v>
      </c>
      <c r="I175" s="11" t="s">
        <v>70</v>
      </c>
      <c r="J175" s="11" t="s">
        <v>71</v>
      </c>
      <c r="K175" s="11" t="s">
        <v>72</v>
      </c>
      <c r="L175" s="11" t="s">
        <v>131</v>
      </c>
      <c r="M175" s="11" t="s">
        <v>1112</v>
      </c>
      <c r="N175" s="11" t="s">
        <v>75</v>
      </c>
      <c r="O175" s="11" t="s">
        <v>130</v>
      </c>
      <c r="P175" s="11" t="s">
        <v>1113</v>
      </c>
      <c r="Q175" s="13" t="s">
        <v>1114</v>
      </c>
      <c r="R175" s="14" t="str">
        <f>HYPERLINK("https://drive.google.com/file/d/1LEwOOJ3iGqeyr2gsNmYyOPLHCuQqumrf/view?usp=drivesdk","OFFER LETTER")</f>
        <v>OFFER LETTER</v>
      </c>
      <c r="S175" s="11" t="s">
        <v>1115</v>
      </c>
    </row>
    <row r="176" ht="22.5" customHeight="1">
      <c r="A176" s="10">
        <v>46256.883741840276</v>
      </c>
      <c r="B176" s="11" t="s">
        <v>1116</v>
      </c>
      <c r="C176" s="11" t="s">
        <v>173</v>
      </c>
      <c r="D176" s="11" t="s">
        <v>68</v>
      </c>
      <c r="E176" s="12">
        <v>46214.0</v>
      </c>
      <c r="F176" s="12">
        <v>46218.0</v>
      </c>
      <c r="G176" s="11" t="s">
        <v>1117</v>
      </c>
      <c r="H176" s="11">
        <v>7.255858357E9</v>
      </c>
      <c r="I176" s="11" t="s">
        <v>82</v>
      </c>
      <c r="J176" s="11" t="s">
        <v>71</v>
      </c>
      <c r="K176" s="11" t="s">
        <v>72</v>
      </c>
      <c r="L176" s="11" t="s">
        <v>131</v>
      </c>
      <c r="M176" s="11" t="s">
        <v>1118</v>
      </c>
      <c r="N176" s="11" t="s">
        <v>86</v>
      </c>
      <c r="O176" s="11" t="s">
        <v>71</v>
      </c>
      <c r="P176" s="11" t="s">
        <v>1119</v>
      </c>
      <c r="Q176" s="13" t="s">
        <v>1120</v>
      </c>
      <c r="R176" s="14" t="str">
        <f>HYPERLINK("https://drive.google.com/file/d/1h9Op9zJQZ3LXtwRd3vDqvliXqo_UCbSR/view?usp=drivesdk","OFFER LETTER")</f>
        <v>OFFER LETTER</v>
      </c>
      <c r="S176" s="11" t="s">
        <v>1121</v>
      </c>
    </row>
    <row r="177" ht="22.5" customHeight="1">
      <c r="A177" s="10">
        <v>46256.88589140047</v>
      </c>
      <c r="B177" s="11" t="s">
        <v>1122</v>
      </c>
      <c r="C177" s="11" t="s">
        <v>128</v>
      </c>
      <c r="D177" s="11" t="s">
        <v>68</v>
      </c>
      <c r="E177" s="12">
        <v>46256.0</v>
      </c>
      <c r="F177" s="12">
        <v>46256.0</v>
      </c>
      <c r="G177" s="11" t="s">
        <v>1123</v>
      </c>
      <c r="H177" s="11">
        <v>9.356964799E9</v>
      </c>
      <c r="I177" s="11" t="s">
        <v>70</v>
      </c>
      <c r="J177" s="11" t="s">
        <v>71</v>
      </c>
      <c r="K177" s="11" t="s">
        <v>72</v>
      </c>
      <c r="L177" s="11" t="s">
        <v>73</v>
      </c>
      <c r="M177" s="11" t="s">
        <v>1124</v>
      </c>
      <c r="N177" s="11" t="s">
        <v>75</v>
      </c>
      <c r="O177" s="11" t="s">
        <v>71</v>
      </c>
      <c r="P177" s="11" t="s">
        <v>1125</v>
      </c>
      <c r="Q177" s="13" t="s">
        <v>1126</v>
      </c>
      <c r="R177" s="14" t="str">
        <f>HYPERLINK("https://drive.google.com/file/d/1hmYAlnUgy3J9jSzq69FjKTJTgYqjPzjZ/view?usp=drivesdk","OFFER LETTER")</f>
        <v>OFFER LETTER</v>
      </c>
      <c r="S177" s="11" t="s">
        <v>1127</v>
      </c>
    </row>
    <row r="178" ht="22.5" customHeight="1">
      <c r="A178" s="10">
        <v>46256.88623138889</v>
      </c>
      <c r="B178" s="11" t="s">
        <v>1128</v>
      </c>
      <c r="C178" s="11" t="s">
        <v>195</v>
      </c>
      <c r="D178" s="11" t="s">
        <v>68</v>
      </c>
      <c r="E178" s="12">
        <v>46256.0</v>
      </c>
      <c r="F178" s="12">
        <v>46287.0</v>
      </c>
      <c r="G178" s="11" t="s">
        <v>1129</v>
      </c>
      <c r="H178" s="11">
        <v>8.826340711E9</v>
      </c>
      <c r="I178" s="11" t="s">
        <v>82</v>
      </c>
      <c r="J178" s="11" t="s">
        <v>71</v>
      </c>
      <c r="K178" s="11" t="s">
        <v>110</v>
      </c>
      <c r="L178" s="11" t="s">
        <v>73</v>
      </c>
      <c r="M178" s="11" t="s">
        <v>1130</v>
      </c>
      <c r="N178" s="11" t="s">
        <v>86</v>
      </c>
      <c r="O178" s="11" t="s">
        <v>71</v>
      </c>
      <c r="P178" s="11" t="s">
        <v>1131</v>
      </c>
      <c r="Q178" s="13" t="s">
        <v>1132</v>
      </c>
      <c r="R178" s="14" t="str">
        <f>HYPERLINK("https://drive.google.com/file/d/1vHVVKs_GU6sr9YO4McqNBCo-jJ7OXs4T/view?usp=drivesdk","OFFER LETTER")</f>
        <v>OFFER LETTER</v>
      </c>
      <c r="S178" s="11" t="s">
        <v>1133</v>
      </c>
    </row>
    <row r="179" ht="22.5" customHeight="1">
      <c r="A179" s="10">
        <v>46256.88933546296</v>
      </c>
      <c r="B179" s="11" t="s">
        <v>1134</v>
      </c>
      <c r="C179" s="11" t="s">
        <v>173</v>
      </c>
      <c r="D179" s="11" t="s">
        <v>68</v>
      </c>
      <c r="E179" s="12">
        <v>46184.0</v>
      </c>
      <c r="F179" s="12">
        <v>46218.0</v>
      </c>
      <c r="G179" s="11" t="s">
        <v>1117</v>
      </c>
      <c r="H179" s="11">
        <v>7.255858357E9</v>
      </c>
      <c r="I179" s="11" t="s">
        <v>82</v>
      </c>
      <c r="J179" s="11" t="s">
        <v>71</v>
      </c>
      <c r="K179" s="11" t="s">
        <v>72</v>
      </c>
      <c r="L179" s="11" t="s">
        <v>131</v>
      </c>
      <c r="M179" s="11" t="s">
        <v>1135</v>
      </c>
      <c r="N179" s="11" t="s">
        <v>630</v>
      </c>
      <c r="O179" s="11" t="s">
        <v>71</v>
      </c>
      <c r="P179" s="11" t="s">
        <v>1136</v>
      </c>
      <c r="Q179" s="13" t="s">
        <v>1137</v>
      </c>
      <c r="R179" s="14" t="str">
        <f>HYPERLINK("https://drive.google.com/file/d/19jQ53cxizuhF66EVfvi7JHdXfPPGPt6N/view?usp=drivesdk","OFFER LETTER")</f>
        <v>OFFER LETTER</v>
      </c>
      <c r="S179" s="11" t="s">
        <v>1138</v>
      </c>
    </row>
    <row r="180" ht="22.5" customHeight="1">
      <c r="A180" s="10">
        <v>46256.905528993055</v>
      </c>
      <c r="B180" s="11" t="s">
        <v>1139</v>
      </c>
      <c r="C180" s="11" t="s">
        <v>195</v>
      </c>
      <c r="D180" s="11" t="s">
        <v>68</v>
      </c>
      <c r="E180" s="12">
        <v>46256.0</v>
      </c>
      <c r="F180" s="12">
        <v>46280.0</v>
      </c>
      <c r="G180" s="11" t="s">
        <v>1140</v>
      </c>
      <c r="H180" s="11">
        <v>7.98226692E9</v>
      </c>
      <c r="I180" s="11" t="s">
        <v>82</v>
      </c>
      <c r="J180" s="11" t="s">
        <v>71</v>
      </c>
      <c r="K180" s="11" t="s">
        <v>72</v>
      </c>
      <c r="L180" s="11" t="s">
        <v>84</v>
      </c>
      <c r="M180" s="11" t="s">
        <v>1141</v>
      </c>
      <c r="N180" s="11" t="s">
        <v>198</v>
      </c>
      <c r="O180" s="11" t="s">
        <v>71</v>
      </c>
      <c r="P180" s="11" t="s">
        <v>1142</v>
      </c>
      <c r="Q180" s="13" t="s">
        <v>1143</v>
      </c>
      <c r="R180" s="14" t="str">
        <f>HYPERLINK("https://drive.google.com/file/d/1KxaUyMR2guS-kBp6AMHrXkl1ZmS_fOt2/view?usp=drivesdk","OFFER LETTER")</f>
        <v>OFFER LETTER</v>
      </c>
      <c r="S180" s="11" t="s">
        <v>1144</v>
      </c>
    </row>
    <row r="181" ht="22.5" customHeight="1">
      <c r="A181" s="10">
        <v>46256.91055634259</v>
      </c>
      <c r="B181" s="11" t="s">
        <v>1145</v>
      </c>
      <c r="C181" s="11" t="s">
        <v>195</v>
      </c>
      <c r="D181" s="11" t="s">
        <v>68</v>
      </c>
      <c r="E181" s="12">
        <v>46014.0</v>
      </c>
      <c r="F181" s="12">
        <v>45680.0</v>
      </c>
      <c r="G181" s="11" t="s">
        <v>1146</v>
      </c>
      <c r="H181" s="11">
        <v>7.418653764E9</v>
      </c>
      <c r="I181" s="11" t="s">
        <v>70</v>
      </c>
      <c r="J181" s="11" t="s">
        <v>71</v>
      </c>
      <c r="K181" s="11" t="s">
        <v>72</v>
      </c>
      <c r="L181" s="11" t="s">
        <v>73</v>
      </c>
      <c r="M181" s="11" t="s">
        <v>1147</v>
      </c>
      <c r="N181" s="11" t="s">
        <v>86</v>
      </c>
      <c r="O181" s="11" t="s">
        <v>71</v>
      </c>
      <c r="P181" s="11" t="s">
        <v>1148</v>
      </c>
      <c r="Q181" s="13" t="s">
        <v>1149</v>
      </c>
      <c r="R181" s="14" t="str">
        <f>HYPERLINK("https://drive.google.com/file/d/1wee65D51UA6qEKpbRGgEeiECLR9cORsU/view?usp=drivesdk","OFFER LETTER")</f>
        <v>OFFER LETTER</v>
      </c>
      <c r="S181" s="11" t="s">
        <v>1150</v>
      </c>
    </row>
    <row r="182" ht="22.5" customHeight="1">
      <c r="A182" s="10">
        <v>46256.92228625</v>
      </c>
      <c r="B182" s="11" t="s">
        <v>1151</v>
      </c>
      <c r="C182" s="11" t="s">
        <v>298</v>
      </c>
      <c r="D182" s="11" t="s">
        <v>68</v>
      </c>
      <c r="E182" s="12">
        <v>46174.0</v>
      </c>
      <c r="F182" s="12">
        <v>46204.0</v>
      </c>
      <c r="G182" s="11" t="s">
        <v>1152</v>
      </c>
      <c r="H182" s="11">
        <v>8.421088911E9</v>
      </c>
      <c r="I182" s="11" t="s">
        <v>82</v>
      </c>
      <c r="J182" s="11" t="s">
        <v>71</v>
      </c>
      <c r="K182" s="11" t="s">
        <v>72</v>
      </c>
      <c r="L182" s="11" t="s">
        <v>131</v>
      </c>
      <c r="M182" s="11" t="s">
        <v>1153</v>
      </c>
      <c r="N182" s="11" t="s">
        <v>75</v>
      </c>
      <c r="O182" s="11" t="s">
        <v>71</v>
      </c>
      <c r="P182" s="11" t="s">
        <v>1154</v>
      </c>
      <c r="Q182" s="13" t="s">
        <v>1155</v>
      </c>
      <c r="R182" s="14" t="str">
        <f>HYPERLINK("https://drive.google.com/file/d/1wizLRjX62mjz7oC0Ihs0-ue96wgkmH0-/view?usp=drivesdk","OFFER LETTER")</f>
        <v>OFFER LETTER</v>
      </c>
      <c r="S182" s="11" t="s">
        <v>1156</v>
      </c>
    </row>
    <row r="183" ht="22.5" customHeight="1">
      <c r="A183" s="10">
        <v>46256.92335158565</v>
      </c>
      <c r="B183" s="11" t="s">
        <v>1157</v>
      </c>
      <c r="C183" s="11" t="s">
        <v>107</v>
      </c>
      <c r="D183" s="11" t="s">
        <v>68</v>
      </c>
      <c r="E183" s="12">
        <v>46272.0</v>
      </c>
      <c r="F183" s="12">
        <v>46302.0</v>
      </c>
      <c r="G183" s="11" t="s">
        <v>1158</v>
      </c>
      <c r="H183" s="11">
        <v>8.76723024E9</v>
      </c>
      <c r="I183" s="11" t="s">
        <v>70</v>
      </c>
      <c r="J183" s="11" t="s">
        <v>71</v>
      </c>
      <c r="K183" s="11" t="s">
        <v>72</v>
      </c>
      <c r="L183" s="11" t="s">
        <v>131</v>
      </c>
      <c r="M183" s="11" t="s">
        <v>1159</v>
      </c>
      <c r="N183" s="11" t="s">
        <v>75</v>
      </c>
      <c r="O183" s="11" t="s">
        <v>130</v>
      </c>
      <c r="P183" s="11" t="s">
        <v>1160</v>
      </c>
      <c r="Q183" s="13" t="s">
        <v>1161</v>
      </c>
      <c r="R183" s="14" t="str">
        <f>HYPERLINK("https://drive.google.com/file/d/1YOu4u8szmReItODh9hTYqRoSrYWLh2bm/view?usp=drivesdk","OFFER LETTER")</f>
        <v>OFFER LETTER</v>
      </c>
      <c r="S183" s="11" t="s">
        <v>1162</v>
      </c>
    </row>
    <row r="184" ht="22.5" customHeight="1">
      <c r="A184" s="10">
        <v>46256.9275334375</v>
      </c>
      <c r="B184" s="11" t="s">
        <v>1163</v>
      </c>
      <c r="C184" s="11" t="s">
        <v>173</v>
      </c>
      <c r="D184" s="11" t="s">
        <v>68</v>
      </c>
      <c r="E184" s="12">
        <v>46184.0</v>
      </c>
      <c r="F184" s="12">
        <v>46218.0</v>
      </c>
      <c r="G184" s="11" t="s">
        <v>1163</v>
      </c>
      <c r="H184" s="11">
        <v>9.097565042E9</v>
      </c>
      <c r="I184" s="11" t="s">
        <v>82</v>
      </c>
      <c r="J184" s="11" t="s">
        <v>71</v>
      </c>
      <c r="K184" s="11" t="s">
        <v>72</v>
      </c>
      <c r="L184" s="11" t="s">
        <v>131</v>
      </c>
      <c r="M184" s="11" t="s">
        <v>1135</v>
      </c>
      <c r="N184" s="11" t="s">
        <v>86</v>
      </c>
      <c r="O184" s="11" t="s">
        <v>71</v>
      </c>
      <c r="P184" s="11" t="s">
        <v>1164</v>
      </c>
      <c r="Q184" s="13" t="s">
        <v>1165</v>
      </c>
      <c r="R184" s="14" t="str">
        <f>HYPERLINK("https://drive.google.com/file/d/1h_e88gF2aNiODmk6tB8mVC_kWV7juz_P/view?usp=drivesdk","OFFER LETTER")</f>
        <v>OFFER LETTER</v>
      </c>
      <c r="S184" s="11" t="s">
        <v>1166</v>
      </c>
    </row>
    <row r="185" ht="22.5" customHeight="1">
      <c r="A185" s="10">
        <v>46256.92992976852</v>
      </c>
      <c r="B185" s="11" t="s">
        <v>1167</v>
      </c>
      <c r="C185" s="11" t="s">
        <v>173</v>
      </c>
      <c r="D185" s="11" t="s">
        <v>108</v>
      </c>
      <c r="E185" s="12">
        <v>46195.0</v>
      </c>
      <c r="F185" s="12">
        <v>46257.0</v>
      </c>
      <c r="G185" s="11" t="s">
        <v>1168</v>
      </c>
      <c r="H185" s="11">
        <v>9.792752839E9</v>
      </c>
      <c r="I185" s="11" t="s">
        <v>82</v>
      </c>
      <c r="J185" s="11" t="s">
        <v>71</v>
      </c>
      <c r="K185" s="11" t="s">
        <v>72</v>
      </c>
      <c r="L185" s="11" t="s">
        <v>131</v>
      </c>
      <c r="M185" s="11" t="s">
        <v>1169</v>
      </c>
      <c r="N185" s="11" t="s">
        <v>1170</v>
      </c>
      <c r="O185" s="11" t="s">
        <v>263</v>
      </c>
      <c r="P185" s="11" t="s">
        <v>1171</v>
      </c>
      <c r="Q185" s="13" t="s">
        <v>1172</v>
      </c>
      <c r="R185" s="14" t="str">
        <f>HYPERLINK("https://drive.google.com/file/d/1QZHs7yWzvwNHgYYYsHEW9WDRgMRcL-3h/view?usp=drivesdk","OFFER LETTER")</f>
        <v>OFFER LETTER</v>
      </c>
      <c r="S185" s="11" t="s">
        <v>1173</v>
      </c>
    </row>
    <row r="186" ht="22.5" customHeight="1">
      <c r="A186" s="10">
        <v>46256.93297310185</v>
      </c>
      <c r="B186" s="11" t="s">
        <v>1174</v>
      </c>
      <c r="C186" s="11" t="s">
        <v>173</v>
      </c>
      <c r="D186" s="11" t="s">
        <v>68</v>
      </c>
      <c r="E186" s="12">
        <v>46214.0</v>
      </c>
      <c r="F186" s="12">
        <v>46218.0</v>
      </c>
      <c r="G186" s="11" t="s">
        <v>1163</v>
      </c>
      <c r="H186" s="11">
        <v>9.097565042E9</v>
      </c>
      <c r="I186" s="11" t="s">
        <v>82</v>
      </c>
      <c r="J186" s="11" t="s">
        <v>71</v>
      </c>
      <c r="K186" s="11" t="s">
        <v>72</v>
      </c>
      <c r="L186" s="11" t="s">
        <v>131</v>
      </c>
      <c r="M186" s="11" t="s">
        <v>1135</v>
      </c>
      <c r="N186" s="11" t="s">
        <v>86</v>
      </c>
      <c r="O186" s="11" t="s">
        <v>71</v>
      </c>
      <c r="P186" s="11" t="s">
        <v>1175</v>
      </c>
      <c r="Q186" s="13" t="s">
        <v>1176</v>
      </c>
      <c r="R186" s="14" t="str">
        <f>HYPERLINK("https://drive.google.com/file/d/13whZOM4qUDmfq3e5RBr-pdNLi-qYxe9i/view?usp=drivesdk","OFFER LETTER")</f>
        <v>OFFER LETTER</v>
      </c>
      <c r="S186" s="11" t="s">
        <v>1177</v>
      </c>
    </row>
    <row r="187" ht="22.5" customHeight="1">
      <c r="A187" s="10">
        <v>46256.93368192129</v>
      </c>
      <c r="B187" s="11" t="s">
        <v>1178</v>
      </c>
      <c r="C187" s="11" t="s">
        <v>67</v>
      </c>
      <c r="D187" s="11" t="s">
        <v>68</v>
      </c>
      <c r="E187" s="12">
        <v>46225.0</v>
      </c>
      <c r="F187" s="12">
        <v>46256.0</v>
      </c>
      <c r="G187" s="11" t="s">
        <v>1179</v>
      </c>
      <c r="H187" s="11">
        <v>9.529822967E9</v>
      </c>
      <c r="I187" s="11" t="s">
        <v>70</v>
      </c>
      <c r="J187" s="11" t="s">
        <v>71</v>
      </c>
      <c r="K187" s="11" t="s">
        <v>72</v>
      </c>
      <c r="L187" s="11" t="s">
        <v>131</v>
      </c>
      <c r="M187" s="11" t="s">
        <v>1180</v>
      </c>
      <c r="N187" s="11" t="s">
        <v>86</v>
      </c>
      <c r="O187" s="11" t="s">
        <v>71</v>
      </c>
      <c r="P187" s="11" t="s">
        <v>1181</v>
      </c>
      <c r="Q187" s="13" t="s">
        <v>1182</v>
      </c>
      <c r="R187" s="14" t="str">
        <f>HYPERLINK("https://drive.google.com/file/d/1ivNlqKVtArtFlQuKeJhBk_n_FYRuGIA0/view?usp=drivesdk","OFFER LETTER")</f>
        <v>OFFER LETTER</v>
      </c>
      <c r="S187" s="11" t="s">
        <v>1183</v>
      </c>
    </row>
    <row r="188" ht="22.5" customHeight="1">
      <c r="A188" s="10">
        <v>46256.93715168981</v>
      </c>
      <c r="B188" s="11" t="s">
        <v>1184</v>
      </c>
      <c r="C188" s="11" t="s">
        <v>173</v>
      </c>
      <c r="D188" s="11" t="s">
        <v>68</v>
      </c>
      <c r="E188" s="12">
        <v>46184.0</v>
      </c>
      <c r="F188" s="12">
        <v>46218.0</v>
      </c>
      <c r="G188" s="11" t="s">
        <v>1163</v>
      </c>
      <c r="H188" s="11">
        <v>9.097565042E9</v>
      </c>
      <c r="I188" s="11" t="s">
        <v>82</v>
      </c>
      <c r="J188" s="11" t="s">
        <v>71</v>
      </c>
      <c r="K188" s="11" t="s">
        <v>72</v>
      </c>
      <c r="L188" s="11" t="s">
        <v>131</v>
      </c>
      <c r="M188" s="11" t="s">
        <v>1135</v>
      </c>
      <c r="N188" s="11" t="s">
        <v>86</v>
      </c>
      <c r="O188" s="11" t="s">
        <v>71</v>
      </c>
      <c r="P188" s="11" t="s">
        <v>1185</v>
      </c>
      <c r="Q188" s="13" t="s">
        <v>1186</v>
      </c>
      <c r="R188" s="14" t="str">
        <f>HYPERLINK("https://drive.google.com/file/d/1Ff7icCbsWpdbPUKUyXJu7iimG1wQiBaw/view?usp=drivesdk","OFFER LETTER")</f>
        <v>OFFER LETTER</v>
      </c>
      <c r="S188" s="11" t="s">
        <v>1187</v>
      </c>
    </row>
    <row r="189" ht="22.5" customHeight="1">
      <c r="A189" s="10">
        <v>46256.94130185185</v>
      </c>
      <c r="B189" s="11" t="s">
        <v>1188</v>
      </c>
      <c r="C189" s="11" t="s">
        <v>195</v>
      </c>
      <c r="D189" s="11" t="s">
        <v>68</v>
      </c>
      <c r="E189" s="12">
        <v>46174.0</v>
      </c>
      <c r="F189" s="12">
        <v>46203.0</v>
      </c>
      <c r="G189" s="11" t="s">
        <v>1189</v>
      </c>
      <c r="H189" s="17" t="s">
        <v>1190</v>
      </c>
      <c r="I189" s="11" t="s">
        <v>70</v>
      </c>
      <c r="J189" s="11" t="s">
        <v>71</v>
      </c>
      <c r="K189" s="11" t="s">
        <v>72</v>
      </c>
      <c r="L189" s="11" t="s">
        <v>73</v>
      </c>
      <c r="M189" s="11" t="s">
        <v>1191</v>
      </c>
      <c r="N189" s="11" t="s">
        <v>75</v>
      </c>
      <c r="O189" s="11" t="s">
        <v>71</v>
      </c>
      <c r="P189" s="11" t="s">
        <v>1192</v>
      </c>
      <c r="Q189" s="13" t="s">
        <v>1193</v>
      </c>
      <c r="R189" s="14" t="str">
        <f>HYPERLINK("https://drive.google.com/file/d/1JPM3qvNMk8HpTHFka0fZLcra0TmtHKhV/view?usp=drivesdk","OFFER LETTER")</f>
        <v>OFFER LETTER</v>
      </c>
      <c r="S189" s="11" t="s">
        <v>1194</v>
      </c>
    </row>
    <row r="190" ht="22.5" customHeight="1">
      <c r="A190" s="10">
        <v>46256.94382479167</v>
      </c>
      <c r="B190" s="11" t="s">
        <v>902</v>
      </c>
      <c r="C190" s="11" t="s">
        <v>80</v>
      </c>
      <c r="D190" s="11" t="s">
        <v>68</v>
      </c>
      <c r="E190" s="12">
        <v>46204.0</v>
      </c>
      <c r="F190" s="12">
        <v>46235.0</v>
      </c>
      <c r="G190" s="11" t="s">
        <v>905</v>
      </c>
      <c r="H190" s="11">
        <v>7.020332929E9</v>
      </c>
      <c r="I190" s="11" t="s">
        <v>82</v>
      </c>
      <c r="J190" s="11" t="s">
        <v>130</v>
      </c>
      <c r="K190" s="11" t="s">
        <v>72</v>
      </c>
      <c r="L190" s="11" t="s">
        <v>131</v>
      </c>
      <c r="M190" s="11" t="s">
        <v>1195</v>
      </c>
      <c r="N190" s="11" t="s">
        <v>75</v>
      </c>
      <c r="O190" s="11" t="s">
        <v>71</v>
      </c>
      <c r="P190" s="11" t="s">
        <v>1196</v>
      </c>
      <c r="Q190" s="13" t="s">
        <v>1197</v>
      </c>
      <c r="R190" s="14" t="str">
        <f>HYPERLINK("https://drive.google.com/file/d/1gTdrAfagcljfc3dOuDDNQ-ATBodZVjal/view?usp=drivesdk","OFFER LETTER")</f>
        <v>OFFER LETTER</v>
      </c>
      <c r="S190" s="11" t="s">
        <v>1198</v>
      </c>
    </row>
    <row r="191" ht="22.5" customHeight="1">
      <c r="A191" s="10">
        <v>46256.946207326386</v>
      </c>
      <c r="B191" s="11" t="s">
        <v>1199</v>
      </c>
      <c r="C191" s="11" t="s">
        <v>1200</v>
      </c>
      <c r="D191" s="11" t="s">
        <v>108</v>
      </c>
      <c r="E191" s="12">
        <v>46224.0</v>
      </c>
      <c r="F191" s="12">
        <v>46286.0</v>
      </c>
      <c r="G191" s="11" t="s">
        <v>1201</v>
      </c>
      <c r="H191" s="11">
        <v>9.007288178E9</v>
      </c>
      <c r="I191" s="11" t="s">
        <v>82</v>
      </c>
      <c r="J191" s="11" t="s">
        <v>71</v>
      </c>
      <c r="K191" s="11" t="s">
        <v>110</v>
      </c>
      <c r="L191" s="11" t="s">
        <v>73</v>
      </c>
      <c r="M191" s="11" t="s">
        <v>1202</v>
      </c>
      <c r="N191" s="11" t="s">
        <v>86</v>
      </c>
      <c r="O191" s="11" t="s">
        <v>71</v>
      </c>
      <c r="P191" s="11" t="s">
        <v>1203</v>
      </c>
      <c r="S191" s="11" t="s">
        <v>1204</v>
      </c>
    </row>
    <row r="192" ht="22.5" customHeight="1">
      <c r="A192" s="10">
        <v>46256.94818443287</v>
      </c>
      <c r="B192" s="11" t="s">
        <v>1205</v>
      </c>
      <c r="C192" s="11" t="s">
        <v>1200</v>
      </c>
      <c r="D192" s="11" t="s">
        <v>108</v>
      </c>
      <c r="E192" s="12">
        <v>46223.0</v>
      </c>
      <c r="F192" s="12">
        <v>46285.0</v>
      </c>
      <c r="G192" s="11" t="s">
        <v>1201</v>
      </c>
      <c r="H192" s="11">
        <v>9.007288178E9</v>
      </c>
      <c r="I192" s="11" t="s">
        <v>82</v>
      </c>
      <c r="J192" s="11" t="s">
        <v>71</v>
      </c>
      <c r="K192" s="11" t="s">
        <v>110</v>
      </c>
      <c r="L192" s="11" t="s">
        <v>73</v>
      </c>
      <c r="M192" s="11" t="s">
        <v>1202</v>
      </c>
      <c r="N192" s="11" t="s">
        <v>86</v>
      </c>
      <c r="O192" s="11" t="s">
        <v>263</v>
      </c>
      <c r="P192" s="11" t="s">
        <v>1206</v>
      </c>
      <c r="Q192" s="13" t="s">
        <v>1207</v>
      </c>
      <c r="R192" s="14" t="str">
        <f>HYPERLINK("https://drive.google.com/file/d/1nSN4frZBJ1VmnF9ghSZ3MQ31SkKVB80_/view?usp=drivesdk","OFFER LETTER")</f>
        <v>OFFER LETTER</v>
      </c>
      <c r="S192" s="11" t="s">
        <v>1208</v>
      </c>
    </row>
    <row r="193" ht="22.5" customHeight="1">
      <c r="A193" s="10">
        <v>46256.95491666667</v>
      </c>
      <c r="B193" s="11" t="s">
        <v>1209</v>
      </c>
      <c r="C193" s="11" t="s">
        <v>259</v>
      </c>
      <c r="D193" s="11" t="s">
        <v>68</v>
      </c>
      <c r="E193" s="12">
        <v>46256.0</v>
      </c>
      <c r="F193" s="12">
        <v>46287.0</v>
      </c>
      <c r="G193" s="11" t="s">
        <v>1210</v>
      </c>
      <c r="H193" s="11">
        <v>9.520043365E9</v>
      </c>
      <c r="I193" s="11" t="s">
        <v>82</v>
      </c>
      <c r="J193" s="11" t="s">
        <v>71</v>
      </c>
      <c r="K193" s="11" t="s">
        <v>110</v>
      </c>
      <c r="L193" s="11" t="s">
        <v>73</v>
      </c>
      <c r="M193" s="11" t="s">
        <v>1211</v>
      </c>
      <c r="N193" s="11" t="s">
        <v>198</v>
      </c>
      <c r="O193" s="11" t="s">
        <v>71</v>
      </c>
      <c r="P193" s="11" t="s">
        <v>1212</v>
      </c>
      <c r="Q193" s="13" t="s">
        <v>1213</v>
      </c>
      <c r="R193" s="14" t="str">
        <f>HYPERLINK("https://drive.google.com/file/d/1G9CgPPjc1j3txLQKNneb4XerC62doj38/view?usp=drivesdk","OFFER LETTER")</f>
        <v>OFFER LETTER</v>
      </c>
      <c r="S193" s="11" t="s">
        <v>1214</v>
      </c>
    </row>
    <row r="194" ht="22.5" customHeight="1">
      <c r="A194" s="10">
        <v>46256.95563737268</v>
      </c>
      <c r="B194" s="11" t="s">
        <v>1215</v>
      </c>
      <c r="C194" s="11" t="s">
        <v>173</v>
      </c>
      <c r="D194" s="11" t="s">
        <v>68</v>
      </c>
      <c r="E194" s="12">
        <v>46222.0</v>
      </c>
      <c r="F194" s="12">
        <v>46253.0</v>
      </c>
      <c r="G194" s="11" t="s">
        <v>1216</v>
      </c>
      <c r="H194" s="11">
        <v>9.630070066E9</v>
      </c>
      <c r="I194" s="11" t="s">
        <v>82</v>
      </c>
      <c r="J194" s="11" t="s">
        <v>71</v>
      </c>
      <c r="K194" s="11" t="s">
        <v>72</v>
      </c>
      <c r="L194" s="11" t="s">
        <v>84</v>
      </c>
      <c r="M194" s="11" t="s">
        <v>1217</v>
      </c>
      <c r="N194" s="11" t="s">
        <v>226</v>
      </c>
      <c r="O194" s="11" t="s">
        <v>71</v>
      </c>
      <c r="P194" s="11" t="s">
        <v>1218</v>
      </c>
      <c r="Q194" s="13" t="s">
        <v>1219</v>
      </c>
      <c r="R194" s="14" t="str">
        <f>HYPERLINK("https://drive.google.com/file/d/1t1d3QijcLPslZB7hu1qfhQOf8cPgYro0/view?usp=drivesdk","OFFER LETTER")</f>
        <v>OFFER LETTER</v>
      </c>
      <c r="S194" s="11" t="s">
        <v>1220</v>
      </c>
    </row>
    <row r="195" ht="22.5" customHeight="1">
      <c r="A195" s="10">
        <v>46256.97440896991</v>
      </c>
      <c r="B195" s="11" t="s">
        <v>1221</v>
      </c>
      <c r="C195" s="11" t="s">
        <v>165</v>
      </c>
      <c r="D195" s="11" t="s">
        <v>108</v>
      </c>
      <c r="E195" s="12">
        <v>46178.0</v>
      </c>
      <c r="F195" s="12">
        <v>46270.0</v>
      </c>
      <c r="G195" s="11" t="s">
        <v>1222</v>
      </c>
      <c r="H195" s="11">
        <v>7.991622316E9</v>
      </c>
      <c r="I195" s="11" t="s">
        <v>82</v>
      </c>
      <c r="J195" s="11" t="s">
        <v>71</v>
      </c>
      <c r="K195" s="11" t="s">
        <v>167</v>
      </c>
      <c r="L195" s="11" t="s">
        <v>73</v>
      </c>
      <c r="M195" s="11" t="s">
        <v>1223</v>
      </c>
      <c r="N195" s="11" t="s">
        <v>219</v>
      </c>
      <c r="O195" s="11" t="s">
        <v>71</v>
      </c>
      <c r="P195" s="11" t="s">
        <v>1224</v>
      </c>
      <c r="Q195" s="13" t="s">
        <v>1225</v>
      </c>
      <c r="R195" s="14" t="str">
        <f>HYPERLINK("https://drive.google.com/file/d/1WKlijLMnGKngAgvp5IOI6rI2KcATBngN/view?usp=drivesdk","OFFER LETTER")</f>
        <v>OFFER LETTER</v>
      </c>
      <c r="S195" s="11" t="s">
        <v>1226</v>
      </c>
    </row>
    <row r="196" ht="22.5" customHeight="1">
      <c r="A196" s="10">
        <v>46256.9780087963</v>
      </c>
      <c r="B196" s="11" t="s">
        <v>1227</v>
      </c>
      <c r="C196" s="11" t="s">
        <v>195</v>
      </c>
      <c r="D196" s="11" t="s">
        <v>68</v>
      </c>
      <c r="E196" s="12">
        <v>46254.0</v>
      </c>
      <c r="F196" s="12">
        <v>46285.0</v>
      </c>
      <c r="G196" s="11" t="s">
        <v>1228</v>
      </c>
      <c r="H196" s="11">
        <v>9.753586888E9</v>
      </c>
      <c r="I196" s="11" t="s">
        <v>70</v>
      </c>
      <c r="J196" s="11" t="s">
        <v>71</v>
      </c>
      <c r="K196" s="11" t="s">
        <v>72</v>
      </c>
      <c r="L196" s="11" t="s">
        <v>84</v>
      </c>
      <c r="M196" s="11" t="s">
        <v>1229</v>
      </c>
      <c r="N196" s="11" t="s">
        <v>86</v>
      </c>
      <c r="O196" s="11" t="s">
        <v>71</v>
      </c>
      <c r="P196" s="11" t="s">
        <v>1230</v>
      </c>
      <c r="Q196" s="13" t="s">
        <v>1231</v>
      </c>
      <c r="R196" s="14" t="str">
        <f>HYPERLINK("https://drive.google.com/file/d/1PT5pU-KZt05jdDtJWb_kyiKgqTMpH8p9/view?usp=drivesdk","OFFER LETTER")</f>
        <v>OFFER LETTER</v>
      </c>
      <c r="S196" s="11" t="s">
        <v>1232</v>
      </c>
    </row>
    <row r="197" ht="22.5" customHeight="1">
      <c r="A197" s="10">
        <v>46256.981589560186</v>
      </c>
      <c r="B197" s="11" t="s">
        <v>1233</v>
      </c>
      <c r="C197" s="11" t="s">
        <v>195</v>
      </c>
      <c r="D197" s="11" t="s">
        <v>68</v>
      </c>
      <c r="E197" s="12">
        <v>46256.0</v>
      </c>
      <c r="F197" s="12">
        <v>46287.0</v>
      </c>
      <c r="G197" s="11" t="s">
        <v>1234</v>
      </c>
      <c r="H197" s="11">
        <v>9.835169864E9</v>
      </c>
      <c r="I197" s="11" t="s">
        <v>82</v>
      </c>
      <c r="J197" s="11" t="s">
        <v>71</v>
      </c>
      <c r="K197" s="11" t="s">
        <v>72</v>
      </c>
      <c r="L197" s="11" t="s">
        <v>73</v>
      </c>
      <c r="M197" s="11" t="s">
        <v>1235</v>
      </c>
      <c r="N197" s="11" t="s">
        <v>86</v>
      </c>
      <c r="O197" s="11" t="s">
        <v>71</v>
      </c>
      <c r="P197" s="11" t="s">
        <v>1236</v>
      </c>
      <c r="Q197" s="13" t="s">
        <v>1237</v>
      </c>
      <c r="R197" s="14" t="str">
        <f>HYPERLINK("https://drive.google.com/file/d/1YQBdM3lBBN4SYEBRrmep5LFRyVXsHEk-/view?usp=drivesdk","OFFER LETTER")</f>
        <v>OFFER LETTER</v>
      </c>
      <c r="S197" s="11" t="s">
        <v>1238</v>
      </c>
    </row>
    <row r="198" ht="22.5" customHeight="1">
      <c r="A198" s="10">
        <v>46257.0058827662</v>
      </c>
      <c r="B198" s="11" t="s">
        <v>1239</v>
      </c>
      <c r="C198" s="11" t="s">
        <v>173</v>
      </c>
      <c r="D198" s="11" t="s">
        <v>108</v>
      </c>
      <c r="E198" s="12">
        <v>46257.0</v>
      </c>
      <c r="F198" s="12">
        <v>46318.0</v>
      </c>
      <c r="G198" s="11" t="s">
        <v>1240</v>
      </c>
      <c r="H198" s="11">
        <v>6.396179106E9</v>
      </c>
      <c r="I198" s="11" t="s">
        <v>82</v>
      </c>
      <c r="J198" s="11" t="s">
        <v>71</v>
      </c>
      <c r="K198" s="11" t="s">
        <v>110</v>
      </c>
      <c r="L198" s="11" t="s">
        <v>73</v>
      </c>
      <c r="M198" s="11" t="s">
        <v>1241</v>
      </c>
      <c r="N198" s="11" t="s">
        <v>86</v>
      </c>
      <c r="O198" s="11" t="s">
        <v>71</v>
      </c>
      <c r="P198" s="11" t="s">
        <v>1242</v>
      </c>
      <c r="Q198" s="13" t="s">
        <v>1243</v>
      </c>
      <c r="R198" s="14" t="str">
        <f>HYPERLINK("https://drive.google.com/file/d/1JQxZrvNXTujE-XTQVAMP4h-GLzGb7Vfx/view?usp=drivesdk","OFFER LETTER")</f>
        <v>OFFER LETTER</v>
      </c>
      <c r="S198" s="11" t="s">
        <v>1244</v>
      </c>
    </row>
    <row r="199" ht="22.5" customHeight="1">
      <c r="A199" s="10">
        <v>46257.088223541665</v>
      </c>
      <c r="B199" s="11" t="s">
        <v>1245</v>
      </c>
      <c r="C199" s="11" t="s">
        <v>128</v>
      </c>
      <c r="D199" s="11" t="s">
        <v>68</v>
      </c>
      <c r="E199" s="12">
        <v>46257.0</v>
      </c>
      <c r="F199" s="12">
        <v>46288.0</v>
      </c>
      <c r="G199" s="11" t="s">
        <v>1246</v>
      </c>
      <c r="H199" s="11">
        <v>9.346794114E9</v>
      </c>
      <c r="I199" s="11" t="s">
        <v>82</v>
      </c>
      <c r="J199" s="11" t="s">
        <v>71</v>
      </c>
      <c r="K199" s="11" t="s">
        <v>72</v>
      </c>
      <c r="L199" s="11" t="s">
        <v>131</v>
      </c>
      <c r="M199" s="11" t="s">
        <v>1247</v>
      </c>
      <c r="N199" s="11" t="s">
        <v>86</v>
      </c>
      <c r="O199" s="11" t="s">
        <v>71</v>
      </c>
      <c r="P199" s="11" t="s">
        <v>1248</v>
      </c>
      <c r="Q199" s="13" t="s">
        <v>1249</v>
      </c>
      <c r="R199" s="14" t="str">
        <f>HYPERLINK("https://drive.google.com/file/d/1njuahimG8nJFZIsmwu_jX37qCauOypy7/view?usp=drivesdk","OFFER LETTER")</f>
        <v>OFFER LETTER</v>
      </c>
      <c r="S199" s="11" t="s">
        <v>1250</v>
      </c>
    </row>
    <row r="200" ht="22.5" customHeight="1">
      <c r="A200" s="10">
        <v>46257.107873981484</v>
      </c>
      <c r="B200" s="11" t="s">
        <v>1251</v>
      </c>
      <c r="C200" s="11" t="s">
        <v>128</v>
      </c>
      <c r="D200" s="11" t="s">
        <v>68</v>
      </c>
      <c r="E200" s="12">
        <v>46257.0</v>
      </c>
      <c r="F200" s="12">
        <v>46288.0</v>
      </c>
      <c r="G200" s="11" t="s">
        <v>1252</v>
      </c>
      <c r="H200" s="11">
        <v>9.553978514E9</v>
      </c>
      <c r="I200" s="11" t="s">
        <v>82</v>
      </c>
      <c r="J200" s="11" t="s">
        <v>71</v>
      </c>
      <c r="K200" s="11" t="s">
        <v>72</v>
      </c>
      <c r="L200" s="11" t="s">
        <v>131</v>
      </c>
      <c r="M200" s="11" t="s">
        <v>530</v>
      </c>
      <c r="N200" s="11" t="s">
        <v>86</v>
      </c>
      <c r="O200" s="11" t="s">
        <v>71</v>
      </c>
      <c r="P200" s="11" t="s">
        <v>1253</v>
      </c>
      <c r="Q200" s="13" t="s">
        <v>1254</v>
      </c>
      <c r="R200" s="14" t="str">
        <f>HYPERLINK("https://drive.google.com/file/d/19nDyZwL2RWgEvDYMoDFBS4T8rp38gnGV/view?usp=drivesdk","OFFER LETTER")</f>
        <v>OFFER LETTER</v>
      </c>
      <c r="S200" s="11" t="s">
        <v>1255</v>
      </c>
    </row>
    <row r="201" ht="22.5" customHeight="1">
      <c r="A201" s="10">
        <v>46257.11686189815</v>
      </c>
      <c r="B201" s="11" t="s">
        <v>1256</v>
      </c>
      <c r="C201" s="11" t="s">
        <v>173</v>
      </c>
      <c r="D201" s="11" t="s">
        <v>68</v>
      </c>
      <c r="E201" s="12">
        <v>46257.0</v>
      </c>
      <c r="F201" s="12">
        <v>46288.0</v>
      </c>
      <c r="G201" s="11" t="s">
        <v>1257</v>
      </c>
      <c r="H201" s="11">
        <v>6.204997986E9</v>
      </c>
      <c r="I201" s="11" t="s">
        <v>82</v>
      </c>
      <c r="J201" s="11" t="s">
        <v>71</v>
      </c>
      <c r="K201" s="11" t="s">
        <v>72</v>
      </c>
      <c r="L201" s="11" t="s">
        <v>73</v>
      </c>
      <c r="M201" s="11" t="s">
        <v>560</v>
      </c>
      <c r="N201" s="11" t="s">
        <v>226</v>
      </c>
      <c r="O201" s="11" t="s">
        <v>71</v>
      </c>
      <c r="P201" s="11" t="s">
        <v>1258</v>
      </c>
      <c r="Q201" s="13" t="s">
        <v>1259</v>
      </c>
      <c r="R201" s="14" t="str">
        <f>HYPERLINK("https://drive.google.com/file/d/1nSLnwFBZNuHdmh7PcT1NpqPTTThUmOhZ/view?usp=drivesdk","OFFER LETTER")</f>
        <v>OFFER LETTER</v>
      </c>
      <c r="S201" s="11" t="s">
        <v>1260</v>
      </c>
    </row>
    <row r="202" ht="22.5" customHeight="1">
      <c r="A202" s="10">
        <v>46257.12754310185</v>
      </c>
      <c r="B202" s="11" t="s">
        <v>1261</v>
      </c>
      <c r="C202" s="11" t="s">
        <v>195</v>
      </c>
      <c r="D202" s="11" t="s">
        <v>68</v>
      </c>
      <c r="E202" s="12">
        <v>46254.0</v>
      </c>
      <c r="F202" s="12">
        <v>46254.0</v>
      </c>
      <c r="G202" s="11" t="s">
        <v>1262</v>
      </c>
      <c r="H202" s="17" t="s">
        <v>1263</v>
      </c>
      <c r="I202" s="11" t="s">
        <v>70</v>
      </c>
      <c r="J202" s="11" t="s">
        <v>71</v>
      </c>
      <c r="K202" s="11" t="s">
        <v>167</v>
      </c>
      <c r="L202" s="11" t="s">
        <v>247</v>
      </c>
      <c r="M202" s="11" t="s">
        <v>1264</v>
      </c>
      <c r="N202" s="11" t="s">
        <v>241</v>
      </c>
      <c r="O202" s="11" t="s">
        <v>71</v>
      </c>
      <c r="P202" s="11" t="s">
        <v>1265</v>
      </c>
      <c r="Q202" s="13" t="s">
        <v>1266</v>
      </c>
      <c r="R202" s="14" t="str">
        <f>HYPERLINK("https://drive.google.com/file/d/1Hv-HW7nQienol4PVmd07LR46Koy_5GT-/view?usp=drivesdk","OFFER LETTER")</f>
        <v>OFFER LETTER</v>
      </c>
      <c r="S202" s="11" t="s">
        <v>1267</v>
      </c>
    </row>
    <row r="203" ht="22.5" customHeight="1">
      <c r="A203" s="10">
        <v>46257.30907998842</v>
      </c>
      <c r="B203" s="11" t="s">
        <v>1268</v>
      </c>
      <c r="C203" s="11" t="s">
        <v>195</v>
      </c>
      <c r="D203" s="11" t="s">
        <v>68</v>
      </c>
      <c r="E203" s="12">
        <v>46259.0</v>
      </c>
      <c r="F203" s="12">
        <v>46290.0</v>
      </c>
      <c r="G203" s="11" t="s">
        <v>1269</v>
      </c>
      <c r="H203" s="11">
        <v>7.060862574E9</v>
      </c>
      <c r="I203" s="11" t="s">
        <v>82</v>
      </c>
      <c r="J203" s="11" t="s">
        <v>71</v>
      </c>
      <c r="K203" s="11" t="s">
        <v>72</v>
      </c>
      <c r="L203" s="11" t="s">
        <v>84</v>
      </c>
      <c r="M203" s="11" t="s">
        <v>1270</v>
      </c>
      <c r="N203" s="11" t="s">
        <v>655</v>
      </c>
      <c r="O203" s="11" t="s">
        <v>71</v>
      </c>
      <c r="P203" s="11" t="s">
        <v>1271</v>
      </c>
      <c r="Q203" s="13" t="s">
        <v>1272</v>
      </c>
      <c r="R203" s="14" t="str">
        <f>HYPERLINK("https://drive.google.com/file/d/1uUmlAB6zslgi3acRxYmxEJzATADeF1Et/view?usp=drivesdk","OFFER LETTER")</f>
        <v>OFFER LETTER</v>
      </c>
      <c r="S203" s="11" t="s">
        <v>1273</v>
      </c>
    </row>
    <row r="204" ht="22.5" customHeight="1">
      <c r="A204" s="10">
        <v>46257.31429292824</v>
      </c>
      <c r="B204" s="11" t="s">
        <v>1268</v>
      </c>
      <c r="C204" s="11" t="s">
        <v>195</v>
      </c>
      <c r="D204" s="11" t="s">
        <v>68</v>
      </c>
      <c r="E204" s="12">
        <v>46259.0</v>
      </c>
      <c r="F204" s="12">
        <v>46290.0</v>
      </c>
      <c r="G204" s="11" t="s">
        <v>1269</v>
      </c>
      <c r="H204" s="11">
        <v>7.060862574E9</v>
      </c>
      <c r="I204" s="11" t="s">
        <v>82</v>
      </c>
      <c r="J204" s="11" t="s">
        <v>71</v>
      </c>
      <c r="K204" s="11" t="s">
        <v>72</v>
      </c>
      <c r="L204" s="11" t="s">
        <v>84</v>
      </c>
      <c r="M204" s="11" t="s">
        <v>1270</v>
      </c>
      <c r="N204" s="11" t="s">
        <v>655</v>
      </c>
      <c r="O204" s="11" t="s">
        <v>71</v>
      </c>
      <c r="P204" s="11" t="s">
        <v>1274</v>
      </c>
      <c r="Q204" s="13" t="s">
        <v>1275</v>
      </c>
      <c r="R204" s="14" t="str">
        <f>HYPERLINK("https://drive.google.com/file/d/1EFRi_gu8hPwQrZDPxy1StBNTT6tdyzOi/view?usp=drivesdk","OFFER LETTER")</f>
        <v>OFFER LETTER</v>
      </c>
      <c r="S204" s="11" t="s">
        <v>1276</v>
      </c>
    </row>
    <row r="205" ht="22.5" customHeight="1">
      <c r="A205" s="10">
        <v>46257.340545486106</v>
      </c>
      <c r="B205" s="11" t="s">
        <v>1277</v>
      </c>
      <c r="C205" s="11" t="s">
        <v>80</v>
      </c>
      <c r="D205" s="11" t="s">
        <v>68</v>
      </c>
      <c r="E205" s="12">
        <v>46257.0</v>
      </c>
      <c r="F205" s="12">
        <v>46288.0</v>
      </c>
      <c r="G205" s="11" t="s">
        <v>1278</v>
      </c>
      <c r="H205" s="11">
        <v>9.0436561E9</v>
      </c>
      <c r="I205" s="11" t="s">
        <v>82</v>
      </c>
      <c r="J205" s="11" t="s">
        <v>71</v>
      </c>
      <c r="K205" s="11" t="s">
        <v>72</v>
      </c>
      <c r="L205" s="11" t="s">
        <v>84</v>
      </c>
      <c r="M205" s="11" t="s">
        <v>1279</v>
      </c>
      <c r="N205" s="11" t="s">
        <v>241</v>
      </c>
      <c r="O205" s="11" t="s">
        <v>71</v>
      </c>
      <c r="P205" s="11" t="s">
        <v>1280</v>
      </c>
      <c r="Q205" s="13" t="s">
        <v>1281</v>
      </c>
      <c r="R205" s="14" t="str">
        <f>HYPERLINK("https://drive.google.com/file/d/1KSMOCsQldeGKWcWZI0EiYuJoGOH87tBX/view?usp=drivesdk","OFFER LETTER")</f>
        <v>OFFER LETTER</v>
      </c>
      <c r="S205" s="11" t="s">
        <v>1282</v>
      </c>
    </row>
    <row r="206" ht="22.5" customHeight="1">
      <c r="A206" s="10">
        <v>46257.34239658565</v>
      </c>
      <c r="B206" s="11" t="s">
        <v>1283</v>
      </c>
      <c r="C206" s="11" t="s">
        <v>80</v>
      </c>
      <c r="D206" s="11" t="s">
        <v>68</v>
      </c>
      <c r="E206" s="12">
        <v>46257.0</v>
      </c>
      <c r="F206" s="12">
        <v>46288.0</v>
      </c>
      <c r="G206" s="11" t="s">
        <v>1278</v>
      </c>
      <c r="H206" s="11">
        <v>9.0436561E9</v>
      </c>
      <c r="I206" s="11" t="s">
        <v>82</v>
      </c>
      <c r="J206" s="11" t="s">
        <v>71</v>
      </c>
      <c r="K206" s="11" t="s">
        <v>72</v>
      </c>
      <c r="L206" s="11" t="s">
        <v>84</v>
      </c>
      <c r="M206" s="11" t="s">
        <v>1279</v>
      </c>
      <c r="N206" s="11" t="s">
        <v>241</v>
      </c>
      <c r="O206" s="11" t="s">
        <v>71</v>
      </c>
      <c r="P206" s="11" t="s">
        <v>1284</v>
      </c>
      <c r="Q206" s="13" t="s">
        <v>1285</v>
      </c>
      <c r="R206" s="14" t="str">
        <f>HYPERLINK("https://drive.google.com/file/d/1aFK0YuIv-x_dHC6EkZoyf8ebwy9Rwgfv/view?usp=drivesdk","OFFER LETTER")</f>
        <v>OFFER LETTER</v>
      </c>
      <c r="S206" s="11" t="s">
        <v>1286</v>
      </c>
    </row>
    <row r="207" ht="22.5" customHeight="1">
      <c r="A207" s="10">
        <v>46257.37059445602</v>
      </c>
      <c r="B207" s="11" t="s">
        <v>1287</v>
      </c>
      <c r="C207" s="11" t="s">
        <v>80</v>
      </c>
      <c r="D207" s="11" t="s">
        <v>68</v>
      </c>
      <c r="E207" s="12">
        <v>46223.0</v>
      </c>
      <c r="F207" s="12">
        <v>46254.0</v>
      </c>
      <c r="G207" s="11" t="s">
        <v>1288</v>
      </c>
      <c r="H207" s="11">
        <v>9.685733544E9</v>
      </c>
      <c r="I207" s="11" t="s">
        <v>82</v>
      </c>
      <c r="J207" s="11" t="s">
        <v>71</v>
      </c>
      <c r="K207" s="11" t="s">
        <v>1028</v>
      </c>
      <c r="L207" s="11" t="s">
        <v>84</v>
      </c>
      <c r="M207" s="11" t="s">
        <v>1289</v>
      </c>
      <c r="N207" s="11" t="s">
        <v>198</v>
      </c>
      <c r="O207" s="11" t="s">
        <v>71</v>
      </c>
      <c r="P207" s="11" t="s">
        <v>1290</v>
      </c>
      <c r="Q207" s="13" t="s">
        <v>1291</v>
      </c>
      <c r="R207" s="14" t="str">
        <f>HYPERLINK("https://drive.google.com/file/d/1xAdvYjTAP_ItEjwKprG0g-Z0xhT90zlZ/view?usp=drivesdk","OFFER LETTER")</f>
        <v>OFFER LETTER</v>
      </c>
      <c r="S207" s="11" t="s">
        <v>1292</v>
      </c>
    </row>
    <row r="208" ht="22.5" customHeight="1">
      <c r="A208" s="10">
        <v>46257.38038137731</v>
      </c>
      <c r="B208" s="11" t="s">
        <v>1293</v>
      </c>
      <c r="C208" s="11" t="s">
        <v>237</v>
      </c>
      <c r="D208" s="11" t="s">
        <v>68</v>
      </c>
      <c r="E208" s="12">
        <v>46247.0</v>
      </c>
      <c r="F208" s="12">
        <v>46278.0</v>
      </c>
      <c r="G208" s="11" t="s">
        <v>1294</v>
      </c>
      <c r="H208" s="11">
        <v>8.168727927E9</v>
      </c>
      <c r="I208" s="11" t="s">
        <v>82</v>
      </c>
      <c r="J208" s="11" t="s">
        <v>71</v>
      </c>
      <c r="K208" s="11" t="s">
        <v>72</v>
      </c>
      <c r="L208" s="11" t="s">
        <v>84</v>
      </c>
      <c r="M208" s="11" t="s">
        <v>301</v>
      </c>
      <c r="N208" s="11" t="s">
        <v>198</v>
      </c>
      <c r="O208" s="11" t="s">
        <v>71</v>
      </c>
      <c r="P208" s="11" t="s">
        <v>1295</v>
      </c>
      <c r="Q208" s="13" t="s">
        <v>1296</v>
      </c>
      <c r="R208" s="14" t="str">
        <f>HYPERLINK("https://drive.google.com/file/d/1uuQ8aO1-IEA6nZK1XdAofVxJYfLXD8Lc/view?usp=drivesdk","OFFER LETTER")</f>
        <v>OFFER LETTER</v>
      </c>
      <c r="S208" s="11" t="s">
        <v>1297</v>
      </c>
    </row>
    <row r="209" ht="22.5" customHeight="1">
      <c r="A209" s="10">
        <v>46257.39158401621</v>
      </c>
      <c r="B209" s="11" t="s">
        <v>646</v>
      </c>
      <c r="C209" s="11" t="s">
        <v>128</v>
      </c>
      <c r="D209" s="11" t="s">
        <v>68</v>
      </c>
      <c r="E209" s="12">
        <v>46257.0</v>
      </c>
      <c r="F209" s="12">
        <v>46288.0</v>
      </c>
      <c r="G209" s="11" t="s">
        <v>647</v>
      </c>
      <c r="H209" s="11">
        <v>8.318895781E9</v>
      </c>
      <c r="I209" s="11" t="s">
        <v>82</v>
      </c>
      <c r="J209" s="11" t="s">
        <v>83</v>
      </c>
      <c r="K209" s="11" t="s">
        <v>72</v>
      </c>
      <c r="L209" s="11" t="s">
        <v>84</v>
      </c>
      <c r="M209" s="11" t="s">
        <v>648</v>
      </c>
      <c r="N209" s="11" t="s">
        <v>86</v>
      </c>
      <c r="O209" s="11" t="s">
        <v>71</v>
      </c>
      <c r="P209" s="11" t="s">
        <v>1298</v>
      </c>
      <c r="Q209" s="13" t="s">
        <v>1299</v>
      </c>
      <c r="R209" s="14" t="str">
        <f>HYPERLINK("https://drive.google.com/file/d/1rteDbCAQAVxS5yUduYN5j7qfmAVxK0X1/view?usp=drivesdk","OFFER LETTER")</f>
        <v>OFFER LETTER</v>
      </c>
      <c r="S209" s="11" t="s">
        <v>1300</v>
      </c>
    </row>
    <row r="210" ht="22.5" customHeight="1">
      <c r="A210" s="10">
        <v>46257.3992496412</v>
      </c>
      <c r="B210" s="11" t="s">
        <v>1301</v>
      </c>
      <c r="C210" s="11" t="s">
        <v>195</v>
      </c>
      <c r="D210" s="11" t="s">
        <v>68</v>
      </c>
      <c r="E210" s="12">
        <v>46257.0</v>
      </c>
      <c r="F210" s="12">
        <v>46288.0</v>
      </c>
      <c r="G210" s="11" t="s">
        <v>1302</v>
      </c>
      <c r="H210" s="11">
        <v>8.423684806E9</v>
      </c>
      <c r="I210" s="11" t="s">
        <v>82</v>
      </c>
      <c r="J210" s="11" t="s">
        <v>71</v>
      </c>
      <c r="K210" s="11" t="s">
        <v>72</v>
      </c>
      <c r="L210" s="11" t="s">
        <v>131</v>
      </c>
      <c r="M210" s="11" t="s">
        <v>1303</v>
      </c>
      <c r="N210" s="11" t="s">
        <v>241</v>
      </c>
      <c r="O210" s="11" t="s">
        <v>71</v>
      </c>
      <c r="P210" s="11" t="s">
        <v>1304</v>
      </c>
      <c r="Q210" s="13" t="s">
        <v>1305</v>
      </c>
      <c r="R210" s="14" t="str">
        <f>HYPERLINK("https://drive.google.com/file/d/1W-3u4Y7A8deDZ40pemHIGkVlU20-q2-Z/view?usp=drivesdk","OFFER LETTER")</f>
        <v>OFFER LETTER</v>
      </c>
      <c r="S210" s="11" t="s">
        <v>1306</v>
      </c>
    </row>
    <row r="211" ht="22.5" customHeight="1">
      <c r="A211" s="10">
        <v>46257.40292479166</v>
      </c>
      <c r="B211" s="11" t="s">
        <v>1307</v>
      </c>
      <c r="C211" s="11" t="s">
        <v>107</v>
      </c>
      <c r="D211" s="11" t="s">
        <v>238</v>
      </c>
      <c r="E211" s="12">
        <v>46257.0</v>
      </c>
      <c r="F211" s="12">
        <v>46349.0</v>
      </c>
      <c r="G211" s="11" t="s">
        <v>1308</v>
      </c>
      <c r="H211" s="11">
        <v>8.176952723E9</v>
      </c>
      <c r="I211" s="11" t="s">
        <v>82</v>
      </c>
      <c r="J211" s="11" t="s">
        <v>71</v>
      </c>
      <c r="K211" s="11" t="s">
        <v>72</v>
      </c>
      <c r="L211" s="11" t="s">
        <v>131</v>
      </c>
      <c r="M211" s="11" t="s">
        <v>1309</v>
      </c>
      <c r="N211" s="11" t="s">
        <v>86</v>
      </c>
      <c r="O211" s="11" t="s">
        <v>71</v>
      </c>
      <c r="P211" s="11" t="s">
        <v>1310</v>
      </c>
      <c r="Q211" s="13" t="s">
        <v>1311</v>
      </c>
      <c r="R211" s="14" t="str">
        <f>HYPERLINK("https://drive.google.com/file/d/19XjMmmborxE4DwBj0rGf9Bs0zG62Obca/view?usp=drivesdk","OFFER LETTER")</f>
        <v>OFFER LETTER</v>
      </c>
      <c r="S211" s="11" t="s">
        <v>1312</v>
      </c>
    </row>
    <row r="212" ht="22.5" customHeight="1">
      <c r="A212" s="10">
        <v>46257.42167614584</v>
      </c>
      <c r="B212" s="11" t="s">
        <v>1313</v>
      </c>
      <c r="C212" s="11" t="s">
        <v>80</v>
      </c>
      <c r="D212" s="11" t="s">
        <v>68</v>
      </c>
      <c r="E212" s="12">
        <v>46257.0</v>
      </c>
      <c r="F212" s="12">
        <v>46288.0</v>
      </c>
      <c r="G212" s="11" t="s">
        <v>1314</v>
      </c>
      <c r="H212" s="11">
        <v>7.82768651E9</v>
      </c>
      <c r="I212" s="11" t="s">
        <v>70</v>
      </c>
      <c r="J212" s="11" t="s">
        <v>71</v>
      </c>
      <c r="K212" s="11" t="s">
        <v>72</v>
      </c>
      <c r="L212" s="11" t="s">
        <v>73</v>
      </c>
      <c r="M212" s="11" t="s">
        <v>1315</v>
      </c>
      <c r="N212" s="11" t="s">
        <v>86</v>
      </c>
      <c r="O212" s="11" t="s">
        <v>71</v>
      </c>
      <c r="P212" s="11" t="s">
        <v>1316</v>
      </c>
      <c r="Q212" s="13" t="s">
        <v>1317</v>
      </c>
      <c r="R212" s="14" t="str">
        <f>HYPERLINK("https://drive.google.com/file/d/10bM3X6Wu_8Qj_qgPuHSbZ6Z9i8Ye544E/view?usp=drivesdk","OFFER LETTER")</f>
        <v>OFFER LETTER</v>
      </c>
      <c r="S212" s="11" t="s">
        <v>1318</v>
      </c>
    </row>
    <row r="213" ht="22.5" customHeight="1">
      <c r="A213" s="10">
        <v>46257.42586210648</v>
      </c>
      <c r="B213" s="11" t="s">
        <v>1319</v>
      </c>
      <c r="C213" s="11" t="s">
        <v>1320</v>
      </c>
      <c r="D213" s="11" t="s">
        <v>68</v>
      </c>
      <c r="E213" s="12">
        <v>46223.0</v>
      </c>
      <c r="F213" s="12">
        <v>46254.0</v>
      </c>
      <c r="G213" s="11" t="s">
        <v>1321</v>
      </c>
      <c r="H213" s="11">
        <v>8.707405512E9</v>
      </c>
      <c r="I213" s="11" t="s">
        <v>70</v>
      </c>
      <c r="J213" s="11" t="s">
        <v>71</v>
      </c>
      <c r="K213" s="11" t="s">
        <v>356</v>
      </c>
      <c r="L213" s="11" t="s">
        <v>84</v>
      </c>
      <c r="M213" s="11" t="s">
        <v>1322</v>
      </c>
      <c r="N213" s="11" t="s">
        <v>1323</v>
      </c>
      <c r="O213" s="11" t="s">
        <v>71</v>
      </c>
      <c r="P213" s="11" t="s">
        <v>1324</v>
      </c>
      <c r="Q213" s="13" t="s">
        <v>1325</v>
      </c>
      <c r="R213" s="14" t="str">
        <f>HYPERLINK("https://drive.google.com/file/d/1n2Mjn2TK5_aSkct1pS3ng7gb7GRXHjtM/view?usp=drivesdk","OFFER LETTER")</f>
        <v>OFFER LETTER</v>
      </c>
      <c r="S213" s="11" t="s">
        <v>1326</v>
      </c>
    </row>
    <row r="214" ht="22.5" customHeight="1">
      <c r="A214" s="10">
        <v>46257.448654444444</v>
      </c>
      <c r="B214" s="11" t="s">
        <v>1327</v>
      </c>
      <c r="C214" s="11" t="s">
        <v>259</v>
      </c>
      <c r="D214" s="11" t="s">
        <v>68</v>
      </c>
      <c r="E214" s="12">
        <v>46206.0</v>
      </c>
      <c r="F214" s="12">
        <v>46239.0</v>
      </c>
      <c r="G214" s="11" t="s">
        <v>1328</v>
      </c>
      <c r="H214" s="17" t="s">
        <v>1329</v>
      </c>
      <c r="I214" s="11" t="s">
        <v>82</v>
      </c>
      <c r="J214" s="11" t="s">
        <v>83</v>
      </c>
      <c r="K214" s="11" t="s">
        <v>167</v>
      </c>
      <c r="L214" s="11" t="s">
        <v>73</v>
      </c>
      <c r="M214" s="11" t="s">
        <v>1330</v>
      </c>
      <c r="N214" s="11" t="s">
        <v>86</v>
      </c>
      <c r="O214" s="11" t="s">
        <v>71</v>
      </c>
      <c r="P214" s="11" t="s">
        <v>1331</v>
      </c>
      <c r="Q214" s="13" t="s">
        <v>1332</v>
      </c>
      <c r="R214" s="14" t="str">
        <f>HYPERLINK("https://drive.google.com/file/d/1seICD6AKFTIyV0bNTnx--EX8o-rVPC3e/view?usp=drivesdk","OFFER LETTER")</f>
        <v>OFFER LETTER</v>
      </c>
      <c r="S214" s="11" t="s">
        <v>1333</v>
      </c>
    </row>
    <row r="215" ht="22.5" customHeight="1">
      <c r="A215" s="10">
        <v>46257.45714255787</v>
      </c>
      <c r="B215" s="11" t="s">
        <v>1334</v>
      </c>
      <c r="C215" s="11" t="s">
        <v>259</v>
      </c>
      <c r="D215" s="11" t="s">
        <v>68</v>
      </c>
      <c r="E215" s="12">
        <v>46266.0</v>
      </c>
      <c r="F215" s="12">
        <v>46296.0</v>
      </c>
      <c r="G215" s="11" t="s">
        <v>1335</v>
      </c>
      <c r="H215" s="17" t="s">
        <v>1336</v>
      </c>
      <c r="I215" s="11" t="s">
        <v>82</v>
      </c>
      <c r="J215" s="11" t="s">
        <v>71</v>
      </c>
      <c r="K215" s="11" t="s">
        <v>110</v>
      </c>
      <c r="L215" s="11" t="s">
        <v>73</v>
      </c>
      <c r="M215" s="11" t="s">
        <v>1337</v>
      </c>
      <c r="N215" s="11" t="s">
        <v>75</v>
      </c>
      <c r="O215" s="11" t="s">
        <v>263</v>
      </c>
      <c r="P215" s="11" t="s">
        <v>1338</v>
      </c>
      <c r="Q215" s="13" t="s">
        <v>1339</v>
      </c>
      <c r="R215" s="14" t="str">
        <f>HYPERLINK("https://drive.google.com/file/d/1LYnYu7Q4phKYap_UXp8Eqlxxa56pfpbB/view?usp=drivesdk","OFFER LETTER")</f>
        <v>OFFER LETTER</v>
      </c>
      <c r="S215" s="11" t="s">
        <v>1340</v>
      </c>
    </row>
    <row r="216" ht="22.5" customHeight="1">
      <c r="A216" s="10">
        <v>46257.4615606713</v>
      </c>
      <c r="B216" s="11" t="s">
        <v>1341</v>
      </c>
      <c r="C216" s="11" t="s">
        <v>80</v>
      </c>
      <c r="D216" s="11" t="s">
        <v>68</v>
      </c>
      <c r="E216" s="12">
        <v>46258.0</v>
      </c>
      <c r="F216" s="12">
        <v>46289.0</v>
      </c>
      <c r="G216" s="11" t="s">
        <v>1342</v>
      </c>
      <c r="H216" s="11">
        <v>8.320206764E9</v>
      </c>
      <c r="I216" s="11" t="s">
        <v>82</v>
      </c>
      <c r="J216" s="11" t="s">
        <v>71</v>
      </c>
      <c r="K216" s="11" t="s">
        <v>72</v>
      </c>
      <c r="L216" s="11" t="s">
        <v>247</v>
      </c>
      <c r="M216" s="11" t="s">
        <v>1343</v>
      </c>
      <c r="N216" s="11" t="s">
        <v>75</v>
      </c>
      <c r="O216" s="11" t="s">
        <v>71</v>
      </c>
      <c r="P216" s="11" t="s">
        <v>1344</v>
      </c>
      <c r="Q216" s="13" t="s">
        <v>1345</v>
      </c>
      <c r="R216" s="14" t="str">
        <f>HYPERLINK("https://drive.google.com/file/d/14IuqSPEe-HUqne8KVM17NYUcmlyjPdYu/view?usp=drivesdk","OFFER LETTER")</f>
        <v>OFFER LETTER</v>
      </c>
      <c r="S216" s="11" t="s">
        <v>1346</v>
      </c>
    </row>
    <row r="217" ht="22.5" customHeight="1">
      <c r="A217" s="10">
        <v>46257.47208934028</v>
      </c>
      <c r="B217" s="11" t="s">
        <v>1347</v>
      </c>
      <c r="C217" s="11" t="s">
        <v>298</v>
      </c>
      <c r="D217" s="11" t="s">
        <v>68</v>
      </c>
      <c r="E217" s="12">
        <v>46207.0</v>
      </c>
      <c r="F217" s="12">
        <v>46238.0</v>
      </c>
      <c r="G217" s="11" t="s">
        <v>1348</v>
      </c>
      <c r="H217" s="11">
        <v>8.948188916E9</v>
      </c>
      <c r="I217" s="11" t="s">
        <v>82</v>
      </c>
      <c r="J217" s="11" t="s">
        <v>130</v>
      </c>
      <c r="K217" s="11" t="s">
        <v>72</v>
      </c>
      <c r="L217" s="11" t="s">
        <v>84</v>
      </c>
      <c r="M217" s="11" t="s">
        <v>849</v>
      </c>
      <c r="N217" s="11" t="s">
        <v>86</v>
      </c>
      <c r="O217" s="11" t="s">
        <v>71</v>
      </c>
      <c r="P217" s="11" t="s">
        <v>1349</v>
      </c>
      <c r="Q217" s="13" t="s">
        <v>1350</v>
      </c>
      <c r="R217" s="14" t="str">
        <f>HYPERLINK("https://drive.google.com/file/d/1MSCqOkl60_azo9mQ4NbfFdAemX4pyAOn/view?usp=drivesdk","OFFER LETTER")</f>
        <v>OFFER LETTER</v>
      </c>
      <c r="S217" s="11" t="s">
        <v>1351</v>
      </c>
    </row>
    <row r="218" ht="22.5" customHeight="1">
      <c r="A218" s="10">
        <v>46257.47407085648</v>
      </c>
      <c r="B218" s="11" t="s">
        <v>1352</v>
      </c>
      <c r="C218" s="11" t="s">
        <v>195</v>
      </c>
      <c r="D218" s="11" t="s">
        <v>108</v>
      </c>
      <c r="E218" s="12">
        <v>46258.0</v>
      </c>
      <c r="F218" s="12">
        <v>46325.0</v>
      </c>
      <c r="G218" s="11" t="s">
        <v>1353</v>
      </c>
      <c r="H218" s="11">
        <v>7.499496042E9</v>
      </c>
      <c r="I218" s="11" t="s">
        <v>70</v>
      </c>
      <c r="J218" s="11" t="s">
        <v>71</v>
      </c>
      <c r="K218" s="11" t="s">
        <v>72</v>
      </c>
      <c r="L218" s="11" t="s">
        <v>73</v>
      </c>
      <c r="M218" s="11" t="s">
        <v>1354</v>
      </c>
      <c r="N218" s="11" t="s">
        <v>86</v>
      </c>
      <c r="O218" s="11" t="s">
        <v>71</v>
      </c>
      <c r="P218" s="11" t="s">
        <v>1355</v>
      </c>
      <c r="Q218" s="13" t="s">
        <v>1356</v>
      </c>
      <c r="R218" s="14" t="str">
        <f>HYPERLINK("https://drive.google.com/file/d/1gbjeqcMum4SBSV8oy601E4gVeYwgci0i/view?usp=drivesdk","OFFER LETTER")</f>
        <v>OFFER LETTER</v>
      </c>
      <c r="S218" s="11" t="s">
        <v>1357</v>
      </c>
    </row>
    <row r="219" ht="22.5" customHeight="1">
      <c r="A219" s="10">
        <v>46257.47548842593</v>
      </c>
      <c r="B219" s="11" t="s">
        <v>1358</v>
      </c>
      <c r="C219" s="11" t="s">
        <v>128</v>
      </c>
      <c r="D219" s="11" t="s">
        <v>68</v>
      </c>
      <c r="E219" s="12">
        <v>46257.0</v>
      </c>
      <c r="F219" s="12">
        <v>46288.0</v>
      </c>
      <c r="G219" s="11" t="s">
        <v>1359</v>
      </c>
      <c r="H219" s="11">
        <v>6.36638536E9</v>
      </c>
      <c r="I219" s="11" t="s">
        <v>82</v>
      </c>
      <c r="J219" s="11" t="s">
        <v>71</v>
      </c>
      <c r="K219" s="11" t="s">
        <v>72</v>
      </c>
      <c r="L219" s="11" t="s">
        <v>247</v>
      </c>
      <c r="M219" s="11" t="s">
        <v>1360</v>
      </c>
      <c r="N219" s="11" t="s">
        <v>241</v>
      </c>
      <c r="O219" s="11" t="s">
        <v>71</v>
      </c>
      <c r="P219" s="11" t="s">
        <v>1361</v>
      </c>
      <c r="Q219" s="13" t="s">
        <v>1362</v>
      </c>
      <c r="R219" s="14" t="str">
        <f>HYPERLINK("https://drive.google.com/file/d/1VfxiaLclD1xiwEnL9JHWxD88MYo2ygHa/view?usp=drivesdk","OFFER LETTER")</f>
        <v>OFFER LETTER</v>
      </c>
      <c r="S219" s="11" t="s">
        <v>1363</v>
      </c>
    </row>
    <row r="220" ht="22.5" customHeight="1">
      <c r="A220" s="10">
        <v>46257.47557083333</v>
      </c>
      <c r="B220" s="11" t="s">
        <v>1364</v>
      </c>
      <c r="C220" s="11" t="s">
        <v>128</v>
      </c>
      <c r="D220" s="11" t="s">
        <v>68</v>
      </c>
      <c r="E220" s="12">
        <v>46257.0</v>
      </c>
      <c r="F220" s="12">
        <v>46288.0</v>
      </c>
      <c r="G220" s="11" t="s">
        <v>1365</v>
      </c>
      <c r="H220" s="11">
        <v>8.073033745E9</v>
      </c>
      <c r="I220" s="11" t="s">
        <v>70</v>
      </c>
      <c r="J220" s="11" t="s">
        <v>71</v>
      </c>
      <c r="K220" s="11" t="s">
        <v>72</v>
      </c>
      <c r="L220" s="11" t="s">
        <v>73</v>
      </c>
      <c r="M220" s="11" t="s">
        <v>1366</v>
      </c>
      <c r="N220" s="11" t="s">
        <v>75</v>
      </c>
      <c r="O220" s="11" t="s">
        <v>71</v>
      </c>
      <c r="P220" s="11" t="s">
        <v>1367</v>
      </c>
      <c r="Q220" s="13" t="s">
        <v>1368</v>
      </c>
      <c r="R220" s="14" t="str">
        <f>HYPERLINK("https://drive.google.com/file/d/1YnMHEC_ts0etaYlOm44LlWSwOOFnACHT/view?usp=drivesdk","OFFER LETTER")</f>
        <v>OFFER LETTER</v>
      </c>
      <c r="S220" s="11" t="s">
        <v>1369</v>
      </c>
    </row>
    <row r="221" ht="22.5" customHeight="1">
      <c r="A221" s="10">
        <v>46257.4762453125</v>
      </c>
      <c r="B221" s="11" t="s">
        <v>1370</v>
      </c>
      <c r="C221" s="11" t="s">
        <v>596</v>
      </c>
      <c r="D221" s="11" t="s">
        <v>68</v>
      </c>
      <c r="E221" s="12">
        <v>46262.0</v>
      </c>
      <c r="F221" s="12">
        <v>46262.0</v>
      </c>
      <c r="G221" s="11" t="s">
        <v>1371</v>
      </c>
      <c r="H221" s="11">
        <v>7.736712269E9</v>
      </c>
      <c r="I221" s="11" t="s">
        <v>70</v>
      </c>
      <c r="J221" s="11" t="s">
        <v>71</v>
      </c>
      <c r="K221" s="11" t="s">
        <v>72</v>
      </c>
      <c r="L221" s="11" t="s">
        <v>84</v>
      </c>
      <c r="M221" s="11" t="s">
        <v>1372</v>
      </c>
      <c r="N221" s="11" t="s">
        <v>241</v>
      </c>
      <c r="O221" s="11" t="s">
        <v>71</v>
      </c>
      <c r="P221" s="11" t="s">
        <v>1373</v>
      </c>
      <c r="Q221" s="13" t="s">
        <v>1374</v>
      </c>
      <c r="R221" s="14" t="str">
        <f>HYPERLINK("https://drive.google.com/file/d/1uWQpbF0HgWhLvX2bgTF7aVh_Y9cds22W/view?usp=drivesdk","OFFER LETTER")</f>
        <v>OFFER LETTER</v>
      </c>
      <c r="S221" s="11" t="s">
        <v>1375</v>
      </c>
    </row>
    <row r="222" ht="22.5" customHeight="1">
      <c r="A222" s="10">
        <v>46257.47807846065</v>
      </c>
      <c r="B222" s="11" t="s">
        <v>1370</v>
      </c>
      <c r="C222" s="11" t="s">
        <v>596</v>
      </c>
      <c r="D222" s="11" t="s">
        <v>68</v>
      </c>
      <c r="E222" s="12">
        <v>46262.0</v>
      </c>
      <c r="F222" s="12">
        <v>46293.0</v>
      </c>
      <c r="G222" s="11" t="s">
        <v>1371</v>
      </c>
      <c r="H222" s="11">
        <v>7.736712269E9</v>
      </c>
      <c r="I222" s="11" t="s">
        <v>70</v>
      </c>
      <c r="J222" s="11" t="s">
        <v>71</v>
      </c>
      <c r="K222" s="11" t="s">
        <v>72</v>
      </c>
      <c r="L222" s="11" t="s">
        <v>84</v>
      </c>
      <c r="M222" s="11" t="s">
        <v>1372</v>
      </c>
      <c r="N222" s="11" t="s">
        <v>241</v>
      </c>
      <c r="O222" s="11" t="s">
        <v>71</v>
      </c>
      <c r="P222" s="11" t="s">
        <v>1376</v>
      </c>
      <c r="Q222" s="13" t="s">
        <v>1377</v>
      </c>
      <c r="R222" s="14" t="str">
        <f>HYPERLINK("https://drive.google.com/file/d/1VfSxWRMEq813LLr4_CM3icW-LJmJ6NyN/view?usp=drivesdk","OFFER LETTER")</f>
        <v>OFFER LETTER</v>
      </c>
      <c r="S222" s="11" t="s">
        <v>1378</v>
      </c>
    </row>
    <row r="223" ht="22.5" customHeight="1">
      <c r="A223" s="10">
        <v>46257.47941641204</v>
      </c>
      <c r="B223" s="11" t="s">
        <v>1379</v>
      </c>
      <c r="C223" s="11" t="s">
        <v>128</v>
      </c>
      <c r="D223" s="11" t="s">
        <v>68</v>
      </c>
      <c r="E223" s="12">
        <v>46259.0</v>
      </c>
      <c r="F223" s="12">
        <v>46290.0</v>
      </c>
      <c r="G223" s="11" t="s">
        <v>1359</v>
      </c>
      <c r="H223" s="11">
        <v>6.36638536E9</v>
      </c>
      <c r="I223" s="11" t="s">
        <v>82</v>
      </c>
      <c r="J223" s="11" t="s">
        <v>71</v>
      </c>
      <c r="K223" s="11" t="s">
        <v>72</v>
      </c>
      <c r="L223" s="11" t="s">
        <v>247</v>
      </c>
      <c r="M223" s="11" t="s">
        <v>1360</v>
      </c>
      <c r="N223" s="11" t="s">
        <v>241</v>
      </c>
      <c r="O223" s="11" t="s">
        <v>71</v>
      </c>
      <c r="P223" s="11" t="s">
        <v>1380</v>
      </c>
      <c r="Q223" s="13" t="s">
        <v>1381</v>
      </c>
      <c r="R223" s="14" t="str">
        <f>HYPERLINK("https://drive.google.com/file/d/16jAQbMbw61rV1b2JcuwrikbliWWPVftT/view?usp=drivesdk","OFFER LETTER")</f>
        <v>OFFER LETTER</v>
      </c>
      <c r="S223" s="11" t="s">
        <v>1382</v>
      </c>
    </row>
    <row r="224" ht="22.5" customHeight="1">
      <c r="A224" s="10">
        <v>46257.48005155093</v>
      </c>
      <c r="B224" s="11" t="s">
        <v>1383</v>
      </c>
      <c r="C224" s="11" t="s">
        <v>195</v>
      </c>
      <c r="D224" s="11" t="s">
        <v>68</v>
      </c>
      <c r="E224" s="12">
        <v>46259.0</v>
      </c>
      <c r="F224" s="12">
        <v>46290.0</v>
      </c>
      <c r="G224" s="11" t="s">
        <v>1384</v>
      </c>
      <c r="H224" s="11">
        <v>8.439629151E9</v>
      </c>
      <c r="I224" s="11" t="s">
        <v>70</v>
      </c>
      <c r="J224" s="11" t="s">
        <v>83</v>
      </c>
      <c r="K224" s="11" t="s">
        <v>167</v>
      </c>
      <c r="L224" s="11" t="s">
        <v>357</v>
      </c>
      <c r="M224" s="11" t="s">
        <v>1385</v>
      </c>
      <c r="N224" s="11" t="s">
        <v>75</v>
      </c>
      <c r="O224" s="11" t="s">
        <v>71</v>
      </c>
      <c r="P224" s="11" t="s">
        <v>1386</v>
      </c>
      <c r="Q224" s="13" t="s">
        <v>1387</v>
      </c>
      <c r="R224" s="14" t="str">
        <f>HYPERLINK("https://drive.google.com/file/d/1tDA2un6ofqSGvczgfE61bs2LVqn6rny2/view?usp=drivesdk","OFFER LETTER")</f>
        <v>OFFER LETTER</v>
      </c>
      <c r="S224" s="11" t="s">
        <v>1388</v>
      </c>
    </row>
    <row r="225" ht="22.5" customHeight="1">
      <c r="A225" s="10">
        <v>46257.48065848379</v>
      </c>
      <c r="B225" s="11" t="s">
        <v>1389</v>
      </c>
      <c r="C225" s="11" t="s">
        <v>195</v>
      </c>
      <c r="D225" s="11" t="s">
        <v>68</v>
      </c>
      <c r="E225" s="12">
        <v>46257.0</v>
      </c>
      <c r="F225" s="12">
        <v>46288.0</v>
      </c>
      <c r="G225" s="11" t="s">
        <v>1390</v>
      </c>
      <c r="H225" s="11">
        <v>7.093842942E9</v>
      </c>
      <c r="I225" s="11" t="s">
        <v>82</v>
      </c>
      <c r="J225" s="11" t="s">
        <v>71</v>
      </c>
      <c r="K225" s="11" t="s">
        <v>72</v>
      </c>
      <c r="L225" s="11" t="s">
        <v>73</v>
      </c>
      <c r="M225" s="11" t="s">
        <v>1391</v>
      </c>
      <c r="N225" s="11" t="s">
        <v>75</v>
      </c>
      <c r="O225" s="11" t="s">
        <v>71</v>
      </c>
      <c r="P225" s="11" t="s">
        <v>1392</v>
      </c>
      <c r="Q225" s="13" t="s">
        <v>1393</v>
      </c>
      <c r="R225" s="14" t="str">
        <f>HYPERLINK("https://drive.google.com/file/d/1Uwrl-iB25xi743VVk_kjoiZWVOvWrvTP/view?usp=drivesdk","OFFER LETTER")</f>
        <v>OFFER LETTER</v>
      </c>
      <c r="S225" s="11" t="s">
        <v>1394</v>
      </c>
    </row>
    <row r="226" ht="22.5" customHeight="1">
      <c r="A226" s="10">
        <v>46257.48146407407</v>
      </c>
      <c r="B226" s="11" t="s">
        <v>1395</v>
      </c>
      <c r="C226" s="11" t="s">
        <v>237</v>
      </c>
      <c r="D226" s="11" t="s">
        <v>68</v>
      </c>
      <c r="E226" s="12">
        <v>46266.0</v>
      </c>
      <c r="F226" s="12">
        <v>46295.0</v>
      </c>
      <c r="G226" s="11" t="s">
        <v>1396</v>
      </c>
      <c r="H226" s="11">
        <v>8.050019125E9</v>
      </c>
      <c r="I226" s="11" t="s">
        <v>70</v>
      </c>
      <c r="J226" s="11" t="s">
        <v>71</v>
      </c>
      <c r="K226" s="11" t="s">
        <v>72</v>
      </c>
      <c r="L226" s="11" t="s">
        <v>247</v>
      </c>
      <c r="M226" s="11" t="s">
        <v>1397</v>
      </c>
      <c r="N226" s="11" t="s">
        <v>241</v>
      </c>
      <c r="O226" s="11" t="s">
        <v>71</v>
      </c>
      <c r="P226" s="11" t="s">
        <v>1398</v>
      </c>
      <c r="Q226" s="13" t="s">
        <v>1399</v>
      </c>
      <c r="R226" s="14" t="str">
        <f>HYPERLINK("https://drive.google.com/file/d/1sUv1I7urJMEOFbVVVtOpT2pPY4TQ-znm/view?usp=drivesdk","OFFER LETTER")</f>
        <v>OFFER LETTER</v>
      </c>
      <c r="S226" s="11" t="s">
        <v>1400</v>
      </c>
    </row>
    <row r="227" ht="22.5" customHeight="1">
      <c r="A227" s="10">
        <v>46257.48200548611</v>
      </c>
      <c r="B227" s="11" t="s">
        <v>1401</v>
      </c>
      <c r="C227" s="11" t="s">
        <v>128</v>
      </c>
      <c r="D227" s="11" t="s">
        <v>68</v>
      </c>
      <c r="E227" s="12">
        <v>46259.0</v>
      </c>
      <c r="F227" s="12">
        <v>46290.0</v>
      </c>
      <c r="G227" s="11" t="s">
        <v>1402</v>
      </c>
      <c r="H227" s="11">
        <v>7.620555966E9</v>
      </c>
      <c r="I227" s="11" t="s">
        <v>70</v>
      </c>
      <c r="J227" s="11" t="s">
        <v>71</v>
      </c>
      <c r="K227" s="11" t="s">
        <v>72</v>
      </c>
      <c r="L227" s="11" t="s">
        <v>131</v>
      </c>
      <c r="M227" s="11" t="s">
        <v>1403</v>
      </c>
      <c r="N227" s="11" t="s">
        <v>241</v>
      </c>
      <c r="O227" s="11" t="s">
        <v>71</v>
      </c>
      <c r="P227" s="11" t="s">
        <v>1404</v>
      </c>
      <c r="Q227" s="13" t="s">
        <v>1405</v>
      </c>
      <c r="R227" s="14" t="str">
        <f>HYPERLINK("https://drive.google.com/file/d/1eIXBUwDW49BOMxr0toRxF26mOK-Iy9D4/view?usp=drivesdk","OFFER LETTER")</f>
        <v>OFFER LETTER</v>
      </c>
      <c r="S227" s="11" t="s">
        <v>1406</v>
      </c>
    </row>
    <row r="228" ht="22.5" customHeight="1">
      <c r="A228" s="10">
        <v>46257.483208715275</v>
      </c>
      <c r="B228" s="11" t="s">
        <v>1407</v>
      </c>
      <c r="C228" s="11" t="s">
        <v>107</v>
      </c>
      <c r="D228" s="11" t="s">
        <v>108</v>
      </c>
      <c r="E228" s="12">
        <v>46204.0</v>
      </c>
      <c r="F228" s="12">
        <v>46265.0</v>
      </c>
      <c r="G228" s="11" t="s">
        <v>1408</v>
      </c>
      <c r="H228" s="11">
        <v>7.524059499E9</v>
      </c>
      <c r="I228" s="11" t="s">
        <v>82</v>
      </c>
      <c r="J228" s="11" t="s">
        <v>71</v>
      </c>
      <c r="K228" s="11" t="s">
        <v>167</v>
      </c>
      <c r="L228" s="11" t="s">
        <v>247</v>
      </c>
      <c r="M228" s="11" t="s">
        <v>1409</v>
      </c>
      <c r="N228" s="11" t="s">
        <v>241</v>
      </c>
      <c r="O228" s="11" t="s">
        <v>71</v>
      </c>
      <c r="P228" s="11" t="s">
        <v>1410</v>
      </c>
      <c r="Q228" s="13" t="s">
        <v>1411</v>
      </c>
      <c r="R228" s="14" t="str">
        <f>HYPERLINK("https://drive.google.com/file/d/1a8v4D4hv4AKMjkyFo-73DnrRnHekb_h9/view?usp=drivesdk","OFFER LETTER")</f>
        <v>OFFER LETTER</v>
      </c>
      <c r="S228" s="11" t="s">
        <v>1412</v>
      </c>
    </row>
    <row r="229" ht="22.5" customHeight="1">
      <c r="A229" s="10">
        <v>46257.48467976852</v>
      </c>
      <c r="B229" s="11" t="s">
        <v>1413</v>
      </c>
      <c r="C229" s="11" t="s">
        <v>128</v>
      </c>
      <c r="D229" s="11" t="s">
        <v>68</v>
      </c>
      <c r="E229" s="12">
        <v>46257.0</v>
      </c>
      <c r="F229" s="12">
        <v>46288.0</v>
      </c>
      <c r="G229" s="11" t="s">
        <v>1414</v>
      </c>
      <c r="H229" s="11">
        <v>9.740257364E9</v>
      </c>
      <c r="I229" s="11" t="s">
        <v>70</v>
      </c>
      <c r="J229" s="11" t="s">
        <v>71</v>
      </c>
      <c r="K229" s="11" t="s">
        <v>72</v>
      </c>
      <c r="L229" s="11" t="s">
        <v>73</v>
      </c>
      <c r="M229" s="11" t="s">
        <v>1415</v>
      </c>
      <c r="N229" s="11" t="s">
        <v>75</v>
      </c>
      <c r="O229" s="11" t="s">
        <v>71</v>
      </c>
      <c r="P229" s="11" t="s">
        <v>1416</v>
      </c>
      <c r="Q229" s="13" t="s">
        <v>1417</v>
      </c>
      <c r="R229" s="14" t="str">
        <f>HYPERLINK("https://drive.google.com/file/d/1kmP0a9t5t_i_S7MRwFbCyGykA0MSus6j/view?usp=drivesdk","OFFER LETTER")</f>
        <v>OFFER LETTER</v>
      </c>
      <c r="S229" s="11" t="s">
        <v>1418</v>
      </c>
    </row>
    <row r="230" ht="22.5" customHeight="1">
      <c r="A230" s="10">
        <v>46257.486076099536</v>
      </c>
      <c r="B230" s="11" t="s">
        <v>1419</v>
      </c>
      <c r="C230" s="11" t="s">
        <v>195</v>
      </c>
      <c r="D230" s="11" t="s">
        <v>68</v>
      </c>
      <c r="E230" s="12">
        <v>46259.0</v>
      </c>
      <c r="F230" s="12">
        <v>46290.0</v>
      </c>
      <c r="G230" s="11" t="s">
        <v>1420</v>
      </c>
      <c r="H230" s="11">
        <v>7.049045664E9</v>
      </c>
      <c r="I230" s="11" t="s">
        <v>70</v>
      </c>
      <c r="J230" s="11" t="s">
        <v>71</v>
      </c>
      <c r="K230" s="11" t="s">
        <v>72</v>
      </c>
      <c r="L230" s="11" t="s">
        <v>73</v>
      </c>
      <c r="M230" s="11" t="s">
        <v>1421</v>
      </c>
      <c r="N230" s="11" t="s">
        <v>241</v>
      </c>
      <c r="O230" s="11" t="s">
        <v>71</v>
      </c>
      <c r="P230" s="11" t="s">
        <v>1422</v>
      </c>
      <c r="Q230" s="13" t="s">
        <v>1423</v>
      </c>
      <c r="R230" s="14" t="str">
        <f>HYPERLINK("https://drive.google.com/file/d/1k_CQc_5P1kcY6rhHqXOLWVq0s4rzUcfL/view?usp=drivesdk","OFFER LETTER")</f>
        <v>OFFER LETTER</v>
      </c>
      <c r="S230" s="11" t="s">
        <v>1424</v>
      </c>
    </row>
    <row r="231" ht="22.5" customHeight="1">
      <c r="A231" s="10">
        <v>46257.486526203706</v>
      </c>
      <c r="B231" s="11" t="s">
        <v>1425</v>
      </c>
      <c r="C231" s="11" t="s">
        <v>107</v>
      </c>
      <c r="D231" s="11" t="s">
        <v>68</v>
      </c>
      <c r="E231" s="12">
        <v>46257.0</v>
      </c>
      <c r="F231" s="12">
        <v>46288.0</v>
      </c>
      <c r="G231" s="11" t="s">
        <v>1426</v>
      </c>
      <c r="H231" s="11">
        <v>6.287868469E9</v>
      </c>
      <c r="I231" s="11" t="s">
        <v>70</v>
      </c>
      <c r="J231" s="11" t="s">
        <v>71</v>
      </c>
      <c r="K231" s="11" t="s">
        <v>110</v>
      </c>
      <c r="L231" s="11" t="s">
        <v>247</v>
      </c>
      <c r="M231" s="11" t="s">
        <v>1427</v>
      </c>
      <c r="N231" s="11" t="s">
        <v>241</v>
      </c>
      <c r="O231" s="11" t="s">
        <v>71</v>
      </c>
      <c r="P231" s="11" t="s">
        <v>1428</v>
      </c>
      <c r="Q231" s="13" t="s">
        <v>1429</v>
      </c>
      <c r="R231" s="14" t="str">
        <f>HYPERLINK("https://drive.google.com/file/d/18AWOvSG-Vv5Z5v76D3GW3mMlZcqtzdY0/view?usp=drivesdk","OFFER LETTER")</f>
        <v>OFFER LETTER</v>
      </c>
      <c r="S231" s="11" t="s">
        <v>1430</v>
      </c>
    </row>
    <row r="232" ht="22.5" customHeight="1">
      <c r="A232" s="10">
        <v>46257.48823377315</v>
      </c>
      <c r="B232" s="11" t="s">
        <v>1431</v>
      </c>
      <c r="C232" s="11" t="s">
        <v>298</v>
      </c>
      <c r="D232" s="11" t="s">
        <v>108</v>
      </c>
      <c r="E232" s="12">
        <v>46176.0</v>
      </c>
      <c r="F232" s="12">
        <v>46237.0</v>
      </c>
      <c r="G232" s="11" t="s">
        <v>1432</v>
      </c>
      <c r="H232" s="11">
        <v>9.922242922E9</v>
      </c>
      <c r="I232" s="11" t="s">
        <v>82</v>
      </c>
      <c r="J232" s="11" t="s">
        <v>71</v>
      </c>
      <c r="K232" s="11" t="s">
        <v>72</v>
      </c>
      <c r="L232" s="11" t="s">
        <v>131</v>
      </c>
      <c r="M232" s="11" t="s">
        <v>1433</v>
      </c>
      <c r="N232" s="11" t="s">
        <v>226</v>
      </c>
      <c r="O232" s="11" t="s">
        <v>71</v>
      </c>
      <c r="P232" s="11" t="s">
        <v>1434</v>
      </c>
      <c r="Q232" s="13" t="s">
        <v>1435</v>
      </c>
      <c r="R232" s="14" t="str">
        <f>HYPERLINK("https://drive.google.com/file/d/1lflRoxYbCjwI7OwPrXCfZ3ywXiBvJXSE/view?usp=drivesdk","OFFER LETTER")</f>
        <v>OFFER LETTER</v>
      </c>
      <c r="S232" s="11" t="s">
        <v>1436</v>
      </c>
    </row>
    <row r="233" ht="22.5" customHeight="1">
      <c r="A233" s="10">
        <v>46257.48935952546</v>
      </c>
      <c r="B233" s="11" t="s">
        <v>1437</v>
      </c>
      <c r="C233" s="11" t="s">
        <v>128</v>
      </c>
      <c r="D233" s="11" t="s">
        <v>68</v>
      </c>
      <c r="E233" s="12">
        <v>46219.0</v>
      </c>
      <c r="F233" s="12">
        <v>46254.0</v>
      </c>
      <c r="G233" s="11" t="s">
        <v>1438</v>
      </c>
      <c r="H233" s="11">
        <v>8.260513656E9</v>
      </c>
      <c r="I233" s="11" t="s">
        <v>82</v>
      </c>
      <c r="J233" s="11" t="s">
        <v>71</v>
      </c>
      <c r="K233" s="11" t="s">
        <v>72</v>
      </c>
      <c r="L233" s="11" t="s">
        <v>73</v>
      </c>
      <c r="M233" s="11" t="s">
        <v>1439</v>
      </c>
      <c r="N233" s="11" t="s">
        <v>630</v>
      </c>
      <c r="O233" s="11" t="s">
        <v>71</v>
      </c>
      <c r="P233" s="11" t="s">
        <v>1440</v>
      </c>
      <c r="Q233" s="13" t="s">
        <v>1441</v>
      </c>
      <c r="R233" s="14" t="str">
        <f>HYPERLINK("https://drive.google.com/file/d/198kE0RMrYJlCdk6HgvUJLnZYOrmpseuj/view?usp=drivesdk","OFFER LETTER")</f>
        <v>OFFER LETTER</v>
      </c>
      <c r="S233" s="11" t="s">
        <v>1442</v>
      </c>
    </row>
    <row r="234" ht="22.5" customHeight="1">
      <c r="A234" s="10">
        <v>46257.49009334491</v>
      </c>
      <c r="B234" s="11" t="s">
        <v>1443</v>
      </c>
      <c r="C234" s="11" t="s">
        <v>67</v>
      </c>
      <c r="D234" s="11" t="s">
        <v>68</v>
      </c>
      <c r="E234" s="12">
        <v>46224.0</v>
      </c>
      <c r="F234" s="12">
        <v>46256.0</v>
      </c>
      <c r="G234" s="11" t="s">
        <v>1444</v>
      </c>
      <c r="H234" s="11">
        <v>8.863879393E9</v>
      </c>
      <c r="I234" s="11" t="s">
        <v>82</v>
      </c>
      <c r="K234" s="11" t="s">
        <v>72</v>
      </c>
      <c r="L234" s="11" t="s">
        <v>73</v>
      </c>
      <c r="M234" s="11" t="s">
        <v>1445</v>
      </c>
      <c r="N234" s="11" t="s">
        <v>86</v>
      </c>
      <c r="O234" s="11" t="s">
        <v>71</v>
      </c>
      <c r="P234" s="11" t="s">
        <v>1446</v>
      </c>
      <c r="Q234" s="13" t="s">
        <v>1447</v>
      </c>
      <c r="R234" s="14" t="str">
        <f>HYPERLINK("https://drive.google.com/file/d/1QIanJFcaWxK8wwBHi75E0TKUI_v4gtWB/view?usp=drivesdk","OFFER LETTER")</f>
        <v>OFFER LETTER</v>
      </c>
      <c r="S234" s="11" t="s">
        <v>1448</v>
      </c>
    </row>
    <row r="235" ht="22.5" customHeight="1">
      <c r="A235" s="10">
        <v>46257.492957916664</v>
      </c>
      <c r="B235" s="11" t="s">
        <v>1449</v>
      </c>
      <c r="C235" s="11" t="s">
        <v>107</v>
      </c>
      <c r="D235" s="11" t="s">
        <v>68</v>
      </c>
      <c r="E235" s="12">
        <v>46257.0</v>
      </c>
      <c r="F235" s="12">
        <v>46295.0</v>
      </c>
      <c r="G235" s="11" t="s">
        <v>1450</v>
      </c>
      <c r="H235" s="11">
        <v>6.382693097E9</v>
      </c>
      <c r="I235" s="11" t="s">
        <v>82</v>
      </c>
      <c r="J235" s="11" t="s">
        <v>71</v>
      </c>
      <c r="K235" s="11" t="s">
        <v>110</v>
      </c>
      <c r="L235" s="11" t="s">
        <v>247</v>
      </c>
      <c r="M235" s="11" t="s">
        <v>1451</v>
      </c>
      <c r="N235" s="11" t="s">
        <v>241</v>
      </c>
      <c r="O235" s="11" t="s">
        <v>71</v>
      </c>
      <c r="P235" s="11" t="s">
        <v>1452</v>
      </c>
      <c r="Q235" s="13" t="s">
        <v>1453</v>
      </c>
      <c r="R235" s="14" t="str">
        <f>HYPERLINK("https://drive.google.com/file/d/16uIEAtVE-3rqtCqxRd4CZTfOyFgYhPEn/view?usp=drivesdk","OFFER LETTER")</f>
        <v>OFFER LETTER</v>
      </c>
      <c r="S235" s="11" t="s">
        <v>1454</v>
      </c>
    </row>
    <row r="236" ht="22.5" customHeight="1">
      <c r="A236" s="10">
        <v>46257.49354112268</v>
      </c>
      <c r="B236" s="11" t="s">
        <v>1455</v>
      </c>
      <c r="C236" s="11" t="s">
        <v>80</v>
      </c>
      <c r="D236" s="11" t="s">
        <v>68</v>
      </c>
      <c r="E236" s="12">
        <v>46259.0</v>
      </c>
      <c r="F236" s="12">
        <v>46290.0</v>
      </c>
      <c r="G236" s="11" t="s">
        <v>1456</v>
      </c>
      <c r="H236" s="11">
        <v>7.845287153E9</v>
      </c>
      <c r="I236" s="11" t="s">
        <v>82</v>
      </c>
      <c r="J236" s="11" t="s">
        <v>71</v>
      </c>
      <c r="K236" s="11" t="s">
        <v>72</v>
      </c>
      <c r="L236" s="11" t="s">
        <v>84</v>
      </c>
      <c r="M236" s="11" t="s">
        <v>1457</v>
      </c>
      <c r="N236" s="11" t="s">
        <v>75</v>
      </c>
      <c r="O236" s="11" t="s">
        <v>71</v>
      </c>
      <c r="P236" s="11" t="s">
        <v>1458</v>
      </c>
      <c r="Q236" s="13" t="s">
        <v>1459</v>
      </c>
      <c r="R236" s="14" t="str">
        <f>HYPERLINK("https://drive.google.com/file/d/1gfr9svi5UDoqw2l6oYYK2J8DBlUbEfWZ/view?usp=drivesdk","OFFER LETTER")</f>
        <v>OFFER LETTER</v>
      </c>
      <c r="S236" s="11" t="s">
        <v>1460</v>
      </c>
    </row>
    <row r="237" ht="22.5" customHeight="1">
      <c r="A237" s="10">
        <v>46257.494831539356</v>
      </c>
      <c r="B237" s="11" t="s">
        <v>1461</v>
      </c>
      <c r="C237" s="11" t="s">
        <v>173</v>
      </c>
      <c r="D237" s="11" t="s">
        <v>68</v>
      </c>
      <c r="E237" s="12" t="s">
        <v>1462</v>
      </c>
      <c r="F237" s="12" t="s">
        <v>1463</v>
      </c>
      <c r="G237" s="11" t="s">
        <v>1464</v>
      </c>
      <c r="H237" s="11">
        <v>8.074767816E9</v>
      </c>
      <c r="I237" s="11" t="s">
        <v>82</v>
      </c>
      <c r="J237" s="11" t="s">
        <v>71</v>
      </c>
      <c r="K237" s="11" t="s">
        <v>110</v>
      </c>
      <c r="L237" s="11" t="s">
        <v>73</v>
      </c>
      <c r="M237" s="11" t="s">
        <v>1465</v>
      </c>
      <c r="N237" s="11" t="s">
        <v>241</v>
      </c>
      <c r="O237" s="11" t="s">
        <v>71</v>
      </c>
      <c r="P237" s="11" t="s">
        <v>1466</v>
      </c>
      <c r="Q237" s="13" t="s">
        <v>1467</v>
      </c>
      <c r="R237" s="14" t="str">
        <f>HYPERLINK("https://drive.google.com/file/d/1fvezPxA-UDSZamwMptl0odDJiPATVGbl/view?usp=drivesdk","OFFER LETTER")</f>
        <v>OFFER LETTER</v>
      </c>
      <c r="S237" s="11" t="s">
        <v>1468</v>
      </c>
    </row>
    <row r="238" ht="22.5" customHeight="1">
      <c r="A238" s="10">
        <v>46257.49523393519</v>
      </c>
      <c r="B238" s="11" t="s">
        <v>1469</v>
      </c>
      <c r="C238" s="11" t="s">
        <v>298</v>
      </c>
      <c r="D238" s="11" t="s">
        <v>68</v>
      </c>
      <c r="E238" s="12">
        <v>46257.0</v>
      </c>
      <c r="F238" s="12">
        <v>46288.0</v>
      </c>
      <c r="G238" s="11" t="s">
        <v>1470</v>
      </c>
      <c r="H238" s="11">
        <v>7.440220054E9</v>
      </c>
      <c r="I238" s="11" t="s">
        <v>82</v>
      </c>
      <c r="J238" s="11" t="s">
        <v>71</v>
      </c>
      <c r="K238" s="11" t="s">
        <v>72</v>
      </c>
      <c r="L238" s="11" t="s">
        <v>84</v>
      </c>
      <c r="M238" s="11" t="s">
        <v>1471</v>
      </c>
      <c r="N238" s="11" t="s">
        <v>241</v>
      </c>
      <c r="O238" s="11" t="s">
        <v>71</v>
      </c>
      <c r="P238" s="11" t="s">
        <v>1472</v>
      </c>
      <c r="Q238" s="13" t="s">
        <v>1473</v>
      </c>
      <c r="R238" s="14" t="str">
        <f>HYPERLINK("https://drive.google.com/file/d/1wZyFzwDYaWg4mvaDUt8WqOtbVPePZjf_/view?usp=drivesdk","OFFER LETTER")</f>
        <v>OFFER LETTER</v>
      </c>
      <c r="S238" s="11" t="s">
        <v>1474</v>
      </c>
    </row>
    <row r="239" ht="22.5" customHeight="1">
      <c r="A239" s="10">
        <v>46257.49554636574</v>
      </c>
      <c r="B239" s="11" t="s">
        <v>1370</v>
      </c>
      <c r="C239" s="11" t="s">
        <v>596</v>
      </c>
      <c r="D239" s="11" t="s">
        <v>68</v>
      </c>
      <c r="E239" s="12">
        <v>46226.0</v>
      </c>
      <c r="F239" s="12">
        <v>46257.0</v>
      </c>
      <c r="G239" s="11" t="s">
        <v>1371</v>
      </c>
      <c r="H239" s="11">
        <v>7.736812269E9</v>
      </c>
      <c r="I239" s="11" t="s">
        <v>70</v>
      </c>
      <c r="J239" s="11" t="s">
        <v>71</v>
      </c>
      <c r="K239" s="11" t="s">
        <v>72</v>
      </c>
      <c r="L239" s="11" t="s">
        <v>84</v>
      </c>
      <c r="M239" s="11" t="s">
        <v>1372</v>
      </c>
      <c r="N239" s="11" t="s">
        <v>241</v>
      </c>
      <c r="O239" s="11" t="s">
        <v>71</v>
      </c>
      <c r="P239" s="11" t="s">
        <v>1475</v>
      </c>
      <c r="Q239" s="13" t="s">
        <v>1476</v>
      </c>
      <c r="R239" s="14" t="str">
        <f>HYPERLINK("https://drive.google.com/file/d/1CddWx4ehBwkV0oBj1WtJq-8Z2wRpnQCp/view?usp=drivesdk","OFFER LETTER")</f>
        <v>OFFER LETTER</v>
      </c>
      <c r="S239" s="11" t="s">
        <v>1477</v>
      </c>
    </row>
    <row r="240" ht="22.5" customHeight="1">
      <c r="A240" s="10">
        <v>46257.49719310185</v>
      </c>
      <c r="B240" s="11" t="s">
        <v>1478</v>
      </c>
      <c r="C240" s="11" t="s">
        <v>195</v>
      </c>
      <c r="D240" s="11" t="s">
        <v>68</v>
      </c>
      <c r="E240" s="12">
        <v>46205.0</v>
      </c>
      <c r="F240" s="12">
        <v>46235.0</v>
      </c>
      <c r="G240" s="11" t="s">
        <v>1479</v>
      </c>
      <c r="H240" s="11">
        <v>6.260525308E9</v>
      </c>
      <c r="I240" s="11" t="s">
        <v>82</v>
      </c>
      <c r="J240" s="11" t="s">
        <v>71</v>
      </c>
      <c r="K240" s="11" t="s">
        <v>72</v>
      </c>
      <c r="L240" s="11" t="s">
        <v>73</v>
      </c>
      <c r="M240" s="11" t="s">
        <v>560</v>
      </c>
      <c r="N240" s="11" t="s">
        <v>86</v>
      </c>
      <c r="O240" s="11" t="s">
        <v>71</v>
      </c>
      <c r="P240" s="11" t="s">
        <v>1480</v>
      </c>
      <c r="Q240" s="13" t="s">
        <v>1481</v>
      </c>
      <c r="R240" s="14" t="str">
        <f>HYPERLINK("https://drive.google.com/file/d/1mt-SEGPAVEaONdVvaRTBCdEk5z2aJJsA/view?usp=drivesdk","OFFER LETTER")</f>
        <v>OFFER LETTER</v>
      </c>
      <c r="S240" s="11" t="s">
        <v>1482</v>
      </c>
    </row>
    <row r="241" ht="22.5" customHeight="1">
      <c r="A241" s="10">
        <v>46257.497405358794</v>
      </c>
      <c r="B241" s="11" t="s">
        <v>1483</v>
      </c>
      <c r="C241" s="11" t="s">
        <v>107</v>
      </c>
      <c r="D241" s="11" t="s">
        <v>68</v>
      </c>
      <c r="E241" s="12">
        <v>46266.0</v>
      </c>
      <c r="F241" s="12">
        <v>46295.0</v>
      </c>
      <c r="G241" s="11" t="s">
        <v>1484</v>
      </c>
      <c r="H241" s="11">
        <v>6.375739093E9</v>
      </c>
      <c r="I241" s="11" t="s">
        <v>82</v>
      </c>
      <c r="J241" s="11" t="s">
        <v>71</v>
      </c>
      <c r="K241" s="11" t="s">
        <v>72</v>
      </c>
      <c r="L241" s="11" t="s">
        <v>131</v>
      </c>
      <c r="M241" s="11" t="s">
        <v>1485</v>
      </c>
      <c r="N241" s="11" t="s">
        <v>241</v>
      </c>
      <c r="O241" s="11" t="s">
        <v>71</v>
      </c>
      <c r="P241" s="11" t="s">
        <v>1486</v>
      </c>
      <c r="Q241" s="13" t="s">
        <v>1487</v>
      </c>
      <c r="R241" s="14" t="str">
        <f>HYPERLINK("https://drive.google.com/file/d/1495SGFuVEYH3RRYPtRFz5yrt3tMdF0pQ/view?usp=drivesdk","OFFER LETTER")</f>
        <v>OFFER LETTER</v>
      </c>
      <c r="S241" s="11" t="s">
        <v>1488</v>
      </c>
    </row>
    <row r="242" ht="22.5" customHeight="1">
      <c r="A242" s="10">
        <v>46257.50003689815</v>
      </c>
      <c r="B242" s="11" t="s">
        <v>1489</v>
      </c>
      <c r="C242" s="11" t="s">
        <v>259</v>
      </c>
      <c r="D242" s="11" t="s">
        <v>108</v>
      </c>
      <c r="E242" s="12">
        <v>46258.0</v>
      </c>
      <c r="F242" s="12">
        <v>46319.0</v>
      </c>
      <c r="G242" s="11" t="s">
        <v>1490</v>
      </c>
      <c r="H242" s="11">
        <v>7.892060162E9</v>
      </c>
      <c r="I242" s="11" t="s">
        <v>70</v>
      </c>
      <c r="J242" s="11" t="s">
        <v>71</v>
      </c>
      <c r="K242" s="11" t="s">
        <v>356</v>
      </c>
      <c r="L242" s="11" t="s">
        <v>357</v>
      </c>
      <c r="M242" s="11" t="s">
        <v>1491</v>
      </c>
      <c r="N242" s="11" t="s">
        <v>241</v>
      </c>
      <c r="O242" s="11" t="s">
        <v>71</v>
      </c>
      <c r="P242" s="11" t="s">
        <v>1492</v>
      </c>
      <c r="Q242" s="13" t="s">
        <v>1493</v>
      </c>
      <c r="R242" s="14" t="str">
        <f>HYPERLINK("https://drive.google.com/file/d/1_26WS5fAzPRgZhLYyMEY90IG7b3wkx0n/view?usp=drivesdk","OFFER LETTER")</f>
        <v>OFFER LETTER</v>
      </c>
      <c r="S242" s="11" t="s">
        <v>1494</v>
      </c>
    </row>
    <row r="243" ht="22.5" customHeight="1">
      <c r="A243" s="10">
        <v>46257.503657037036</v>
      </c>
      <c r="B243" s="11" t="s">
        <v>1495</v>
      </c>
      <c r="C243" s="11" t="s">
        <v>107</v>
      </c>
      <c r="D243" s="11" t="s">
        <v>108</v>
      </c>
      <c r="E243" s="12">
        <v>46266.0</v>
      </c>
      <c r="F243" s="12">
        <v>46326.0</v>
      </c>
      <c r="G243" s="11" t="s">
        <v>1496</v>
      </c>
      <c r="H243" s="11">
        <v>6.30157042E9</v>
      </c>
      <c r="I243" s="11" t="s">
        <v>82</v>
      </c>
      <c r="J243" s="11" t="s">
        <v>71</v>
      </c>
      <c r="K243" s="11" t="s">
        <v>72</v>
      </c>
      <c r="L243" s="11" t="s">
        <v>84</v>
      </c>
      <c r="M243" s="11" t="s">
        <v>1497</v>
      </c>
      <c r="N243" s="11" t="s">
        <v>75</v>
      </c>
      <c r="O243" s="11" t="s">
        <v>71</v>
      </c>
      <c r="P243" s="11" t="s">
        <v>1498</v>
      </c>
      <c r="Q243" s="13" t="s">
        <v>1499</v>
      </c>
      <c r="R243" s="14" t="str">
        <f>HYPERLINK("https://drive.google.com/file/d/1X9pqmuW1Yn9ByWnAqwaOJvoSmw_K27QL/view?usp=drivesdk","OFFER LETTER")</f>
        <v>OFFER LETTER</v>
      </c>
      <c r="S243" s="11" t="s">
        <v>1500</v>
      </c>
    </row>
    <row r="244" ht="22.5" customHeight="1">
      <c r="A244" s="10">
        <v>46257.50712523148</v>
      </c>
      <c r="B244" s="11" t="s">
        <v>1501</v>
      </c>
      <c r="C244" s="11" t="s">
        <v>107</v>
      </c>
      <c r="D244" s="11" t="s">
        <v>108</v>
      </c>
      <c r="E244" s="12">
        <v>46257.0</v>
      </c>
      <c r="F244" s="12">
        <v>46318.0</v>
      </c>
      <c r="G244" s="11" t="s">
        <v>1502</v>
      </c>
      <c r="H244" s="11">
        <v>9.134147006E9</v>
      </c>
      <c r="I244" s="11" t="s">
        <v>82</v>
      </c>
      <c r="J244" s="11" t="s">
        <v>71</v>
      </c>
      <c r="K244" s="11" t="s">
        <v>72</v>
      </c>
      <c r="L244" s="11" t="s">
        <v>73</v>
      </c>
      <c r="M244" s="11" t="s">
        <v>1503</v>
      </c>
      <c r="N244" s="11" t="s">
        <v>241</v>
      </c>
      <c r="O244" s="11" t="s">
        <v>71</v>
      </c>
      <c r="P244" s="11" t="s">
        <v>1504</v>
      </c>
      <c r="Q244" s="13" t="s">
        <v>1505</v>
      </c>
      <c r="R244" s="14" t="str">
        <f>HYPERLINK("https://drive.google.com/file/d/10usYM0r3Ka1qNfp8Q584NY6BhbXRsUG2/view?usp=drivesdk","OFFER LETTER")</f>
        <v>OFFER LETTER</v>
      </c>
      <c r="S244" s="11" t="s">
        <v>1506</v>
      </c>
    </row>
    <row r="245" ht="22.5" customHeight="1">
      <c r="A245" s="10">
        <v>46257.50745243055</v>
      </c>
      <c r="B245" s="11" t="s">
        <v>1469</v>
      </c>
      <c r="C245" s="11" t="s">
        <v>298</v>
      </c>
      <c r="D245" s="11" t="s">
        <v>1507</v>
      </c>
      <c r="E245" s="12">
        <v>46258.0</v>
      </c>
      <c r="F245" s="12">
        <v>46380.0</v>
      </c>
      <c r="G245" s="11" t="s">
        <v>1508</v>
      </c>
      <c r="H245" s="11">
        <v>9.174842642E9</v>
      </c>
      <c r="I245" s="11" t="s">
        <v>82</v>
      </c>
      <c r="J245" s="11" t="s">
        <v>130</v>
      </c>
      <c r="K245" s="11" t="s">
        <v>72</v>
      </c>
      <c r="L245" s="11" t="s">
        <v>84</v>
      </c>
      <c r="M245" s="11" t="s">
        <v>1471</v>
      </c>
      <c r="N245" s="11" t="s">
        <v>86</v>
      </c>
      <c r="O245" s="11" t="s">
        <v>71</v>
      </c>
      <c r="P245" s="11" t="s">
        <v>1509</v>
      </c>
      <c r="Q245" s="13" t="s">
        <v>1510</v>
      </c>
      <c r="R245" s="14" t="str">
        <f>HYPERLINK("https://drive.google.com/file/d/114zkms7y1eGJeqRWnlN7ul2TqsuJh_Nj/view?usp=drivesdk","OFFER LETTER")</f>
        <v>OFFER LETTER</v>
      </c>
      <c r="S245" s="11" t="s">
        <v>1511</v>
      </c>
    </row>
    <row r="246" ht="22.5" customHeight="1">
      <c r="A246" s="10">
        <v>46257.50752996528</v>
      </c>
      <c r="B246" s="11" t="s">
        <v>1512</v>
      </c>
      <c r="C246" s="11" t="s">
        <v>195</v>
      </c>
      <c r="D246" s="11" t="s">
        <v>68</v>
      </c>
      <c r="E246" s="12">
        <v>46257.0</v>
      </c>
      <c r="F246" s="12">
        <v>46288.0</v>
      </c>
      <c r="G246" s="11" t="s">
        <v>1513</v>
      </c>
      <c r="H246" s="11">
        <v>8.080259872E9</v>
      </c>
      <c r="I246" s="11" t="s">
        <v>70</v>
      </c>
      <c r="J246" s="11" t="s">
        <v>71</v>
      </c>
      <c r="K246" s="11" t="s">
        <v>72</v>
      </c>
      <c r="L246" s="11" t="s">
        <v>84</v>
      </c>
      <c r="M246" s="11" t="s">
        <v>1514</v>
      </c>
      <c r="N246" s="11" t="s">
        <v>75</v>
      </c>
      <c r="O246" s="11" t="s">
        <v>71</v>
      </c>
      <c r="P246" s="11" t="s">
        <v>1515</v>
      </c>
      <c r="Q246" s="13" t="s">
        <v>1516</v>
      </c>
      <c r="R246" s="14" t="str">
        <f>HYPERLINK("https://drive.google.com/file/d/1J6TVW3mOe6vFswtiGrjnECkzCzNsQtNc/view?usp=drivesdk","OFFER LETTER")</f>
        <v>OFFER LETTER</v>
      </c>
      <c r="S246" s="11" t="s">
        <v>1517</v>
      </c>
    </row>
    <row r="247" ht="22.5" customHeight="1">
      <c r="A247" s="10">
        <v>46257.50775871528</v>
      </c>
      <c r="B247" s="11" t="s">
        <v>1518</v>
      </c>
      <c r="C247" s="11" t="s">
        <v>237</v>
      </c>
      <c r="D247" s="11" t="s">
        <v>68</v>
      </c>
      <c r="E247" s="12">
        <v>46170.0</v>
      </c>
      <c r="F247" s="12">
        <v>46201.0</v>
      </c>
      <c r="G247" s="11" t="s">
        <v>1519</v>
      </c>
      <c r="H247" s="11">
        <v>7.904741506E9</v>
      </c>
      <c r="I247" s="11" t="s">
        <v>70</v>
      </c>
      <c r="J247" s="11" t="s">
        <v>83</v>
      </c>
      <c r="K247" s="11" t="s">
        <v>72</v>
      </c>
      <c r="L247" s="11" t="s">
        <v>84</v>
      </c>
      <c r="M247" s="11" t="s">
        <v>1520</v>
      </c>
      <c r="N247" s="11" t="s">
        <v>86</v>
      </c>
      <c r="O247" s="11" t="s">
        <v>71</v>
      </c>
      <c r="P247" s="11" t="s">
        <v>1521</v>
      </c>
      <c r="Q247" s="13" t="s">
        <v>1522</v>
      </c>
      <c r="R247" s="14" t="str">
        <f>HYPERLINK("https://drive.google.com/file/d/1Ilm0jT9L4qzmkJ568KYy-Hy6CjPXXPr0/view?usp=drivesdk","OFFER LETTER")</f>
        <v>OFFER LETTER</v>
      </c>
      <c r="S247" s="11" t="s">
        <v>1523</v>
      </c>
    </row>
    <row r="248" ht="22.5" customHeight="1">
      <c r="A248" s="10">
        <v>46257.50788788195</v>
      </c>
      <c r="B248" s="11" t="s">
        <v>1524</v>
      </c>
      <c r="C248" s="11" t="s">
        <v>298</v>
      </c>
      <c r="D248" s="11" t="s">
        <v>68</v>
      </c>
      <c r="E248" s="12">
        <v>46258.0</v>
      </c>
      <c r="F248" s="12">
        <v>46288.0</v>
      </c>
      <c r="G248" s="11" t="s">
        <v>1525</v>
      </c>
      <c r="H248" s="11">
        <v>7.752072436E9</v>
      </c>
      <c r="I248" s="11" t="s">
        <v>82</v>
      </c>
      <c r="J248" s="11" t="s">
        <v>71</v>
      </c>
      <c r="K248" s="11" t="s">
        <v>356</v>
      </c>
      <c r="L248" s="11" t="s">
        <v>84</v>
      </c>
      <c r="M248" s="11" t="s">
        <v>1526</v>
      </c>
      <c r="N248" s="11" t="s">
        <v>241</v>
      </c>
      <c r="O248" s="11" t="s">
        <v>71</v>
      </c>
      <c r="P248" s="11" t="s">
        <v>1527</v>
      </c>
      <c r="Q248" s="13" t="s">
        <v>1528</v>
      </c>
      <c r="R248" s="14" t="str">
        <f>HYPERLINK("https://drive.google.com/file/d/11NBIoPhmEU4g4CfbKFzOTJXoW60uruhk/view?usp=drivesdk","OFFER LETTER")</f>
        <v>OFFER LETTER</v>
      </c>
      <c r="S248" s="11" t="s">
        <v>1529</v>
      </c>
    </row>
    <row r="249" ht="22.5" customHeight="1">
      <c r="A249" s="10">
        <v>46257.50895625</v>
      </c>
      <c r="B249" s="11" t="s">
        <v>1530</v>
      </c>
      <c r="C249" s="11" t="s">
        <v>742</v>
      </c>
      <c r="D249" s="11" t="s">
        <v>68</v>
      </c>
      <c r="E249" s="12">
        <v>46259.0</v>
      </c>
      <c r="F249" s="12">
        <v>46259.0</v>
      </c>
      <c r="G249" s="11" t="s">
        <v>1531</v>
      </c>
      <c r="H249" s="11">
        <v>8.006963474E9</v>
      </c>
      <c r="I249" s="11" t="s">
        <v>82</v>
      </c>
      <c r="J249" s="11" t="s">
        <v>71</v>
      </c>
      <c r="K249" s="11" t="s">
        <v>110</v>
      </c>
      <c r="L249" s="11" t="s">
        <v>73</v>
      </c>
      <c r="M249" s="11" t="s">
        <v>1532</v>
      </c>
      <c r="N249" s="11" t="s">
        <v>1533</v>
      </c>
      <c r="O249" s="11" t="s">
        <v>71</v>
      </c>
      <c r="P249" s="11" t="s">
        <v>1534</v>
      </c>
      <c r="Q249" s="13" t="s">
        <v>1535</v>
      </c>
      <c r="R249" s="14" t="str">
        <f>HYPERLINK("https://drive.google.com/file/d/19xcaQ7pO1wmyx36rCI0EWYGJtGVIfPBo/view?usp=drivesdk","OFFER LETTER")</f>
        <v>OFFER LETTER</v>
      </c>
      <c r="S249" s="11" t="s">
        <v>1536</v>
      </c>
    </row>
    <row r="250" ht="22.5" customHeight="1">
      <c r="A250" s="10">
        <v>46257.51349835648</v>
      </c>
      <c r="B250" s="11" t="s">
        <v>1537</v>
      </c>
      <c r="C250" s="11" t="s">
        <v>107</v>
      </c>
      <c r="D250" s="11" t="s">
        <v>68</v>
      </c>
      <c r="E250" s="12">
        <v>46257.0</v>
      </c>
      <c r="F250" s="12">
        <v>46288.0</v>
      </c>
      <c r="G250" s="11" t="s">
        <v>1538</v>
      </c>
      <c r="H250" s="11">
        <v>7.657834683E9</v>
      </c>
      <c r="I250" s="11" t="s">
        <v>70</v>
      </c>
      <c r="J250" s="11" t="s">
        <v>71</v>
      </c>
      <c r="K250" s="11" t="s">
        <v>72</v>
      </c>
      <c r="L250" s="11" t="s">
        <v>73</v>
      </c>
      <c r="M250" s="11" t="s">
        <v>1539</v>
      </c>
      <c r="N250" s="11" t="s">
        <v>75</v>
      </c>
      <c r="O250" s="11" t="s">
        <v>71</v>
      </c>
      <c r="P250" s="11" t="s">
        <v>1540</v>
      </c>
      <c r="Q250" s="13" t="s">
        <v>1541</v>
      </c>
      <c r="R250" s="14" t="str">
        <f>HYPERLINK("https://drive.google.com/file/d/1Lu78KavKbTGsT6AuGXWBE9kIrcJBXdtQ/view?usp=drivesdk","OFFER LETTER")</f>
        <v>OFFER LETTER</v>
      </c>
      <c r="S250" s="11" t="s">
        <v>1542</v>
      </c>
    </row>
    <row r="251" ht="22.5" customHeight="1">
      <c r="A251" s="10">
        <v>46257.51477041667</v>
      </c>
      <c r="B251" s="11" t="s">
        <v>1543</v>
      </c>
      <c r="C251" s="11" t="s">
        <v>195</v>
      </c>
      <c r="D251" s="11" t="s">
        <v>68</v>
      </c>
      <c r="E251" s="12">
        <v>46257.0</v>
      </c>
      <c r="F251" s="12">
        <v>46288.0</v>
      </c>
      <c r="G251" s="11" t="s">
        <v>1544</v>
      </c>
      <c r="H251" s="11">
        <v>9.473904409E9</v>
      </c>
      <c r="I251" s="11" t="s">
        <v>82</v>
      </c>
      <c r="J251" s="11" t="s">
        <v>71</v>
      </c>
      <c r="K251" s="11" t="s">
        <v>72</v>
      </c>
      <c r="L251" s="11" t="s">
        <v>84</v>
      </c>
      <c r="M251" s="11" t="s">
        <v>1545</v>
      </c>
      <c r="N251" s="11" t="s">
        <v>198</v>
      </c>
      <c r="O251" s="11" t="s">
        <v>71</v>
      </c>
      <c r="P251" s="11" t="s">
        <v>1546</v>
      </c>
      <c r="Q251" s="13" t="s">
        <v>1547</v>
      </c>
      <c r="R251" s="14" t="str">
        <f>HYPERLINK("https://drive.google.com/file/d/1Q1CSS0iQJykkiQE9X27vAphz1293QiEL/view?usp=drivesdk","OFFER LETTER")</f>
        <v>OFFER LETTER</v>
      </c>
      <c r="S251" s="11" t="s">
        <v>1548</v>
      </c>
    </row>
    <row r="252" ht="22.5" customHeight="1">
      <c r="A252" s="10">
        <v>46257.51478157408</v>
      </c>
      <c r="B252" s="11" t="s">
        <v>1549</v>
      </c>
      <c r="C252" s="11" t="s">
        <v>195</v>
      </c>
      <c r="D252" s="11" t="s">
        <v>68</v>
      </c>
      <c r="E252" s="12">
        <v>46257.0</v>
      </c>
      <c r="F252" s="12">
        <v>46287.0</v>
      </c>
      <c r="G252" s="11" t="s">
        <v>1550</v>
      </c>
      <c r="H252" s="11">
        <v>7.718267726E9</v>
      </c>
      <c r="I252" s="11" t="s">
        <v>82</v>
      </c>
      <c r="J252" s="11" t="s">
        <v>71</v>
      </c>
      <c r="K252" s="11" t="s">
        <v>356</v>
      </c>
      <c r="L252" s="11" t="s">
        <v>247</v>
      </c>
      <c r="M252" s="11" t="s">
        <v>1551</v>
      </c>
      <c r="N252" s="11" t="s">
        <v>241</v>
      </c>
      <c r="O252" s="11" t="s">
        <v>71</v>
      </c>
      <c r="P252" s="11" t="s">
        <v>1552</v>
      </c>
      <c r="Q252" s="13" t="s">
        <v>1553</v>
      </c>
      <c r="R252" s="14" t="str">
        <f>HYPERLINK("https://drive.google.com/file/d/1GU0OUjbBzWjT0ZkuJt_IkoEvG_3LnFBN/view?usp=drivesdk","OFFER LETTER")</f>
        <v>OFFER LETTER</v>
      </c>
      <c r="S252" s="11" t="s">
        <v>1554</v>
      </c>
    </row>
    <row r="253" ht="22.5" customHeight="1">
      <c r="A253" s="10">
        <v>46257.516726076385</v>
      </c>
      <c r="B253" s="11" t="s">
        <v>1555</v>
      </c>
      <c r="C253" s="11" t="s">
        <v>237</v>
      </c>
      <c r="D253" s="11" t="s">
        <v>68</v>
      </c>
      <c r="E253" s="12">
        <v>46257.0</v>
      </c>
      <c r="F253" s="12">
        <v>46288.0</v>
      </c>
      <c r="G253" s="11" t="s">
        <v>1556</v>
      </c>
      <c r="H253" s="11">
        <v>8.434379251E9</v>
      </c>
      <c r="I253" s="11" t="s">
        <v>82</v>
      </c>
      <c r="J253" s="11" t="s">
        <v>71</v>
      </c>
      <c r="K253" s="11" t="s">
        <v>167</v>
      </c>
      <c r="L253" s="11" t="s">
        <v>73</v>
      </c>
      <c r="M253" s="11" t="s">
        <v>1557</v>
      </c>
      <c r="N253" s="11" t="s">
        <v>241</v>
      </c>
      <c r="O253" s="11" t="s">
        <v>71</v>
      </c>
      <c r="P253" s="11" t="s">
        <v>1558</v>
      </c>
      <c r="Q253" s="13" t="s">
        <v>1559</v>
      </c>
      <c r="R253" s="14" t="str">
        <f>HYPERLINK("https://drive.google.com/file/d/18vQMoZ2FOX4cLuaz5f--TQFQOjCFZg6b/view?usp=drivesdk","OFFER LETTER")</f>
        <v>OFFER LETTER</v>
      </c>
      <c r="S253" s="11" t="s">
        <v>1560</v>
      </c>
    </row>
    <row r="254" ht="22.5" customHeight="1">
      <c r="A254" s="10">
        <v>46257.51685667824</v>
      </c>
      <c r="B254" s="11" t="s">
        <v>1561</v>
      </c>
      <c r="C254" s="11" t="s">
        <v>107</v>
      </c>
      <c r="D254" s="11" t="s">
        <v>68</v>
      </c>
      <c r="E254" s="12">
        <v>46257.0</v>
      </c>
      <c r="F254" s="12">
        <v>46288.0</v>
      </c>
      <c r="G254" s="11" t="s">
        <v>1562</v>
      </c>
      <c r="H254" s="11">
        <v>7.054429293E9</v>
      </c>
      <c r="I254" s="11" t="s">
        <v>70</v>
      </c>
      <c r="J254" s="11" t="s">
        <v>71</v>
      </c>
      <c r="K254" s="11" t="s">
        <v>72</v>
      </c>
      <c r="L254" s="11" t="s">
        <v>131</v>
      </c>
      <c r="M254" s="11" t="s">
        <v>1563</v>
      </c>
      <c r="N254" s="11" t="s">
        <v>241</v>
      </c>
      <c r="O254" s="11" t="s">
        <v>71</v>
      </c>
      <c r="P254" s="11" t="s">
        <v>1564</v>
      </c>
      <c r="Q254" s="13" t="s">
        <v>1565</v>
      </c>
      <c r="R254" s="14" t="str">
        <f>HYPERLINK("https://drive.google.com/file/d/1jpkHuDSVq71tq7hzFbZCgZS8Vf5aar1R/view?usp=drivesdk","OFFER LETTER")</f>
        <v>OFFER LETTER</v>
      </c>
      <c r="S254" s="11" t="s">
        <v>1566</v>
      </c>
    </row>
    <row r="255" ht="22.5" customHeight="1">
      <c r="A255" s="10">
        <v>46257.516909074075</v>
      </c>
      <c r="B255" s="11" t="s">
        <v>1567</v>
      </c>
      <c r="C255" s="11" t="s">
        <v>173</v>
      </c>
      <c r="D255" s="11" t="s">
        <v>68</v>
      </c>
      <c r="E255" s="12">
        <v>46257.0</v>
      </c>
      <c r="F255" s="12">
        <v>46288.0</v>
      </c>
      <c r="G255" s="11" t="s">
        <v>1568</v>
      </c>
      <c r="H255" s="11">
        <v>8.295994498E9</v>
      </c>
      <c r="I255" s="11" t="s">
        <v>82</v>
      </c>
      <c r="J255" s="11" t="s">
        <v>71</v>
      </c>
      <c r="K255" s="11" t="s">
        <v>110</v>
      </c>
      <c r="L255" s="11" t="s">
        <v>84</v>
      </c>
      <c r="M255" s="11" t="s">
        <v>1569</v>
      </c>
      <c r="N255" s="11" t="s">
        <v>241</v>
      </c>
      <c r="O255" s="11" t="s">
        <v>71</v>
      </c>
      <c r="P255" s="11" t="s">
        <v>1570</v>
      </c>
      <c r="Q255" s="13" t="s">
        <v>1571</v>
      </c>
      <c r="R255" s="14" t="str">
        <f>HYPERLINK("https://drive.google.com/file/d/14FbYCI3iT5MxJQboHPovNywunu1yTWg6/view?usp=drivesdk","OFFER LETTER")</f>
        <v>OFFER LETTER</v>
      </c>
      <c r="S255" s="11" t="s">
        <v>1572</v>
      </c>
    </row>
    <row r="256" ht="22.5" customHeight="1">
      <c r="A256" s="10">
        <v>46257.517808275465</v>
      </c>
      <c r="B256" s="11" t="s">
        <v>1573</v>
      </c>
      <c r="C256" s="11" t="s">
        <v>128</v>
      </c>
      <c r="D256" s="11" t="s">
        <v>68</v>
      </c>
      <c r="E256" s="12">
        <v>46257.0</v>
      </c>
      <c r="F256" s="12">
        <v>46289.0</v>
      </c>
      <c r="G256" s="11" t="s">
        <v>1574</v>
      </c>
      <c r="H256" s="11">
        <v>6.281721755E9</v>
      </c>
      <c r="I256" s="11" t="s">
        <v>82</v>
      </c>
      <c r="J256" s="11" t="s">
        <v>130</v>
      </c>
      <c r="K256" s="11" t="s">
        <v>72</v>
      </c>
      <c r="L256" s="11" t="s">
        <v>131</v>
      </c>
      <c r="M256" s="11" t="s">
        <v>1575</v>
      </c>
      <c r="N256" s="11" t="s">
        <v>1576</v>
      </c>
      <c r="O256" s="11" t="s">
        <v>71</v>
      </c>
      <c r="P256" s="11" t="s">
        <v>1577</v>
      </c>
      <c r="Q256" s="13" t="s">
        <v>1578</v>
      </c>
      <c r="R256" s="14" t="str">
        <f>HYPERLINK("https://drive.google.com/file/d/1U-2jk-V7L57gnRLnzIcLznEQaqbwRwTd/view?usp=drivesdk","OFFER LETTER")</f>
        <v>OFFER LETTER</v>
      </c>
      <c r="S256" s="11" t="s">
        <v>1579</v>
      </c>
    </row>
    <row r="257" ht="22.5" customHeight="1">
      <c r="A257" s="10">
        <v>46257.51787325232</v>
      </c>
      <c r="B257" s="11" t="s">
        <v>1580</v>
      </c>
      <c r="C257" s="11" t="s">
        <v>195</v>
      </c>
      <c r="D257" s="11" t="s">
        <v>68</v>
      </c>
      <c r="E257" s="12">
        <v>46266.0</v>
      </c>
      <c r="F257" s="12">
        <v>46295.0</v>
      </c>
      <c r="G257" s="11" t="s">
        <v>1581</v>
      </c>
      <c r="H257" s="11">
        <v>9.324372746E9</v>
      </c>
      <c r="I257" s="11" t="s">
        <v>82</v>
      </c>
      <c r="J257" s="11" t="s">
        <v>71</v>
      </c>
      <c r="K257" s="11" t="s">
        <v>72</v>
      </c>
      <c r="L257" s="11" t="s">
        <v>131</v>
      </c>
      <c r="M257" s="11" t="s">
        <v>1582</v>
      </c>
      <c r="N257" s="11" t="s">
        <v>241</v>
      </c>
      <c r="O257" s="11" t="s">
        <v>71</v>
      </c>
      <c r="P257" s="11" t="s">
        <v>1583</v>
      </c>
      <c r="Q257" s="13" t="s">
        <v>1584</v>
      </c>
      <c r="R257" s="14" t="str">
        <f>HYPERLINK("https://drive.google.com/file/d/1XwwlgK-ijqrm3Bwxkh8O5Qp-2DhwQarw/view?usp=drivesdk","OFFER LETTER")</f>
        <v>OFFER LETTER</v>
      </c>
      <c r="S257" s="11" t="s">
        <v>1585</v>
      </c>
    </row>
    <row r="258" ht="22.5" customHeight="1">
      <c r="A258" s="10">
        <v>46257.51856253472</v>
      </c>
      <c r="B258" s="11" t="s">
        <v>1586</v>
      </c>
      <c r="C258" s="11" t="s">
        <v>173</v>
      </c>
      <c r="D258" s="11" t="s">
        <v>68</v>
      </c>
      <c r="E258" s="12">
        <v>46271.0</v>
      </c>
      <c r="F258" s="12">
        <v>46301.0</v>
      </c>
      <c r="G258" s="11" t="s">
        <v>1587</v>
      </c>
      <c r="H258" s="11">
        <v>7.38978017E9</v>
      </c>
      <c r="I258" s="11" t="s">
        <v>82</v>
      </c>
      <c r="J258" s="11" t="s">
        <v>71</v>
      </c>
      <c r="K258" s="11" t="s">
        <v>72</v>
      </c>
      <c r="L258" s="11" t="s">
        <v>84</v>
      </c>
      <c r="M258" s="11" t="s">
        <v>1588</v>
      </c>
      <c r="N258" s="11" t="s">
        <v>241</v>
      </c>
      <c r="O258" s="11" t="s">
        <v>71</v>
      </c>
      <c r="P258" s="11" t="s">
        <v>1589</v>
      </c>
      <c r="Q258" s="13" t="s">
        <v>1590</v>
      </c>
      <c r="R258" s="14" t="str">
        <f>HYPERLINK("https://drive.google.com/file/d/1EIGnKhwXpGJ2l0XLXz-_nU95cyyQ-2bl/view?usp=drivesdk","OFFER LETTER")</f>
        <v>OFFER LETTER</v>
      </c>
      <c r="S258" s="11" t="s">
        <v>1591</v>
      </c>
    </row>
    <row r="259" ht="22.5" customHeight="1">
      <c r="A259" s="10">
        <v>46257.52033195602</v>
      </c>
      <c r="B259" s="11" t="s">
        <v>1555</v>
      </c>
      <c r="C259" s="11" t="s">
        <v>237</v>
      </c>
      <c r="D259" s="11" t="s">
        <v>68</v>
      </c>
      <c r="E259" s="12">
        <v>46257.0</v>
      </c>
      <c r="F259" s="12">
        <v>46288.0</v>
      </c>
      <c r="G259" s="11" t="s">
        <v>1556</v>
      </c>
      <c r="H259" s="11">
        <v>8.434379251E9</v>
      </c>
      <c r="I259" s="11" t="s">
        <v>82</v>
      </c>
      <c r="J259" s="11" t="s">
        <v>71</v>
      </c>
      <c r="K259" s="11" t="s">
        <v>167</v>
      </c>
      <c r="L259" s="11" t="s">
        <v>73</v>
      </c>
      <c r="M259" s="11" t="s">
        <v>1592</v>
      </c>
      <c r="N259" s="11" t="s">
        <v>241</v>
      </c>
      <c r="O259" s="11" t="s">
        <v>71</v>
      </c>
      <c r="P259" s="11" t="s">
        <v>1593</v>
      </c>
      <c r="Q259" s="13" t="s">
        <v>1594</v>
      </c>
      <c r="R259" s="14" t="str">
        <f>HYPERLINK("https://drive.google.com/file/d/1d1PZ-BNl_X-1eC0D08KJISYBDO7wUHyM/view?usp=drivesdk","OFFER LETTER")</f>
        <v>OFFER LETTER</v>
      </c>
      <c r="S259" s="11" t="s">
        <v>1595</v>
      </c>
    </row>
    <row r="260" ht="22.5" customHeight="1">
      <c r="A260" s="10">
        <v>46257.520553078706</v>
      </c>
      <c r="B260" s="11" t="s">
        <v>1596</v>
      </c>
      <c r="C260" s="11" t="s">
        <v>596</v>
      </c>
      <c r="D260" s="11" t="s">
        <v>238</v>
      </c>
      <c r="E260" s="12">
        <v>46258.0</v>
      </c>
      <c r="F260" s="12">
        <v>46350.0</v>
      </c>
      <c r="G260" s="11" t="s">
        <v>1597</v>
      </c>
      <c r="H260" s="11">
        <v>8.513857996E9</v>
      </c>
      <c r="I260" s="11" t="s">
        <v>70</v>
      </c>
      <c r="J260" s="11" t="s">
        <v>71</v>
      </c>
      <c r="K260" s="11" t="s">
        <v>72</v>
      </c>
      <c r="L260" s="11" t="s">
        <v>73</v>
      </c>
      <c r="M260" s="11" t="s">
        <v>1598</v>
      </c>
      <c r="N260" s="11" t="s">
        <v>155</v>
      </c>
      <c r="O260" s="11" t="s">
        <v>71</v>
      </c>
      <c r="P260" s="11" t="s">
        <v>1599</v>
      </c>
      <c r="Q260" s="13" t="s">
        <v>1600</v>
      </c>
      <c r="R260" s="14" t="str">
        <f>HYPERLINK("https://drive.google.com/file/d/1h4PO5_KU9rTCMDS8ljMkZA0jq3XlVxSU/view?usp=drivesdk","OFFER LETTER")</f>
        <v>OFFER LETTER</v>
      </c>
      <c r="S260" s="11" t="s">
        <v>1601</v>
      </c>
    </row>
    <row r="261" ht="22.5" customHeight="1">
      <c r="A261" s="10">
        <v>46257.520582129626</v>
      </c>
      <c r="B261" s="11" t="s">
        <v>1602</v>
      </c>
      <c r="C261" s="11" t="s">
        <v>195</v>
      </c>
      <c r="D261" s="11" t="s">
        <v>68</v>
      </c>
      <c r="E261" s="12">
        <v>46257.0</v>
      </c>
      <c r="F261" s="12">
        <v>46288.0</v>
      </c>
      <c r="G261" s="11" t="s">
        <v>1603</v>
      </c>
      <c r="H261" s="11">
        <v>9.630897172E9</v>
      </c>
      <c r="I261" s="11" t="s">
        <v>82</v>
      </c>
      <c r="J261" s="11" t="s">
        <v>71</v>
      </c>
      <c r="K261" s="11" t="s">
        <v>72</v>
      </c>
      <c r="L261" s="11" t="s">
        <v>247</v>
      </c>
      <c r="M261" s="11" t="s">
        <v>1604</v>
      </c>
      <c r="N261" s="11" t="s">
        <v>86</v>
      </c>
      <c r="O261" s="11" t="s">
        <v>71</v>
      </c>
      <c r="P261" s="11" t="s">
        <v>1605</v>
      </c>
      <c r="Q261" s="13" t="s">
        <v>1606</v>
      </c>
      <c r="R261" s="14" t="str">
        <f>HYPERLINK("https://drive.google.com/file/d/1tKF12urxD1nDzXci-HukjjS9hSW3fi00/view?usp=drivesdk","OFFER LETTER")</f>
        <v>OFFER LETTER</v>
      </c>
      <c r="S261" s="11" t="s">
        <v>1607</v>
      </c>
    </row>
    <row r="262" ht="22.5" customHeight="1">
      <c r="A262" s="10">
        <v>46257.52114355324</v>
      </c>
      <c r="B262" s="11" t="s">
        <v>1608</v>
      </c>
      <c r="C262" s="11" t="s">
        <v>107</v>
      </c>
      <c r="D262" s="11" t="s">
        <v>68</v>
      </c>
      <c r="E262" s="12">
        <v>46257.0</v>
      </c>
      <c r="F262" s="12">
        <v>46288.0</v>
      </c>
      <c r="G262" s="11" t="s">
        <v>1609</v>
      </c>
      <c r="H262" s="11">
        <v>8.767611775E9</v>
      </c>
      <c r="I262" s="11" t="s">
        <v>82</v>
      </c>
      <c r="J262" s="11" t="s">
        <v>71</v>
      </c>
      <c r="K262" s="13" t="s">
        <v>443</v>
      </c>
      <c r="L262" s="11" t="s">
        <v>247</v>
      </c>
      <c r="M262" s="11" t="s">
        <v>1610</v>
      </c>
      <c r="N262" s="11" t="s">
        <v>241</v>
      </c>
      <c r="O262" s="11" t="s">
        <v>71</v>
      </c>
      <c r="P262" s="11" t="s">
        <v>1611</v>
      </c>
      <c r="Q262" s="13" t="s">
        <v>1612</v>
      </c>
      <c r="R262" s="14" t="str">
        <f>HYPERLINK("https://drive.google.com/file/d/15CUcHPo-dC5QHV1fipAykkYgg9GKyZ2t/view?usp=drivesdk","OFFER LETTER")</f>
        <v>OFFER LETTER</v>
      </c>
      <c r="S262" s="11" t="s">
        <v>1613</v>
      </c>
    </row>
    <row r="263" ht="22.5" customHeight="1">
      <c r="A263" s="10">
        <v>46257.52150239583</v>
      </c>
      <c r="B263" s="11" t="s">
        <v>1614</v>
      </c>
      <c r="C263" s="11" t="s">
        <v>195</v>
      </c>
      <c r="D263" s="11" t="s">
        <v>68</v>
      </c>
      <c r="E263" s="12">
        <v>46266.0</v>
      </c>
      <c r="F263" s="12">
        <v>46295.0</v>
      </c>
      <c r="G263" s="11" t="s">
        <v>1615</v>
      </c>
      <c r="H263" s="11">
        <v>9.65081016E9</v>
      </c>
      <c r="I263" s="11" t="s">
        <v>70</v>
      </c>
      <c r="J263" s="11" t="s">
        <v>71</v>
      </c>
      <c r="K263" s="11" t="s">
        <v>72</v>
      </c>
      <c r="L263" s="11" t="s">
        <v>247</v>
      </c>
      <c r="M263" s="11" t="s">
        <v>1616</v>
      </c>
      <c r="N263" s="11" t="s">
        <v>155</v>
      </c>
      <c r="O263" s="11" t="s">
        <v>71</v>
      </c>
      <c r="P263" s="11" t="s">
        <v>1617</v>
      </c>
      <c r="Q263" s="13" t="s">
        <v>1618</v>
      </c>
      <c r="R263" s="14" t="str">
        <f>HYPERLINK("https://drive.google.com/file/d/1bBNfpZ79q6PNaY7ZN_zEQ-D1s_Fbtu36/view?usp=drivesdk","OFFER LETTER")</f>
        <v>OFFER LETTER</v>
      </c>
      <c r="S263" s="11" t="s">
        <v>1619</v>
      </c>
    </row>
    <row r="264" ht="22.5" customHeight="1">
      <c r="A264" s="10">
        <v>46257.52246679398</v>
      </c>
      <c r="B264" s="11" t="s">
        <v>1620</v>
      </c>
      <c r="C264" s="11" t="s">
        <v>91</v>
      </c>
      <c r="D264" s="11" t="s">
        <v>68</v>
      </c>
      <c r="E264" s="12">
        <v>46257.0</v>
      </c>
      <c r="F264" s="12">
        <v>46288.0</v>
      </c>
      <c r="G264" s="11" t="s">
        <v>1621</v>
      </c>
      <c r="H264" s="11">
        <v>8.341396008E9</v>
      </c>
      <c r="I264" s="11" t="s">
        <v>70</v>
      </c>
      <c r="J264" s="11" t="s">
        <v>71</v>
      </c>
      <c r="K264" s="11" t="s">
        <v>72</v>
      </c>
      <c r="L264" s="11" t="s">
        <v>84</v>
      </c>
      <c r="M264" s="11" t="s">
        <v>1622</v>
      </c>
      <c r="N264" s="11" t="s">
        <v>1576</v>
      </c>
      <c r="O264" s="11" t="s">
        <v>71</v>
      </c>
      <c r="P264" s="11" t="s">
        <v>1623</v>
      </c>
      <c r="Q264" s="13" t="s">
        <v>1624</v>
      </c>
      <c r="R264" s="14" t="str">
        <f>HYPERLINK("https://drive.google.com/file/d/1OytnX6MOaX1GlRXjQERSHBNjY1WOboux/view?usp=drivesdk","OFFER LETTER")</f>
        <v>OFFER LETTER</v>
      </c>
      <c r="S264" s="11" t="s">
        <v>1625</v>
      </c>
    </row>
    <row r="265" ht="22.5" customHeight="1">
      <c r="A265" s="10">
        <v>46257.52357181713</v>
      </c>
      <c r="B265" s="11" t="s">
        <v>1626</v>
      </c>
      <c r="C265" s="11" t="s">
        <v>195</v>
      </c>
      <c r="D265" s="11" t="s">
        <v>68</v>
      </c>
      <c r="E265" s="12">
        <v>46257.0</v>
      </c>
      <c r="F265" s="12">
        <v>46288.0</v>
      </c>
      <c r="G265" s="11" t="s">
        <v>1627</v>
      </c>
      <c r="H265" s="11">
        <v>9.451341971E9</v>
      </c>
      <c r="I265" s="11" t="s">
        <v>82</v>
      </c>
      <c r="J265" s="11" t="s">
        <v>71</v>
      </c>
      <c r="K265" s="11" t="s">
        <v>72</v>
      </c>
      <c r="L265" s="11" t="s">
        <v>131</v>
      </c>
      <c r="M265" s="11" t="s">
        <v>1628</v>
      </c>
      <c r="N265" s="11" t="s">
        <v>75</v>
      </c>
      <c r="O265" s="11" t="s">
        <v>71</v>
      </c>
      <c r="P265" s="11" t="s">
        <v>1629</v>
      </c>
      <c r="Q265" s="13" t="s">
        <v>1630</v>
      </c>
      <c r="R265" s="14" t="str">
        <f>HYPERLINK("https://drive.google.com/file/d/1dybI4VBswJ_m_zII5jMujQJNc9lDECz1/view?usp=drivesdk","OFFER LETTER")</f>
        <v>OFFER LETTER</v>
      </c>
      <c r="S265" s="11" t="s">
        <v>1631</v>
      </c>
    </row>
    <row r="266" ht="22.5" customHeight="1">
      <c r="A266" s="10">
        <v>46257.523809398146</v>
      </c>
      <c r="B266" s="11" t="s">
        <v>1632</v>
      </c>
      <c r="C266" s="11" t="s">
        <v>237</v>
      </c>
      <c r="D266" s="11" t="s">
        <v>68</v>
      </c>
      <c r="E266" s="12">
        <v>46171.0</v>
      </c>
      <c r="F266" s="12">
        <v>46202.0</v>
      </c>
      <c r="G266" s="11" t="s">
        <v>1633</v>
      </c>
      <c r="H266" s="11">
        <v>8.610858442E9</v>
      </c>
      <c r="I266" s="11" t="s">
        <v>70</v>
      </c>
      <c r="J266" s="11" t="s">
        <v>83</v>
      </c>
      <c r="K266" s="11" t="s">
        <v>72</v>
      </c>
      <c r="L266" s="11" t="s">
        <v>84</v>
      </c>
      <c r="M266" s="11" t="s">
        <v>1634</v>
      </c>
      <c r="N266" s="11" t="s">
        <v>86</v>
      </c>
      <c r="O266" s="11" t="s">
        <v>71</v>
      </c>
      <c r="P266" s="11" t="s">
        <v>1635</v>
      </c>
      <c r="Q266" s="13" t="s">
        <v>1636</v>
      </c>
      <c r="R266" s="14" t="str">
        <f>HYPERLINK("https://drive.google.com/file/d/1M6gnyeOG-BAqspjMLdM11LTL9xkDAI0-/view?usp=drivesdk","OFFER LETTER")</f>
        <v>OFFER LETTER</v>
      </c>
      <c r="S266" s="11" t="s">
        <v>1637</v>
      </c>
    </row>
    <row r="267" ht="22.5" customHeight="1">
      <c r="A267" s="10">
        <v>46257.52386292824</v>
      </c>
      <c r="B267" s="11" t="s">
        <v>1638</v>
      </c>
      <c r="C267" s="11" t="s">
        <v>91</v>
      </c>
      <c r="D267" s="11" t="s">
        <v>68</v>
      </c>
      <c r="E267" s="12">
        <v>46258.0</v>
      </c>
      <c r="F267" s="12">
        <v>46289.0</v>
      </c>
      <c r="G267" s="11" t="s">
        <v>1639</v>
      </c>
      <c r="H267" s="11">
        <v>9.145352456E9</v>
      </c>
      <c r="I267" s="11" t="s">
        <v>82</v>
      </c>
      <c r="J267" s="11" t="s">
        <v>71</v>
      </c>
      <c r="K267" s="11" t="s">
        <v>72</v>
      </c>
      <c r="L267" s="11" t="s">
        <v>84</v>
      </c>
      <c r="M267" s="11" t="s">
        <v>1640</v>
      </c>
      <c r="N267" s="11" t="s">
        <v>1641</v>
      </c>
      <c r="O267" s="11" t="s">
        <v>71</v>
      </c>
      <c r="P267" s="11" t="s">
        <v>1642</v>
      </c>
      <c r="Q267" s="13" t="s">
        <v>1643</v>
      </c>
      <c r="R267" s="14" t="str">
        <f>HYPERLINK("https://drive.google.com/file/d/1E2CfRK7DbTFSoRXU_yHdM0UdE0vJZlMZ/view?usp=drivesdk","OFFER LETTER")</f>
        <v>OFFER LETTER</v>
      </c>
      <c r="S267" s="11" t="s">
        <v>1644</v>
      </c>
    </row>
    <row r="268" ht="22.5" customHeight="1">
      <c r="A268" s="10">
        <v>46257.52468199074</v>
      </c>
      <c r="B268" s="11" t="s">
        <v>1645</v>
      </c>
      <c r="C268" s="11" t="s">
        <v>107</v>
      </c>
      <c r="D268" s="11" t="s">
        <v>68</v>
      </c>
      <c r="E268" s="12">
        <v>46257.0</v>
      </c>
      <c r="F268" s="12">
        <v>46257.0</v>
      </c>
      <c r="G268" s="11" t="s">
        <v>1646</v>
      </c>
      <c r="H268" s="11">
        <v>8.260247701E9</v>
      </c>
      <c r="I268" s="11" t="s">
        <v>82</v>
      </c>
      <c r="J268" s="11" t="s">
        <v>71</v>
      </c>
      <c r="K268" s="13" t="s">
        <v>443</v>
      </c>
      <c r="L268" s="11" t="s">
        <v>247</v>
      </c>
      <c r="M268" s="11" t="s">
        <v>1647</v>
      </c>
      <c r="N268" s="11" t="s">
        <v>241</v>
      </c>
      <c r="O268" s="11" t="s">
        <v>71</v>
      </c>
      <c r="P268" s="11" t="s">
        <v>1648</v>
      </c>
      <c r="Q268" s="13" t="s">
        <v>1649</v>
      </c>
      <c r="R268" s="14" t="str">
        <f>HYPERLINK("https://drive.google.com/file/d/11Mp5OfUtcBPUaNlQcPCvY9jvIInGiEng/view?usp=drivesdk","OFFER LETTER")</f>
        <v>OFFER LETTER</v>
      </c>
      <c r="S268" s="11" t="s">
        <v>1650</v>
      </c>
    </row>
    <row r="269" ht="22.5" customHeight="1">
      <c r="A269" s="10">
        <v>46257.52735739583</v>
      </c>
      <c r="B269" s="11" t="s">
        <v>969</v>
      </c>
      <c r="C269" s="11" t="s">
        <v>195</v>
      </c>
      <c r="D269" s="11" t="s">
        <v>68</v>
      </c>
      <c r="E269" s="12">
        <v>46257.0</v>
      </c>
      <c r="F269" s="12">
        <v>46288.0</v>
      </c>
      <c r="G269" s="11" t="s">
        <v>1651</v>
      </c>
      <c r="H269" s="11">
        <v>6.390483861E9</v>
      </c>
      <c r="I269" s="11" t="s">
        <v>82</v>
      </c>
      <c r="J269" s="11" t="s">
        <v>71</v>
      </c>
      <c r="K269" s="11" t="s">
        <v>72</v>
      </c>
      <c r="L269" s="11" t="s">
        <v>84</v>
      </c>
      <c r="M269" s="11" t="s">
        <v>1652</v>
      </c>
      <c r="N269" s="11" t="s">
        <v>241</v>
      </c>
      <c r="O269" s="11" t="s">
        <v>71</v>
      </c>
      <c r="P269" s="11" t="s">
        <v>1653</v>
      </c>
      <c r="Q269" s="13" t="s">
        <v>1654</v>
      </c>
      <c r="R269" s="14" t="str">
        <f>HYPERLINK("https://drive.google.com/file/d/1uM3N264L-uCIx-J0-EZiZDx25W5GwVl4/view?usp=drivesdk","OFFER LETTER")</f>
        <v>OFFER LETTER</v>
      </c>
      <c r="S269" s="11" t="s">
        <v>1655</v>
      </c>
    </row>
    <row r="270" ht="22.5" customHeight="1">
      <c r="A270" s="10">
        <v>46257.527639872686</v>
      </c>
      <c r="B270" s="11" t="s">
        <v>1656</v>
      </c>
      <c r="C270" s="11" t="s">
        <v>173</v>
      </c>
      <c r="D270" s="11" t="s">
        <v>68</v>
      </c>
      <c r="E270" s="12">
        <v>46257.0</v>
      </c>
      <c r="F270" s="12">
        <v>46288.0</v>
      </c>
      <c r="G270" s="11" t="s">
        <v>1657</v>
      </c>
      <c r="H270" s="11">
        <v>8.3031426E9</v>
      </c>
      <c r="I270" s="11" t="s">
        <v>82</v>
      </c>
      <c r="J270" s="11" t="s">
        <v>71</v>
      </c>
      <c r="K270" s="11" t="s">
        <v>72</v>
      </c>
      <c r="L270" s="11" t="s">
        <v>73</v>
      </c>
      <c r="M270" s="11" t="s">
        <v>1658</v>
      </c>
      <c r="N270" s="11" t="s">
        <v>75</v>
      </c>
      <c r="O270" s="11" t="s">
        <v>71</v>
      </c>
      <c r="P270" s="11" t="s">
        <v>1659</v>
      </c>
      <c r="Q270" s="13" t="s">
        <v>1660</v>
      </c>
      <c r="R270" s="14" t="str">
        <f>HYPERLINK("https://drive.google.com/file/d/18zYiupWbd7nEINBirrZOrEnXAP9dz4VZ/view?usp=drivesdk","OFFER LETTER")</f>
        <v>OFFER LETTER</v>
      </c>
      <c r="S270" s="11" t="s">
        <v>1661</v>
      </c>
    </row>
    <row r="271" ht="22.5" customHeight="1">
      <c r="A271" s="10">
        <v>46257.52857724537</v>
      </c>
      <c r="B271" s="11" t="s">
        <v>1662</v>
      </c>
      <c r="C271" s="11" t="s">
        <v>91</v>
      </c>
      <c r="D271" s="11" t="s">
        <v>238</v>
      </c>
      <c r="E271" s="12">
        <v>46261.0</v>
      </c>
      <c r="F271" s="12">
        <v>46353.0</v>
      </c>
      <c r="G271" s="11" t="s">
        <v>1663</v>
      </c>
      <c r="H271" s="11">
        <v>9.766728682E9</v>
      </c>
      <c r="I271" s="11" t="s">
        <v>82</v>
      </c>
      <c r="J271" s="11" t="s">
        <v>71</v>
      </c>
      <c r="K271" s="11" t="s">
        <v>72</v>
      </c>
      <c r="L271" s="11" t="s">
        <v>84</v>
      </c>
      <c r="M271" s="11" t="s">
        <v>1664</v>
      </c>
      <c r="N271" s="11" t="s">
        <v>75</v>
      </c>
      <c r="O271" s="11" t="s">
        <v>71</v>
      </c>
      <c r="P271" s="11" t="s">
        <v>1665</v>
      </c>
      <c r="Q271" s="13" t="s">
        <v>1666</v>
      </c>
      <c r="R271" s="14" t="str">
        <f>HYPERLINK("https://drive.google.com/file/d/1M228qqJYx-KeSZ0C1Kliw6ZcuH8Qckjf/view?usp=drivesdk","OFFER LETTER")</f>
        <v>OFFER LETTER</v>
      </c>
      <c r="S271" s="11" t="s">
        <v>1667</v>
      </c>
    </row>
    <row r="272" ht="22.5" customHeight="1">
      <c r="A272" s="10">
        <v>46257.529022546296</v>
      </c>
      <c r="B272" s="11" t="s">
        <v>1668</v>
      </c>
      <c r="C272" s="11" t="s">
        <v>165</v>
      </c>
      <c r="D272" s="11" t="s">
        <v>68</v>
      </c>
      <c r="E272" s="12">
        <v>46258.0</v>
      </c>
      <c r="F272" s="12">
        <v>46289.0</v>
      </c>
      <c r="G272" s="11" t="s">
        <v>1669</v>
      </c>
      <c r="H272" s="11">
        <v>8.100301014E9</v>
      </c>
      <c r="I272" s="11" t="s">
        <v>70</v>
      </c>
      <c r="J272" s="11" t="s">
        <v>71</v>
      </c>
      <c r="K272" s="11" t="s">
        <v>167</v>
      </c>
      <c r="L272" s="11" t="s">
        <v>247</v>
      </c>
      <c r="M272" s="11" t="s">
        <v>1670</v>
      </c>
      <c r="N272" s="11" t="s">
        <v>241</v>
      </c>
      <c r="O272" s="11" t="s">
        <v>71</v>
      </c>
      <c r="P272" s="11" t="s">
        <v>1671</v>
      </c>
      <c r="Q272" s="13" t="s">
        <v>1672</v>
      </c>
      <c r="R272" s="14" t="str">
        <f>HYPERLINK("https://drive.google.com/file/d/1S-ps-3j585b-Hew-9mwTmwPK9WRT7Qlw/view?usp=drivesdk","OFFER LETTER")</f>
        <v>OFFER LETTER</v>
      </c>
      <c r="S272" s="11" t="s">
        <v>1673</v>
      </c>
    </row>
    <row r="273" ht="22.5" customHeight="1">
      <c r="A273" s="10">
        <v>46257.531417754624</v>
      </c>
      <c r="B273" s="11" t="s">
        <v>1674</v>
      </c>
      <c r="C273" s="11" t="s">
        <v>80</v>
      </c>
      <c r="D273" s="11" t="s">
        <v>68</v>
      </c>
      <c r="E273" s="12">
        <v>46257.0</v>
      </c>
      <c r="F273" s="12">
        <v>46288.0</v>
      </c>
      <c r="G273" s="11" t="s">
        <v>1675</v>
      </c>
      <c r="H273" s="11">
        <v>9.075801459E9</v>
      </c>
      <c r="I273" s="11" t="s">
        <v>70</v>
      </c>
      <c r="J273" s="11" t="s">
        <v>71</v>
      </c>
      <c r="K273" s="11" t="s">
        <v>72</v>
      </c>
      <c r="L273" s="11" t="s">
        <v>73</v>
      </c>
      <c r="M273" s="11" t="s">
        <v>1676</v>
      </c>
      <c r="N273" s="11" t="s">
        <v>241</v>
      </c>
      <c r="O273" s="11" t="s">
        <v>71</v>
      </c>
      <c r="P273" s="11" t="s">
        <v>1677</v>
      </c>
      <c r="Q273" s="13" t="s">
        <v>1678</v>
      </c>
      <c r="R273" s="14" t="str">
        <f>HYPERLINK("https://drive.google.com/file/d/1lTKXCVgweIk0oMNbOTZpA-1UIPOuqvd6/view?usp=drivesdk","OFFER LETTER")</f>
        <v>OFFER LETTER</v>
      </c>
      <c r="S273" s="11" t="s">
        <v>1679</v>
      </c>
    </row>
    <row r="274" ht="22.5" customHeight="1">
      <c r="A274" s="10">
        <v>46257.531575</v>
      </c>
      <c r="B274" s="11" t="s">
        <v>1680</v>
      </c>
      <c r="C274" s="11" t="s">
        <v>195</v>
      </c>
      <c r="D274" s="11" t="s">
        <v>68</v>
      </c>
      <c r="E274" s="12">
        <v>46257.0</v>
      </c>
      <c r="F274" s="12">
        <v>46288.0</v>
      </c>
      <c r="G274" s="11" t="s">
        <v>1681</v>
      </c>
      <c r="H274" s="11">
        <v>9.336993724E9</v>
      </c>
      <c r="I274" s="11" t="s">
        <v>82</v>
      </c>
      <c r="J274" s="11" t="s">
        <v>71</v>
      </c>
      <c r="K274" s="11" t="s">
        <v>72</v>
      </c>
      <c r="L274" s="11" t="s">
        <v>73</v>
      </c>
      <c r="M274" s="11" t="s">
        <v>287</v>
      </c>
      <c r="N274" s="11" t="s">
        <v>155</v>
      </c>
      <c r="O274" s="11" t="s">
        <v>71</v>
      </c>
      <c r="P274" s="11" t="s">
        <v>1682</v>
      </c>
      <c r="Q274" s="13" t="s">
        <v>1683</v>
      </c>
      <c r="R274" s="14" t="str">
        <f>HYPERLINK("https://drive.google.com/file/d/1eZ-yks9eGZ9f-NmfzcEM5yCp0PRai8y3/view?usp=drivesdk","OFFER LETTER")</f>
        <v>OFFER LETTER</v>
      </c>
      <c r="S274" s="11" t="s">
        <v>1684</v>
      </c>
    </row>
    <row r="275" ht="22.5" customHeight="1">
      <c r="A275" s="10">
        <v>46257.53338476852</v>
      </c>
      <c r="B275" s="11" t="s">
        <v>1469</v>
      </c>
      <c r="C275" s="11" t="s">
        <v>298</v>
      </c>
      <c r="D275" s="11" t="s">
        <v>68</v>
      </c>
      <c r="E275" s="12">
        <v>46203.0</v>
      </c>
      <c r="F275" s="12">
        <v>46233.0</v>
      </c>
      <c r="G275" s="11" t="s">
        <v>1508</v>
      </c>
      <c r="H275" s="11">
        <v>9.174842642E9</v>
      </c>
      <c r="I275" s="11" t="s">
        <v>82</v>
      </c>
      <c r="J275" s="11" t="s">
        <v>71</v>
      </c>
      <c r="K275" s="11" t="s">
        <v>72</v>
      </c>
      <c r="L275" s="11" t="s">
        <v>84</v>
      </c>
      <c r="M275" s="11" t="s">
        <v>1471</v>
      </c>
      <c r="N275" s="11" t="s">
        <v>86</v>
      </c>
      <c r="O275" s="11" t="s">
        <v>71</v>
      </c>
      <c r="P275" s="11" t="s">
        <v>1685</v>
      </c>
      <c r="Q275" s="13" t="s">
        <v>1686</v>
      </c>
      <c r="R275" s="14" t="str">
        <f>HYPERLINK("https://drive.google.com/file/d/120Efl1sOzOIlcQ5CmCRcleb7JxA94OQs/view?usp=drivesdk","OFFER LETTER")</f>
        <v>OFFER LETTER</v>
      </c>
      <c r="S275" s="11" t="s">
        <v>1687</v>
      </c>
    </row>
    <row r="276" ht="22.5" customHeight="1">
      <c r="A276" s="10">
        <v>46257.53507509259</v>
      </c>
      <c r="B276" s="11" t="s">
        <v>1688</v>
      </c>
      <c r="C276" s="11" t="s">
        <v>107</v>
      </c>
      <c r="D276" s="11" t="s">
        <v>68</v>
      </c>
      <c r="E276" s="12">
        <v>46257.0</v>
      </c>
      <c r="F276" s="12">
        <v>46287.0</v>
      </c>
      <c r="G276" s="11" t="s">
        <v>1689</v>
      </c>
      <c r="H276" s="11">
        <v>8.057485445E9</v>
      </c>
      <c r="I276" s="11" t="s">
        <v>82</v>
      </c>
      <c r="J276" s="11" t="s">
        <v>71</v>
      </c>
      <c r="K276" s="11" t="s">
        <v>72</v>
      </c>
      <c r="L276" s="11" t="s">
        <v>73</v>
      </c>
      <c r="M276" s="11" t="s">
        <v>1690</v>
      </c>
      <c r="N276" s="11" t="s">
        <v>241</v>
      </c>
      <c r="O276" s="11" t="s">
        <v>71</v>
      </c>
      <c r="P276" s="11" t="s">
        <v>1691</v>
      </c>
      <c r="Q276" s="13" t="s">
        <v>1692</v>
      </c>
      <c r="R276" s="14" t="str">
        <f>HYPERLINK("https://drive.google.com/file/d/1ftnTYeLz0OkcSZKFr03_8Kc9mPmcUjtj/view?usp=drivesdk","OFFER LETTER")</f>
        <v>OFFER LETTER</v>
      </c>
      <c r="S276" s="11" t="s">
        <v>1693</v>
      </c>
    </row>
    <row r="277" ht="22.5" customHeight="1">
      <c r="A277" s="10">
        <v>46257.535309976854</v>
      </c>
      <c r="B277" s="11" t="s">
        <v>1694</v>
      </c>
      <c r="C277" s="11" t="s">
        <v>165</v>
      </c>
      <c r="D277" s="11" t="s">
        <v>68</v>
      </c>
      <c r="E277" s="12">
        <v>46257.0</v>
      </c>
      <c r="F277" s="12">
        <v>46288.0</v>
      </c>
      <c r="G277" s="11" t="s">
        <v>1695</v>
      </c>
      <c r="H277" s="11">
        <v>9.128234908E9</v>
      </c>
      <c r="I277" s="11" t="s">
        <v>82</v>
      </c>
      <c r="J277" s="11" t="s">
        <v>71</v>
      </c>
      <c r="K277" s="11" t="s">
        <v>167</v>
      </c>
      <c r="L277" s="11" t="s">
        <v>247</v>
      </c>
      <c r="M277" s="11" t="s">
        <v>1696</v>
      </c>
      <c r="N277" s="11" t="s">
        <v>75</v>
      </c>
      <c r="O277" s="11" t="s">
        <v>71</v>
      </c>
      <c r="P277" s="11" t="s">
        <v>1697</v>
      </c>
      <c r="Q277" s="13" t="s">
        <v>1698</v>
      </c>
      <c r="R277" s="14" t="str">
        <f>HYPERLINK("https://drive.google.com/file/d/1Wz4d5N7tXVW_Tv1TMtVsb1irNlcYT5tf/view?usp=drivesdk","OFFER LETTER")</f>
        <v>OFFER LETTER</v>
      </c>
      <c r="S277" s="11" t="s">
        <v>1699</v>
      </c>
    </row>
    <row r="278" ht="22.5" customHeight="1">
      <c r="A278" s="10">
        <v>46257.53693637731</v>
      </c>
      <c r="B278" s="11" t="s">
        <v>1700</v>
      </c>
      <c r="C278" s="11" t="s">
        <v>165</v>
      </c>
      <c r="D278" s="11" t="s">
        <v>68</v>
      </c>
      <c r="E278" s="12">
        <v>46258.0</v>
      </c>
      <c r="F278" s="12">
        <v>46289.0</v>
      </c>
      <c r="G278" s="11" t="s">
        <v>1669</v>
      </c>
      <c r="H278" s="11">
        <v>8.100301014E9</v>
      </c>
      <c r="I278" s="11" t="s">
        <v>70</v>
      </c>
      <c r="J278" s="11" t="s">
        <v>71</v>
      </c>
      <c r="K278" s="11" t="s">
        <v>167</v>
      </c>
      <c r="L278" s="11" t="s">
        <v>247</v>
      </c>
      <c r="M278" s="11" t="s">
        <v>1670</v>
      </c>
      <c r="N278" s="11" t="s">
        <v>241</v>
      </c>
      <c r="O278" s="11" t="s">
        <v>71</v>
      </c>
      <c r="P278" s="11" t="s">
        <v>1701</v>
      </c>
      <c r="Q278" s="13" t="s">
        <v>1702</v>
      </c>
      <c r="R278" s="14" t="str">
        <f>HYPERLINK("https://drive.google.com/file/d/1mj-ANdRUE9eUweqabC8BzpjxXgU-ZVXO/view?usp=drivesdk","OFFER LETTER")</f>
        <v>OFFER LETTER</v>
      </c>
      <c r="S278" s="11" t="s">
        <v>1703</v>
      </c>
    </row>
    <row r="279" ht="22.5" customHeight="1">
      <c r="A279" s="10">
        <v>46257.53800444445</v>
      </c>
      <c r="B279" s="11" t="s">
        <v>1645</v>
      </c>
      <c r="C279" s="11" t="s">
        <v>107</v>
      </c>
      <c r="D279" s="11" t="s">
        <v>68</v>
      </c>
      <c r="E279" s="12">
        <v>46257.0</v>
      </c>
      <c r="F279" s="12">
        <v>46288.0</v>
      </c>
      <c r="G279" s="11" t="s">
        <v>1646</v>
      </c>
      <c r="H279" s="11">
        <v>8.260247701E9</v>
      </c>
      <c r="I279" s="11" t="s">
        <v>82</v>
      </c>
      <c r="J279" s="11" t="s">
        <v>71</v>
      </c>
      <c r="K279" s="13" t="s">
        <v>443</v>
      </c>
      <c r="L279" s="11" t="s">
        <v>247</v>
      </c>
      <c r="M279" s="11" t="s">
        <v>1647</v>
      </c>
      <c r="N279" s="11" t="s">
        <v>241</v>
      </c>
      <c r="O279" s="11" t="s">
        <v>71</v>
      </c>
      <c r="P279" s="11" t="s">
        <v>1704</v>
      </c>
      <c r="Q279" s="13" t="s">
        <v>1705</v>
      </c>
      <c r="R279" s="14" t="str">
        <f>HYPERLINK("https://drive.google.com/file/d/1XzVHQFVDQURgG-KY5M9SzW-gdkyjuOIF/view?usp=drivesdk","OFFER LETTER")</f>
        <v>OFFER LETTER</v>
      </c>
      <c r="S279" s="11" t="s">
        <v>1706</v>
      </c>
    </row>
    <row r="280" ht="22.5" customHeight="1">
      <c r="A280" s="10">
        <v>46257.53868539352</v>
      </c>
      <c r="B280" s="11" t="s">
        <v>1707</v>
      </c>
      <c r="C280" s="11" t="s">
        <v>128</v>
      </c>
      <c r="D280" s="11" t="s">
        <v>68</v>
      </c>
      <c r="E280" s="12">
        <v>46266.0</v>
      </c>
      <c r="F280" s="12">
        <v>46295.0</v>
      </c>
      <c r="G280" s="11" t="s">
        <v>1708</v>
      </c>
      <c r="H280" s="11">
        <v>8.534811806E9</v>
      </c>
      <c r="I280" s="11" t="s">
        <v>70</v>
      </c>
      <c r="J280" s="11" t="s">
        <v>71</v>
      </c>
      <c r="K280" s="11" t="s">
        <v>72</v>
      </c>
      <c r="L280" s="11" t="s">
        <v>73</v>
      </c>
      <c r="M280" s="11" t="s">
        <v>1709</v>
      </c>
      <c r="N280" s="11" t="s">
        <v>86</v>
      </c>
      <c r="O280" s="11" t="s">
        <v>71</v>
      </c>
      <c r="P280" s="11" t="s">
        <v>1710</v>
      </c>
      <c r="Q280" s="13" t="s">
        <v>1711</v>
      </c>
      <c r="R280" s="14" t="str">
        <f>HYPERLINK("https://drive.google.com/file/d/1JegyzForqZo9k9lsiXrWDx4DQ-z8_zHR/view?usp=drivesdk","OFFER LETTER")</f>
        <v>OFFER LETTER</v>
      </c>
      <c r="S280" s="11" t="s">
        <v>1712</v>
      </c>
    </row>
    <row r="281" ht="22.5" customHeight="1">
      <c r="A281" s="10">
        <v>46257.54050883102</v>
      </c>
      <c r="B281" s="11" t="s">
        <v>1713</v>
      </c>
      <c r="C281" s="11" t="s">
        <v>107</v>
      </c>
      <c r="D281" s="11" t="s">
        <v>68</v>
      </c>
      <c r="E281" s="12">
        <v>46259.0</v>
      </c>
      <c r="F281" s="12">
        <v>46289.0</v>
      </c>
      <c r="G281" s="11" t="s">
        <v>1714</v>
      </c>
      <c r="H281" s="11">
        <v>7.03797466E9</v>
      </c>
      <c r="I281" s="11" t="s">
        <v>82</v>
      </c>
      <c r="J281" s="11" t="s">
        <v>71</v>
      </c>
      <c r="K281" s="11" t="s">
        <v>72</v>
      </c>
      <c r="L281" s="11" t="s">
        <v>131</v>
      </c>
      <c r="M281" s="11" t="s">
        <v>1715</v>
      </c>
      <c r="N281" s="11" t="s">
        <v>241</v>
      </c>
      <c r="O281" s="11" t="s">
        <v>71</v>
      </c>
      <c r="P281" s="11" t="s">
        <v>1716</v>
      </c>
      <c r="Q281" s="13" t="s">
        <v>1717</v>
      </c>
      <c r="R281" s="14" t="str">
        <f>HYPERLINK("https://drive.google.com/file/d/1SaFYjbaiUiOs-QbSsno-Plhv_PAGrvru/view?usp=drivesdk","OFFER LETTER")</f>
        <v>OFFER LETTER</v>
      </c>
      <c r="S281" s="11" t="s">
        <v>1718</v>
      </c>
    </row>
    <row r="282" ht="22.5" customHeight="1">
      <c r="A282" s="10">
        <v>46257.540867488424</v>
      </c>
      <c r="B282" s="11" t="s">
        <v>1719</v>
      </c>
      <c r="C282" s="11" t="s">
        <v>80</v>
      </c>
      <c r="D282" s="11" t="s">
        <v>68</v>
      </c>
      <c r="E282" s="12">
        <v>46257.0</v>
      </c>
      <c r="F282" s="12">
        <v>46288.0</v>
      </c>
      <c r="G282" s="11" t="s">
        <v>1720</v>
      </c>
      <c r="H282" s="11">
        <v>8.32912944E9</v>
      </c>
      <c r="I282" s="11" t="s">
        <v>82</v>
      </c>
      <c r="J282" s="11" t="s">
        <v>71</v>
      </c>
      <c r="K282" s="11" t="s">
        <v>72</v>
      </c>
      <c r="L282" s="11" t="s">
        <v>247</v>
      </c>
      <c r="M282" s="11" t="s">
        <v>1721</v>
      </c>
      <c r="N282" s="11" t="s">
        <v>1722</v>
      </c>
      <c r="O282" s="11" t="s">
        <v>71</v>
      </c>
      <c r="P282" s="11" t="s">
        <v>1723</v>
      </c>
      <c r="Q282" s="13" t="s">
        <v>1724</v>
      </c>
      <c r="R282" s="14" t="str">
        <f>HYPERLINK("https://drive.google.com/file/d/1WJ0DpBb-SReyhfG_zO_fABUrQQPft727/view?usp=drivesdk","OFFER LETTER")</f>
        <v>OFFER LETTER</v>
      </c>
      <c r="S282" s="11" t="s">
        <v>1725</v>
      </c>
    </row>
    <row r="283" ht="22.5" customHeight="1">
      <c r="A283" s="10">
        <v>46257.54166540509</v>
      </c>
      <c r="B283" s="11" t="s">
        <v>1688</v>
      </c>
      <c r="C283" s="11" t="s">
        <v>107</v>
      </c>
      <c r="D283" s="11" t="s">
        <v>68</v>
      </c>
      <c r="E283" s="12">
        <v>46288.0</v>
      </c>
      <c r="F283" s="12">
        <v>46317.0</v>
      </c>
      <c r="G283" s="11" t="s">
        <v>1689</v>
      </c>
      <c r="H283" s="11">
        <v>8.057485445E9</v>
      </c>
      <c r="I283" s="11" t="s">
        <v>82</v>
      </c>
      <c r="J283" s="11" t="s">
        <v>71</v>
      </c>
      <c r="K283" s="11" t="s">
        <v>72</v>
      </c>
      <c r="L283" s="11" t="s">
        <v>73</v>
      </c>
      <c r="M283" s="11" t="s">
        <v>1726</v>
      </c>
      <c r="N283" s="11" t="s">
        <v>241</v>
      </c>
      <c r="O283" s="11" t="s">
        <v>71</v>
      </c>
      <c r="P283" s="11" t="s">
        <v>1727</v>
      </c>
      <c r="Q283" s="13" t="s">
        <v>1728</v>
      </c>
      <c r="R283" s="14" t="str">
        <f>HYPERLINK("https://drive.google.com/file/d/1hNLd6W5Z0jpI_rfbXaXrlPi7sN681VFz/view?usp=drivesdk","OFFER LETTER")</f>
        <v>OFFER LETTER</v>
      </c>
      <c r="S283" s="11" t="s">
        <v>1729</v>
      </c>
    </row>
    <row r="284" ht="22.5" customHeight="1">
      <c r="A284" s="10">
        <v>46257.541946516205</v>
      </c>
      <c r="B284" s="11" t="s">
        <v>1730</v>
      </c>
      <c r="C284" s="11" t="s">
        <v>80</v>
      </c>
      <c r="D284" s="11" t="s">
        <v>68</v>
      </c>
      <c r="E284" s="12">
        <v>46235.0</v>
      </c>
      <c r="F284" s="12">
        <v>46266.0</v>
      </c>
      <c r="G284" s="11" t="s">
        <v>1731</v>
      </c>
      <c r="H284" s="11">
        <v>8.397968911E9</v>
      </c>
      <c r="I284" s="11" t="s">
        <v>82</v>
      </c>
      <c r="J284" s="11" t="s">
        <v>71</v>
      </c>
      <c r="K284" s="11" t="s">
        <v>72</v>
      </c>
      <c r="L284" s="11" t="s">
        <v>73</v>
      </c>
      <c r="M284" s="11" t="s">
        <v>1732</v>
      </c>
      <c r="N284" s="11" t="s">
        <v>241</v>
      </c>
      <c r="O284" s="11" t="s">
        <v>71</v>
      </c>
      <c r="P284" s="11" t="s">
        <v>1733</v>
      </c>
      <c r="Q284" s="13" t="s">
        <v>1734</v>
      </c>
      <c r="R284" s="14" t="str">
        <f>HYPERLINK("https://drive.google.com/file/d/1WV7AKaLU5ZXSRg5GnFAk-S_5mEJlDuna/view?usp=drivesdk","OFFER LETTER")</f>
        <v>OFFER LETTER</v>
      </c>
      <c r="S284" s="11" t="s">
        <v>1735</v>
      </c>
    </row>
    <row r="285" ht="22.5" customHeight="1">
      <c r="A285" s="10">
        <v>46257.54229413194</v>
      </c>
      <c r="B285" s="11" t="s">
        <v>1736</v>
      </c>
      <c r="C285" s="11" t="s">
        <v>128</v>
      </c>
      <c r="D285" s="11" t="s">
        <v>68</v>
      </c>
      <c r="E285" s="12">
        <v>46257.0</v>
      </c>
      <c r="F285" s="12">
        <v>46288.0</v>
      </c>
      <c r="G285" s="11" t="s">
        <v>1737</v>
      </c>
      <c r="H285" s="11">
        <v>7.347477933E9</v>
      </c>
      <c r="I285" s="11" t="s">
        <v>82</v>
      </c>
      <c r="J285" s="11" t="s">
        <v>71</v>
      </c>
      <c r="K285" s="11" t="s">
        <v>167</v>
      </c>
      <c r="L285" s="11" t="s">
        <v>131</v>
      </c>
      <c r="M285" s="11" t="s">
        <v>1738</v>
      </c>
      <c r="N285" s="11" t="s">
        <v>1641</v>
      </c>
      <c r="O285" s="11" t="s">
        <v>71</v>
      </c>
      <c r="P285" s="11" t="s">
        <v>1739</v>
      </c>
      <c r="Q285" s="13" t="s">
        <v>1740</v>
      </c>
      <c r="R285" s="14" t="str">
        <f>HYPERLINK("https://drive.google.com/file/d/1-3XDxbef053ak1bl33x7CzGQvhDd-OOm/view?usp=drivesdk","OFFER LETTER")</f>
        <v>OFFER LETTER</v>
      </c>
      <c r="S285" s="11" t="s">
        <v>1741</v>
      </c>
    </row>
    <row r="286" ht="22.5" customHeight="1">
      <c r="A286" s="10">
        <v>46257.54502127315</v>
      </c>
      <c r="B286" s="11" t="s">
        <v>1742</v>
      </c>
      <c r="C286" s="11" t="s">
        <v>259</v>
      </c>
      <c r="D286" s="11" t="s">
        <v>68</v>
      </c>
      <c r="E286" s="12">
        <v>46257.0</v>
      </c>
      <c r="F286" s="12">
        <v>46287.0</v>
      </c>
      <c r="G286" s="11" t="s">
        <v>1743</v>
      </c>
      <c r="H286" s="11">
        <v>8.260529202E9</v>
      </c>
      <c r="I286" s="11" t="s">
        <v>82</v>
      </c>
      <c r="J286" s="11" t="s">
        <v>83</v>
      </c>
      <c r="K286" s="11" t="s">
        <v>356</v>
      </c>
      <c r="L286" s="11" t="s">
        <v>84</v>
      </c>
      <c r="M286" s="11" t="s">
        <v>1744</v>
      </c>
      <c r="N286" s="11" t="s">
        <v>241</v>
      </c>
      <c r="O286" s="11" t="s">
        <v>71</v>
      </c>
      <c r="P286" s="11" t="s">
        <v>1745</v>
      </c>
      <c r="Q286" s="13" t="s">
        <v>1746</v>
      </c>
      <c r="R286" s="14" t="str">
        <f>HYPERLINK("https://drive.google.com/file/d/1SPXNRIl64IxIJ11lNiiRIAJV7WlhVZ8L/view?usp=drivesdk","OFFER LETTER")</f>
        <v>OFFER LETTER</v>
      </c>
      <c r="S286" s="11" t="s">
        <v>1747</v>
      </c>
    </row>
    <row r="287" ht="22.5" customHeight="1">
      <c r="A287" s="10">
        <v>46257.54625702546</v>
      </c>
      <c r="B287" s="11" t="s">
        <v>1748</v>
      </c>
      <c r="C287" s="11" t="s">
        <v>259</v>
      </c>
      <c r="D287" s="11" t="s">
        <v>68</v>
      </c>
      <c r="E287" s="12">
        <v>46266.0</v>
      </c>
      <c r="F287" s="12">
        <v>46296.0</v>
      </c>
      <c r="G287" s="11" t="s">
        <v>1749</v>
      </c>
      <c r="H287" s="11">
        <v>9.963818398E9</v>
      </c>
      <c r="I287" s="11" t="s">
        <v>82</v>
      </c>
      <c r="J287" s="11" t="s">
        <v>71</v>
      </c>
      <c r="K287" s="11" t="s">
        <v>72</v>
      </c>
      <c r="L287" s="11" t="s">
        <v>131</v>
      </c>
      <c r="M287" s="11" t="s">
        <v>1750</v>
      </c>
      <c r="N287" s="11" t="s">
        <v>1641</v>
      </c>
      <c r="O287" s="11" t="s">
        <v>71</v>
      </c>
      <c r="P287" s="11" t="s">
        <v>1751</v>
      </c>
      <c r="Q287" s="13" t="s">
        <v>1752</v>
      </c>
      <c r="R287" s="14" t="str">
        <f>HYPERLINK("https://drive.google.com/file/d/1nR3caE3RqEOf8hgc7tyGHN9m8Jz3nBLS/view?usp=drivesdk","OFFER LETTER")</f>
        <v>OFFER LETTER</v>
      </c>
      <c r="S287" s="11" t="s">
        <v>1753</v>
      </c>
    </row>
    <row r="288" ht="22.5" customHeight="1">
      <c r="A288" s="10">
        <v>46257.54751326389</v>
      </c>
      <c r="B288" s="11" t="s">
        <v>1754</v>
      </c>
      <c r="C288" s="11" t="s">
        <v>91</v>
      </c>
      <c r="D288" s="11" t="s">
        <v>68</v>
      </c>
      <c r="E288" s="12">
        <v>46257.0</v>
      </c>
      <c r="F288" s="12">
        <v>46288.0</v>
      </c>
      <c r="G288" s="11" t="s">
        <v>1755</v>
      </c>
      <c r="H288" s="11">
        <v>9.336608928E9</v>
      </c>
      <c r="I288" s="11" t="s">
        <v>70</v>
      </c>
      <c r="J288" s="11" t="s">
        <v>71</v>
      </c>
      <c r="K288" s="11" t="s">
        <v>72</v>
      </c>
      <c r="L288" s="11" t="s">
        <v>131</v>
      </c>
      <c r="M288" s="11" t="s">
        <v>1756</v>
      </c>
      <c r="N288" s="11" t="s">
        <v>75</v>
      </c>
      <c r="O288" s="11" t="s">
        <v>71</v>
      </c>
      <c r="P288" s="11" t="s">
        <v>1757</v>
      </c>
      <c r="Q288" s="13" t="s">
        <v>1758</v>
      </c>
      <c r="R288" s="14" t="str">
        <f>HYPERLINK("https://drive.google.com/file/d/1ZX5jJea0LsFPF8T_ZViuOACF5lQBjwx-/view?usp=drivesdk","OFFER LETTER")</f>
        <v>OFFER LETTER</v>
      </c>
      <c r="S288" s="11" t="s">
        <v>1759</v>
      </c>
    </row>
    <row r="289" ht="22.5" customHeight="1">
      <c r="A289" s="10">
        <v>46257.54760309028</v>
      </c>
      <c r="B289" s="11" t="s">
        <v>1760</v>
      </c>
      <c r="C289" s="11" t="s">
        <v>128</v>
      </c>
      <c r="D289" s="11" t="s">
        <v>68</v>
      </c>
      <c r="E289" s="12">
        <v>46257.0</v>
      </c>
      <c r="F289" s="12">
        <v>46288.0</v>
      </c>
      <c r="G289" s="11" t="s">
        <v>1761</v>
      </c>
      <c r="H289" s="11">
        <v>8.095548468E9</v>
      </c>
      <c r="I289" s="11" t="s">
        <v>82</v>
      </c>
      <c r="J289" s="11" t="s">
        <v>71</v>
      </c>
      <c r="K289" s="11" t="s">
        <v>72</v>
      </c>
      <c r="L289" s="11" t="s">
        <v>73</v>
      </c>
      <c r="M289" s="11" t="s">
        <v>1762</v>
      </c>
      <c r="N289" s="11" t="s">
        <v>750</v>
      </c>
      <c r="O289" s="11" t="s">
        <v>71</v>
      </c>
      <c r="P289" s="11" t="s">
        <v>1763</v>
      </c>
      <c r="Q289" s="13" t="s">
        <v>1764</v>
      </c>
      <c r="R289" s="14" t="str">
        <f>HYPERLINK("https://drive.google.com/file/d/1I1zLuu304WNXsn8xSsS2Nzt58L18YGzb/view?usp=drivesdk","OFFER LETTER")</f>
        <v>OFFER LETTER</v>
      </c>
      <c r="S289" s="11" t="s">
        <v>1759</v>
      </c>
    </row>
    <row r="290" ht="22.5" customHeight="1">
      <c r="A290" s="10">
        <v>46257.5482438426</v>
      </c>
      <c r="B290" s="11" t="s">
        <v>1765</v>
      </c>
      <c r="C290" s="11" t="s">
        <v>173</v>
      </c>
      <c r="D290" s="11" t="s">
        <v>68</v>
      </c>
      <c r="E290" s="12">
        <v>46257.0</v>
      </c>
      <c r="F290" s="12">
        <v>46289.0</v>
      </c>
      <c r="G290" s="11" t="s">
        <v>1766</v>
      </c>
      <c r="H290" s="11">
        <v>9.913167696E9</v>
      </c>
      <c r="I290" s="11" t="s">
        <v>82</v>
      </c>
      <c r="J290" s="11" t="s">
        <v>71</v>
      </c>
      <c r="K290" s="11" t="s">
        <v>110</v>
      </c>
      <c r="L290" s="11" t="s">
        <v>247</v>
      </c>
      <c r="M290" s="11" t="s">
        <v>1767</v>
      </c>
      <c r="N290" s="11" t="s">
        <v>75</v>
      </c>
      <c r="O290" s="11" t="s">
        <v>263</v>
      </c>
      <c r="P290" s="11" t="s">
        <v>1768</v>
      </c>
      <c r="Q290" s="13" t="s">
        <v>1769</v>
      </c>
      <c r="R290" s="14" t="str">
        <f>HYPERLINK("https://drive.google.com/file/d/1N-_pVkyX1mVe7IWDOCvzHbsWX9xdW-_i/view?usp=drivesdk","OFFER LETTER")</f>
        <v>OFFER LETTER</v>
      </c>
      <c r="S290" s="11" t="s">
        <v>1770</v>
      </c>
    </row>
    <row r="291" ht="22.5" customHeight="1">
      <c r="A291" s="10">
        <v>46257.55142004629</v>
      </c>
      <c r="B291" s="11" t="s">
        <v>1771</v>
      </c>
      <c r="C291" s="11" t="s">
        <v>128</v>
      </c>
      <c r="D291" s="11" t="s">
        <v>68</v>
      </c>
      <c r="E291" s="12">
        <v>46257.0</v>
      </c>
      <c r="F291" s="12">
        <v>46287.0</v>
      </c>
      <c r="G291" s="11" t="s">
        <v>1772</v>
      </c>
      <c r="H291" s="11">
        <v>9.211066134E9</v>
      </c>
      <c r="I291" s="11" t="s">
        <v>82</v>
      </c>
      <c r="J291" s="11" t="s">
        <v>71</v>
      </c>
      <c r="K291" s="11" t="s">
        <v>72</v>
      </c>
      <c r="L291" s="11" t="s">
        <v>73</v>
      </c>
      <c r="M291" s="11" t="s">
        <v>1773</v>
      </c>
      <c r="N291" s="11" t="s">
        <v>75</v>
      </c>
      <c r="O291" s="11" t="s">
        <v>263</v>
      </c>
      <c r="P291" s="11" t="s">
        <v>1774</v>
      </c>
      <c r="Q291" s="13" t="s">
        <v>1775</v>
      </c>
      <c r="R291" s="14" t="str">
        <f>HYPERLINK("https://drive.google.com/file/d/1AskXyBqN7fhQIsZJwEplEgCySwXhfl9o/view?usp=drivesdk","OFFER LETTER")</f>
        <v>OFFER LETTER</v>
      </c>
      <c r="S291" s="11" t="s">
        <v>1776</v>
      </c>
    </row>
    <row r="292" ht="22.5" customHeight="1">
      <c r="A292" s="10">
        <v>46257.5520287963</v>
      </c>
      <c r="B292" s="11" t="s">
        <v>1777</v>
      </c>
      <c r="C292" s="11" t="s">
        <v>195</v>
      </c>
      <c r="D292" s="11" t="s">
        <v>68</v>
      </c>
      <c r="E292" s="12">
        <v>46226.0</v>
      </c>
      <c r="F292" s="12">
        <v>46257.0</v>
      </c>
      <c r="G292" s="11" t="s">
        <v>1778</v>
      </c>
      <c r="H292" s="11">
        <v>9.258570878E9</v>
      </c>
      <c r="I292" s="11" t="s">
        <v>82</v>
      </c>
      <c r="J292" s="11" t="s">
        <v>71</v>
      </c>
      <c r="K292" s="11" t="s">
        <v>72</v>
      </c>
      <c r="L292" s="11" t="s">
        <v>84</v>
      </c>
      <c r="M292" s="11" t="s">
        <v>1779</v>
      </c>
      <c r="N292" s="11" t="s">
        <v>75</v>
      </c>
      <c r="O292" s="11" t="s">
        <v>263</v>
      </c>
      <c r="P292" s="11" t="s">
        <v>1780</v>
      </c>
      <c r="Q292" s="13" t="s">
        <v>1781</v>
      </c>
      <c r="R292" s="14" t="str">
        <f>HYPERLINK("https://drive.google.com/file/d/1QT8-MDFxJ4GiI43pjPdrrD_jnBj2gFLv/view?usp=drivesdk","OFFER LETTER")</f>
        <v>OFFER LETTER</v>
      </c>
      <c r="S292" s="11" t="s">
        <v>1782</v>
      </c>
    </row>
    <row r="293" ht="22.5" customHeight="1">
      <c r="A293" s="10">
        <v>46257.552995798615</v>
      </c>
      <c r="B293" s="11" t="s">
        <v>1783</v>
      </c>
      <c r="C293" s="11" t="s">
        <v>1320</v>
      </c>
      <c r="D293" s="11" t="s">
        <v>68</v>
      </c>
      <c r="E293" s="12">
        <v>46258.0</v>
      </c>
      <c r="F293" s="12">
        <v>46289.0</v>
      </c>
      <c r="G293" s="11" t="s">
        <v>1784</v>
      </c>
      <c r="H293" s="11">
        <v>8.795676675E9</v>
      </c>
      <c r="I293" s="11" t="s">
        <v>82</v>
      </c>
      <c r="J293" s="11" t="s">
        <v>71</v>
      </c>
      <c r="K293" s="11" t="s">
        <v>72</v>
      </c>
      <c r="L293" s="11" t="s">
        <v>84</v>
      </c>
      <c r="M293" s="11" t="s">
        <v>1785</v>
      </c>
      <c r="N293" s="11" t="s">
        <v>75</v>
      </c>
      <c r="O293" s="11" t="s">
        <v>71</v>
      </c>
      <c r="P293" s="11" t="s">
        <v>1786</v>
      </c>
      <c r="Q293" s="13" t="s">
        <v>1787</v>
      </c>
      <c r="R293" s="14" t="str">
        <f>HYPERLINK("https://drive.google.com/file/d/1U1OvhK3DktpDIbMA-7dvW7seZ2XifuKJ/view?usp=drivesdk","OFFER LETTER")</f>
        <v>OFFER LETTER</v>
      </c>
      <c r="S293" s="11" t="s">
        <v>1788</v>
      </c>
    </row>
    <row r="294" ht="22.5" customHeight="1">
      <c r="A294" s="10">
        <v>46257.55416547453</v>
      </c>
      <c r="B294" s="11" t="s">
        <v>1789</v>
      </c>
      <c r="C294" s="11" t="s">
        <v>173</v>
      </c>
      <c r="D294" s="11" t="s">
        <v>68</v>
      </c>
      <c r="E294" s="12">
        <v>46254.0</v>
      </c>
      <c r="F294" s="12">
        <v>46285.0</v>
      </c>
      <c r="G294" s="11" t="s">
        <v>1790</v>
      </c>
      <c r="H294" s="11">
        <v>9.325099071E9</v>
      </c>
      <c r="I294" s="11" t="s">
        <v>70</v>
      </c>
      <c r="J294" s="11" t="s">
        <v>71</v>
      </c>
      <c r="K294" s="11" t="s">
        <v>356</v>
      </c>
      <c r="L294" s="11" t="s">
        <v>84</v>
      </c>
      <c r="M294" s="11" t="s">
        <v>1791</v>
      </c>
      <c r="N294" s="11" t="s">
        <v>75</v>
      </c>
      <c r="O294" s="11" t="s">
        <v>71</v>
      </c>
      <c r="P294" s="11" t="s">
        <v>1792</v>
      </c>
      <c r="Q294" s="13" t="s">
        <v>1793</v>
      </c>
      <c r="R294" s="14" t="str">
        <f>HYPERLINK("https://drive.google.com/file/d/1PqqMsi_SNkHYZ-G1tAIewyTK0rqp739p/view?usp=drivesdk","OFFER LETTER")</f>
        <v>OFFER LETTER</v>
      </c>
      <c r="S294" s="11" t="s">
        <v>1794</v>
      </c>
    </row>
    <row r="295" ht="22.5" customHeight="1">
      <c r="A295" s="10">
        <v>46257.55439260417</v>
      </c>
      <c r="B295" s="11" t="s">
        <v>1795</v>
      </c>
      <c r="C295" s="11" t="s">
        <v>195</v>
      </c>
      <c r="D295" s="11" t="s">
        <v>68</v>
      </c>
      <c r="E295" s="12">
        <v>46257.0</v>
      </c>
      <c r="F295" s="12">
        <v>46288.0</v>
      </c>
      <c r="G295" s="11" t="s">
        <v>1796</v>
      </c>
      <c r="H295" s="11">
        <v>8.580282644E9</v>
      </c>
      <c r="I295" s="11" t="s">
        <v>70</v>
      </c>
      <c r="J295" s="11" t="s">
        <v>71</v>
      </c>
      <c r="K295" s="11" t="s">
        <v>167</v>
      </c>
      <c r="L295" s="11" t="s">
        <v>357</v>
      </c>
      <c r="M295" s="11" t="s">
        <v>1797</v>
      </c>
      <c r="N295" s="11" t="s">
        <v>241</v>
      </c>
      <c r="O295" s="11" t="s">
        <v>71</v>
      </c>
      <c r="P295" s="11" t="s">
        <v>1798</v>
      </c>
      <c r="Q295" s="13" t="s">
        <v>1799</v>
      </c>
      <c r="R295" s="14" t="str">
        <f>HYPERLINK("https://drive.google.com/file/d/1LAw_Jd7kh6K4Bmm_Rx7Vh8dp49R16yZE/view?usp=drivesdk","OFFER LETTER")</f>
        <v>OFFER LETTER</v>
      </c>
      <c r="S295" s="11" t="s">
        <v>1794</v>
      </c>
    </row>
    <row r="296" ht="22.5" customHeight="1">
      <c r="A296" s="10">
        <v>46257.55697851852</v>
      </c>
      <c r="B296" s="11" t="s">
        <v>1800</v>
      </c>
      <c r="C296" s="11" t="s">
        <v>237</v>
      </c>
      <c r="D296" s="11" t="s">
        <v>68</v>
      </c>
      <c r="E296" s="12">
        <v>46257.0</v>
      </c>
      <c r="F296" s="12">
        <v>46287.0</v>
      </c>
      <c r="G296" s="11" t="s">
        <v>1801</v>
      </c>
      <c r="H296" s="11">
        <v>9.580461504E9</v>
      </c>
      <c r="I296" s="11" t="s">
        <v>82</v>
      </c>
      <c r="J296" s="11" t="s">
        <v>71</v>
      </c>
      <c r="K296" s="11" t="s">
        <v>72</v>
      </c>
      <c r="L296" s="11" t="s">
        <v>84</v>
      </c>
      <c r="M296" s="11" t="s">
        <v>1802</v>
      </c>
      <c r="N296" s="11" t="s">
        <v>86</v>
      </c>
      <c r="O296" s="11" t="s">
        <v>71</v>
      </c>
      <c r="P296" s="11" t="s">
        <v>1803</v>
      </c>
      <c r="Q296" s="13" t="s">
        <v>1804</v>
      </c>
      <c r="R296" s="14" t="str">
        <f>HYPERLINK("https://drive.google.com/file/d/1SzDylZ1Xt_mqj4FCQJA8HGyjgQDhitE2/view?usp=drivesdk","OFFER LETTER")</f>
        <v>OFFER LETTER</v>
      </c>
      <c r="S296" s="11" t="s">
        <v>1805</v>
      </c>
    </row>
    <row r="297" ht="22.5" customHeight="1">
      <c r="A297" s="10">
        <v>46257.561828252314</v>
      </c>
      <c r="B297" s="11" t="s">
        <v>1806</v>
      </c>
      <c r="C297" s="11" t="s">
        <v>1320</v>
      </c>
      <c r="D297" s="11" t="s">
        <v>68</v>
      </c>
      <c r="E297" s="12">
        <v>46257.0</v>
      </c>
      <c r="F297" s="12">
        <v>46288.0</v>
      </c>
      <c r="G297" s="11" t="s">
        <v>1807</v>
      </c>
      <c r="H297" s="11">
        <v>9.964254247E9</v>
      </c>
      <c r="I297" s="11" t="s">
        <v>82</v>
      </c>
      <c r="J297" s="11" t="s">
        <v>71</v>
      </c>
      <c r="K297" s="11" t="s">
        <v>72</v>
      </c>
      <c r="L297" s="11" t="s">
        <v>131</v>
      </c>
      <c r="M297" s="11" t="s">
        <v>1808</v>
      </c>
      <c r="N297" s="11" t="s">
        <v>241</v>
      </c>
      <c r="O297" s="11" t="s">
        <v>71</v>
      </c>
      <c r="P297" s="11" t="s">
        <v>1809</v>
      </c>
      <c r="Q297" s="13" t="s">
        <v>1810</v>
      </c>
      <c r="R297" s="14" t="str">
        <f>HYPERLINK("https://drive.google.com/file/d/1qsswMBbjcky9f8vNg2iaTjc4QzNXzYXh/view?usp=drivesdk","OFFER LETTER")</f>
        <v>OFFER LETTER</v>
      </c>
      <c r="S297" s="11" t="s">
        <v>1811</v>
      </c>
    </row>
    <row r="298" ht="22.5" customHeight="1">
      <c r="A298" s="10">
        <v>46257.5621546412</v>
      </c>
      <c r="B298" s="11" t="s">
        <v>1812</v>
      </c>
      <c r="C298" s="11" t="s">
        <v>195</v>
      </c>
      <c r="D298" s="11" t="s">
        <v>68</v>
      </c>
      <c r="E298" s="12">
        <v>46257.0</v>
      </c>
      <c r="F298" s="12">
        <v>46288.0</v>
      </c>
      <c r="G298" s="11" t="s">
        <v>1813</v>
      </c>
      <c r="H298" s="11">
        <v>7.985831655E9</v>
      </c>
      <c r="I298" s="11" t="s">
        <v>82</v>
      </c>
      <c r="J298" s="11" t="s">
        <v>71</v>
      </c>
      <c r="K298" s="11" t="s">
        <v>110</v>
      </c>
      <c r="L298" s="11" t="s">
        <v>84</v>
      </c>
      <c r="M298" s="11" t="s">
        <v>1814</v>
      </c>
      <c r="N298" s="11" t="s">
        <v>241</v>
      </c>
      <c r="O298" s="11" t="s">
        <v>71</v>
      </c>
      <c r="P298" s="11" t="s">
        <v>1815</v>
      </c>
      <c r="Q298" s="13" t="s">
        <v>1816</v>
      </c>
      <c r="R298" s="14" t="str">
        <f>HYPERLINK("https://drive.google.com/file/d/17Z9z0IiDOtKmq2qDfuV3ZHsD00j48SqY/view?usp=drivesdk","OFFER LETTER")</f>
        <v>OFFER LETTER</v>
      </c>
      <c r="S298" s="11" t="s">
        <v>1817</v>
      </c>
    </row>
    <row r="299" ht="22.5" customHeight="1">
      <c r="A299" s="10">
        <v>46257.56467119213</v>
      </c>
      <c r="B299" s="11" t="s">
        <v>1818</v>
      </c>
      <c r="C299" s="11" t="s">
        <v>80</v>
      </c>
      <c r="D299" s="11" t="s">
        <v>68</v>
      </c>
      <c r="E299" s="12">
        <v>46259.0</v>
      </c>
      <c r="F299" s="12">
        <v>46290.0</v>
      </c>
      <c r="G299" s="11" t="s">
        <v>1819</v>
      </c>
      <c r="H299" s="11">
        <v>7.075213002E9</v>
      </c>
      <c r="I299" s="11" t="s">
        <v>82</v>
      </c>
      <c r="J299" s="11" t="s">
        <v>71</v>
      </c>
      <c r="K299" s="11" t="s">
        <v>72</v>
      </c>
      <c r="L299" s="11" t="s">
        <v>73</v>
      </c>
      <c r="M299" s="11" t="s">
        <v>1820</v>
      </c>
      <c r="N299" s="11" t="s">
        <v>226</v>
      </c>
      <c r="O299" s="11" t="s">
        <v>71</v>
      </c>
      <c r="P299" s="11" t="s">
        <v>1821</v>
      </c>
      <c r="Q299" s="13" t="s">
        <v>1822</v>
      </c>
      <c r="R299" s="14" t="str">
        <f>HYPERLINK("https://drive.google.com/file/d/1sgsixcIQ1O6Y7uS92wPXbIImMT_HxAJ1/view?usp=drivesdk","OFFER LETTER")</f>
        <v>OFFER LETTER</v>
      </c>
      <c r="S299" s="11" t="s">
        <v>1823</v>
      </c>
    </row>
    <row r="300" ht="22.5" customHeight="1">
      <c r="A300" s="10">
        <v>46257.56538694444</v>
      </c>
      <c r="B300" s="11" t="s">
        <v>1824</v>
      </c>
      <c r="C300" s="11" t="s">
        <v>128</v>
      </c>
      <c r="D300" s="11" t="s">
        <v>68</v>
      </c>
      <c r="E300" s="12">
        <v>46257.0</v>
      </c>
      <c r="F300" s="12">
        <v>46288.0</v>
      </c>
      <c r="G300" s="11" t="s">
        <v>1825</v>
      </c>
      <c r="H300" s="11">
        <v>9.209513024E9</v>
      </c>
      <c r="I300" s="11" t="s">
        <v>70</v>
      </c>
      <c r="J300" s="11" t="s">
        <v>83</v>
      </c>
      <c r="K300" s="11" t="s">
        <v>72</v>
      </c>
      <c r="L300" s="11" t="s">
        <v>73</v>
      </c>
      <c r="M300" s="11" t="s">
        <v>1826</v>
      </c>
      <c r="N300" s="11" t="s">
        <v>241</v>
      </c>
      <c r="O300" s="11" t="s">
        <v>71</v>
      </c>
      <c r="P300" s="11" t="s">
        <v>1827</v>
      </c>
      <c r="Q300" s="13" t="s">
        <v>1828</v>
      </c>
      <c r="R300" s="14" t="str">
        <f>HYPERLINK("https://drive.google.com/file/d/1ePInYkveNl3RKjDv0jasExHy39ARm_ZS/view?usp=drivesdk","OFFER LETTER")</f>
        <v>OFFER LETTER</v>
      </c>
      <c r="S300" s="11" t="s">
        <v>1829</v>
      </c>
    </row>
    <row r="301" ht="22.5" customHeight="1">
      <c r="A301" s="10">
        <v>46257.56665761574</v>
      </c>
      <c r="B301" s="11" t="s">
        <v>1830</v>
      </c>
      <c r="C301" s="11" t="s">
        <v>107</v>
      </c>
      <c r="D301" s="11" t="s">
        <v>68</v>
      </c>
      <c r="E301" s="12">
        <v>46266.0</v>
      </c>
      <c r="F301" s="12">
        <v>46295.0</v>
      </c>
      <c r="G301" s="11" t="s">
        <v>1831</v>
      </c>
      <c r="H301" s="11">
        <v>7.416783215E9</v>
      </c>
      <c r="I301" s="11" t="s">
        <v>70</v>
      </c>
      <c r="J301" s="11" t="s">
        <v>71</v>
      </c>
      <c r="K301" s="11" t="s">
        <v>72</v>
      </c>
      <c r="L301" s="11" t="s">
        <v>131</v>
      </c>
      <c r="M301" s="11" t="s">
        <v>1832</v>
      </c>
      <c r="N301" s="11" t="s">
        <v>1833</v>
      </c>
      <c r="O301" s="11" t="s">
        <v>71</v>
      </c>
      <c r="P301" s="11" t="s">
        <v>1834</v>
      </c>
      <c r="Q301" s="13" t="s">
        <v>1835</v>
      </c>
      <c r="R301" s="14" t="str">
        <f>HYPERLINK("https://drive.google.com/file/d/19w4HLswQPFPznW7ZZq-d0M8IaM0arww8/view?usp=drivesdk","OFFER LETTER")</f>
        <v>OFFER LETTER</v>
      </c>
      <c r="S301" s="11" t="s">
        <v>1836</v>
      </c>
    </row>
    <row r="302" ht="22.5" customHeight="1">
      <c r="A302" s="10">
        <v>46257.567330833335</v>
      </c>
      <c r="B302" s="11" t="s">
        <v>1837</v>
      </c>
      <c r="C302" s="11" t="s">
        <v>195</v>
      </c>
      <c r="D302" s="11" t="s">
        <v>68</v>
      </c>
      <c r="E302" s="12">
        <v>46257.0</v>
      </c>
      <c r="F302" s="12">
        <v>46288.0</v>
      </c>
      <c r="G302" s="11" t="s">
        <v>1838</v>
      </c>
      <c r="H302" s="11">
        <v>8.887635744E9</v>
      </c>
      <c r="I302" s="11" t="s">
        <v>70</v>
      </c>
      <c r="J302" s="11" t="s">
        <v>71</v>
      </c>
      <c r="K302" s="11" t="s">
        <v>72</v>
      </c>
      <c r="L302" s="11" t="s">
        <v>73</v>
      </c>
      <c r="M302" s="11" t="s">
        <v>1839</v>
      </c>
      <c r="N302" s="11" t="s">
        <v>155</v>
      </c>
      <c r="O302" s="11" t="s">
        <v>71</v>
      </c>
      <c r="P302" s="11" t="s">
        <v>1840</v>
      </c>
      <c r="Q302" s="13" t="s">
        <v>1841</v>
      </c>
      <c r="R302" s="14" t="str">
        <f>HYPERLINK("https://drive.google.com/file/d/1GSEvgzrmfrbsxL3yq1atCVQBNiPAUXkB/view?usp=drivesdk","OFFER LETTER")</f>
        <v>OFFER LETTER</v>
      </c>
      <c r="S302" s="11" t="s">
        <v>1842</v>
      </c>
    </row>
    <row r="303" ht="22.5" customHeight="1">
      <c r="A303" s="10">
        <v>46257.56789006945</v>
      </c>
      <c r="B303" s="11" t="s">
        <v>1843</v>
      </c>
      <c r="C303" s="11" t="s">
        <v>107</v>
      </c>
      <c r="D303" s="11" t="s">
        <v>68</v>
      </c>
      <c r="E303" s="12">
        <v>46259.0</v>
      </c>
      <c r="F303" s="12">
        <v>46290.0</v>
      </c>
      <c r="G303" s="11" t="s">
        <v>1844</v>
      </c>
      <c r="H303" s="11">
        <v>8.961643695E9</v>
      </c>
      <c r="I303" s="11" t="s">
        <v>82</v>
      </c>
      <c r="J303" s="11" t="s">
        <v>71</v>
      </c>
      <c r="K303" s="11" t="s">
        <v>110</v>
      </c>
      <c r="L303" s="11" t="s">
        <v>73</v>
      </c>
      <c r="M303" s="11" t="s">
        <v>1845</v>
      </c>
      <c r="N303" s="11" t="s">
        <v>219</v>
      </c>
      <c r="O303" s="11" t="s">
        <v>71</v>
      </c>
      <c r="P303" s="11" t="s">
        <v>1846</v>
      </c>
      <c r="Q303" s="13" t="s">
        <v>1847</v>
      </c>
      <c r="R303" s="14" t="str">
        <f>HYPERLINK("https://drive.google.com/file/d/1gr1YnNCUhLGEbm3mtOswoYoR4smcP9iY/view?usp=drivesdk","OFFER LETTER")</f>
        <v>OFFER LETTER</v>
      </c>
      <c r="S303" s="11" t="s">
        <v>1848</v>
      </c>
    </row>
    <row r="304" ht="22.5" customHeight="1">
      <c r="A304" s="10">
        <v>46257.56799938658</v>
      </c>
      <c r="B304" s="11" t="s">
        <v>1849</v>
      </c>
      <c r="C304" s="11" t="s">
        <v>173</v>
      </c>
      <c r="D304" s="11" t="s">
        <v>68</v>
      </c>
      <c r="E304" s="12">
        <v>46204.0</v>
      </c>
      <c r="F304" s="12">
        <v>46234.0</v>
      </c>
      <c r="G304" s="11" t="s">
        <v>1850</v>
      </c>
      <c r="H304" s="11">
        <v>7.903519023E9</v>
      </c>
      <c r="I304" s="11" t="s">
        <v>70</v>
      </c>
      <c r="J304" s="11" t="s">
        <v>71</v>
      </c>
      <c r="K304" s="11" t="s">
        <v>72</v>
      </c>
      <c r="L304" s="11" t="s">
        <v>84</v>
      </c>
      <c r="M304" s="11" t="s">
        <v>560</v>
      </c>
      <c r="N304" s="11" t="s">
        <v>198</v>
      </c>
      <c r="O304" s="11" t="s">
        <v>71</v>
      </c>
      <c r="P304" s="11" t="s">
        <v>1851</v>
      </c>
      <c r="Q304" s="13" t="s">
        <v>1852</v>
      </c>
      <c r="R304" s="14" t="str">
        <f>HYPERLINK("https://drive.google.com/file/d/1cl4RZqR-EM1Lbkio14lpVD3ZrOV7ZLRW/view?usp=drivesdk","OFFER LETTER")</f>
        <v>OFFER LETTER</v>
      </c>
      <c r="S304" s="11" t="s">
        <v>1848</v>
      </c>
    </row>
    <row r="305" ht="22.5" customHeight="1">
      <c r="A305" s="10">
        <v>46257.56815516204</v>
      </c>
      <c r="B305" s="11" t="s">
        <v>1853</v>
      </c>
      <c r="C305" s="11" t="s">
        <v>91</v>
      </c>
      <c r="D305" s="11" t="s">
        <v>68</v>
      </c>
      <c r="E305" s="12">
        <v>46257.0</v>
      </c>
      <c r="F305" s="12">
        <v>46289.0</v>
      </c>
      <c r="G305" s="11" t="s">
        <v>1854</v>
      </c>
      <c r="H305" s="11">
        <v>8.096617162E9</v>
      </c>
      <c r="I305" s="11" t="s">
        <v>82</v>
      </c>
      <c r="J305" s="11" t="s">
        <v>71</v>
      </c>
      <c r="K305" s="11" t="s">
        <v>72</v>
      </c>
      <c r="L305" s="11" t="s">
        <v>73</v>
      </c>
      <c r="M305" s="11" t="s">
        <v>598</v>
      </c>
      <c r="N305" s="11" t="s">
        <v>86</v>
      </c>
      <c r="O305" s="11" t="s">
        <v>71</v>
      </c>
      <c r="P305" s="11" t="s">
        <v>1855</v>
      </c>
      <c r="Q305" s="13" t="s">
        <v>1856</v>
      </c>
      <c r="R305" s="14" t="str">
        <f>HYPERLINK("https://drive.google.com/file/d/1_SOVSwRnmE3LiKXz6JQJ_d-iSxm9ki89/view?usp=drivesdk","OFFER LETTER")</f>
        <v>OFFER LETTER</v>
      </c>
      <c r="S305" s="11" t="s">
        <v>1848</v>
      </c>
    </row>
    <row r="306" ht="22.5" customHeight="1">
      <c r="A306" s="10">
        <v>46257.56909167824</v>
      </c>
      <c r="B306" s="11" t="s">
        <v>1857</v>
      </c>
      <c r="C306" s="11" t="s">
        <v>173</v>
      </c>
      <c r="D306" s="11" t="s">
        <v>68</v>
      </c>
      <c r="E306" s="12">
        <v>46257.0</v>
      </c>
      <c r="F306" s="12">
        <v>46295.0</v>
      </c>
      <c r="G306" s="11" t="s">
        <v>1858</v>
      </c>
      <c r="H306" s="11">
        <v>7.991556498E9</v>
      </c>
      <c r="I306" s="11" t="s">
        <v>82</v>
      </c>
      <c r="J306" s="11" t="s">
        <v>71</v>
      </c>
      <c r="K306" s="11" t="s">
        <v>72</v>
      </c>
      <c r="L306" s="11" t="s">
        <v>73</v>
      </c>
      <c r="M306" s="11" t="s">
        <v>1859</v>
      </c>
      <c r="N306" s="11" t="s">
        <v>47</v>
      </c>
      <c r="O306" s="11" t="s">
        <v>263</v>
      </c>
      <c r="P306" s="11" t="s">
        <v>1860</v>
      </c>
      <c r="Q306" s="13" t="s">
        <v>1861</v>
      </c>
      <c r="R306" s="14" t="str">
        <f>HYPERLINK("https://drive.google.com/file/d/1RzGOZCOS5wZyeFw7IWMe4Q8DDo_t1i4e/view?usp=drivesdk","OFFER LETTER")</f>
        <v>OFFER LETTER</v>
      </c>
      <c r="S306" s="11" t="s">
        <v>1862</v>
      </c>
    </row>
    <row r="307" ht="22.5" customHeight="1">
      <c r="A307" s="10">
        <v>46257.57528278935</v>
      </c>
      <c r="B307" s="11" t="s">
        <v>1863</v>
      </c>
      <c r="C307" s="11" t="s">
        <v>298</v>
      </c>
      <c r="D307" s="11" t="s">
        <v>238</v>
      </c>
      <c r="E307" s="12">
        <v>46266.0</v>
      </c>
      <c r="F307" s="12">
        <v>46325.0</v>
      </c>
      <c r="G307" s="11" t="s">
        <v>1864</v>
      </c>
      <c r="H307" s="11">
        <v>9.634700234E9</v>
      </c>
      <c r="I307" s="11" t="s">
        <v>82</v>
      </c>
      <c r="J307" s="11" t="s">
        <v>71</v>
      </c>
      <c r="K307" s="11" t="s">
        <v>72</v>
      </c>
      <c r="L307" s="11" t="s">
        <v>73</v>
      </c>
      <c r="M307" s="11" t="s">
        <v>1865</v>
      </c>
      <c r="N307" s="11" t="s">
        <v>75</v>
      </c>
      <c r="O307" s="11" t="s">
        <v>71</v>
      </c>
      <c r="P307" s="11" t="s">
        <v>1866</v>
      </c>
      <c r="Q307" s="13" t="s">
        <v>1867</v>
      </c>
      <c r="R307" s="14" t="str">
        <f>HYPERLINK("https://drive.google.com/file/d/1TRWAkuGWn8y9HzJLrcYUtNeeK4qv4ZSn/view?usp=drivesdk","OFFER LETTER")</f>
        <v>OFFER LETTER</v>
      </c>
      <c r="S307" s="11" t="s">
        <v>1868</v>
      </c>
    </row>
    <row r="308" ht="22.5" customHeight="1">
      <c r="A308" s="10">
        <v>46257.57702438657</v>
      </c>
      <c r="B308" s="11" t="s">
        <v>1869</v>
      </c>
      <c r="C308" s="11" t="s">
        <v>173</v>
      </c>
      <c r="D308" s="11" t="s">
        <v>68</v>
      </c>
      <c r="E308" s="12">
        <v>46259.0</v>
      </c>
      <c r="F308" s="12">
        <v>46290.0</v>
      </c>
      <c r="G308" s="11" t="s">
        <v>1870</v>
      </c>
      <c r="H308" s="11">
        <v>9.75948469E9</v>
      </c>
      <c r="I308" s="11" t="s">
        <v>82</v>
      </c>
      <c r="J308" s="11" t="s">
        <v>71</v>
      </c>
      <c r="K308" s="11" t="s">
        <v>72</v>
      </c>
      <c r="L308" s="11" t="s">
        <v>84</v>
      </c>
      <c r="M308" s="11" t="s">
        <v>1871</v>
      </c>
      <c r="N308" s="11" t="s">
        <v>1872</v>
      </c>
      <c r="O308" s="11" t="s">
        <v>71</v>
      </c>
      <c r="P308" s="11" t="s">
        <v>1873</v>
      </c>
      <c r="Q308" s="13" t="s">
        <v>1874</v>
      </c>
      <c r="R308" s="14" t="str">
        <f>HYPERLINK("https://drive.google.com/file/d/19EWYAihW6G83IGaaSD5bKwxT0yE-Mt6I/view?usp=drivesdk","OFFER LETTER")</f>
        <v>OFFER LETTER</v>
      </c>
      <c r="S308" s="11" t="s">
        <v>1875</v>
      </c>
    </row>
    <row r="309" ht="22.5" customHeight="1">
      <c r="A309" s="10">
        <v>46257.578144687504</v>
      </c>
      <c r="B309" s="11" t="s">
        <v>1876</v>
      </c>
      <c r="C309" s="11" t="s">
        <v>195</v>
      </c>
      <c r="D309" s="11" t="s">
        <v>108</v>
      </c>
      <c r="E309" s="12">
        <v>46257.0</v>
      </c>
      <c r="F309" s="12">
        <v>46318.0</v>
      </c>
      <c r="G309" s="11" t="s">
        <v>1877</v>
      </c>
      <c r="H309" s="11">
        <v>8.763730807E9</v>
      </c>
      <c r="I309" s="11" t="s">
        <v>70</v>
      </c>
      <c r="J309" s="11" t="s">
        <v>71</v>
      </c>
      <c r="K309" s="11" t="s">
        <v>110</v>
      </c>
      <c r="L309" s="11" t="s">
        <v>84</v>
      </c>
      <c r="M309" s="11" t="s">
        <v>1878</v>
      </c>
      <c r="N309" s="11" t="s">
        <v>86</v>
      </c>
      <c r="O309" s="11" t="s">
        <v>71</v>
      </c>
      <c r="P309" s="11" t="s">
        <v>1879</v>
      </c>
      <c r="Q309" s="13" t="s">
        <v>1880</v>
      </c>
      <c r="R309" s="14" t="str">
        <f>HYPERLINK("https://drive.google.com/file/d/1RCYFBBLZaPBGro4T-x3Ly88UWhSUnPED/view?usp=drivesdk","OFFER LETTER")</f>
        <v>OFFER LETTER</v>
      </c>
      <c r="S309" s="11" t="s">
        <v>1881</v>
      </c>
    </row>
    <row r="310" ht="22.5" customHeight="1">
      <c r="A310" s="10">
        <v>46257.583019537036</v>
      </c>
      <c r="B310" s="11" t="s">
        <v>1882</v>
      </c>
      <c r="C310" s="11" t="s">
        <v>107</v>
      </c>
      <c r="D310" s="11" t="s">
        <v>68</v>
      </c>
      <c r="E310" s="12">
        <v>46195.0</v>
      </c>
      <c r="F310" s="12">
        <v>46225.0</v>
      </c>
      <c r="G310" s="11" t="s">
        <v>1883</v>
      </c>
      <c r="H310" s="11">
        <v>9.389114207E9</v>
      </c>
      <c r="I310" s="11" t="s">
        <v>82</v>
      </c>
      <c r="J310" s="11" t="s">
        <v>71</v>
      </c>
      <c r="K310" s="11" t="s">
        <v>72</v>
      </c>
      <c r="L310" s="11" t="s">
        <v>131</v>
      </c>
      <c r="M310" s="11" t="s">
        <v>1884</v>
      </c>
      <c r="N310" s="11" t="s">
        <v>219</v>
      </c>
      <c r="O310" s="11" t="s">
        <v>71</v>
      </c>
      <c r="P310" s="11" t="s">
        <v>1885</v>
      </c>
      <c r="Q310" s="13" t="s">
        <v>1886</v>
      </c>
      <c r="R310" s="14" t="str">
        <f>HYPERLINK("https://drive.google.com/file/d/1sZqoZpQMaLq2EOPNtrfjhVhHn5Jm-6Nw/view?usp=drivesdk","OFFER LETTER")</f>
        <v>OFFER LETTER</v>
      </c>
      <c r="S310" s="11" t="s">
        <v>1887</v>
      </c>
    </row>
    <row r="311" ht="22.5" customHeight="1">
      <c r="A311" s="10">
        <v>46257.58515005787</v>
      </c>
      <c r="B311" s="11" t="s">
        <v>1888</v>
      </c>
      <c r="C311" s="11" t="s">
        <v>91</v>
      </c>
      <c r="D311" s="11" t="s">
        <v>68</v>
      </c>
      <c r="E311" s="12">
        <v>46257.0</v>
      </c>
      <c r="F311" s="12">
        <v>46288.0</v>
      </c>
      <c r="G311" s="11" t="s">
        <v>1889</v>
      </c>
      <c r="H311" s="11">
        <v>7.69597441E9</v>
      </c>
      <c r="I311" s="11" t="s">
        <v>82</v>
      </c>
      <c r="J311" s="11" t="s">
        <v>83</v>
      </c>
      <c r="K311" s="11" t="s">
        <v>72</v>
      </c>
      <c r="L311" s="11" t="s">
        <v>131</v>
      </c>
      <c r="M311" s="11" t="s">
        <v>1890</v>
      </c>
      <c r="N311" s="11" t="s">
        <v>86</v>
      </c>
      <c r="O311" s="11" t="s">
        <v>71</v>
      </c>
      <c r="P311" s="11" t="s">
        <v>1891</v>
      </c>
      <c r="Q311" s="13" t="s">
        <v>1892</v>
      </c>
      <c r="R311" s="14" t="str">
        <f>HYPERLINK("https://drive.google.com/file/d/1NJIb8fcfJXxnaqT62CT1xUQRu2xBmKAO/view?usp=drivesdk","OFFER LETTER")</f>
        <v>OFFER LETTER</v>
      </c>
      <c r="S311" s="11" t="s">
        <v>1893</v>
      </c>
    </row>
    <row r="312" ht="22.5" customHeight="1">
      <c r="A312" s="10">
        <v>46257.58965135417</v>
      </c>
      <c r="B312" s="11" t="s">
        <v>1894</v>
      </c>
      <c r="C312" s="11" t="s">
        <v>107</v>
      </c>
      <c r="D312" s="11" t="s">
        <v>68</v>
      </c>
      <c r="E312" s="12">
        <v>46266.0</v>
      </c>
      <c r="F312" s="12">
        <v>46295.0</v>
      </c>
      <c r="G312" s="11" t="s">
        <v>1895</v>
      </c>
      <c r="H312" s="11">
        <v>9.604017769E9</v>
      </c>
      <c r="I312" s="11" t="s">
        <v>70</v>
      </c>
      <c r="J312" s="11" t="s">
        <v>71</v>
      </c>
      <c r="K312" s="11" t="s">
        <v>167</v>
      </c>
      <c r="L312" s="11" t="s">
        <v>84</v>
      </c>
      <c r="M312" s="11" t="s">
        <v>1896</v>
      </c>
      <c r="N312" s="11" t="s">
        <v>241</v>
      </c>
      <c r="O312" s="11" t="s">
        <v>71</v>
      </c>
      <c r="P312" s="11" t="s">
        <v>1897</v>
      </c>
      <c r="Q312" s="13" t="s">
        <v>1898</v>
      </c>
      <c r="R312" s="14" t="str">
        <f>HYPERLINK("https://drive.google.com/file/d/1ox8NuT-5MRXWOJFSnEiulTAVj6CmU7o7/view?usp=drivesdk","OFFER LETTER")</f>
        <v>OFFER LETTER</v>
      </c>
      <c r="S312" s="11" t="s">
        <v>1899</v>
      </c>
    </row>
    <row r="313" ht="22.5" customHeight="1">
      <c r="A313" s="10">
        <v>46257.59401486111</v>
      </c>
      <c r="B313" s="11" t="s">
        <v>1900</v>
      </c>
      <c r="C313" s="11" t="s">
        <v>596</v>
      </c>
      <c r="D313" s="11" t="s">
        <v>68</v>
      </c>
      <c r="E313" s="12">
        <v>46258.0</v>
      </c>
      <c r="F313" s="12">
        <v>46290.0</v>
      </c>
      <c r="G313" s="11" t="s">
        <v>1901</v>
      </c>
      <c r="H313" s="17" t="s">
        <v>1902</v>
      </c>
      <c r="I313" s="11" t="s">
        <v>82</v>
      </c>
      <c r="J313" s="11" t="s">
        <v>71</v>
      </c>
      <c r="K313" s="11" t="s">
        <v>167</v>
      </c>
      <c r="L313" s="11" t="s">
        <v>247</v>
      </c>
      <c r="M313" s="11" t="s">
        <v>1903</v>
      </c>
      <c r="N313" s="11" t="s">
        <v>241</v>
      </c>
      <c r="O313" s="11" t="s">
        <v>71</v>
      </c>
      <c r="P313" s="11" t="s">
        <v>1904</v>
      </c>
      <c r="Q313" s="13" t="s">
        <v>1905</v>
      </c>
      <c r="R313" s="14" t="str">
        <f>HYPERLINK("https://drive.google.com/file/d/10gHu8rNZom-a8dph0b0iaqUr75JdndY4/view?usp=drivesdk","OFFER LETTER")</f>
        <v>OFFER LETTER</v>
      </c>
      <c r="S313" s="11" t="s">
        <v>1906</v>
      </c>
    </row>
    <row r="314" ht="22.5" customHeight="1">
      <c r="A314" s="10">
        <v>46257.595537754634</v>
      </c>
      <c r="B314" s="11" t="s">
        <v>1907</v>
      </c>
      <c r="C314" s="11" t="s">
        <v>128</v>
      </c>
      <c r="D314" s="11" t="s">
        <v>929</v>
      </c>
      <c r="E314" s="12">
        <v>46258.0</v>
      </c>
      <c r="F314" s="12">
        <v>46443.0</v>
      </c>
      <c r="G314" s="11" t="s">
        <v>1908</v>
      </c>
      <c r="H314" s="11">
        <v>9.960283677E9</v>
      </c>
      <c r="I314" s="11" t="s">
        <v>82</v>
      </c>
      <c r="J314" s="11" t="s">
        <v>71</v>
      </c>
      <c r="K314" s="11" t="s">
        <v>72</v>
      </c>
      <c r="L314" s="11" t="s">
        <v>73</v>
      </c>
      <c r="M314" s="11" t="s">
        <v>1909</v>
      </c>
      <c r="N314" s="11" t="s">
        <v>86</v>
      </c>
      <c r="O314" s="11" t="s">
        <v>71</v>
      </c>
      <c r="P314" s="11" t="s">
        <v>1910</v>
      </c>
      <c r="Q314" s="13" t="s">
        <v>1911</v>
      </c>
      <c r="R314" s="14" t="str">
        <f>HYPERLINK("https://drive.google.com/file/d/1tLK-y1BhTkNsD8BoRh8Ni-TgG42JqK8t/view?usp=drivesdk","OFFER LETTER")</f>
        <v>OFFER LETTER</v>
      </c>
      <c r="S314" s="11" t="s">
        <v>1912</v>
      </c>
    </row>
    <row r="315" ht="22.5" customHeight="1">
      <c r="A315" s="10">
        <v>46257.59839305555</v>
      </c>
      <c r="B315" s="11" t="s">
        <v>1913</v>
      </c>
      <c r="C315" s="11" t="s">
        <v>195</v>
      </c>
      <c r="D315" s="11" t="s">
        <v>68</v>
      </c>
      <c r="E315" s="12">
        <v>46257.0</v>
      </c>
      <c r="F315" s="12">
        <v>46257.0</v>
      </c>
      <c r="G315" s="11" t="s">
        <v>1914</v>
      </c>
      <c r="H315" s="11">
        <v>9.848369495E9</v>
      </c>
      <c r="I315" s="11" t="s">
        <v>82</v>
      </c>
      <c r="J315" s="11" t="s">
        <v>71</v>
      </c>
      <c r="K315" s="11" t="s">
        <v>72</v>
      </c>
      <c r="L315" s="11" t="s">
        <v>247</v>
      </c>
      <c r="M315" s="11" t="s">
        <v>1915</v>
      </c>
      <c r="N315" s="11" t="s">
        <v>241</v>
      </c>
      <c r="O315" s="11" t="s">
        <v>71</v>
      </c>
      <c r="P315" s="11" t="s">
        <v>1916</v>
      </c>
      <c r="Q315" s="13" t="s">
        <v>1917</v>
      </c>
      <c r="R315" s="14" t="str">
        <f>HYPERLINK("https://drive.google.com/file/d/1gJLGrHWm7bq_c3t2OE0NC5CsnPu2h-lq/view?usp=drivesdk","OFFER LETTER")</f>
        <v>OFFER LETTER</v>
      </c>
      <c r="S315" s="11" t="s">
        <v>1918</v>
      </c>
    </row>
    <row r="316" ht="22.5" customHeight="1">
      <c r="A316" s="10">
        <v>46257.59841560185</v>
      </c>
      <c r="B316" s="11" t="s">
        <v>1919</v>
      </c>
      <c r="C316" s="11" t="s">
        <v>173</v>
      </c>
      <c r="D316" s="11" t="s">
        <v>68</v>
      </c>
      <c r="E316" s="12">
        <v>46254.0</v>
      </c>
      <c r="F316" s="12">
        <v>46285.0</v>
      </c>
      <c r="G316" s="11" t="s">
        <v>1920</v>
      </c>
      <c r="H316" s="11">
        <v>9.840986652E9</v>
      </c>
      <c r="I316" s="11" t="s">
        <v>70</v>
      </c>
      <c r="J316" s="11" t="s">
        <v>71</v>
      </c>
      <c r="K316" s="11" t="s">
        <v>72</v>
      </c>
      <c r="L316" s="11" t="s">
        <v>84</v>
      </c>
      <c r="M316" s="11" t="s">
        <v>1921</v>
      </c>
      <c r="N316" s="11" t="s">
        <v>241</v>
      </c>
      <c r="O316" s="11" t="s">
        <v>71</v>
      </c>
      <c r="P316" s="11" t="s">
        <v>1922</v>
      </c>
      <c r="Q316" s="13" t="s">
        <v>1923</v>
      </c>
      <c r="R316" s="14" t="str">
        <f>HYPERLINK("https://drive.google.com/file/d/1pGBpwqcNg7HS2oo-AW43nFakRM30LNqo/view?usp=drivesdk","OFFER LETTER")</f>
        <v>OFFER LETTER</v>
      </c>
      <c r="S316" s="11" t="s">
        <v>1918</v>
      </c>
    </row>
    <row r="317" ht="22.5" customHeight="1">
      <c r="A317" s="10">
        <v>46257.600050451394</v>
      </c>
      <c r="B317" s="11" t="s">
        <v>1907</v>
      </c>
      <c r="C317" s="11" t="s">
        <v>128</v>
      </c>
      <c r="D317" s="11" t="s">
        <v>929</v>
      </c>
      <c r="E317" s="12">
        <v>46258.0</v>
      </c>
      <c r="F317" s="12">
        <v>46443.0</v>
      </c>
      <c r="G317" s="11" t="s">
        <v>1908</v>
      </c>
      <c r="H317" s="11">
        <v>9.960283677E9</v>
      </c>
      <c r="I317" s="11" t="s">
        <v>82</v>
      </c>
      <c r="J317" s="11" t="s">
        <v>71</v>
      </c>
      <c r="K317" s="11" t="s">
        <v>72</v>
      </c>
      <c r="L317" s="11" t="s">
        <v>73</v>
      </c>
      <c r="M317" s="11" t="s">
        <v>1924</v>
      </c>
      <c r="N317" s="11" t="s">
        <v>86</v>
      </c>
      <c r="O317" s="11" t="s">
        <v>71</v>
      </c>
      <c r="P317" s="11" t="s">
        <v>1925</v>
      </c>
      <c r="Q317" s="13" t="s">
        <v>1926</v>
      </c>
      <c r="R317" s="14" t="str">
        <f>HYPERLINK("https://drive.google.com/file/d/1gr5eYxXM1rqxzA1sjuk37LnThPM85vo-/view?usp=drivesdk","OFFER LETTER")</f>
        <v>OFFER LETTER</v>
      </c>
      <c r="S317" s="11" t="s">
        <v>1927</v>
      </c>
    </row>
    <row r="318" ht="22.5" customHeight="1">
      <c r="A318" s="10">
        <v>46257.60166940972</v>
      </c>
      <c r="B318" s="11" t="s">
        <v>1928</v>
      </c>
      <c r="C318" s="11" t="s">
        <v>80</v>
      </c>
      <c r="D318" s="11" t="s">
        <v>108</v>
      </c>
      <c r="E318" s="12">
        <v>46259.0</v>
      </c>
      <c r="F318" s="12">
        <v>46320.0</v>
      </c>
      <c r="G318" s="11" t="s">
        <v>1929</v>
      </c>
      <c r="H318" s="11">
        <v>9.975842142E9</v>
      </c>
      <c r="I318" s="11" t="s">
        <v>70</v>
      </c>
      <c r="J318" s="11" t="s">
        <v>71</v>
      </c>
      <c r="K318" s="11" t="s">
        <v>72</v>
      </c>
      <c r="L318" s="11" t="s">
        <v>131</v>
      </c>
      <c r="M318" s="11" t="s">
        <v>1930</v>
      </c>
      <c r="N318" s="11" t="s">
        <v>155</v>
      </c>
      <c r="O318" s="11" t="s">
        <v>71</v>
      </c>
      <c r="P318" s="11" t="s">
        <v>1931</v>
      </c>
      <c r="Q318" s="13" t="s">
        <v>1932</v>
      </c>
      <c r="R318" s="14" t="str">
        <f>HYPERLINK("https://drive.google.com/file/d/1sP1Vb08593lFe7XvKAkAV1-uv19cLgYD/view?usp=drivesdk","OFFER LETTER")</f>
        <v>OFFER LETTER</v>
      </c>
      <c r="S318" s="11" t="s">
        <v>1933</v>
      </c>
    </row>
    <row r="319" ht="22.5" customHeight="1">
      <c r="A319" s="10">
        <v>46257.602112256944</v>
      </c>
      <c r="B319" s="11" t="s">
        <v>1934</v>
      </c>
      <c r="C319" s="11" t="s">
        <v>195</v>
      </c>
      <c r="D319" s="11" t="s">
        <v>68</v>
      </c>
      <c r="E319" s="12">
        <v>46058.0</v>
      </c>
      <c r="F319" s="12">
        <v>46114.0</v>
      </c>
      <c r="G319" s="11" t="s">
        <v>1935</v>
      </c>
      <c r="H319" s="11">
        <v>8.179076175E9</v>
      </c>
      <c r="I319" s="11" t="s">
        <v>70</v>
      </c>
      <c r="J319" s="11" t="s">
        <v>71</v>
      </c>
      <c r="K319" s="11" t="s">
        <v>72</v>
      </c>
      <c r="L319" s="11" t="s">
        <v>131</v>
      </c>
      <c r="M319" s="11" t="s">
        <v>1936</v>
      </c>
      <c r="N319" s="11" t="s">
        <v>241</v>
      </c>
      <c r="O319" s="11" t="s">
        <v>71</v>
      </c>
      <c r="P319" s="11" t="s">
        <v>1937</v>
      </c>
      <c r="Q319" s="13" t="s">
        <v>1938</v>
      </c>
      <c r="R319" s="14" t="str">
        <f>HYPERLINK("https://drive.google.com/file/d/1Q0A0dMRn3euIEvuF0_yZBoha1hkc38O4/view?usp=drivesdk","OFFER LETTER")</f>
        <v>OFFER LETTER</v>
      </c>
      <c r="S319" s="11" t="s">
        <v>1939</v>
      </c>
    </row>
    <row r="320" ht="22.5" customHeight="1">
      <c r="A320" s="10">
        <v>46257.60242837963</v>
      </c>
      <c r="B320" s="11" t="s">
        <v>1940</v>
      </c>
      <c r="C320" s="11" t="s">
        <v>91</v>
      </c>
      <c r="D320" s="11" t="s">
        <v>68</v>
      </c>
      <c r="E320" s="12">
        <v>46257.0</v>
      </c>
      <c r="F320" s="12">
        <v>46288.0</v>
      </c>
      <c r="G320" s="11" t="s">
        <v>1941</v>
      </c>
      <c r="H320" s="11">
        <v>8.217025435E9</v>
      </c>
      <c r="I320" s="11" t="s">
        <v>82</v>
      </c>
      <c r="J320" s="11" t="s">
        <v>71</v>
      </c>
      <c r="K320" s="11" t="s">
        <v>72</v>
      </c>
      <c r="L320" s="11" t="s">
        <v>131</v>
      </c>
      <c r="M320" s="11" t="s">
        <v>1942</v>
      </c>
      <c r="N320" s="11" t="s">
        <v>1576</v>
      </c>
      <c r="O320" s="11" t="s">
        <v>71</v>
      </c>
      <c r="P320" s="11" t="s">
        <v>1943</v>
      </c>
      <c r="Q320" s="13" t="s">
        <v>1944</v>
      </c>
      <c r="R320" s="14" t="str">
        <f>HYPERLINK("https://drive.google.com/file/d/1tZPE8OSeo5FmIqBsXKx2kGDpM22u2Omt/view?usp=drivesdk","OFFER LETTER")</f>
        <v>OFFER LETTER</v>
      </c>
      <c r="S320" s="11" t="s">
        <v>1939</v>
      </c>
    </row>
    <row r="321" ht="22.5" customHeight="1">
      <c r="A321" s="10">
        <v>46257.61082873843</v>
      </c>
      <c r="B321" s="11" t="s">
        <v>1945</v>
      </c>
      <c r="C321" s="11" t="s">
        <v>80</v>
      </c>
      <c r="D321" s="11" t="s">
        <v>68</v>
      </c>
      <c r="E321" s="12">
        <v>46235.0</v>
      </c>
      <c r="F321" s="12">
        <v>46265.0</v>
      </c>
      <c r="G321" s="11" t="s">
        <v>1946</v>
      </c>
      <c r="H321" s="11">
        <v>9.149280317E9</v>
      </c>
      <c r="I321" s="11" t="s">
        <v>82</v>
      </c>
      <c r="J321" s="11" t="s">
        <v>71</v>
      </c>
      <c r="K321" s="11" t="s">
        <v>72</v>
      </c>
      <c r="L321" s="11" t="s">
        <v>73</v>
      </c>
      <c r="M321" s="11" t="s">
        <v>1947</v>
      </c>
      <c r="N321" s="11" t="s">
        <v>241</v>
      </c>
      <c r="O321" s="11" t="s">
        <v>71</v>
      </c>
      <c r="P321" s="11" t="s">
        <v>1948</v>
      </c>
      <c r="Q321" s="13" t="s">
        <v>1949</v>
      </c>
      <c r="R321" s="14" t="str">
        <f>HYPERLINK("https://drive.google.com/file/d/1dzed1AdCZXW0J-JZqq3bAFI4X00W7lnD/view?usp=drivesdk","OFFER LETTER")</f>
        <v>OFFER LETTER</v>
      </c>
      <c r="S321" s="11" t="s">
        <v>1950</v>
      </c>
    </row>
    <row r="322" ht="22.5" customHeight="1">
      <c r="A322" s="10">
        <v>46257.61141347222</v>
      </c>
      <c r="B322" s="11" t="s">
        <v>1951</v>
      </c>
      <c r="C322" s="11" t="s">
        <v>173</v>
      </c>
      <c r="D322" s="11" t="s">
        <v>68</v>
      </c>
      <c r="E322" s="12">
        <v>46258.0</v>
      </c>
      <c r="F322" s="12">
        <v>46289.0</v>
      </c>
      <c r="G322" s="11" t="s">
        <v>1952</v>
      </c>
      <c r="H322" s="11">
        <v>9.487676117E9</v>
      </c>
      <c r="I322" s="11" t="s">
        <v>70</v>
      </c>
      <c r="J322" s="11" t="s">
        <v>71</v>
      </c>
      <c r="K322" s="11" t="s">
        <v>72</v>
      </c>
      <c r="L322" s="11" t="s">
        <v>73</v>
      </c>
      <c r="M322" s="11" t="s">
        <v>1953</v>
      </c>
      <c r="N322" s="11" t="s">
        <v>75</v>
      </c>
      <c r="O322" s="11" t="s">
        <v>71</v>
      </c>
      <c r="P322" s="11" t="s">
        <v>1954</v>
      </c>
      <c r="Q322" s="13" t="s">
        <v>1955</v>
      </c>
      <c r="R322" s="14" t="str">
        <f>HYPERLINK("https://drive.google.com/file/d/1rubBeG0wEN7Akuge36aGZmWebD4acypY/view?usp=drivesdk","OFFER LETTER")</f>
        <v>OFFER LETTER</v>
      </c>
      <c r="S322" s="11" t="s">
        <v>1956</v>
      </c>
    </row>
    <row r="323" ht="22.5" customHeight="1">
      <c r="A323" s="10">
        <v>46257.61177565972</v>
      </c>
      <c r="B323" s="11" t="s">
        <v>1957</v>
      </c>
      <c r="C323" s="11" t="s">
        <v>128</v>
      </c>
      <c r="D323" s="11" t="s">
        <v>68</v>
      </c>
      <c r="E323" s="12">
        <v>46258.0</v>
      </c>
      <c r="F323" s="12">
        <v>46289.0</v>
      </c>
      <c r="G323" s="11" t="s">
        <v>1958</v>
      </c>
      <c r="H323" s="11">
        <v>8.106219861E9</v>
      </c>
      <c r="I323" s="11" t="s">
        <v>82</v>
      </c>
      <c r="J323" s="11" t="s">
        <v>71</v>
      </c>
      <c r="K323" s="11" t="s">
        <v>72</v>
      </c>
      <c r="L323" s="11" t="s">
        <v>84</v>
      </c>
      <c r="M323" s="11" t="s">
        <v>1959</v>
      </c>
      <c r="N323" s="11" t="s">
        <v>86</v>
      </c>
      <c r="O323" s="11" t="s">
        <v>71</v>
      </c>
      <c r="P323" s="11" t="s">
        <v>1960</v>
      </c>
      <c r="Q323" s="13" t="s">
        <v>1961</v>
      </c>
      <c r="R323" s="14" t="str">
        <f>HYPERLINK("https://drive.google.com/file/d/1f4GhCymprQCdf7eOi_qX8L92xktL4tJe/view?usp=drivesdk","OFFER LETTER")</f>
        <v>OFFER LETTER</v>
      </c>
      <c r="S323" s="11" t="s">
        <v>1962</v>
      </c>
    </row>
    <row r="324" ht="22.5" customHeight="1">
      <c r="A324" s="10">
        <v>46257.612387905094</v>
      </c>
      <c r="B324" s="11" t="s">
        <v>1963</v>
      </c>
      <c r="C324" s="11" t="s">
        <v>107</v>
      </c>
      <c r="D324" s="11" t="s">
        <v>68</v>
      </c>
      <c r="E324" s="12">
        <v>46257.0</v>
      </c>
      <c r="F324" s="12">
        <v>46288.0</v>
      </c>
      <c r="G324" s="11" t="s">
        <v>1964</v>
      </c>
      <c r="H324" s="11">
        <v>9.064473298E9</v>
      </c>
      <c r="I324" s="11" t="s">
        <v>82</v>
      </c>
      <c r="J324" s="11" t="s">
        <v>71</v>
      </c>
      <c r="K324" s="11" t="s">
        <v>356</v>
      </c>
      <c r="L324" s="11" t="s">
        <v>247</v>
      </c>
      <c r="M324" s="11" t="s">
        <v>1965</v>
      </c>
      <c r="N324" s="11" t="s">
        <v>226</v>
      </c>
      <c r="O324" s="11" t="s">
        <v>71</v>
      </c>
      <c r="P324" s="11" t="s">
        <v>1966</v>
      </c>
      <c r="Q324" s="13" t="s">
        <v>1967</v>
      </c>
      <c r="R324" s="14" t="str">
        <f>HYPERLINK("https://drive.google.com/file/d/1xTUdoYYOoJuRmwTYaXqvTTgF3TelCEmn/view?usp=drivesdk","OFFER LETTER")</f>
        <v>OFFER LETTER</v>
      </c>
      <c r="S324" s="11" t="s">
        <v>1968</v>
      </c>
    </row>
    <row r="325" ht="22.5" customHeight="1">
      <c r="A325" s="10">
        <v>46257.61257479167</v>
      </c>
      <c r="B325" s="11" t="s">
        <v>1969</v>
      </c>
      <c r="C325" s="11" t="s">
        <v>195</v>
      </c>
      <c r="D325" s="11" t="s">
        <v>68</v>
      </c>
      <c r="E325" s="12">
        <v>46257.0</v>
      </c>
      <c r="F325" s="12">
        <v>46288.0</v>
      </c>
      <c r="G325" s="11" t="s">
        <v>1970</v>
      </c>
      <c r="H325" s="11">
        <v>9.502697373E9</v>
      </c>
      <c r="I325" s="11" t="s">
        <v>82</v>
      </c>
      <c r="J325" s="11" t="s">
        <v>71</v>
      </c>
      <c r="K325" s="11" t="s">
        <v>72</v>
      </c>
      <c r="L325" s="11" t="s">
        <v>131</v>
      </c>
      <c r="M325" s="11" t="s">
        <v>1971</v>
      </c>
      <c r="N325" s="11" t="s">
        <v>241</v>
      </c>
      <c r="O325" s="11" t="s">
        <v>263</v>
      </c>
      <c r="P325" s="11" t="s">
        <v>1972</v>
      </c>
      <c r="Q325" s="13" t="s">
        <v>1973</v>
      </c>
      <c r="R325" s="14" t="str">
        <f>HYPERLINK("https://drive.google.com/file/d/14DlxXVbWLKg7MRCCRQxsCcKnY0k96JIm/view?usp=drivesdk","OFFER LETTER")</f>
        <v>OFFER LETTER</v>
      </c>
      <c r="S325" s="11" t="s">
        <v>1968</v>
      </c>
    </row>
    <row r="326" ht="22.5" customHeight="1">
      <c r="A326" s="10">
        <v>46257.61300666667</v>
      </c>
      <c r="B326" s="11" t="s">
        <v>1974</v>
      </c>
      <c r="C326" s="11" t="s">
        <v>259</v>
      </c>
      <c r="D326" s="11" t="s">
        <v>68</v>
      </c>
      <c r="E326" s="12">
        <v>46260.0</v>
      </c>
      <c r="F326" s="12">
        <v>46292.0</v>
      </c>
      <c r="G326" s="11" t="s">
        <v>1975</v>
      </c>
      <c r="H326" s="11">
        <v>9.34270884E9</v>
      </c>
      <c r="I326" s="11" t="s">
        <v>82</v>
      </c>
      <c r="J326" s="11" t="s">
        <v>71</v>
      </c>
      <c r="K326" s="11" t="s">
        <v>72</v>
      </c>
      <c r="L326" s="11" t="s">
        <v>73</v>
      </c>
      <c r="M326" s="11" t="s">
        <v>1976</v>
      </c>
      <c r="N326" s="11" t="s">
        <v>75</v>
      </c>
      <c r="O326" s="11" t="s">
        <v>71</v>
      </c>
      <c r="P326" s="11" t="s">
        <v>1977</v>
      </c>
      <c r="Q326" s="13" t="s">
        <v>1978</v>
      </c>
      <c r="R326" s="14" t="str">
        <f>HYPERLINK("https://drive.google.com/file/d/1IRVSYZWVjl8kx53HJVxHfbcYo8Xepq2b/view?usp=drivesdk","OFFER LETTER")</f>
        <v>OFFER LETTER</v>
      </c>
      <c r="S326" s="11" t="s">
        <v>1979</v>
      </c>
    </row>
    <row r="327" ht="22.5" customHeight="1">
      <c r="A327" s="10">
        <v>46257.6134493287</v>
      </c>
      <c r="B327" s="11" t="s">
        <v>1980</v>
      </c>
      <c r="C327" s="11" t="s">
        <v>128</v>
      </c>
      <c r="D327" s="11" t="s">
        <v>929</v>
      </c>
      <c r="E327" s="12">
        <v>46258.0</v>
      </c>
      <c r="F327" s="12">
        <v>46442.0</v>
      </c>
      <c r="G327" s="11" t="s">
        <v>1981</v>
      </c>
      <c r="H327" s="11">
        <v>9.923865766E9</v>
      </c>
      <c r="I327" s="11" t="s">
        <v>82</v>
      </c>
      <c r="J327" s="11" t="s">
        <v>71</v>
      </c>
      <c r="K327" s="11" t="s">
        <v>72</v>
      </c>
      <c r="L327" s="11" t="s">
        <v>73</v>
      </c>
      <c r="M327" s="11" t="s">
        <v>1982</v>
      </c>
      <c r="N327" s="11" t="s">
        <v>86</v>
      </c>
      <c r="O327" s="11" t="s">
        <v>71</v>
      </c>
      <c r="P327" s="11" t="s">
        <v>1983</v>
      </c>
      <c r="Q327" s="13" t="s">
        <v>1984</v>
      </c>
      <c r="R327" s="14" t="str">
        <f>HYPERLINK("https://drive.google.com/file/d/1CN2ZWZtrcJgKlzt62Kbts3368Iz6Dyjl/view?usp=drivesdk","OFFER LETTER")</f>
        <v>OFFER LETTER</v>
      </c>
      <c r="S327" s="11" t="s">
        <v>1979</v>
      </c>
    </row>
    <row r="328" ht="22.5" customHeight="1">
      <c r="A328" s="10">
        <v>46257.6167645949</v>
      </c>
      <c r="B328" s="11" t="s">
        <v>1985</v>
      </c>
      <c r="C328" s="11" t="s">
        <v>417</v>
      </c>
      <c r="D328" s="11" t="s">
        <v>68</v>
      </c>
      <c r="E328" s="12">
        <v>46257.0</v>
      </c>
      <c r="F328" s="12">
        <v>46288.0</v>
      </c>
      <c r="G328" s="11" t="s">
        <v>1970</v>
      </c>
      <c r="H328" s="11">
        <v>9.502697373E9</v>
      </c>
      <c r="I328" s="11" t="s">
        <v>82</v>
      </c>
      <c r="J328" s="11" t="s">
        <v>71</v>
      </c>
      <c r="K328" s="11" t="s">
        <v>72</v>
      </c>
      <c r="L328" s="11" t="s">
        <v>131</v>
      </c>
      <c r="M328" s="11" t="s">
        <v>1971</v>
      </c>
      <c r="N328" s="11" t="s">
        <v>86</v>
      </c>
      <c r="O328" s="11" t="s">
        <v>263</v>
      </c>
      <c r="P328" s="11" t="s">
        <v>1986</v>
      </c>
      <c r="Q328" s="13" t="s">
        <v>1987</v>
      </c>
      <c r="R328" s="14" t="str">
        <f>HYPERLINK("https://drive.google.com/file/d/1EwSOF8JketLEF3tmrPjheyJNB7qQT2fu/view?usp=drivesdk","OFFER LETTER")</f>
        <v>OFFER LETTER</v>
      </c>
      <c r="S328" s="11" t="s">
        <v>1988</v>
      </c>
    </row>
    <row r="329" ht="22.5" customHeight="1">
      <c r="A329" s="10">
        <v>46257.61920342593</v>
      </c>
      <c r="B329" s="11" t="s">
        <v>1989</v>
      </c>
      <c r="C329" s="11" t="s">
        <v>91</v>
      </c>
      <c r="D329" s="11" t="s">
        <v>68</v>
      </c>
      <c r="E329" s="12">
        <v>46257.0</v>
      </c>
      <c r="F329" s="12">
        <v>46288.0</v>
      </c>
      <c r="G329" s="11" t="s">
        <v>1990</v>
      </c>
      <c r="H329" s="11">
        <v>8.763890386E9</v>
      </c>
      <c r="I329" s="11" t="s">
        <v>70</v>
      </c>
      <c r="J329" s="11" t="s">
        <v>71</v>
      </c>
      <c r="K329" s="11" t="s">
        <v>72</v>
      </c>
      <c r="L329" s="11" t="s">
        <v>73</v>
      </c>
      <c r="M329" s="11" t="s">
        <v>1991</v>
      </c>
      <c r="N329" s="11" t="s">
        <v>241</v>
      </c>
      <c r="O329" s="11" t="s">
        <v>71</v>
      </c>
      <c r="P329" s="11" t="s">
        <v>1992</v>
      </c>
      <c r="Q329" s="13" t="s">
        <v>1993</v>
      </c>
      <c r="R329" s="14" t="str">
        <f>HYPERLINK("https://drive.google.com/file/d/16A19w21drpLNKFxkdjbDLHaxITBhdn6q/view?usp=drivesdk","OFFER LETTER")</f>
        <v>OFFER LETTER</v>
      </c>
      <c r="S329" s="11" t="s">
        <v>1994</v>
      </c>
    </row>
    <row r="330" ht="22.5" customHeight="1">
      <c r="A330" s="10">
        <v>46257.62325672454</v>
      </c>
      <c r="B330" s="11" t="s">
        <v>1985</v>
      </c>
      <c r="C330" s="11" t="s">
        <v>417</v>
      </c>
      <c r="D330" s="11" t="s">
        <v>68</v>
      </c>
      <c r="E330" s="12">
        <v>46257.0</v>
      </c>
      <c r="F330" s="12">
        <v>46288.0</v>
      </c>
      <c r="G330" s="11" t="s">
        <v>1970</v>
      </c>
      <c r="H330" s="11">
        <v>9.502697373E9</v>
      </c>
      <c r="I330" s="11" t="s">
        <v>82</v>
      </c>
      <c r="J330" s="11" t="s">
        <v>71</v>
      </c>
      <c r="K330" s="11" t="s">
        <v>72</v>
      </c>
      <c r="L330" s="11" t="s">
        <v>131</v>
      </c>
      <c r="M330" s="11" t="s">
        <v>1971</v>
      </c>
      <c r="N330" s="11" t="s">
        <v>86</v>
      </c>
      <c r="O330" s="11" t="s">
        <v>71</v>
      </c>
      <c r="P330" s="11" t="s">
        <v>1995</v>
      </c>
      <c r="Q330" s="13" t="s">
        <v>1996</v>
      </c>
      <c r="R330" s="14" t="str">
        <f>HYPERLINK("https://drive.google.com/file/d/11noc2dmb75C5mzofkyKeEuqbot1JU7tc/view?usp=drivesdk","OFFER LETTER")</f>
        <v>OFFER LETTER</v>
      </c>
      <c r="S330" s="11" t="s">
        <v>1997</v>
      </c>
    </row>
    <row r="331" ht="22.5" customHeight="1">
      <c r="A331" s="10">
        <v>46257.62613092593</v>
      </c>
      <c r="B331" s="11" t="s">
        <v>1998</v>
      </c>
      <c r="C331" s="11" t="s">
        <v>67</v>
      </c>
      <c r="D331" s="11" t="s">
        <v>238</v>
      </c>
      <c r="E331" s="12">
        <v>46266.0</v>
      </c>
      <c r="F331" s="12">
        <v>46356.0</v>
      </c>
      <c r="G331" s="11" t="s">
        <v>1999</v>
      </c>
      <c r="H331" s="11">
        <v>8.18084218E9</v>
      </c>
      <c r="I331" s="11" t="s">
        <v>70</v>
      </c>
      <c r="J331" s="11" t="s">
        <v>71</v>
      </c>
      <c r="K331" s="11" t="s">
        <v>72</v>
      </c>
      <c r="L331" s="11" t="s">
        <v>247</v>
      </c>
      <c r="M331" s="11" t="s">
        <v>2000</v>
      </c>
      <c r="N331" s="11" t="s">
        <v>75</v>
      </c>
      <c r="O331" s="11" t="s">
        <v>71</v>
      </c>
      <c r="P331" s="11" t="s">
        <v>2001</v>
      </c>
      <c r="Q331" s="13" t="s">
        <v>2002</v>
      </c>
      <c r="R331" s="14" t="str">
        <f>HYPERLINK("https://drive.google.com/file/d/1Cl22VTomLyx2D1R60jbYwvwMZRY3OmJp/view?usp=drivesdk","OFFER LETTER")</f>
        <v>OFFER LETTER</v>
      </c>
      <c r="S331" s="11" t="s">
        <v>2003</v>
      </c>
    </row>
    <row r="332" ht="22.5" customHeight="1">
      <c r="A332" s="10">
        <v>46257.62706409722</v>
      </c>
      <c r="B332" s="11" t="s">
        <v>2004</v>
      </c>
      <c r="C332" s="11" t="s">
        <v>195</v>
      </c>
      <c r="D332" s="11" t="s">
        <v>68</v>
      </c>
      <c r="E332" s="12">
        <v>46258.0</v>
      </c>
      <c r="F332" s="12">
        <v>46289.0</v>
      </c>
      <c r="G332" s="11" t="s">
        <v>2005</v>
      </c>
      <c r="H332" s="11">
        <v>8.904774539E9</v>
      </c>
      <c r="I332" s="11" t="s">
        <v>70</v>
      </c>
      <c r="J332" s="11" t="s">
        <v>71</v>
      </c>
      <c r="K332" s="11" t="s">
        <v>72</v>
      </c>
      <c r="L332" s="11" t="s">
        <v>131</v>
      </c>
      <c r="M332" s="11" t="s">
        <v>2006</v>
      </c>
      <c r="N332" s="11" t="s">
        <v>241</v>
      </c>
      <c r="O332" s="11" t="s">
        <v>71</v>
      </c>
      <c r="P332" s="11" t="s">
        <v>2007</v>
      </c>
      <c r="Q332" s="13" t="s">
        <v>2008</v>
      </c>
      <c r="R332" s="14" t="str">
        <f>HYPERLINK("https://drive.google.com/file/d/1zDilo9N_ayXyTQUe2ZLu4FeP5Lrnl_zH/view?usp=drivesdk","OFFER LETTER")</f>
        <v>OFFER LETTER</v>
      </c>
      <c r="S332" s="11" t="s">
        <v>2009</v>
      </c>
    </row>
    <row r="333" ht="22.5" customHeight="1">
      <c r="A333" s="10">
        <v>46257.62878991898</v>
      </c>
      <c r="B333" s="11" t="s">
        <v>2004</v>
      </c>
      <c r="C333" s="11" t="s">
        <v>195</v>
      </c>
      <c r="D333" s="11" t="s">
        <v>68</v>
      </c>
      <c r="E333" s="12">
        <v>46258.0</v>
      </c>
      <c r="F333" s="12">
        <v>46289.0</v>
      </c>
      <c r="G333" s="11" t="s">
        <v>2005</v>
      </c>
      <c r="H333" s="11">
        <v>8.904774539E9</v>
      </c>
      <c r="I333" s="11" t="s">
        <v>70</v>
      </c>
      <c r="J333" s="11" t="s">
        <v>71</v>
      </c>
      <c r="K333" s="11" t="s">
        <v>72</v>
      </c>
      <c r="L333" s="11" t="s">
        <v>131</v>
      </c>
      <c r="M333" s="11" t="s">
        <v>2006</v>
      </c>
      <c r="N333" s="11" t="s">
        <v>241</v>
      </c>
      <c r="O333" s="11" t="s">
        <v>71</v>
      </c>
      <c r="P333" s="11" t="s">
        <v>2010</v>
      </c>
      <c r="Q333" s="13" t="s">
        <v>2011</v>
      </c>
      <c r="R333" s="14" t="str">
        <f>HYPERLINK("https://drive.google.com/file/d/131y3ql6OIwc80cj0svBnuRW68RcBkIM7/view?usp=drivesdk","OFFER LETTER")</f>
        <v>OFFER LETTER</v>
      </c>
      <c r="S333" s="11" t="s">
        <v>2012</v>
      </c>
    </row>
    <row r="334" ht="22.5" customHeight="1">
      <c r="A334" s="10">
        <v>46257.63641866898</v>
      </c>
      <c r="B334" s="11" t="s">
        <v>2013</v>
      </c>
      <c r="C334" s="11" t="s">
        <v>91</v>
      </c>
      <c r="D334" s="11" t="s">
        <v>238</v>
      </c>
      <c r="E334" s="12">
        <v>46257.0</v>
      </c>
      <c r="F334" s="12">
        <v>46349.0</v>
      </c>
      <c r="G334" s="11" t="s">
        <v>2014</v>
      </c>
      <c r="H334" s="11">
        <v>8.42594194E9</v>
      </c>
      <c r="I334" s="11" t="s">
        <v>82</v>
      </c>
      <c r="J334" s="11" t="s">
        <v>71</v>
      </c>
      <c r="K334" s="11" t="s">
        <v>72</v>
      </c>
      <c r="L334" s="11" t="s">
        <v>247</v>
      </c>
      <c r="M334" s="11" t="s">
        <v>2015</v>
      </c>
      <c r="N334" s="11" t="s">
        <v>457</v>
      </c>
      <c r="O334" s="11" t="s">
        <v>71</v>
      </c>
      <c r="P334" s="11" t="s">
        <v>2016</v>
      </c>
      <c r="Q334" s="13" t="s">
        <v>2017</v>
      </c>
      <c r="R334" s="14" t="str">
        <f>HYPERLINK("https://drive.google.com/file/d/1CJT2KrA3hBUciQxGX1dgWcHXQP_noH9R/view?usp=drivesdk","OFFER LETTER")</f>
        <v>OFFER LETTER</v>
      </c>
      <c r="S334" s="11" t="s">
        <v>2018</v>
      </c>
    </row>
    <row r="335" ht="22.5" customHeight="1">
      <c r="A335" s="10">
        <v>46257.64576586806</v>
      </c>
      <c r="B335" s="11" t="s">
        <v>2019</v>
      </c>
      <c r="C335" s="11" t="s">
        <v>173</v>
      </c>
      <c r="D335" s="11" t="s">
        <v>68</v>
      </c>
      <c r="E335" s="12">
        <v>46181.0</v>
      </c>
      <c r="F335" s="12">
        <v>46211.0</v>
      </c>
      <c r="G335" s="11" t="s">
        <v>2020</v>
      </c>
      <c r="H335" s="11">
        <v>9.128602605E9</v>
      </c>
      <c r="I335" s="11" t="s">
        <v>82</v>
      </c>
      <c r="J335" s="11" t="s">
        <v>71</v>
      </c>
      <c r="K335" s="11" t="s">
        <v>72</v>
      </c>
      <c r="L335" s="11" t="s">
        <v>84</v>
      </c>
      <c r="M335" s="11" t="s">
        <v>2021</v>
      </c>
      <c r="N335" s="11" t="s">
        <v>86</v>
      </c>
      <c r="O335" s="11" t="s">
        <v>263</v>
      </c>
      <c r="P335" s="11" t="s">
        <v>2022</v>
      </c>
      <c r="Q335" s="13" t="s">
        <v>2023</v>
      </c>
      <c r="R335" s="14" t="str">
        <f>HYPERLINK("https://drive.google.com/file/d/1wJq2RFyGJNtkZgsmDA2HOlge4FAF_XGt/view?usp=drivesdk","OFFER LETTER")</f>
        <v>OFFER LETTER</v>
      </c>
      <c r="S335" s="11" t="s">
        <v>2024</v>
      </c>
    </row>
    <row r="336" ht="22.5" customHeight="1">
      <c r="A336" s="10">
        <v>46257.65006876158</v>
      </c>
      <c r="B336" s="11" t="s">
        <v>2025</v>
      </c>
      <c r="C336" s="11" t="s">
        <v>195</v>
      </c>
      <c r="D336" s="11" t="s">
        <v>68</v>
      </c>
      <c r="E336" s="12">
        <v>46285.0</v>
      </c>
      <c r="F336" s="12">
        <v>46315.0</v>
      </c>
      <c r="G336" s="11" t="s">
        <v>2026</v>
      </c>
      <c r="H336" s="11">
        <v>9.555030866E9</v>
      </c>
      <c r="I336" s="11" t="s">
        <v>70</v>
      </c>
      <c r="J336" s="11" t="s">
        <v>83</v>
      </c>
      <c r="K336" s="11" t="s">
        <v>167</v>
      </c>
      <c r="L336" s="11" t="s">
        <v>84</v>
      </c>
      <c r="M336" s="11" t="s">
        <v>2027</v>
      </c>
      <c r="N336" s="11" t="s">
        <v>241</v>
      </c>
      <c r="O336" s="11" t="s">
        <v>71</v>
      </c>
      <c r="P336" s="11" t="s">
        <v>2028</v>
      </c>
      <c r="Q336" s="13" t="s">
        <v>2029</v>
      </c>
      <c r="R336" s="14" t="str">
        <f>HYPERLINK("https://drive.google.com/file/d/1QYy1WjbUlWufEVnPmkg6bGLV1YvbpirV/view?usp=drivesdk","OFFER LETTER")</f>
        <v>OFFER LETTER</v>
      </c>
      <c r="S336" s="11" t="s">
        <v>2030</v>
      </c>
    </row>
    <row r="337" ht="22.5" customHeight="1">
      <c r="A337" s="10">
        <v>46257.65114138889</v>
      </c>
      <c r="B337" s="11" t="s">
        <v>2031</v>
      </c>
      <c r="C337" s="11" t="s">
        <v>195</v>
      </c>
      <c r="D337" s="11" t="s">
        <v>68</v>
      </c>
      <c r="E337" s="12">
        <v>46259.0</v>
      </c>
      <c r="F337" s="12">
        <v>46290.0</v>
      </c>
      <c r="G337" s="11" t="s">
        <v>2032</v>
      </c>
      <c r="H337" s="11">
        <v>7.721928516E9</v>
      </c>
      <c r="I337" s="11" t="s">
        <v>70</v>
      </c>
      <c r="J337" s="11" t="s">
        <v>71</v>
      </c>
      <c r="K337" s="11" t="s">
        <v>72</v>
      </c>
      <c r="L337" s="11" t="s">
        <v>247</v>
      </c>
      <c r="M337" s="11" t="s">
        <v>2033</v>
      </c>
      <c r="N337" s="11" t="s">
        <v>86</v>
      </c>
      <c r="O337" s="11" t="s">
        <v>71</v>
      </c>
      <c r="P337" s="11" t="s">
        <v>2034</v>
      </c>
      <c r="Q337" s="13" t="s">
        <v>2035</v>
      </c>
      <c r="R337" s="14" t="str">
        <f>HYPERLINK("https://drive.google.com/file/d/1MseloFcnVWSpnNbyIX18PKiU9pEPp6Fw/view?usp=drivesdk","OFFER LETTER")</f>
        <v>OFFER LETTER</v>
      </c>
      <c r="S337" s="11" t="s">
        <v>2036</v>
      </c>
    </row>
    <row r="338" ht="22.5" customHeight="1">
      <c r="A338" s="10">
        <v>46257.65222596065</v>
      </c>
      <c r="B338" s="11" t="s">
        <v>2037</v>
      </c>
      <c r="C338" s="11" t="s">
        <v>165</v>
      </c>
      <c r="D338" s="11" t="s">
        <v>68</v>
      </c>
      <c r="E338" s="12">
        <v>46266.0</v>
      </c>
      <c r="F338" s="12">
        <v>46295.0</v>
      </c>
      <c r="G338" s="11" t="s">
        <v>2038</v>
      </c>
      <c r="H338" s="11">
        <v>9.480331003E9</v>
      </c>
      <c r="I338" s="11" t="s">
        <v>82</v>
      </c>
      <c r="J338" s="11" t="s">
        <v>71</v>
      </c>
      <c r="K338" s="11" t="s">
        <v>72</v>
      </c>
      <c r="L338" s="11" t="s">
        <v>73</v>
      </c>
      <c r="M338" s="11" t="s">
        <v>2039</v>
      </c>
      <c r="N338" s="11" t="s">
        <v>75</v>
      </c>
      <c r="O338" s="11" t="s">
        <v>71</v>
      </c>
      <c r="P338" s="11" t="s">
        <v>2040</v>
      </c>
      <c r="Q338" s="13" t="s">
        <v>2041</v>
      </c>
      <c r="R338" s="14" t="str">
        <f>HYPERLINK("https://drive.google.com/file/d/15KakqDAowvlZvvmTWIjQq145P8paNlfX/view?usp=drivesdk","OFFER LETTER")</f>
        <v>OFFER LETTER</v>
      </c>
      <c r="S338" s="11" t="s">
        <v>2042</v>
      </c>
    </row>
    <row r="339" ht="22.5" customHeight="1">
      <c r="A339" s="10">
        <v>46257.653169826386</v>
      </c>
      <c r="B339" s="11" t="s">
        <v>2043</v>
      </c>
      <c r="C339" s="11" t="s">
        <v>1320</v>
      </c>
      <c r="D339" s="11" t="s">
        <v>68</v>
      </c>
      <c r="E339" s="12">
        <v>46216.0</v>
      </c>
      <c r="F339" s="12">
        <v>46247.0</v>
      </c>
      <c r="G339" s="11" t="s">
        <v>2044</v>
      </c>
      <c r="H339" s="11">
        <v>8.252802464E9</v>
      </c>
      <c r="I339" s="11" t="s">
        <v>70</v>
      </c>
      <c r="J339" s="11" t="s">
        <v>71</v>
      </c>
      <c r="K339" s="11" t="s">
        <v>2045</v>
      </c>
      <c r="L339" s="11" t="s">
        <v>357</v>
      </c>
      <c r="M339" s="11" t="s">
        <v>2046</v>
      </c>
      <c r="N339" s="11" t="s">
        <v>75</v>
      </c>
      <c r="O339" s="11" t="s">
        <v>71</v>
      </c>
      <c r="P339" s="11" t="s">
        <v>2047</v>
      </c>
      <c r="Q339" s="13" t="s">
        <v>2048</v>
      </c>
      <c r="R339" s="14" t="str">
        <f>HYPERLINK("https://drive.google.com/file/d/1dvKspey4B491l8cp5MndUbySIuzeUI8e/view?usp=drivesdk","OFFER LETTER")</f>
        <v>OFFER LETTER</v>
      </c>
      <c r="S339" s="11" t="s">
        <v>2049</v>
      </c>
    </row>
    <row r="340" ht="22.5" customHeight="1">
      <c r="A340" s="10">
        <v>46257.655784375005</v>
      </c>
      <c r="B340" s="11" t="s">
        <v>2050</v>
      </c>
      <c r="C340" s="11" t="s">
        <v>259</v>
      </c>
      <c r="D340" s="11" t="s">
        <v>238</v>
      </c>
      <c r="E340" s="12">
        <v>46258.0</v>
      </c>
      <c r="F340" s="12">
        <v>46350.0</v>
      </c>
      <c r="G340" s="11" t="s">
        <v>2051</v>
      </c>
      <c r="H340" s="11">
        <v>9.172765524E9</v>
      </c>
      <c r="I340" s="11" t="s">
        <v>82</v>
      </c>
      <c r="J340" s="11" t="s">
        <v>71</v>
      </c>
      <c r="K340" s="11" t="s">
        <v>110</v>
      </c>
      <c r="L340" s="11" t="s">
        <v>73</v>
      </c>
      <c r="M340" s="11" t="s">
        <v>2052</v>
      </c>
      <c r="N340" s="11" t="s">
        <v>75</v>
      </c>
      <c r="O340" s="11" t="s">
        <v>71</v>
      </c>
      <c r="P340" s="11" t="s">
        <v>2053</v>
      </c>
      <c r="Q340" s="13" t="s">
        <v>2054</v>
      </c>
      <c r="R340" s="14" t="str">
        <f>HYPERLINK("https://drive.google.com/file/d/1j-jU0gZqBTmj6cDqNd9CB6n2NIMkdYB8/view?usp=drivesdk","OFFER LETTER")</f>
        <v>OFFER LETTER</v>
      </c>
      <c r="S340" s="11" t="s">
        <v>2055</v>
      </c>
    </row>
    <row r="341" ht="22.5" customHeight="1">
      <c r="A341" s="10">
        <v>46257.65733016204</v>
      </c>
      <c r="B341" s="11" t="s">
        <v>2056</v>
      </c>
      <c r="C341" s="11" t="s">
        <v>237</v>
      </c>
      <c r="D341" s="11" t="s">
        <v>68</v>
      </c>
      <c r="E341" s="12">
        <v>46257.0</v>
      </c>
      <c r="F341" s="12">
        <v>46288.0</v>
      </c>
      <c r="G341" s="11" t="s">
        <v>2057</v>
      </c>
      <c r="H341" s="11">
        <v>9.761787722E9</v>
      </c>
      <c r="I341" s="11" t="s">
        <v>82</v>
      </c>
      <c r="J341" s="11" t="s">
        <v>71</v>
      </c>
      <c r="K341" s="11" t="s">
        <v>110</v>
      </c>
      <c r="L341" s="11" t="s">
        <v>247</v>
      </c>
      <c r="M341" s="11" t="s">
        <v>2058</v>
      </c>
      <c r="N341" s="11" t="s">
        <v>241</v>
      </c>
      <c r="O341" s="11" t="s">
        <v>71</v>
      </c>
      <c r="P341" s="11" t="s">
        <v>2059</v>
      </c>
      <c r="Q341" s="13" t="s">
        <v>2060</v>
      </c>
      <c r="R341" s="14" t="str">
        <f>HYPERLINK("https://drive.google.com/file/d/12-GL6hOa5jtol3AVdsFUlnCapYGve9-k/view?usp=drivesdk","OFFER LETTER")</f>
        <v>OFFER LETTER</v>
      </c>
      <c r="S341" s="11" t="s">
        <v>2061</v>
      </c>
    </row>
    <row r="342" ht="22.5" customHeight="1">
      <c r="A342" s="10">
        <v>46257.65936746528</v>
      </c>
      <c r="B342" s="11" t="s">
        <v>2056</v>
      </c>
      <c r="C342" s="11" t="s">
        <v>237</v>
      </c>
      <c r="D342" s="11" t="s">
        <v>68</v>
      </c>
      <c r="E342" s="12">
        <v>46257.0</v>
      </c>
      <c r="F342" s="12">
        <v>46288.0</v>
      </c>
      <c r="G342" s="11" t="s">
        <v>2057</v>
      </c>
      <c r="H342" s="11">
        <v>9.761787722E9</v>
      </c>
      <c r="I342" s="11" t="s">
        <v>82</v>
      </c>
      <c r="J342" s="11" t="s">
        <v>71</v>
      </c>
      <c r="K342" s="11" t="s">
        <v>110</v>
      </c>
      <c r="L342" s="11" t="s">
        <v>247</v>
      </c>
      <c r="M342" s="11" t="s">
        <v>2058</v>
      </c>
      <c r="N342" s="11" t="s">
        <v>241</v>
      </c>
      <c r="O342" s="11" t="s">
        <v>71</v>
      </c>
      <c r="P342" s="11" t="s">
        <v>2062</v>
      </c>
      <c r="Q342" s="13" t="s">
        <v>2063</v>
      </c>
      <c r="R342" s="14" t="str">
        <f>HYPERLINK("https://drive.google.com/file/d/1O_VbVdKiprzAmYG3riiuhlrZJl3fcYp2/view?usp=drivesdk","OFFER LETTER")</f>
        <v>OFFER LETTER</v>
      </c>
      <c r="S342" s="11" t="s">
        <v>2064</v>
      </c>
    </row>
    <row r="343" ht="22.5" customHeight="1">
      <c r="A343" s="10">
        <v>46257.66478385417</v>
      </c>
      <c r="B343" s="11" t="s">
        <v>2056</v>
      </c>
      <c r="C343" s="11" t="s">
        <v>195</v>
      </c>
      <c r="D343" s="11" t="s">
        <v>68</v>
      </c>
      <c r="E343" s="12">
        <v>46257.0</v>
      </c>
      <c r="F343" s="12">
        <v>46286.0</v>
      </c>
      <c r="G343" s="11" t="s">
        <v>2057</v>
      </c>
      <c r="H343" s="11">
        <v>9.761787722E9</v>
      </c>
      <c r="I343" s="11" t="s">
        <v>82</v>
      </c>
      <c r="J343" s="11" t="s">
        <v>71</v>
      </c>
      <c r="K343" s="11" t="s">
        <v>110</v>
      </c>
      <c r="L343" s="11" t="s">
        <v>247</v>
      </c>
      <c r="M343" s="11" t="s">
        <v>2058</v>
      </c>
      <c r="N343" s="11" t="s">
        <v>241</v>
      </c>
      <c r="O343" s="11" t="s">
        <v>71</v>
      </c>
      <c r="P343" s="11" t="s">
        <v>2065</v>
      </c>
      <c r="Q343" s="13" t="s">
        <v>2066</v>
      </c>
      <c r="R343" s="14" t="str">
        <f>HYPERLINK("https://drive.google.com/file/d/177gAzw4VfbmvkJviHH9vmSDsPWGo8vUT/view?usp=drivesdk","OFFER LETTER")</f>
        <v>OFFER LETTER</v>
      </c>
      <c r="S343" s="11" t="s">
        <v>2067</v>
      </c>
    </row>
    <row r="344" ht="22.5" customHeight="1">
      <c r="A344" s="10">
        <v>46257.66516078704</v>
      </c>
      <c r="B344" s="11" t="s">
        <v>2068</v>
      </c>
      <c r="C344" s="11" t="s">
        <v>237</v>
      </c>
      <c r="D344" s="11" t="s">
        <v>68</v>
      </c>
      <c r="E344" s="12">
        <v>46216.0</v>
      </c>
      <c r="F344" s="12">
        <v>46252.0</v>
      </c>
      <c r="G344" s="11" t="s">
        <v>2069</v>
      </c>
      <c r="H344" s="11">
        <v>9.153224115E9</v>
      </c>
      <c r="I344" s="11" t="s">
        <v>82</v>
      </c>
      <c r="J344" s="11" t="s">
        <v>71</v>
      </c>
      <c r="K344" s="11" t="s">
        <v>72</v>
      </c>
      <c r="L344" s="11" t="s">
        <v>84</v>
      </c>
      <c r="M344" s="11" t="s">
        <v>2070</v>
      </c>
      <c r="N344" s="11" t="s">
        <v>241</v>
      </c>
      <c r="O344" s="11" t="s">
        <v>71</v>
      </c>
      <c r="P344" s="11" t="s">
        <v>2071</v>
      </c>
      <c r="Q344" s="13" t="s">
        <v>2072</v>
      </c>
      <c r="R344" s="14" t="str">
        <f>HYPERLINK("https://drive.google.com/file/d/1DrY0sSiXtLQLnL2L67_HI8OJXHIJ1QZz/view?usp=drivesdk","OFFER LETTER")</f>
        <v>OFFER LETTER</v>
      </c>
      <c r="S344" s="11" t="s">
        <v>2073</v>
      </c>
    </row>
    <row r="345" ht="22.5" customHeight="1">
      <c r="A345" s="10">
        <v>46257.670246354166</v>
      </c>
      <c r="B345" s="11" t="s">
        <v>2074</v>
      </c>
      <c r="C345" s="11" t="s">
        <v>128</v>
      </c>
      <c r="D345" s="11" t="s">
        <v>68</v>
      </c>
      <c r="E345" s="12">
        <v>46257.0</v>
      </c>
      <c r="F345" s="12">
        <v>46288.0</v>
      </c>
      <c r="G345" s="11" t="s">
        <v>2075</v>
      </c>
      <c r="H345" s="11">
        <v>7.617411201E9</v>
      </c>
      <c r="I345" s="11" t="s">
        <v>82</v>
      </c>
      <c r="J345" s="11" t="s">
        <v>71</v>
      </c>
      <c r="K345" s="11" t="s">
        <v>110</v>
      </c>
      <c r="L345" s="11" t="s">
        <v>73</v>
      </c>
      <c r="M345" s="11" t="s">
        <v>2076</v>
      </c>
      <c r="N345" s="11" t="s">
        <v>241</v>
      </c>
      <c r="O345" s="11" t="s">
        <v>71</v>
      </c>
      <c r="P345" s="11" t="s">
        <v>2077</v>
      </c>
      <c r="Q345" s="13" t="s">
        <v>2078</v>
      </c>
      <c r="R345" s="14" t="str">
        <f>HYPERLINK("https://drive.google.com/file/d/1fwHX-H7KX1NZPxC2JbB4OvZPgqzJsJLI/view?usp=drivesdk","OFFER LETTER")</f>
        <v>OFFER LETTER</v>
      </c>
      <c r="S345" s="11" t="s">
        <v>2079</v>
      </c>
    </row>
    <row r="346" ht="22.5" customHeight="1">
      <c r="A346" s="10">
        <v>46257.67236568287</v>
      </c>
      <c r="B346" s="11" t="s">
        <v>2074</v>
      </c>
      <c r="C346" s="11" t="s">
        <v>128</v>
      </c>
      <c r="D346" s="11" t="s">
        <v>68</v>
      </c>
      <c r="E346" s="12">
        <v>46257.0</v>
      </c>
      <c r="F346" s="12">
        <v>46288.0</v>
      </c>
      <c r="G346" s="11" t="s">
        <v>2075</v>
      </c>
      <c r="H346" s="11">
        <v>7.617411201E9</v>
      </c>
      <c r="I346" s="11" t="s">
        <v>82</v>
      </c>
      <c r="J346" s="11" t="s">
        <v>71</v>
      </c>
      <c r="K346" s="11" t="s">
        <v>110</v>
      </c>
      <c r="L346" s="11" t="s">
        <v>73</v>
      </c>
      <c r="M346" s="11" t="s">
        <v>648</v>
      </c>
      <c r="N346" s="11" t="s">
        <v>241</v>
      </c>
      <c r="O346" s="11" t="s">
        <v>71</v>
      </c>
      <c r="P346" s="11" t="s">
        <v>2080</v>
      </c>
      <c r="Q346" s="13" t="s">
        <v>2081</v>
      </c>
      <c r="R346" s="14" t="str">
        <f>HYPERLINK("https://drive.google.com/file/d/1KFaXeN7ha54ymHrAbmNNK4qIQHqgCtmd/view?usp=drivesdk","OFFER LETTER")</f>
        <v>OFFER LETTER</v>
      </c>
      <c r="S346" s="11" t="s">
        <v>2082</v>
      </c>
    </row>
    <row r="347" ht="22.5" customHeight="1">
      <c r="A347" s="10">
        <v>46257.6783340625</v>
      </c>
      <c r="B347" s="11" t="s">
        <v>2083</v>
      </c>
      <c r="C347" s="11" t="s">
        <v>259</v>
      </c>
      <c r="D347" s="11" t="s">
        <v>68</v>
      </c>
      <c r="E347" s="12">
        <v>46257.0</v>
      </c>
      <c r="F347" s="12">
        <v>46289.0</v>
      </c>
      <c r="G347" s="11" t="s">
        <v>2084</v>
      </c>
      <c r="H347" s="11">
        <v>7.200160464E9</v>
      </c>
      <c r="I347" s="11" t="s">
        <v>82</v>
      </c>
      <c r="J347" s="11" t="s">
        <v>83</v>
      </c>
      <c r="K347" s="11" t="s">
        <v>72</v>
      </c>
      <c r="L347" s="11" t="s">
        <v>73</v>
      </c>
      <c r="M347" s="11" t="s">
        <v>2085</v>
      </c>
      <c r="N347" s="11" t="s">
        <v>241</v>
      </c>
      <c r="O347" s="11" t="s">
        <v>71</v>
      </c>
      <c r="P347" s="11" t="s">
        <v>2086</v>
      </c>
      <c r="Q347" s="13" t="s">
        <v>2087</v>
      </c>
      <c r="R347" s="14" t="str">
        <f>HYPERLINK("https://drive.google.com/file/d/1lj2WOQdvSR7uf2XWbVFsZUO0O50wTG58/view?usp=drivesdk","OFFER LETTER")</f>
        <v>OFFER LETTER</v>
      </c>
      <c r="S347" s="11" t="s">
        <v>2088</v>
      </c>
    </row>
    <row r="348" ht="22.5" customHeight="1">
      <c r="A348" s="10">
        <v>46257.68135388889</v>
      </c>
      <c r="B348" s="11" t="s">
        <v>2089</v>
      </c>
      <c r="C348" s="11" t="s">
        <v>259</v>
      </c>
      <c r="D348" s="11" t="s">
        <v>238</v>
      </c>
      <c r="E348" s="12">
        <v>46258.0</v>
      </c>
      <c r="F348" s="12">
        <v>46350.0</v>
      </c>
      <c r="G348" s="11" t="s">
        <v>2051</v>
      </c>
      <c r="H348" s="11">
        <v>9.172765524E9</v>
      </c>
      <c r="I348" s="11" t="s">
        <v>82</v>
      </c>
      <c r="J348" s="11" t="s">
        <v>71</v>
      </c>
      <c r="K348" s="11" t="s">
        <v>110</v>
      </c>
      <c r="L348" s="11" t="s">
        <v>73</v>
      </c>
      <c r="M348" s="11" t="s">
        <v>2090</v>
      </c>
      <c r="N348" s="11" t="s">
        <v>75</v>
      </c>
      <c r="O348" s="11" t="s">
        <v>71</v>
      </c>
      <c r="P348" s="11" t="s">
        <v>2091</v>
      </c>
      <c r="Q348" s="13" t="s">
        <v>2092</v>
      </c>
      <c r="R348" s="14" t="str">
        <f>HYPERLINK("https://drive.google.com/file/d/1IY_zYl--HY_4Lj15iyw_P2rne6pDvd0J/view?usp=drivesdk","OFFER LETTER")</f>
        <v>OFFER LETTER</v>
      </c>
      <c r="S348" s="11" t="s">
        <v>2093</v>
      </c>
    </row>
    <row r="349" ht="22.5" customHeight="1">
      <c r="A349" s="10">
        <v>46257.68218216435</v>
      </c>
      <c r="B349" s="11" t="s">
        <v>2094</v>
      </c>
      <c r="C349" s="11" t="s">
        <v>596</v>
      </c>
      <c r="D349" s="11" t="s">
        <v>68</v>
      </c>
      <c r="E349" s="12">
        <v>46301.0</v>
      </c>
      <c r="F349" s="12">
        <v>46302.0</v>
      </c>
      <c r="G349" s="11" t="s">
        <v>2095</v>
      </c>
      <c r="H349" s="11">
        <v>9.992893702E9</v>
      </c>
      <c r="I349" s="11" t="s">
        <v>82</v>
      </c>
      <c r="J349" s="11" t="s">
        <v>71</v>
      </c>
      <c r="K349" s="11" t="s">
        <v>72</v>
      </c>
      <c r="L349" s="11" t="s">
        <v>84</v>
      </c>
      <c r="M349" s="11" t="s">
        <v>2096</v>
      </c>
      <c r="N349" s="11" t="s">
        <v>226</v>
      </c>
      <c r="O349" s="11" t="s">
        <v>71</v>
      </c>
      <c r="P349" s="11" t="s">
        <v>2097</v>
      </c>
      <c r="Q349" s="13" t="s">
        <v>2098</v>
      </c>
      <c r="R349" s="14" t="str">
        <f>HYPERLINK("https://drive.google.com/file/d/1tuVHvkzQw-YWuxN2MyrSP1MM081Tn3DY/view?usp=drivesdk","OFFER LETTER")</f>
        <v>OFFER LETTER</v>
      </c>
      <c r="S349" s="11" t="s">
        <v>2099</v>
      </c>
    </row>
    <row r="350" ht="22.5" customHeight="1">
      <c r="A350" s="10">
        <v>46257.69211820602</v>
      </c>
      <c r="B350" s="11" t="s">
        <v>2100</v>
      </c>
      <c r="C350" s="11" t="s">
        <v>128</v>
      </c>
      <c r="D350" s="11" t="s">
        <v>68</v>
      </c>
      <c r="E350" s="12">
        <v>46028.0</v>
      </c>
      <c r="F350" s="12">
        <v>46029.0</v>
      </c>
      <c r="G350" s="11" t="s">
        <v>2101</v>
      </c>
      <c r="H350" s="11">
        <v>8.860688334E9</v>
      </c>
      <c r="I350" s="11" t="s">
        <v>82</v>
      </c>
      <c r="J350" s="11" t="s">
        <v>71</v>
      </c>
      <c r="K350" s="11" t="s">
        <v>72</v>
      </c>
      <c r="L350" s="11" t="s">
        <v>131</v>
      </c>
      <c r="M350" s="11" t="s">
        <v>2102</v>
      </c>
      <c r="N350" s="11" t="s">
        <v>655</v>
      </c>
      <c r="O350" s="11" t="s">
        <v>71</v>
      </c>
      <c r="P350" s="11" t="s">
        <v>2103</v>
      </c>
      <c r="Q350" s="13" t="s">
        <v>2104</v>
      </c>
      <c r="R350" s="14" t="str">
        <f>HYPERLINK("https://drive.google.com/file/d/13gzPUPm39UM87fLuPeYeTGLIYlFyN0A2/view?usp=drivesdk","OFFER LETTER")</f>
        <v>OFFER LETTER</v>
      </c>
      <c r="S350" s="11" t="s">
        <v>2105</v>
      </c>
    </row>
    <row r="351" ht="22.5" customHeight="1">
      <c r="A351" s="10">
        <v>46257.69512614583</v>
      </c>
      <c r="B351" s="11" t="s">
        <v>2106</v>
      </c>
      <c r="C351" s="11" t="s">
        <v>91</v>
      </c>
      <c r="D351" s="11" t="s">
        <v>68</v>
      </c>
      <c r="E351" s="12">
        <v>46249.0</v>
      </c>
      <c r="F351" s="12">
        <v>46282.0</v>
      </c>
      <c r="G351" s="11" t="s">
        <v>1639</v>
      </c>
      <c r="H351" s="11">
        <v>9.145352456E9</v>
      </c>
      <c r="I351" s="11" t="s">
        <v>82</v>
      </c>
      <c r="J351" s="11" t="s">
        <v>71</v>
      </c>
      <c r="K351" s="11" t="s">
        <v>72</v>
      </c>
      <c r="L351" s="11" t="s">
        <v>84</v>
      </c>
      <c r="M351" s="11" t="s">
        <v>2107</v>
      </c>
      <c r="N351" s="11" t="s">
        <v>75</v>
      </c>
      <c r="O351" s="11" t="s">
        <v>71</v>
      </c>
      <c r="P351" s="11" t="s">
        <v>2108</v>
      </c>
      <c r="Q351" s="13" t="s">
        <v>2109</v>
      </c>
      <c r="R351" s="14" t="str">
        <f>HYPERLINK("https://drive.google.com/file/d/1aYsx02WIvCEEW0ALwqhdyNBIao0YA-q7/view?usp=drivesdk","OFFER LETTER")</f>
        <v>OFFER LETTER</v>
      </c>
      <c r="S351" s="11" t="s">
        <v>2110</v>
      </c>
    </row>
    <row r="352" ht="22.5" customHeight="1">
      <c r="A352" s="10">
        <v>46257.69919462963</v>
      </c>
      <c r="B352" s="11" t="s">
        <v>2111</v>
      </c>
      <c r="C352" s="11" t="s">
        <v>128</v>
      </c>
      <c r="D352" s="11" t="s">
        <v>68</v>
      </c>
      <c r="E352" s="12">
        <v>46266.0</v>
      </c>
      <c r="F352" s="12">
        <v>46296.0</v>
      </c>
      <c r="G352" s="11" t="s">
        <v>2112</v>
      </c>
      <c r="H352" s="11">
        <v>6.305841063E9</v>
      </c>
      <c r="I352" s="11" t="s">
        <v>70</v>
      </c>
      <c r="J352" s="11" t="s">
        <v>71</v>
      </c>
      <c r="K352" s="11" t="s">
        <v>72</v>
      </c>
      <c r="L352" s="11" t="s">
        <v>73</v>
      </c>
      <c r="M352" s="11" t="s">
        <v>2113</v>
      </c>
      <c r="N352" s="11" t="s">
        <v>2114</v>
      </c>
      <c r="O352" s="11" t="s">
        <v>71</v>
      </c>
      <c r="P352" s="11" t="s">
        <v>2115</v>
      </c>
      <c r="Q352" s="13" t="s">
        <v>2116</v>
      </c>
      <c r="R352" s="14" t="str">
        <f>HYPERLINK("https://drive.google.com/file/d/1xt0iHouKP_hBzWrZ3C5FUn8CUc9yxv_S/view?usp=drivesdk","OFFER LETTER")</f>
        <v>OFFER LETTER</v>
      </c>
      <c r="S352" s="11" t="s">
        <v>2117</v>
      </c>
    </row>
    <row r="353" ht="22.5" customHeight="1">
      <c r="A353" s="10">
        <v>46257.710391851855</v>
      </c>
      <c r="B353" s="11" t="s">
        <v>2118</v>
      </c>
      <c r="C353" s="11" t="s">
        <v>195</v>
      </c>
      <c r="D353" s="11" t="s">
        <v>68</v>
      </c>
      <c r="E353" s="12">
        <v>46197.0</v>
      </c>
      <c r="F353" s="12">
        <v>46226.0</v>
      </c>
      <c r="G353" s="11" t="s">
        <v>2119</v>
      </c>
      <c r="H353" s="11">
        <v>9.816789437E9</v>
      </c>
      <c r="I353" s="11" t="s">
        <v>82</v>
      </c>
      <c r="J353" s="11" t="s">
        <v>71</v>
      </c>
      <c r="K353" s="11" t="s">
        <v>72</v>
      </c>
      <c r="L353" s="11" t="s">
        <v>73</v>
      </c>
      <c r="M353" s="11" t="s">
        <v>2120</v>
      </c>
      <c r="N353" s="11" t="s">
        <v>155</v>
      </c>
      <c r="O353" s="11" t="s">
        <v>71</v>
      </c>
      <c r="P353" s="11" t="s">
        <v>2121</v>
      </c>
      <c r="Q353" s="13" t="s">
        <v>2122</v>
      </c>
      <c r="R353" s="14" t="str">
        <f>HYPERLINK("https://drive.google.com/file/d/1Sc2TUPhwdiLBLarRfO72eZMmePdwGWwj/view?usp=drivesdk","OFFER LETTER")</f>
        <v>OFFER LETTER</v>
      </c>
      <c r="S353" s="11" t="s">
        <v>2123</v>
      </c>
    </row>
    <row r="354" ht="22.5" customHeight="1">
      <c r="A354" s="10">
        <v>46257.72518043981</v>
      </c>
      <c r="B354" s="11" t="s">
        <v>2124</v>
      </c>
      <c r="C354" s="11" t="s">
        <v>237</v>
      </c>
      <c r="D354" s="11" t="s">
        <v>68</v>
      </c>
      <c r="E354" s="12">
        <v>46275.0</v>
      </c>
      <c r="F354" s="12">
        <v>46304.0</v>
      </c>
      <c r="G354" s="11" t="s">
        <v>2125</v>
      </c>
      <c r="H354" s="11">
        <v>7.24970564E9</v>
      </c>
      <c r="I354" s="11" t="s">
        <v>82</v>
      </c>
      <c r="J354" s="11" t="s">
        <v>71</v>
      </c>
      <c r="K354" s="11" t="s">
        <v>72</v>
      </c>
      <c r="L354" s="11" t="s">
        <v>131</v>
      </c>
      <c r="M354" s="11" t="s">
        <v>2126</v>
      </c>
      <c r="N354" s="11" t="s">
        <v>241</v>
      </c>
      <c r="O354" s="11" t="s">
        <v>71</v>
      </c>
      <c r="P354" s="11" t="s">
        <v>2127</v>
      </c>
      <c r="Q354" s="13" t="s">
        <v>2128</v>
      </c>
      <c r="R354" s="14" t="str">
        <f>HYPERLINK("https://drive.google.com/file/d/1iDELeI4jLxcqn06xK1aYlxu_N5R07wBw/view?usp=drivesdk","OFFER LETTER")</f>
        <v>OFFER LETTER</v>
      </c>
      <c r="S354" s="11" t="s">
        <v>2129</v>
      </c>
    </row>
    <row r="355" ht="22.5" customHeight="1">
      <c r="A355" s="10">
        <v>46257.7260928125</v>
      </c>
      <c r="B355" s="11" t="s">
        <v>2130</v>
      </c>
      <c r="C355" s="11" t="s">
        <v>128</v>
      </c>
      <c r="D355" s="11" t="s">
        <v>68</v>
      </c>
      <c r="E355" s="12">
        <v>46257.0</v>
      </c>
      <c r="F355" s="12">
        <v>46288.0</v>
      </c>
      <c r="G355" s="11" t="s">
        <v>2131</v>
      </c>
      <c r="H355" s="11">
        <v>9.235923006E9</v>
      </c>
      <c r="I355" s="11" t="s">
        <v>70</v>
      </c>
      <c r="J355" s="11" t="s">
        <v>71</v>
      </c>
      <c r="K355" s="11" t="s">
        <v>72</v>
      </c>
      <c r="L355" s="11" t="s">
        <v>84</v>
      </c>
      <c r="M355" s="11" t="s">
        <v>2132</v>
      </c>
      <c r="N355" s="11" t="s">
        <v>86</v>
      </c>
      <c r="O355" s="11" t="s">
        <v>71</v>
      </c>
      <c r="P355" s="11" t="s">
        <v>2133</v>
      </c>
      <c r="Q355" s="13" t="s">
        <v>2134</v>
      </c>
      <c r="R355" s="14" t="str">
        <f>HYPERLINK("https://drive.google.com/file/d/1FeB5qxBiyzAP79Hch5sQCOoYIQBUGuQZ/view?usp=drivesdk","OFFER LETTER")</f>
        <v>OFFER LETTER</v>
      </c>
      <c r="S355" s="11" t="s">
        <v>2135</v>
      </c>
    </row>
    <row r="356" ht="22.5" customHeight="1">
      <c r="A356" s="10">
        <v>46257.72753408564</v>
      </c>
      <c r="B356" s="11" t="s">
        <v>2136</v>
      </c>
      <c r="C356" s="11" t="s">
        <v>91</v>
      </c>
      <c r="D356" s="11" t="s">
        <v>238</v>
      </c>
      <c r="E356" s="12">
        <v>46256.0</v>
      </c>
      <c r="F356" s="12">
        <v>46332.0</v>
      </c>
      <c r="G356" s="11" t="s">
        <v>2137</v>
      </c>
      <c r="H356" s="11">
        <v>8.928609938E9</v>
      </c>
      <c r="I356" s="11" t="s">
        <v>82</v>
      </c>
      <c r="J356" s="11" t="s">
        <v>71</v>
      </c>
      <c r="K356" s="11" t="s">
        <v>72</v>
      </c>
      <c r="L356" s="11" t="s">
        <v>131</v>
      </c>
      <c r="M356" s="11" t="s">
        <v>2138</v>
      </c>
      <c r="N356" s="11" t="s">
        <v>320</v>
      </c>
      <c r="O356" s="11" t="s">
        <v>71</v>
      </c>
      <c r="P356" s="11" t="s">
        <v>2139</v>
      </c>
      <c r="Q356" s="13" t="s">
        <v>2140</v>
      </c>
      <c r="R356" s="14" t="str">
        <f>HYPERLINK("https://drive.google.com/file/d/17jh7jei_x6kXZfncu1xnHE8FycKno_-U/view?usp=drivesdk","OFFER LETTER")</f>
        <v>OFFER LETTER</v>
      </c>
      <c r="S356" s="11" t="s">
        <v>2141</v>
      </c>
    </row>
    <row r="357" ht="22.5" customHeight="1">
      <c r="A357" s="10">
        <v>46257.73711322917</v>
      </c>
      <c r="B357" s="11" t="s">
        <v>2142</v>
      </c>
      <c r="C357" s="11" t="s">
        <v>259</v>
      </c>
      <c r="D357" s="11" t="s">
        <v>68</v>
      </c>
      <c r="E357" s="12">
        <v>46261.0</v>
      </c>
      <c r="F357" s="12">
        <v>46292.0</v>
      </c>
      <c r="G357" s="11" t="s">
        <v>2143</v>
      </c>
      <c r="H357" s="11">
        <v>9.902751305E9</v>
      </c>
      <c r="I357" s="11" t="s">
        <v>82</v>
      </c>
      <c r="J357" s="11" t="s">
        <v>71</v>
      </c>
      <c r="K357" s="11" t="s">
        <v>72</v>
      </c>
      <c r="L357" s="11" t="s">
        <v>131</v>
      </c>
      <c r="M357" s="11" t="s">
        <v>2144</v>
      </c>
      <c r="N357" s="11" t="s">
        <v>2145</v>
      </c>
      <c r="O357" s="11" t="s">
        <v>71</v>
      </c>
      <c r="P357" s="11" t="s">
        <v>2146</v>
      </c>
      <c r="Q357" s="13" t="s">
        <v>2147</v>
      </c>
      <c r="R357" s="14" t="str">
        <f>HYPERLINK("https://drive.google.com/file/d/1FjF1zPyzeM-vcusNThf-icd2_Es4oCGG/view?usp=drivesdk","OFFER LETTER")</f>
        <v>OFFER LETTER</v>
      </c>
      <c r="S357" s="11" t="s">
        <v>2148</v>
      </c>
    </row>
    <row r="358" ht="22.5" customHeight="1">
      <c r="A358" s="10">
        <v>46257.74045041666</v>
      </c>
      <c r="B358" s="11" t="s">
        <v>2149</v>
      </c>
      <c r="C358" s="11" t="s">
        <v>107</v>
      </c>
      <c r="D358" s="11" t="s">
        <v>68</v>
      </c>
      <c r="E358" s="12">
        <v>46257.0</v>
      </c>
      <c r="F358" s="12">
        <v>46286.0</v>
      </c>
      <c r="G358" s="11" t="s">
        <v>2150</v>
      </c>
      <c r="H358" s="11">
        <v>8.74809237E9</v>
      </c>
      <c r="I358" s="11" t="s">
        <v>82</v>
      </c>
      <c r="J358" s="11" t="s">
        <v>130</v>
      </c>
      <c r="K358" s="11" t="s">
        <v>72</v>
      </c>
      <c r="L358" s="11" t="s">
        <v>73</v>
      </c>
      <c r="M358" s="11" t="s">
        <v>2151</v>
      </c>
      <c r="N358" s="11" t="s">
        <v>655</v>
      </c>
      <c r="O358" s="11" t="s">
        <v>71</v>
      </c>
      <c r="P358" s="11" t="s">
        <v>2152</v>
      </c>
      <c r="Q358" s="13" t="s">
        <v>2153</v>
      </c>
      <c r="R358" s="14" t="str">
        <f>HYPERLINK("https://drive.google.com/file/d/1zTfGioOM3-aofjcWgPhfk9xSson12FMz/view?usp=drivesdk","OFFER LETTER")</f>
        <v>OFFER LETTER</v>
      </c>
      <c r="S358" s="11" t="s">
        <v>2154</v>
      </c>
    </row>
    <row r="359" ht="22.5" customHeight="1">
      <c r="A359" s="10">
        <v>46257.747815532406</v>
      </c>
      <c r="B359" s="11" t="s">
        <v>2155</v>
      </c>
      <c r="C359" s="11" t="s">
        <v>67</v>
      </c>
      <c r="D359" s="11" t="s">
        <v>929</v>
      </c>
      <c r="E359" s="12">
        <v>46258.0</v>
      </c>
      <c r="F359" s="12">
        <v>46446.0</v>
      </c>
      <c r="G359" s="11" t="s">
        <v>2156</v>
      </c>
      <c r="H359" s="11">
        <v>9.432877433E9</v>
      </c>
      <c r="I359" s="11" t="s">
        <v>82</v>
      </c>
      <c r="J359" s="11" t="s">
        <v>71</v>
      </c>
      <c r="K359" s="11" t="s">
        <v>167</v>
      </c>
      <c r="L359" s="11" t="s">
        <v>247</v>
      </c>
      <c r="M359" s="11" t="s">
        <v>2157</v>
      </c>
      <c r="N359" s="11" t="s">
        <v>241</v>
      </c>
      <c r="O359" s="11" t="s">
        <v>71</v>
      </c>
      <c r="P359" s="11" t="s">
        <v>2158</v>
      </c>
      <c r="Q359" s="13" t="s">
        <v>2159</v>
      </c>
      <c r="R359" s="14" t="str">
        <f>HYPERLINK("https://drive.google.com/file/d/19VSQNInbzVobhiK0GI8IgbFczA2UOJSr/view?usp=drivesdk","OFFER LETTER")</f>
        <v>OFFER LETTER</v>
      </c>
      <c r="S359" s="11" t="s">
        <v>2160</v>
      </c>
    </row>
    <row r="360" ht="22.5" customHeight="1">
      <c r="A360" s="10">
        <v>46257.74851215278</v>
      </c>
      <c r="B360" s="11" t="s">
        <v>2161</v>
      </c>
      <c r="C360" s="11" t="s">
        <v>107</v>
      </c>
      <c r="D360" s="11" t="s">
        <v>68</v>
      </c>
      <c r="E360" s="12">
        <v>46257.0</v>
      </c>
      <c r="F360" s="12">
        <v>46288.0</v>
      </c>
      <c r="G360" s="11" t="s">
        <v>2162</v>
      </c>
      <c r="H360" s="11">
        <v>7.378987158E9</v>
      </c>
      <c r="I360" s="11" t="s">
        <v>82</v>
      </c>
      <c r="J360" s="11" t="s">
        <v>83</v>
      </c>
      <c r="K360" s="11" t="s">
        <v>72</v>
      </c>
      <c r="L360" s="11" t="s">
        <v>73</v>
      </c>
      <c r="M360" s="11" t="s">
        <v>2163</v>
      </c>
      <c r="N360" s="11" t="s">
        <v>86</v>
      </c>
      <c r="O360" s="11" t="s">
        <v>71</v>
      </c>
      <c r="P360" s="11" t="s">
        <v>2164</v>
      </c>
      <c r="Q360" s="13" t="s">
        <v>2165</v>
      </c>
      <c r="R360" s="14" t="str">
        <f>HYPERLINK("https://drive.google.com/file/d/1Gj0fTyIUUoTtphQhTXbek7bZaTWhiMPe/view?usp=drivesdk","OFFER LETTER")</f>
        <v>OFFER LETTER</v>
      </c>
      <c r="S360" s="11" t="s">
        <v>2166</v>
      </c>
    </row>
    <row r="361" ht="22.5" customHeight="1">
      <c r="A361" s="10">
        <v>46257.753088067126</v>
      </c>
      <c r="B361" s="11" t="s">
        <v>2155</v>
      </c>
      <c r="C361" s="11" t="s">
        <v>67</v>
      </c>
      <c r="D361" s="11" t="s">
        <v>929</v>
      </c>
      <c r="E361" s="12">
        <v>46257.0</v>
      </c>
      <c r="F361" s="12">
        <v>46446.0</v>
      </c>
      <c r="G361" s="11" t="s">
        <v>2156</v>
      </c>
      <c r="H361" s="11">
        <v>9.432877433E9</v>
      </c>
      <c r="I361" s="11" t="s">
        <v>82</v>
      </c>
      <c r="J361" s="11" t="s">
        <v>71</v>
      </c>
      <c r="K361" s="11" t="s">
        <v>167</v>
      </c>
      <c r="L361" s="11" t="s">
        <v>247</v>
      </c>
      <c r="M361" s="11" t="s">
        <v>2157</v>
      </c>
      <c r="N361" s="11" t="s">
        <v>241</v>
      </c>
      <c r="O361" s="11" t="s">
        <v>71</v>
      </c>
      <c r="P361" s="11" t="s">
        <v>2167</v>
      </c>
      <c r="Q361" s="13" t="s">
        <v>2168</v>
      </c>
      <c r="R361" s="14" t="str">
        <f>HYPERLINK("https://drive.google.com/file/d/18vSvMZpDSjfNtYqJcr1Qw-uVNzVUGtG3/view?usp=drivesdk","OFFER LETTER")</f>
        <v>OFFER LETTER</v>
      </c>
      <c r="S361" s="11" t="s">
        <v>2169</v>
      </c>
    </row>
    <row r="362" ht="22.5" customHeight="1">
      <c r="A362" s="10">
        <v>46257.753620497686</v>
      </c>
      <c r="B362" s="11" t="s">
        <v>2170</v>
      </c>
      <c r="C362" s="11" t="s">
        <v>107</v>
      </c>
      <c r="D362" s="11" t="s">
        <v>68</v>
      </c>
      <c r="E362" s="12">
        <v>46257.0</v>
      </c>
      <c r="F362" s="12">
        <v>46289.0</v>
      </c>
      <c r="G362" s="11" t="s">
        <v>2171</v>
      </c>
      <c r="H362" s="11">
        <v>9.889340054E9</v>
      </c>
      <c r="I362" s="11" t="s">
        <v>70</v>
      </c>
      <c r="J362" s="11" t="s">
        <v>71</v>
      </c>
      <c r="K362" s="11" t="s">
        <v>110</v>
      </c>
      <c r="L362" s="11" t="s">
        <v>84</v>
      </c>
      <c r="M362" s="11" t="s">
        <v>2172</v>
      </c>
      <c r="N362" s="11" t="s">
        <v>75</v>
      </c>
      <c r="O362" s="11" t="s">
        <v>71</v>
      </c>
      <c r="P362" s="11" t="s">
        <v>2173</v>
      </c>
      <c r="Q362" s="13" t="s">
        <v>2174</v>
      </c>
      <c r="R362" s="14" t="str">
        <f>HYPERLINK("https://drive.google.com/file/d/12iN52ECGCFudbGg3iQY8tZo22frvshAI/view?usp=drivesdk","OFFER LETTER")</f>
        <v>OFFER LETTER</v>
      </c>
      <c r="S362" s="11" t="s">
        <v>2175</v>
      </c>
    </row>
    <row r="363" ht="22.5" customHeight="1">
      <c r="A363" s="10">
        <v>46257.754924849534</v>
      </c>
      <c r="B363" s="11" t="s">
        <v>2176</v>
      </c>
      <c r="C363" s="11" t="s">
        <v>128</v>
      </c>
      <c r="D363" s="11" t="s">
        <v>68</v>
      </c>
      <c r="E363" s="12">
        <v>46258.0</v>
      </c>
      <c r="F363" s="12">
        <v>46289.0</v>
      </c>
      <c r="G363" s="11" t="s">
        <v>2177</v>
      </c>
      <c r="H363" s="11">
        <v>9.493485142E9</v>
      </c>
      <c r="I363" s="11" t="s">
        <v>82</v>
      </c>
      <c r="J363" s="11" t="s">
        <v>71</v>
      </c>
      <c r="K363" s="11" t="s">
        <v>1028</v>
      </c>
      <c r="L363" s="11" t="s">
        <v>73</v>
      </c>
      <c r="M363" s="11" t="s">
        <v>2178</v>
      </c>
      <c r="N363" s="11" t="s">
        <v>2179</v>
      </c>
      <c r="O363" s="11" t="s">
        <v>71</v>
      </c>
      <c r="P363" s="11" t="s">
        <v>2180</v>
      </c>
      <c r="Q363" s="13" t="s">
        <v>2181</v>
      </c>
      <c r="R363" s="14" t="str">
        <f>HYPERLINK("https://drive.google.com/file/d/1FLj6rYPHFzoEDAhxeaUZiYsanZjIFCHg/view?usp=drivesdk","OFFER LETTER")</f>
        <v>OFFER LETTER</v>
      </c>
      <c r="S363" s="11" t="s">
        <v>2182</v>
      </c>
    </row>
    <row r="364" ht="22.5" customHeight="1">
      <c r="A364" s="10">
        <v>46257.766462245374</v>
      </c>
      <c r="B364" s="11" t="s">
        <v>2183</v>
      </c>
      <c r="C364" s="11" t="s">
        <v>195</v>
      </c>
      <c r="D364" s="11" t="s">
        <v>108</v>
      </c>
      <c r="E364" s="12">
        <v>46258.0</v>
      </c>
      <c r="F364" s="12">
        <v>46319.0</v>
      </c>
      <c r="G364" s="11" t="s">
        <v>2184</v>
      </c>
      <c r="H364" s="11">
        <v>8.248940589E9</v>
      </c>
      <c r="I364" s="11" t="s">
        <v>82</v>
      </c>
      <c r="J364" s="11" t="s">
        <v>71</v>
      </c>
      <c r="K364" s="11" t="s">
        <v>72</v>
      </c>
      <c r="L364" s="11" t="s">
        <v>73</v>
      </c>
      <c r="M364" s="11" t="s">
        <v>2185</v>
      </c>
      <c r="N364" s="11" t="s">
        <v>241</v>
      </c>
      <c r="O364" s="11" t="s">
        <v>71</v>
      </c>
      <c r="P364" s="11" t="s">
        <v>2186</v>
      </c>
      <c r="Q364" s="13" t="s">
        <v>2187</v>
      </c>
      <c r="R364" s="14" t="str">
        <f>HYPERLINK("https://drive.google.com/file/d/1Er_9YuGsFA5tXFXFkoFt4MCMRqOf8m0u/view?usp=drivesdk","OFFER LETTER")</f>
        <v>OFFER LETTER</v>
      </c>
      <c r="S364" s="11" t="s">
        <v>2188</v>
      </c>
    </row>
    <row r="365" ht="22.5" customHeight="1">
      <c r="A365" s="10">
        <v>46257.77145868055</v>
      </c>
      <c r="B365" s="11" t="s">
        <v>2189</v>
      </c>
      <c r="C365" s="11" t="s">
        <v>80</v>
      </c>
      <c r="D365" s="11" t="s">
        <v>68</v>
      </c>
      <c r="E365" s="12">
        <v>46235.0</v>
      </c>
      <c r="F365" s="12">
        <v>46266.0</v>
      </c>
      <c r="G365" s="11" t="s">
        <v>2190</v>
      </c>
      <c r="H365" s="11">
        <v>8.397968911E9</v>
      </c>
      <c r="I365" s="11" t="s">
        <v>82</v>
      </c>
      <c r="J365" s="11" t="s">
        <v>71</v>
      </c>
      <c r="K365" s="11" t="s">
        <v>72</v>
      </c>
      <c r="L365" s="11" t="s">
        <v>73</v>
      </c>
      <c r="M365" s="11" t="s">
        <v>2191</v>
      </c>
      <c r="N365" s="11" t="s">
        <v>241</v>
      </c>
      <c r="O365" s="11" t="s">
        <v>71</v>
      </c>
      <c r="P365" s="11" t="s">
        <v>2192</v>
      </c>
      <c r="Q365" s="13" t="s">
        <v>2193</v>
      </c>
      <c r="R365" s="14" t="str">
        <f>HYPERLINK("https://drive.google.com/file/d/1f4G_BJ2680Ne8Y1Ac_cUGc6NbS3vkfYc/view?usp=drivesdk","OFFER LETTER")</f>
        <v>OFFER LETTER</v>
      </c>
      <c r="S365" s="11" t="s">
        <v>2194</v>
      </c>
    </row>
    <row r="366" ht="22.5" customHeight="1">
      <c r="A366" s="10">
        <v>46257.779518043986</v>
      </c>
      <c r="B366" s="11" t="s">
        <v>2195</v>
      </c>
      <c r="C366" s="11" t="s">
        <v>195</v>
      </c>
      <c r="D366" s="11" t="s">
        <v>68</v>
      </c>
      <c r="E366" s="12">
        <v>46266.0</v>
      </c>
      <c r="F366" s="12">
        <v>46304.0</v>
      </c>
      <c r="G366" s="11" t="s">
        <v>2196</v>
      </c>
      <c r="H366" s="11">
        <v>9.390896534E9</v>
      </c>
      <c r="I366" s="11" t="s">
        <v>82</v>
      </c>
      <c r="J366" s="11" t="s">
        <v>71</v>
      </c>
      <c r="K366" s="11" t="s">
        <v>72</v>
      </c>
      <c r="L366" s="11" t="s">
        <v>131</v>
      </c>
      <c r="M366" s="11" t="s">
        <v>2197</v>
      </c>
      <c r="N366" s="11" t="s">
        <v>655</v>
      </c>
      <c r="O366" s="11" t="s">
        <v>71</v>
      </c>
      <c r="P366" s="11" t="s">
        <v>2198</v>
      </c>
      <c r="Q366" s="13" t="s">
        <v>2199</v>
      </c>
      <c r="R366" s="14" t="str">
        <f>HYPERLINK("https://drive.google.com/file/d/1YJjup1lucUGnJ7WVhReeJSFeJyEgLttk/view?usp=drivesdk","OFFER LETTER")</f>
        <v>OFFER LETTER</v>
      </c>
      <c r="S366" s="11" t="s">
        <v>2200</v>
      </c>
    </row>
    <row r="367" ht="22.5" customHeight="1">
      <c r="A367" s="10">
        <v>46257.78732018518</v>
      </c>
      <c r="B367" s="11" t="s">
        <v>2201</v>
      </c>
      <c r="C367" s="11" t="s">
        <v>107</v>
      </c>
      <c r="D367" s="11" t="s">
        <v>68</v>
      </c>
      <c r="E367" s="12">
        <v>46266.0</v>
      </c>
      <c r="F367" s="12">
        <v>46295.0</v>
      </c>
      <c r="G367" s="11" t="s">
        <v>2202</v>
      </c>
      <c r="H367" s="11">
        <v>9.701139964E9</v>
      </c>
      <c r="I367" s="11" t="s">
        <v>70</v>
      </c>
      <c r="J367" s="11" t="s">
        <v>83</v>
      </c>
      <c r="K367" s="11" t="s">
        <v>72</v>
      </c>
      <c r="L367" s="11" t="s">
        <v>131</v>
      </c>
      <c r="M367" s="11" t="s">
        <v>2203</v>
      </c>
      <c r="N367" s="11" t="s">
        <v>75</v>
      </c>
      <c r="O367" s="11" t="s">
        <v>71</v>
      </c>
      <c r="P367" s="11" t="s">
        <v>2204</v>
      </c>
      <c r="Q367" s="13" t="s">
        <v>2205</v>
      </c>
      <c r="R367" s="14" t="str">
        <f>HYPERLINK("https://drive.google.com/file/d/1avQCTlCX7EPMCatTucGmyggwwt8DHLgv/view?usp=drivesdk","OFFER LETTER")</f>
        <v>OFFER LETTER</v>
      </c>
      <c r="S367" s="11" t="s">
        <v>2206</v>
      </c>
    </row>
    <row r="368" ht="22.5" customHeight="1">
      <c r="A368" s="10">
        <v>46257.78806702547</v>
      </c>
      <c r="B368" s="11" t="s">
        <v>2207</v>
      </c>
      <c r="C368" s="11" t="s">
        <v>107</v>
      </c>
      <c r="D368" s="11" t="s">
        <v>68</v>
      </c>
      <c r="E368" s="12">
        <v>46178.0</v>
      </c>
      <c r="F368" s="12">
        <v>46208.0</v>
      </c>
      <c r="G368" s="11" t="s">
        <v>2208</v>
      </c>
      <c r="H368" s="11">
        <v>6.300078028E9</v>
      </c>
      <c r="I368" s="11" t="s">
        <v>82</v>
      </c>
      <c r="J368" s="11" t="s">
        <v>71</v>
      </c>
      <c r="K368" s="11" t="s">
        <v>356</v>
      </c>
      <c r="L368" s="11" t="s">
        <v>247</v>
      </c>
      <c r="M368" s="11" t="s">
        <v>2209</v>
      </c>
      <c r="N368" s="11" t="s">
        <v>75</v>
      </c>
      <c r="O368" s="11" t="s">
        <v>71</v>
      </c>
      <c r="P368" s="11" t="s">
        <v>2210</v>
      </c>
      <c r="Q368" s="13" t="s">
        <v>2211</v>
      </c>
      <c r="R368" s="14" t="str">
        <f>HYPERLINK("https://drive.google.com/file/d/1rq2NTfr4POpRLa91Te41_jWSV2qVwHB8/view?usp=drivesdk","OFFER LETTER")</f>
        <v>OFFER LETTER</v>
      </c>
      <c r="S368" s="11" t="s">
        <v>2212</v>
      </c>
    </row>
    <row r="369" ht="22.5" customHeight="1">
      <c r="A369" s="10">
        <v>46257.78990221064</v>
      </c>
      <c r="B369" s="11" t="s">
        <v>2213</v>
      </c>
      <c r="C369" s="11" t="s">
        <v>128</v>
      </c>
      <c r="D369" s="11" t="s">
        <v>68</v>
      </c>
      <c r="E369" s="12">
        <v>46257.0</v>
      </c>
      <c r="F369" s="12">
        <v>46287.0</v>
      </c>
      <c r="G369" s="11" t="s">
        <v>2214</v>
      </c>
      <c r="H369" s="11">
        <v>6.204095426E9</v>
      </c>
      <c r="I369" s="11" t="s">
        <v>82</v>
      </c>
      <c r="J369" s="11" t="s">
        <v>71</v>
      </c>
      <c r="K369" s="11" t="s">
        <v>72</v>
      </c>
      <c r="L369" s="11" t="s">
        <v>247</v>
      </c>
      <c r="M369" s="11" t="s">
        <v>2215</v>
      </c>
      <c r="N369" s="11" t="s">
        <v>241</v>
      </c>
      <c r="O369" s="11" t="s">
        <v>71</v>
      </c>
      <c r="P369" s="11" t="s">
        <v>2216</v>
      </c>
      <c r="Q369" s="13" t="s">
        <v>2217</v>
      </c>
      <c r="R369" s="14" t="str">
        <f>HYPERLINK("https://drive.google.com/file/d/1GEH4AaLeFHz5K0ehAOOTiH_ZlEXbFwQ6/view?usp=drivesdk","OFFER LETTER")</f>
        <v>OFFER LETTER</v>
      </c>
      <c r="S369" s="11" t="s">
        <v>2218</v>
      </c>
    </row>
    <row r="370" ht="22.5" customHeight="1">
      <c r="A370" s="10">
        <v>46257.79205052083</v>
      </c>
      <c r="B370" s="11" t="s">
        <v>2219</v>
      </c>
      <c r="C370" s="11" t="s">
        <v>195</v>
      </c>
      <c r="D370" s="11" t="s">
        <v>68</v>
      </c>
      <c r="E370" s="12">
        <v>46257.0</v>
      </c>
      <c r="F370" s="12">
        <v>46289.0</v>
      </c>
      <c r="G370" s="11" t="s">
        <v>2220</v>
      </c>
      <c r="H370" s="11">
        <v>8.24053296E9</v>
      </c>
      <c r="I370" s="11" t="s">
        <v>82</v>
      </c>
      <c r="J370" s="11" t="s">
        <v>71</v>
      </c>
      <c r="K370" s="13" t="s">
        <v>443</v>
      </c>
      <c r="L370" s="11" t="s">
        <v>73</v>
      </c>
      <c r="M370" s="11" t="s">
        <v>2221</v>
      </c>
      <c r="N370" s="11" t="s">
        <v>75</v>
      </c>
      <c r="O370" s="11" t="s">
        <v>71</v>
      </c>
      <c r="P370" s="11" t="s">
        <v>2222</v>
      </c>
      <c r="Q370" s="13" t="s">
        <v>2223</v>
      </c>
      <c r="R370" s="14" t="str">
        <f>HYPERLINK("https://drive.google.com/file/d/1JNUWG5ribVz3N0QfCbv---ioVhh9SGKl/view?usp=drivesdk","OFFER LETTER")</f>
        <v>OFFER LETTER</v>
      </c>
      <c r="S370" s="11" t="s">
        <v>2224</v>
      </c>
    </row>
    <row r="371" ht="22.5" customHeight="1">
      <c r="A371" s="10">
        <v>46257.79241013889</v>
      </c>
      <c r="B371" s="11" t="s">
        <v>1713</v>
      </c>
      <c r="C371" s="11" t="s">
        <v>107</v>
      </c>
      <c r="D371" s="11" t="s">
        <v>68</v>
      </c>
      <c r="E371" s="12">
        <v>46259.0</v>
      </c>
      <c r="F371" s="12">
        <v>46290.0</v>
      </c>
      <c r="G371" s="11" t="s">
        <v>1714</v>
      </c>
      <c r="H371" s="11">
        <v>7.03797466E9</v>
      </c>
      <c r="I371" s="11" t="s">
        <v>82</v>
      </c>
      <c r="J371" s="11" t="s">
        <v>71</v>
      </c>
      <c r="K371" s="11" t="s">
        <v>72</v>
      </c>
      <c r="L371" s="11" t="s">
        <v>131</v>
      </c>
      <c r="M371" s="11" t="s">
        <v>1715</v>
      </c>
      <c r="N371" s="11" t="s">
        <v>241</v>
      </c>
      <c r="O371" s="11" t="s">
        <v>71</v>
      </c>
      <c r="P371" s="11" t="s">
        <v>2225</v>
      </c>
      <c r="Q371" s="13" t="s">
        <v>2226</v>
      </c>
      <c r="R371" s="14" t="str">
        <f>HYPERLINK("https://drive.google.com/file/d/1pWNp4xtuKE9WtEMhx7to4wbX1Ndt7i90/view?usp=drivesdk","OFFER LETTER")</f>
        <v>OFFER LETTER</v>
      </c>
      <c r="S371" s="11" t="s">
        <v>2227</v>
      </c>
    </row>
    <row r="372" ht="22.5" customHeight="1">
      <c r="A372" s="10">
        <v>46257.79390075232</v>
      </c>
      <c r="B372" s="11" t="s">
        <v>2228</v>
      </c>
      <c r="C372" s="11" t="s">
        <v>237</v>
      </c>
      <c r="D372" s="11" t="s">
        <v>68</v>
      </c>
      <c r="E372" s="12">
        <v>46257.0</v>
      </c>
      <c r="F372" s="12">
        <v>46273.0</v>
      </c>
      <c r="G372" s="11" t="s">
        <v>2229</v>
      </c>
      <c r="H372" s="11">
        <v>7.903388456E9</v>
      </c>
      <c r="I372" s="11" t="s">
        <v>82</v>
      </c>
      <c r="J372" s="11" t="s">
        <v>71</v>
      </c>
      <c r="K372" s="11" t="s">
        <v>72</v>
      </c>
      <c r="L372" s="11" t="s">
        <v>84</v>
      </c>
      <c r="M372" s="11" t="s">
        <v>2230</v>
      </c>
      <c r="N372" s="11" t="s">
        <v>241</v>
      </c>
      <c r="O372" s="11" t="s">
        <v>71</v>
      </c>
      <c r="P372" s="11" t="s">
        <v>2231</v>
      </c>
      <c r="Q372" s="13" t="s">
        <v>2232</v>
      </c>
      <c r="R372" s="14" t="str">
        <f>HYPERLINK("https://drive.google.com/file/d/1PzvJss7pDQZsltGsYBveQ-rLj6J77mUq/view?usp=drivesdk","OFFER LETTER")</f>
        <v>OFFER LETTER</v>
      </c>
      <c r="S372" s="11" t="s">
        <v>2233</v>
      </c>
    </row>
    <row r="373" ht="22.5" customHeight="1">
      <c r="A373" s="10">
        <v>46257.79588144676</v>
      </c>
      <c r="B373" s="11" t="s">
        <v>2234</v>
      </c>
      <c r="C373" s="11" t="s">
        <v>91</v>
      </c>
      <c r="D373" s="11" t="s">
        <v>68</v>
      </c>
      <c r="E373" s="12">
        <v>46257.0</v>
      </c>
      <c r="F373" s="12">
        <v>46288.0</v>
      </c>
      <c r="G373" s="11" t="s">
        <v>2235</v>
      </c>
      <c r="H373" s="11">
        <v>8.296180126E9</v>
      </c>
      <c r="I373" s="11" t="s">
        <v>82</v>
      </c>
      <c r="J373" s="11" t="s">
        <v>71</v>
      </c>
      <c r="K373" s="11" t="s">
        <v>72</v>
      </c>
      <c r="L373" s="11" t="s">
        <v>131</v>
      </c>
      <c r="M373" s="11" t="s">
        <v>2236</v>
      </c>
      <c r="N373" s="11" t="s">
        <v>241</v>
      </c>
      <c r="O373" s="11" t="s">
        <v>71</v>
      </c>
      <c r="P373" s="11" t="s">
        <v>2237</v>
      </c>
      <c r="Q373" s="13" t="s">
        <v>2238</v>
      </c>
      <c r="R373" s="14" t="str">
        <f>HYPERLINK("https://drive.google.com/file/d/1bEEFvqLfxGWc7JfKae6WW8r4UQfDXfQS/view?usp=drivesdk","OFFER LETTER")</f>
        <v>OFFER LETTER</v>
      </c>
      <c r="S373" s="11" t="s">
        <v>2239</v>
      </c>
    </row>
    <row r="374" ht="22.5" customHeight="1">
      <c r="A374" s="10">
        <v>46257.79749162037</v>
      </c>
      <c r="B374" s="11" t="s">
        <v>2240</v>
      </c>
      <c r="C374" s="11" t="s">
        <v>195</v>
      </c>
      <c r="D374" s="11" t="s">
        <v>68</v>
      </c>
      <c r="E374" s="12">
        <v>46263.0</v>
      </c>
      <c r="F374" s="12">
        <v>46293.0</v>
      </c>
      <c r="G374" s="11" t="s">
        <v>2241</v>
      </c>
      <c r="H374" s="11">
        <v>8.335898097E9</v>
      </c>
      <c r="I374" s="11" t="s">
        <v>82</v>
      </c>
      <c r="J374" s="11" t="s">
        <v>71</v>
      </c>
      <c r="K374" s="11" t="s">
        <v>72</v>
      </c>
      <c r="L374" s="11" t="s">
        <v>84</v>
      </c>
      <c r="M374" s="11" t="s">
        <v>2242</v>
      </c>
      <c r="N374" s="11" t="s">
        <v>75</v>
      </c>
      <c r="O374" s="11" t="s">
        <v>71</v>
      </c>
      <c r="P374" s="11" t="s">
        <v>2243</v>
      </c>
      <c r="Q374" s="13" t="s">
        <v>2244</v>
      </c>
      <c r="R374" s="14" t="str">
        <f>HYPERLINK("https://drive.google.com/file/d/10jY-GOYCrs7_JuKGSzQAOtg75g5LmEb6/view?usp=drivesdk","OFFER LETTER")</f>
        <v>OFFER LETTER</v>
      </c>
      <c r="S374" s="11" t="s">
        <v>2245</v>
      </c>
    </row>
    <row r="375" ht="22.5" customHeight="1">
      <c r="A375" s="10">
        <v>46257.79763800926</v>
      </c>
      <c r="B375" s="11" t="s">
        <v>2228</v>
      </c>
      <c r="C375" s="11" t="s">
        <v>237</v>
      </c>
      <c r="D375" s="11" t="s">
        <v>68</v>
      </c>
      <c r="E375" s="12">
        <v>46257.0</v>
      </c>
      <c r="F375" s="12">
        <v>46288.0</v>
      </c>
      <c r="G375" s="11" t="s">
        <v>2229</v>
      </c>
      <c r="H375" s="11">
        <v>7.903388456E9</v>
      </c>
      <c r="I375" s="11" t="s">
        <v>82</v>
      </c>
      <c r="J375" s="11" t="s">
        <v>71</v>
      </c>
      <c r="K375" s="11" t="s">
        <v>72</v>
      </c>
      <c r="L375" s="11" t="s">
        <v>84</v>
      </c>
      <c r="M375" s="11" t="s">
        <v>2230</v>
      </c>
      <c r="N375" s="11" t="s">
        <v>241</v>
      </c>
      <c r="O375" s="11" t="s">
        <v>71</v>
      </c>
      <c r="P375" s="11" t="s">
        <v>2246</v>
      </c>
      <c r="Q375" s="13" t="s">
        <v>2247</v>
      </c>
      <c r="R375" s="14" t="str">
        <f>HYPERLINK("https://drive.google.com/file/d/1HyLxYHt8g9MM0CwweVuK-zqq_Y1kMtNE/view?usp=drivesdk","OFFER LETTER")</f>
        <v>OFFER LETTER</v>
      </c>
      <c r="S375" s="11" t="s">
        <v>2245</v>
      </c>
    </row>
    <row r="376" ht="22.5" customHeight="1">
      <c r="A376" s="10">
        <v>46257.79934002315</v>
      </c>
      <c r="B376" s="11" t="s">
        <v>2248</v>
      </c>
      <c r="C376" s="11" t="s">
        <v>80</v>
      </c>
      <c r="D376" s="11" t="s">
        <v>68</v>
      </c>
      <c r="E376" s="12">
        <v>46254.0</v>
      </c>
      <c r="F376" s="12">
        <v>46285.0</v>
      </c>
      <c r="G376" s="11" t="s">
        <v>2249</v>
      </c>
      <c r="H376" s="11">
        <v>8.793505249E9</v>
      </c>
      <c r="I376" s="11" t="s">
        <v>70</v>
      </c>
      <c r="J376" s="11" t="s">
        <v>71</v>
      </c>
      <c r="K376" s="11" t="s">
        <v>72</v>
      </c>
      <c r="L376" s="11" t="s">
        <v>73</v>
      </c>
      <c r="M376" s="11" t="s">
        <v>2250</v>
      </c>
      <c r="N376" s="11" t="s">
        <v>226</v>
      </c>
      <c r="O376" s="11" t="s">
        <v>71</v>
      </c>
      <c r="P376" s="11" t="s">
        <v>2251</v>
      </c>
      <c r="Q376" s="13" t="s">
        <v>2252</v>
      </c>
      <c r="R376" s="14" t="str">
        <f>HYPERLINK("https://drive.google.com/file/d/1Mp6Qqy4_MHjLpU9Gnogl0ZgocYFRLGG0/view?usp=drivesdk","OFFER LETTER")</f>
        <v>OFFER LETTER</v>
      </c>
      <c r="S376" s="11" t="s">
        <v>2253</v>
      </c>
    </row>
    <row r="377" ht="22.5" customHeight="1">
      <c r="A377" s="10">
        <v>46257.799980358795</v>
      </c>
      <c r="B377" s="11" t="s">
        <v>2254</v>
      </c>
      <c r="C377" s="11" t="s">
        <v>259</v>
      </c>
      <c r="D377" s="11" t="s">
        <v>68</v>
      </c>
      <c r="E377" s="12">
        <v>46257.0</v>
      </c>
      <c r="F377" s="12">
        <v>46289.0</v>
      </c>
      <c r="G377" s="11" t="s">
        <v>2255</v>
      </c>
      <c r="H377" s="11">
        <v>7.743949056E9</v>
      </c>
      <c r="I377" s="11" t="s">
        <v>70</v>
      </c>
      <c r="J377" s="11" t="s">
        <v>71</v>
      </c>
      <c r="K377" s="11" t="s">
        <v>72</v>
      </c>
      <c r="L377" s="11" t="s">
        <v>131</v>
      </c>
      <c r="M377" s="11" t="s">
        <v>2256</v>
      </c>
      <c r="N377" s="11" t="s">
        <v>155</v>
      </c>
      <c r="O377" s="11" t="s">
        <v>71</v>
      </c>
      <c r="P377" s="11" t="s">
        <v>2257</v>
      </c>
      <c r="Q377" s="13" t="s">
        <v>2258</v>
      </c>
      <c r="R377" s="14" t="str">
        <f>HYPERLINK("https://drive.google.com/file/d/160JomycThAkXu7OGjbtzWsy3fNt7e3Bf/view?usp=drivesdk","OFFER LETTER")</f>
        <v>OFFER LETTER</v>
      </c>
      <c r="S377" s="11" t="s">
        <v>2259</v>
      </c>
    </row>
    <row r="378" ht="22.5" customHeight="1">
      <c r="A378" s="10">
        <v>46257.80296006944</v>
      </c>
      <c r="B378" s="11" t="s">
        <v>2260</v>
      </c>
      <c r="C378" s="11" t="s">
        <v>128</v>
      </c>
      <c r="D378" s="11" t="s">
        <v>68</v>
      </c>
      <c r="E378" s="12">
        <v>46257.0</v>
      </c>
      <c r="F378" s="12">
        <v>46288.0</v>
      </c>
      <c r="G378" s="11" t="s">
        <v>2261</v>
      </c>
      <c r="H378" s="11">
        <v>9.77821408E9</v>
      </c>
      <c r="I378" s="11" t="s">
        <v>82</v>
      </c>
      <c r="J378" s="11" t="s">
        <v>71</v>
      </c>
      <c r="K378" s="13" t="s">
        <v>443</v>
      </c>
      <c r="L378" s="11" t="s">
        <v>73</v>
      </c>
      <c r="M378" s="11" t="s">
        <v>2262</v>
      </c>
      <c r="N378" s="11" t="s">
        <v>241</v>
      </c>
      <c r="O378" s="11" t="s">
        <v>71</v>
      </c>
      <c r="P378" s="11" t="s">
        <v>2263</v>
      </c>
      <c r="Q378" s="13" t="s">
        <v>2264</v>
      </c>
      <c r="R378" s="14" t="str">
        <f>HYPERLINK("https://drive.google.com/file/d/1gHTccs7eiXRaxP0K8vJjRvq2EySsqQ1H/view?usp=drivesdk","OFFER LETTER")</f>
        <v>OFFER LETTER</v>
      </c>
      <c r="S378" s="11" t="s">
        <v>2265</v>
      </c>
    </row>
    <row r="379" ht="22.5" customHeight="1">
      <c r="A379" s="10">
        <v>46257.803651979164</v>
      </c>
      <c r="B379" s="11" t="s">
        <v>2266</v>
      </c>
      <c r="C379" s="11" t="s">
        <v>173</v>
      </c>
      <c r="D379" s="11" t="s">
        <v>68</v>
      </c>
      <c r="E379" s="12">
        <v>46266.0</v>
      </c>
      <c r="F379" s="12">
        <v>46296.0</v>
      </c>
      <c r="G379" s="11" t="s">
        <v>2267</v>
      </c>
      <c r="H379" s="11">
        <v>7.304740363E9</v>
      </c>
      <c r="I379" s="11" t="s">
        <v>82</v>
      </c>
      <c r="J379" s="11" t="s">
        <v>71</v>
      </c>
      <c r="K379" s="11" t="s">
        <v>110</v>
      </c>
      <c r="L379" s="11" t="s">
        <v>73</v>
      </c>
      <c r="M379" s="11" t="s">
        <v>2268</v>
      </c>
      <c r="N379" s="11" t="s">
        <v>241</v>
      </c>
      <c r="O379" s="11" t="s">
        <v>71</v>
      </c>
      <c r="P379" s="11" t="s">
        <v>2269</v>
      </c>
      <c r="Q379" s="13" t="s">
        <v>2270</v>
      </c>
      <c r="R379" s="14" t="str">
        <f>HYPERLINK("https://drive.google.com/file/d/1gucm-VfsozHfjSw34xLQNZSaliOz-kYx/view?usp=drivesdk","OFFER LETTER")</f>
        <v>OFFER LETTER</v>
      </c>
      <c r="S379" s="11" t="s">
        <v>2271</v>
      </c>
    </row>
    <row r="380" ht="22.5" customHeight="1">
      <c r="A380" s="10">
        <v>46257.80398700231</v>
      </c>
      <c r="B380" s="11" t="s">
        <v>2272</v>
      </c>
      <c r="C380" s="11" t="s">
        <v>107</v>
      </c>
      <c r="D380" s="11" t="s">
        <v>108</v>
      </c>
      <c r="E380" s="12">
        <v>46266.0</v>
      </c>
      <c r="F380" s="12">
        <v>46326.0</v>
      </c>
      <c r="G380" s="11" t="s">
        <v>2273</v>
      </c>
      <c r="H380" s="11">
        <v>9.403612599E9</v>
      </c>
      <c r="I380" s="11" t="s">
        <v>82</v>
      </c>
      <c r="J380" s="11" t="s">
        <v>71</v>
      </c>
      <c r="K380" s="11" t="s">
        <v>72</v>
      </c>
      <c r="L380" s="11" t="s">
        <v>73</v>
      </c>
      <c r="M380" s="11" t="s">
        <v>2274</v>
      </c>
      <c r="N380" s="11" t="s">
        <v>241</v>
      </c>
      <c r="O380" s="11" t="s">
        <v>71</v>
      </c>
      <c r="P380" s="11" t="s">
        <v>2275</v>
      </c>
      <c r="Q380" s="13" t="s">
        <v>2276</v>
      </c>
      <c r="R380" s="14" t="str">
        <f>HYPERLINK("https://drive.google.com/file/d/1WVWK2iERebJZf6D1cL3mkyfqVFGcokzs/view?usp=drivesdk","OFFER LETTER")</f>
        <v>OFFER LETTER</v>
      </c>
      <c r="S380" s="11" t="s">
        <v>2277</v>
      </c>
    </row>
    <row r="381" ht="22.5" customHeight="1">
      <c r="A381" s="10">
        <v>46257.80550707176</v>
      </c>
      <c r="B381" s="11" t="s">
        <v>2278</v>
      </c>
      <c r="C381" s="11" t="s">
        <v>1320</v>
      </c>
      <c r="D381" s="11" t="s">
        <v>68</v>
      </c>
      <c r="E381" s="12">
        <v>46257.0</v>
      </c>
      <c r="F381" s="12">
        <v>46288.0</v>
      </c>
      <c r="G381" s="11" t="s">
        <v>2279</v>
      </c>
      <c r="H381" s="11">
        <v>6.396434919E9</v>
      </c>
      <c r="I381" s="11" t="s">
        <v>70</v>
      </c>
      <c r="J381" s="11" t="s">
        <v>71</v>
      </c>
      <c r="K381" s="11" t="s">
        <v>72</v>
      </c>
      <c r="L381" s="11" t="s">
        <v>131</v>
      </c>
      <c r="M381" s="11" t="s">
        <v>2280</v>
      </c>
      <c r="N381" s="11" t="s">
        <v>241</v>
      </c>
      <c r="O381" s="11" t="s">
        <v>71</v>
      </c>
      <c r="P381" s="11" t="s">
        <v>2281</v>
      </c>
      <c r="Q381" s="13" t="s">
        <v>2282</v>
      </c>
      <c r="R381" s="14" t="str">
        <f>HYPERLINK("https://drive.google.com/file/d/1kIU3mKc1Q3oKfRb1f7Vq0s4kqRcoMN_x/view?usp=drivesdk","OFFER LETTER")</f>
        <v>OFFER LETTER</v>
      </c>
      <c r="S381" s="11" t="s">
        <v>2283</v>
      </c>
    </row>
    <row r="382" ht="22.5" customHeight="1">
      <c r="A382" s="10">
        <v>46257.80567054398</v>
      </c>
      <c r="B382" s="11" t="s">
        <v>2284</v>
      </c>
      <c r="C382" s="11" t="s">
        <v>237</v>
      </c>
      <c r="D382" s="11" t="s">
        <v>68</v>
      </c>
      <c r="E382" s="12">
        <v>46258.0</v>
      </c>
      <c r="F382" s="12">
        <v>46289.0</v>
      </c>
      <c r="G382" s="11" t="s">
        <v>2285</v>
      </c>
      <c r="H382" s="11">
        <v>9.422528161E9</v>
      </c>
      <c r="I382" s="11" t="s">
        <v>70</v>
      </c>
      <c r="J382" s="11" t="s">
        <v>71</v>
      </c>
      <c r="K382" s="11" t="s">
        <v>72</v>
      </c>
      <c r="L382" s="11" t="s">
        <v>73</v>
      </c>
      <c r="M382" s="11" t="s">
        <v>2286</v>
      </c>
      <c r="N382" s="11" t="s">
        <v>241</v>
      </c>
      <c r="O382" s="11" t="s">
        <v>71</v>
      </c>
      <c r="P382" s="11" t="s">
        <v>2287</v>
      </c>
      <c r="Q382" s="13" t="s">
        <v>2288</v>
      </c>
      <c r="R382" s="14" t="str">
        <f>HYPERLINK("https://drive.google.com/file/d/1r3aLbwnYecPou3yDDCoMObq_hB3ul5tc/view?usp=drivesdk","OFFER LETTER")</f>
        <v>OFFER LETTER</v>
      </c>
      <c r="S382" s="11" t="s">
        <v>2283</v>
      </c>
    </row>
    <row r="383" ht="22.5" customHeight="1">
      <c r="A383" s="10">
        <v>46257.80753152778</v>
      </c>
      <c r="B383" s="11" t="s">
        <v>2289</v>
      </c>
      <c r="C383" s="11" t="s">
        <v>237</v>
      </c>
      <c r="D383" s="11" t="s">
        <v>68</v>
      </c>
      <c r="E383" s="12">
        <v>46258.0</v>
      </c>
      <c r="F383" s="12">
        <v>46289.0</v>
      </c>
      <c r="G383" s="11" t="s">
        <v>2290</v>
      </c>
      <c r="H383" s="11">
        <v>7.756813101E9</v>
      </c>
      <c r="I383" s="11" t="s">
        <v>70</v>
      </c>
      <c r="J383" s="11" t="s">
        <v>71</v>
      </c>
      <c r="K383" s="11" t="s">
        <v>72</v>
      </c>
      <c r="L383" s="11" t="s">
        <v>73</v>
      </c>
      <c r="M383" s="11" t="s">
        <v>2291</v>
      </c>
      <c r="N383" s="11" t="s">
        <v>241</v>
      </c>
      <c r="O383" s="11" t="s">
        <v>71</v>
      </c>
      <c r="P383" s="11" t="s">
        <v>2292</v>
      </c>
      <c r="Q383" s="13" t="s">
        <v>2293</v>
      </c>
      <c r="R383" s="14" t="str">
        <f>HYPERLINK("https://drive.google.com/file/d/1j-iXJfjPz0Poa76UR6UL4OTgdS_tTj0A/view?usp=drivesdk","OFFER LETTER")</f>
        <v>OFFER LETTER</v>
      </c>
      <c r="S383" s="11" t="s">
        <v>2294</v>
      </c>
    </row>
    <row r="384" ht="22.5" customHeight="1">
      <c r="A384" s="10">
        <v>46257.80767456019</v>
      </c>
      <c r="B384" s="11" t="s">
        <v>2284</v>
      </c>
      <c r="C384" s="11" t="s">
        <v>237</v>
      </c>
      <c r="D384" s="11" t="s">
        <v>68</v>
      </c>
      <c r="E384" s="12">
        <v>46258.0</v>
      </c>
      <c r="F384" s="12">
        <v>46289.0</v>
      </c>
      <c r="G384" s="11" t="s">
        <v>2285</v>
      </c>
      <c r="H384" s="11">
        <v>9.422528161E9</v>
      </c>
      <c r="I384" s="11" t="s">
        <v>70</v>
      </c>
      <c r="J384" s="11" t="s">
        <v>71</v>
      </c>
      <c r="K384" s="11" t="s">
        <v>72</v>
      </c>
      <c r="L384" s="11" t="s">
        <v>73</v>
      </c>
      <c r="M384" s="11" t="s">
        <v>2286</v>
      </c>
      <c r="N384" s="11" t="s">
        <v>241</v>
      </c>
      <c r="O384" s="11" t="s">
        <v>71</v>
      </c>
      <c r="P384" s="11" t="s">
        <v>2295</v>
      </c>
      <c r="Q384" s="13" t="s">
        <v>2296</v>
      </c>
      <c r="R384" s="14" t="str">
        <f>HYPERLINK("https://drive.google.com/file/d/1Vl4AVykG4A1bPKdKmQ0OdFgqJay3Byz6/view?usp=drivesdk","OFFER LETTER")</f>
        <v>OFFER LETTER</v>
      </c>
      <c r="S384" s="11" t="s">
        <v>2294</v>
      </c>
    </row>
    <row r="385" ht="22.5" customHeight="1">
      <c r="A385" s="10">
        <v>46257.807984259256</v>
      </c>
      <c r="B385" s="11" t="s">
        <v>2297</v>
      </c>
      <c r="C385" s="11" t="s">
        <v>107</v>
      </c>
      <c r="D385" s="11" t="s">
        <v>108</v>
      </c>
      <c r="E385" s="12">
        <v>46165.0</v>
      </c>
      <c r="F385" s="12">
        <v>46226.0</v>
      </c>
      <c r="G385" s="11" t="s">
        <v>2298</v>
      </c>
      <c r="H385" s="11">
        <v>9.849636105E9</v>
      </c>
      <c r="I385" s="11" t="s">
        <v>70</v>
      </c>
      <c r="J385" s="11" t="s">
        <v>71</v>
      </c>
      <c r="K385" s="11" t="s">
        <v>72</v>
      </c>
      <c r="L385" s="11" t="s">
        <v>73</v>
      </c>
      <c r="M385" s="11" t="s">
        <v>2299</v>
      </c>
      <c r="N385" s="11" t="s">
        <v>655</v>
      </c>
      <c r="O385" s="11" t="s">
        <v>71</v>
      </c>
      <c r="P385" s="11" t="s">
        <v>2300</v>
      </c>
      <c r="Q385" s="13" t="s">
        <v>2301</v>
      </c>
      <c r="R385" s="14" t="str">
        <f>HYPERLINK("https://drive.google.com/file/d/1YSi8vQvinIvNjEVs3TlRqfloy0oDaSGa/view?usp=drivesdk","OFFER LETTER")</f>
        <v>OFFER LETTER</v>
      </c>
      <c r="S385" s="11" t="s">
        <v>2294</v>
      </c>
    </row>
    <row r="386" ht="22.5" customHeight="1">
      <c r="A386" s="10">
        <v>46257.80843900463</v>
      </c>
      <c r="B386" s="11" t="s">
        <v>2302</v>
      </c>
      <c r="C386" s="11" t="s">
        <v>107</v>
      </c>
      <c r="D386" s="11" t="s">
        <v>108</v>
      </c>
      <c r="E386" s="12">
        <v>46175.0</v>
      </c>
      <c r="F386" s="12">
        <v>46236.0</v>
      </c>
      <c r="G386" s="11" t="s">
        <v>2303</v>
      </c>
      <c r="H386" s="11">
        <v>9.03215955E9</v>
      </c>
      <c r="I386" s="11" t="s">
        <v>82</v>
      </c>
      <c r="J386" s="11" t="s">
        <v>71</v>
      </c>
      <c r="K386" s="11" t="s">
        <v>72</v>
      </c>
      <c r="L386" s="11" t="s">
        <v>84</v>
      </c>
      <c r="M386" s="11" t="s">
        <v>2304</v>
      </c>
      <c r="N386" s="11" t="s">
        <v>86</v>
      </c>
      <c r="O386" s="11" t="s">
        <v>71</v>
      </c>
      <c r="P386" s="11" t="s">
        <v>2305</v>
      </c>
      <c r="Q386" s="13" t="s">
        <v>2306</v>
      </c>
      <c r="R386" s="14" t="str">
        <f>HYPERLINK("https://drive.google.com/file/d/1Q53CTWk8kE8QVZmUHukvC67Uouus5bPw/view?usp=drivesdk","OFFER LETTER")</f>
        <v>OFFER LETTER</v>
      </c>
      <c r="S386" s="11" t="s">
        <v>2307</v>
      </c>
    </row>
    <row r="387" ht="22.5" customHeight="1">
      <c r="A387" s="10">
        <v>46257.81244577546</v>
      </c>
      <c r="B387" s="11" t="s">
        <v>2308</v>
      </c>
      <c r="C387" s="11" t="s">
        <v>195</v>
      </c>
      <c r="D387" s="11" t="s">
        <v>68</v>
      </c>
      <c r="E387" s="12">
        <v>46275.0</v>
      </c>
      <c r="F387" s="12">
        <v>46305.0</v>
      </c>
      <c r="G387" s="11" t="s">
        <v>2309</v>
      </c>
      <c r="H387" s="11">
        <v>9.022347719E9</v>
      </c>
      <c r="I387" s="11" t="s">
        <v>70</v>
      </c>
      <c r="J387" s="11" t="s">
        <v>71</v>
      </c>
      <c r="K387" s="11" t="s">
        <v>110</v>
      </c>
      <c r="L387" s="11" t="s">
        <v>73</v>
      </c>
      <c r="M387" s="11" t="s">
        <v>2310</v>
      </c>
      <c r="N387" s="11" t="s">
        <v>75</v>
      </c>
      <c r="O387" s="11" t="s">
        <v>71</v>
      </c>
      <c r="P387" s="11" t="s">
        <v>2311</v>
      </c>
      <c r="Q387" s="13" t="s">
        <v>2312</v>
      </c>
      <c r="R387" s="14" t="str">
        <f>HYPERLINK("https://drive.google.com/file/d/1HQ9y0PkvziWiHJcQsIeooCGDta_KYw_H/view?usp=drivesdk","OFFER LETTER")</f>
        <v>OFFER LETTER</v>
      </c>
      <c r="S387" s="11" t="s">
        <v>2313</v>
      </c>
    </row>
    <row r="388" ht="22.5" customHeight="1">
      <c r="A388" s="10">
        <v>46257.81311077546</v>
      </c>
      <c r="B388" s="11" t="s">
        <v>2314</v>
      </c>
      <c r="C388" s="11" t="s">
        <v>67</v>
      </c>
      <c r="D388" s="11" t="s">
        <v>68</v>
      </c>
      <c r="E388" s="12">
        <v>46257.0</v>
      </c>
      <c r="F388" s="12">
        <v>46288.0</v>
      </c>
      <c r="G388" s="11" t="s">
        <v>2315</v>
      </c>
      <c r="H388" s="11">
        <v>8.341395794E9</v>
      </c>
      <c r="I388" s="11" t="s">
        <v>82</v>
      </c>
      <c r="J388" s="11" t="s">
        <v>71</v>
      </c>
      <c r="K388" s="11" t="s">
        <v>72</v>
      </c>
      <c r="L388" s="11" t="s">
        <v>131</v>
      </c>
      <c r="M388" s="11" t="s">
        <v>2316</v>
      </c>
      <c r="N388" s="11" t="s">
        <v>241</v>
      </c>
      <c r="O388" s="11" t="s">
        <v>71</v>
      </c>
      <c r="P388" s="11" t="s">
        <v>2317</v>
      </c>
      <c r="Q388" s="13" t="s">
        <v>2318</v>
      </c>
      <c r="R388" s="14" t="str">
        <f>HYPERLINK("https://drive.google.com/file/d/1-qKW82oWV-5hUhXxSqAwRoSnyCFLSmkU/view?usp=drivesdk","OFFER LETTER")</f>
        <v>OFFER LETTER</v>
      </c>
      <c r="S388" s="11" t="s">
        <v>2319</v>
      </c>
    </row>
    <row r="389" ht="22.5" customHeight="1">
      <c r="A389" s="10">
        <v>46257.81335950231</v>
      </c>
      <c r="B389" s="11" t="s">
        <v>2320</v>
      </c>
      <c r="C389" s="11" t="s">
        <v>173</v>
      </c>
      <c r="D389" s="11" t="s">
        <v>68</v>
      </c>
      <c r="E389" s="12">
        <v>46252.0</v>
      </c>
      <c r="F389" s="12">
        <v>46283.0</v>
      </c>
      <c r="G389" s="11" t="s">
        <v>2321</v>
      </c>
      <c r="H389" s="11">
        <v>9.229056537E9</v>
      </c>
      <c r="I389" s="11" t="s">
        <v>82</v>
      </c>
      <c r="J389" s="11" t="s">
        <v>71</v>
      </c>
      <c r="K389" s="11" t="s">
        <v>110</v>
      </c>
      <c r="L389" s="11" t="s">
        <v>84</v>
      </c>
      <c r="M389" s="11" t="s">
        <v>2322</v>
      </c>
      <c r="N389" s="11" t="s">
        <v>75</v>
      </c>
      <c r="O389" s="11" t="s">
        <v>71</v>
      </c>
      <c r="P389" s="11" t="s">
        <v>2323</v>
      </c>
      <c r="Q389" s="13" t="s">
        <v>2324</v>
      </c>
      <c r="R389" s="14" t="str">
        <f>HYPERLINK("https://drive.google.com/file/d/1HY6YeP50_fcJAxOLvq0r6ylUlhUt9R1T/view?usp=drivesdk","OFFER LETTER")</f>
        <v>OFFER LETTER</v>
      </c>
      <c r="S389" s="11" t="s">
        <v>2319</v>
      </c>
    </row>
    <row r="390" ht="22.5" customHeight="1">
      <c r="A390" s="10">
        <v>46257.814289444446</v>
      </c>
      <c r="B390" s="11" t="s">
        <v>2325</v>
      </c>
      <c r="C390" s="11" t="s">
        <v>173</v>
      </c>
      <c r="D390" s="11" t="s">
        <v>68</v>
      </c>
      <c r="E390" s="12">
        <v>46184.0</v>
      </c>
      <c r="F390" s="12">
        <v>46214.0</v>
      </c>
      <c r="G390" s="11" t="s">
        <v>2326</v>
      </c>
      <c r="H390" s="11">
        <v>7.300704008E9</v>
      </c>
      <c r="I390" s="11" t="s">
        <v>82</v>
      </c>
      <c r="J390" s="11" t="s">
        <v>71</v>
      </c>
      <c r="K390" s="11" t="s">
        <v>72</v>
      </c>
      <c r="L390" s="11" t="s">
        <v>131</v>
      </c>
      <c r="M390" s="11" t="s">
        <v>2327</v>
      </c>
      <c r="N390" s="11" t="s">
        <v>86</v>
      </c>
      <c r="O390" s="11" t="s">
        <v>71</v>
      </c>
      <c r="P390" s="11" t="s">
        <v>2328</v>
      </c>
      <c r="Q390" s="13" t="s">
        <v>2329</v>
      </c>
      <c r="R390" s="14" t="str">
        <f>HYPERLINK("https://drive.google.com/file/d/1Cf3GVpmtzdu9Tr3LKspNv-QTXLKKs_3p/view?usp=drivesdk","OFFER LETTER")</f>
        <v>OFFER LETTER</v>
      </c>
      <c r="S390" s="11" t="s">
        <v>2330</v>
      </c>
    </row>
    <row r="391" ht="22.5" customHeight="1">
      <c r="A391" s="10">
        <v>46257.815952488425</v>
      </c>
      <c r="B391" s="11" t="s">
        <v>2308</v>
      </c>
      <c r="C391" s="11" t="s">
        <v>195</v>
      </c>
      <c r="D391" s="11" t="s">
        <v>68</v>
      </c>
      <c r="E391" s="12">
        <v>46275.0</v>
      </c>
      <c r="F391" s="12">
        <v>46305.0</v>
      </c>
      <c r="G391" s="11" t="s">
        <v>2309</v>
      </c>
      <c r="H391" s="11">
        <v>9.022347719E9</v>
      </c>
      <c r="I391" s="11" t="s">
        <v>70</v>
      </c>
      <c r="J391" s="11" t="s">
        <v>71</v>
      </c>
      <c r="K391" s="11" t="s">
        <v>110</v>
      </c>
      <c r="L391" s="11" t="s">
        <v>73</v>
      </c>
      <c r="M391" s="11" t="s">
        <v>2310</v>
      </c>
      <c r="N391" s="11" t="s">
        <v>75</v>
      </c>
      <c r="O391" s="11" t="s">
        <v>71</v>
      </c>
      <c r="P391" s="11" t="s">
        <v>2331</v>
      </c>
      <c r="Q391" s="13" t="s">
        <v>2332</v>
      </c>
      <c r="R391" s="14" t="str">
        <f>HYPERLINK("https://drive.google.com/file/d/1F61vGyvIhvniBON0h6upHUaJVyQIkvgU/view?usp=drivesdk","OFFER LETTER")</f>
        <v>OFFER LETTER</v>
      </c>
      <c r="S391" s="11" t="s">
        <v>2333</v>
      </c>
    </row>
    <row r="392" ht="22.5" customHeight="1">
      <c r="A392" s="10">
        <v>46257.81705915509</v>
      </c>
      <c r="B392" s="11" t="s">
        <v>2334</v>
      </c>
      <c r="C392" s="11" t="s">
        <v>1320</v>
      </c>
      <c r="D392" s="11" t="s">
        <v>68</v>
      </c>
      <c r="E392" s="12">
        <v>46257.0</v>
      </c>
      <c r="F392" s="12">
        <v>46287.0</v>
      </c>
      <c r="G392" s="11" t="s">
        <v>2335</v>
      </c>
      <c r="H392" s="11">
        <v>9.597392338E9</v>
      </c>
      <c r="I392" s="11" t="s">
        <v>82</v>
      </c>
      <c r="J392" s="11" t="s">
        <v>71</v>
      </c>
      <c r="K392" s="11" t="s">
        <v>72</v>
      </c>
      <c r="L392" s="11" t="s">
        <v>84</v>
      </c>
      <c r="M392" s="11" t="s">
        <v>2336</v>
      </c>
      <c r="N392" s="11" t="s">
        <v>241</v>
      </c>
      <c r="O392" s="11" t="s">
        <v>71</v>
      </c>
      <c r="P392" s="11" t="s">
        <v>2337</v>
      </c>
      <c r="Q392" s="13" t="s">
        <v>2338</v>
      </c>
      <c r="R392" s="14" t="str">
        <f>HYPERLINK("https://drive.google.com/file/d/1KJwy4jd-itCqasOTfbfFunLBpzS2i7xJ/view?usp=drivesdk","OFFER LETTER")</f>
        <v>OFFER LETTER</v>
      </c>
      <c r="S392" s="11" t="s">
        <v>2339</v>
      </c>
    </row>
    <row r="393" ht="22.5" customHeight="1">
      <c r="A393" s="10">
        <v>46257.81791471065</v>
      </c>
      <c r="B393" s="11" t="s">
        <v>2340</v>
      </c>
      <c r="C393" s="11" t="s">
        <v>173</v>
      </c>
      <c r="D393" s="11" t="s">
        <v>108</v>
      </c>
      <c r="E393" s="12">
        <v>46165.0</v>
      </c>
      <c r="F393" s="12">
        <v>46226.0</v>
      </c>
      <c r="G393" s="11" t="s">
        <v>2341</v>
      </c>
      <c r="H393" s="11">
        <v>8.179920737E9</v>
      </c>
      <c r="I393" s="11" t="s">
        <v>70</v>
      </c>
      <c r="J393" s="11" t="s">
        <v>71</v>
      </c>
      <c r="K393" s="11" t="s">
        <v>72</v>
      </c>
      <c r="L393" s="11" t="s">
        <v>73</v>
      </c>
      <c r="M393" s="11" t="s">
        <v>2342</v>
      </c>
      <c r="N393" s="11" t="s">
        <v>86</v>
      </c>
      <c r="O393" s="11" t="s">
        <v>71</v>
      </c>
      <c r="P393" s="11" t="s">
        <v>2343</v>
      </c>
      <c r="Q393" s="13" t="s">
        <v>2344</v>
      </c>
      <c r="R393" s="14" t="str">
        <f>HYPERLINK("https://drive.google.com/file/d/1WgRJncR_gei7B_ROIJsOPnTVU2qpMz6Q/view?usp=drivesdk","OFFER LETTER")</f>
        <v>OFFER LETTER</v>
      </c>
      <c r="S393" s="11" t="s">
        <v>2345</v>
      </c>
    </row>
    <row r="394" ht="22.5" customHeight="1">
      <c r="A394" s="10">
        <v>46257.8185525463</v>
      </c>
      <c r="B394" s="11" t="s">
        <v>2346</v>
      </c>
      <c r="C394" s="11" t="s">
        <v>107</v>
      </c>
      <c r="D394" s="11" t="s">
        <v>68</v>
      </c>
      <c r="E394" s="12">
        <v>46258.0</v>
      </c>
      <c r="F394" s="12">
        <v>46289.0</v>
      </c>
      <c r="G394" s="11" t="s">
        <v>2347</v>
      </c>
      <c r="H394" s="11">
        <v>8.272051843E9</v>
      </c>
      <c r="I394" s="11" t="s">
        <v>82</v>
      </c>
      <c r="J394" s="11" t="s">
        <v>130</v>
      </c>
      <c r="K394" s="11" t="s">
        <v>72</v>
      </c>
      <c r="L394" s="11" t="s">
        <v>73</v>
      </c>
      <c r="M394" s="11" t="s">
        <v>2348</v>
      </c>
      <c r="N394" s="11" t="s">
        <v>86</v>
      </c>
      <c r="O394" s="11" t="s">
        <v>71</v>
      </c>
      <c r="P394" s="11" t="s">
        <v>2349</v>
      </c>
      <c r="Q394" s="13" t="s">
        <v>2350</v>
      </c>
      <c r="R394" s="14" t="str">
        <f>HYPERLINK("https://drive.google.com/file/d/1pxl_K95GqvNj67SF634AcPuXFo9UpEev/view?usp=drivesdk","OFFER LETTER")</f>
        <v>OFFER LETTER</v>
      </c>
      <c r="S394" s="11" t="s">
        <v>2351</v>
      </c>
    </row>
    <row r="395" ht="22.5" customHeight="1">
      <c r="A395" s="10">
        <v>46257.81916791666</v>
      </c>
      <c r="B395" s="11" t="s">
        <v>2352</v>
      </c>
      <c r="C395" s="11" t="s">
        <v>195</v>
      </c>
      <c r="D395" s="11" t="s">
        <v>68</v>
      </c>
      <c r="E395" s="12">
        <v>46235.0</v>
      </c>
      <c r="F395" s="12">
        <v>46266.0</v>
      </c>
      <c r="G395" s="11" t="s">
        <v>2353</v>
      </c>
      <c r="H395" s="11">
        <v>9.175734621E9</v>
      </c>
      <c r="I395" s="11" t="s">
        <v>82</v>
      </c>
      <c r="J395" s="11" t="s">
        <v>83</v>
      </c>
      <c r="K395" s="11" t="s">
        <v>72</v>
      </c>
      <c r="L395" s="11" t="s">
        <v>73</v>
      </c>
      <c r="M395" s="11" t="s">
        <v>2354</v>
      </c>
      <c r="N395" s="11" t="s">
        <v>1641</v>
      </c>
      <c r="O395" s="11" t="s">
        <v>71</v>
      </c>
      <c r="P395" s="11" t="s">
        <v>2355</v>
      </c>
      <c r="Q395" s="13" t="s">
        <v>2356</v>
      </c>
      <c r="R395" s="14" t="str">
        <f>HYPERLINK("https://drive.google.com/file/d/191-C2HoTJVACixmDwtQBU2voOjwmrpqL/view?usp=drivesdk","OFFER LETTER")</f>
        <v>OFFER LETTER</v>
      </c>
      <c r="S395" s="11" t="s">
        <v>2351</v>
      </c>
    </row>
    <row r="396" ht="22.5" customHeight="1">
      <c r="A396" s="10">
        <v>46257.81924196759</v>
      </c>
      <c r="B396" s="11" t="s">
        <v>2357</v>
      </c>
      <c r="C396" s="11" t="s">
        <v>195</v>
      </c>
      <c r="D396" s="11" t="s">
        <v>68</v>
      </c>
      <c r="E396" s="12">
        <v>46275.0</v>
      </c>
      <c r="F396" s="12">
        <v>46304.0</v>
      </c>
      <c r="G396" s="11" t="s">
        <v>2358</v>
      </c>
      <c r="H396" s="11">
        <v>9.945234588E9</v>
      </c>
      <c r="I396" s="11" t="s">
        <v>82</v>
      </c>
      <c r="J396" s="11" t="s">
        <v>71</v>
      </c>
      <c r="K396" s="11" t="s">
        <v>72</v>
      </c>
      <c r="L396" s="11" t="s">
        <v>73</v>
      </c>
      <c r="M396" s="11" t="s">
        <v>2359</v>
      </c>
      <c r="N396" s="11" t="s">
        <v>75</v>
      </c>
      <c r="O396" s="11" t="s">
        <v>71</v>
      </c>
      <c r="P396" s="11" t="s">
        <v>2360</v>
      </c>
      <c r="Q396" s="13" t="s">
        <v>2361</v>
      </c>
      <c r="R396" s="14" t="str">
        <f>HYPERLINK("https://drive.google.com/file/d/10nrEMFQpjENaxpa0j7oxY2JjW7TGtAPF/view?usp=drivesdk","OFFER LETTER")</f>
        <v>OFFER LETTER</v>
      </c>
      <c r="S396" s="11" t="s">
        <v>2362</v>
      </c>
    </row>
    <row r="397" ht="22.5" customHeight="1">
      <c r="A397" s="10">
        <v>46257.82097006944</v>
      </c>
      <c r="B397" s="11" t="s">
        <v>2195</v>
      </c>
      <c r="C397" s="11" t="s">
        <v>195</v>
      </c>
      <c r="D397" s="11" t="s">
        <v>68</v>
      </c>
      <c r="E397" s="12">
        <v>46266.0</v>
      </c>
      <c r="F397" s="12">
        <v>46304.0</v>
      </c>
      <c r="G397" s="11" t="s">
        <v>2196</v>
      </c>
      <c r="H397" s="11">
        <v>9.390896534E9</v>
      </c>
      <c r="I397" s="11" t="s">
        <v>82</v>
      </c>
      <c r="J397" s="11" t="s">
        <v>71</v>
      </c>
      <c r="K397" s="11" t="s">
        <v>72</v>
      </c>
      <c r="L397" s="11" t="s">
        <v>131</v>
      </c>
      <c r="M397" s="11" t="s">
        <v>2363</v>
      </c>
      <c r="N397" s="11" t="s">
        <v>655</v>
      </c>
      <c r="O397" s="11" t="s">
        <v>71</v>
      </c>
      <c r="P397" s="11" t="s">
        <v>2364</v>
      </c>
      <c r="Q397" s="13" t="s">
        <v>2365</v>
      </c>
      <c r="R397" s="14" t="str">
        <f>HYPERLINK("https://drive.google.com/file/d/1f06VQPCvCE2c4G9lm1cJm_7wtHYcOEgl/view?usp=drivesdk","OFFER LETTER")</f>
        <v>OFFER LETTER</v>
      </c>
      <c r="S397" s="11" t="s">
        <v>2366</v>
      </c>
    </row>
    <row r="398" ht="22.5" customHeight="1">
      <c r="A398" s="10">
        <v>46257.821173125005</v>
      </c>
      <c r="B398" s="11" t="s">
        <v>2367</v>
      </c>
      <c r="C398" s="11" t="s">
        <v>80</v>
      </c>
      <c r="D398" s="11" t="s">
        <v>108</v>
      </c>
      <c r="E398" s="12">
        <v>46257.0</v>
      </c>
      <c r="F398" s="12">
        <v>46318.0</v>
      </c>
      <c r="G398" s="11" t="s">
        <v>2368</v>
      </c>
      <c r="H398" s="11">
        <v>6.300859394E9</v>
      </c>
      <c r="I398" s="11" t="s">
        <v>82</v>
      </c>
      <c r="J398" s="11" t="s">
        <v>83</v>
      </c>
      <c r="K398" s="11" t="s">
        <v>72</v>
      </c>
      <c r="L398" s="11" t="s">
        <v>131</v>
      </c>
      <c r="M398" s="11" t="s">
        <v>2369</v>
      </c>
      <c r="N398" s="11" t="s">
        <v>226</v>
      </c>
      <c r="O398" s="11" t="s">
        <v>71</v>
      </c>
      <c r="P398" s="11" t="s">
        <v>2370</v>
      </c>
      <c r="Q398" s="13" t="s">
        <v>2371</v>
      </c>
      <c r="R398" s="14" t="str">
        <f>HYPERLINK("https://drive.google.com/file/d/1Q_Wtrj3bEPJ-_P3GWOeHfqNCgMI1G3I5/view?usp=drivesdk","OFFER LETTER")</f>
        <v>OFFER LETTER</v>
      </c>
      <c r="S398" s="11" t="s">
        <v>2366</v>
      </c>
    </row>
    <row r="399" ht="22.5" customHeight="1">
      <c r="A399" s="10">
        <v>46257.823912754626</v>
      </c>
      <c r="B399" s="11" t="s">
        <v>2372</v>
      </c>
      <c r="C399" s="11" t="s">
        <v>259</v>
      </c>
      <c r="D399" s="11" t="s">
        <v>68</v>
      </c>
      <c r="E399" s="12">
        <v>46182.0</v>
      </c>
      <c r="F399" s="12">
        <v>46213.0</v>
      </c>
      <c r="G399" s="11" t="s">
        <v>2373</v>
      </c>
      <c r="H399" s="11">
        <v>6.396558484E9</v>
      </c>
      <c r="I399" s="11" t="s">
        <v>82</v>
      </c>
      <c r="J399" s="11" t="s">
        <v>71</v>
      </c>
      <c r="K399" s="11" t="s">
        <v>110</v>
      </c>
      <c r="L399" s="11" t="s">
        <v>84</v>
      </c>
      <c r="M399" s="11" t="s">
        <v>301</v>
      </c>
      <c r="N399" s="11" t="s">
        <v>75</v>
      </c>
      <c r="O399" s="11" t="s">
        <v>71</v>
      </c>
      <c r="P399" s="11" t="s">
        <v>2374</v>
      </c>
      <c r="Q399" s="13" t="s">
        <v>2375</v>
      </c>
      <c r="R399" s="14" t="str">
        <f>HYPERLINK("https://drive.google.com/file/d/180-WPFpd3k6z-TmsWDt5WhuqLdavAPVS/view?usp=drivesdk","OFFER LETTER")</f>
        <v>OFFER LETTER</v>
      </c>
      <c r="S399" s="11" t="s">
        <v>2376</v>
      </c>
    </row>
    <row r="400" ht="22.5" customHeight="1">
      <c r="A400" s="10">
        <v>46257.82460508102</v>
      </c>
      <c r="B400" s="11" t="s">
        <v>2195</v>
      </c>
      <c r="C400" s="11" t="s">
        <v>195</v>
      </c>
      <c r="D400" s="11" t="s">
        <v>68</v>
      </c>
      <c r="E400" s="12">
        <v>46266.0</v>
      </c>
      <c r="F400" s="12">
        <v>46304.0</v>
      </c>
      <c r="G400" s="11" t="s">
        <v>2196</v>
      </c>
      <c r="H400" s="11">
        <v>9.390896534E9</v>
      </c>
      <c r="I400" s="11" t="s">
        <v>82</v>
      </c>
      <c r="J400" s="11" t="s">
        <v>71</v>
      </c>
      <c r="K400" s="11" t="s">
        <v>72</v>
      </c>
      <c r="L400" s="11" t="s">
        <v>131</v>
      </c>
      <c r="M400" s="11" t="s">
        <v>2377</v>
      </c>
      <c r="N400" s="11" t="s">
        <v>75</v>
      </c>
      <c r="O400" s="11" t="s">
        <v>71</v>
      </c>
      <c r="P400" s="11" t="s">
        <v>2378</v>
      </c>
      <c r="Q400" s="13" t="s">
        <v>2379</v>
      </c>
      <c r="R400" s="14" t="str">
        <f>HYPERLINK("https://drive.google.com/file/d/1CmG5HRUQDugsw8iiz5YqQOc9aDfPZ2MX/view?usp=drivesdk","OFFER LETTER")</f>
        <v>OFFER LETTER</v>
      </c>
      <c r="S400" s="11" t="s">
        <v>2380</v>
      </c>
    </row>
    <row r="401" ht="22.5" customHeight="1">
      <c r="A401" s="10">
        <v>46257.82772418982</v>
      </c>
      <c r="B401" s="11" t="s">
        <v>2381</v>
      </c>
      <c r="C401" s="11" t="s">
        <v>298</v>
      </c>
      <c r="D401" s="11" t="s">
        <v>68</v>
      </c>
      <c r="E401" s="12">
        <v>46196.0</v>
      </c>
      <c r="F401" s="12">
        <v>46226.0</v>
      </c>
      <c r="G401" s="11" t="s">
        <v>2382</v>
      </c>
      <c r="H401" s="11">
        <v>9.685321808E9</v>
      </c>
      <c r="I401" s="11" t="s">
        <v>70</v>
      </c>
      <c r="J401" s="11" t="s">
        <v>71</v>
      </c>
      <c r="K401" s="11" t="s">
        <v>72</v>
      </c>
      <c r="L401" s="11" t="s">
        <v>73</v>
      </c>
      <c r="M401" s="11" t="s">
        <v>2383</v>
      </c>
      <c r="N401" s="11" t="s">
        <v>241</v>
      </c>
      <c r="O401" s="11" t="s">
        <v>71</v>
      </c>
      <c r="P401" s="11" t="s">
        <v>2384</v>
      </c>
      <c r="Q401" s="13" t="s">
        <v>2385</v>
      </c>
      <c r="R401" s="14" t="str">
        <f>HYPERLINK("https://drive.google.com/file/d/1Nj4bxWXnfNIuVeZXBl_gxnAq9tW7808R/view?usp=drivesdk","OFFER LETTER")</f>
        <v>OFFER LETTER</v>
      </c>
      <c r="S401" s="11" t="s">
        <v>2386</v>
      </c>
    </row>
    <row r="402" ht="22.5" customHeight="1">
      <c r="A402" s="10">
        <v>46257.82956096064</v>
      </c>
      <c r="B402" s="11" t="s">
        <v>2387</v>
      </c>
      <c r="C402" s="11" t="s">
        <v>173</v>
      </c>
      <c r="D402" s="11" t="s">
        <v>108</v>
      </c>
      <c r="E402" s="12">
        <v>46163.0</v>
      </c>
      <c r="F402" s="12">
        <v>46225.0</v>
      </c>
      <c r="G402" s="11" t="s">
        <v>2341</v>
      </c>
      <c r="H402" s="11">
        <v>8.179920737E9</v>
      </c>
      <c r="I402" s="11" t="s">
        <v>82</v>
      </c>
      <c r="J402" s="11" t="s">
        <v>71</v>
      </c>
      <c r="K402" s="11" t="s">
        <v>72</v>
      </c>
      <c r="L402" s="11" t="s">
        <v>73</v>
      </c>
      <c r="M402" s="11" t="s">
        <v>2342</v>
      </c>
      <c r="N402" s="11" t="s">
        <v>86</v>
      </c>
      <c r="O402" s="11" t="s">
        <v>71</v>
      </c>
      <c r="P402" s="11" t="s">
        <v>2388</v>
      </c>
      <c r="Q402" s="13" t="s">
        <v>2389</v>
      </c>
      <c r="R402" s="14" t="str">
        <f>HYPERLINK("https://drive.google.com/file/d/1td-GPLOcgvN_8HqLhpVfXXoijeD5XanX/view?usp=drivesdk","OFFER LETTER")</f>
        <v>OFFER LETTER</v>
      </c>
      <c r="S402" s="11" t="s">
        <v>2390</v>
      </c>
    </row>
    <row r="403" ht="22.5" customHeight="1">
      <c r="A403" s="10">
        <v>46257.83238144676</v>
      </c>
      <c r="B403" s="11" t="s">
        <v>2391</v>
      </c>
      <c r="C403" s="11" t="s">
        <v>67</v>
      </c>
      <c r="D403" s="11" t="s">
        <v>108</v>
      </c>
      <c r="E403" s="12">
        <v>46257.0</v>
      </c>
      <c r="F403" s="12">
        <v>46318.0</v>
      </c>
      <c r="G403" s="11" t="s">
        <v>2392</v>
      </c>
      <c r="H403" s="11">
        <v>9.060001793E9</v>
      </c>
      <c r="I403" s="11" t="s">
        <v>82</v>
      </c>
      <c r="J403" s="11" t="s">
        <v>71</v>
      </c>
      <c r="K403" s="11" t="s">
        <v>72</v>
      </c>
      <c r="L403" s="11" t="s">
        <v>131</v>
      </c>
      <c r="M403" s="11" t="s">
        <v>2393</v>
      </c>
      <c r="N403" s="11" t="s">
        <v>241</v>
      </c>
      <c r="O403" s="11" t="s">
        <v>71</v>
      </c>
      <c r="P403" s="11" t="s">
        <v>2394</v>
      </c>
      <c r="Q403" s="13" t="s">
        <v>2395</v>
      </c>
      <c r="R403" s="14" t="str">
        <f>HYPERLINK("https://drive.google.com/file/d/1MsdqQqNwl7t1MJOEzxzZxFlDce5e4xro/view?usp=drivesdk","OFFER LETTER")</f>
        <v>OFFER LETTER</v>
      </c>
      <c r="S403" s="11" t="s">
        <v>2396</v>
      </c>
    </row>
    <row r="404" ht="22.5" customHeight="1">
      <c r="A404" s="10">
        <v>46257.83476159722</v>
      </c>
      <c r="B404" s="11" t="s">
        <v>2397</v>
      </c>
      <c r="C404" s="11" t="s">
        <v>742</v>
      </c>
      <c r="D404" s="11" t="s">
        <v>68</v>
      </c>
      <c r="E404" s="12">
        <v>46260.0</v>
      </c>
      <c r="F404" s="12">
        <v>46290.0</v>
      </c>
      <c r="G404" s="11" t="s">
        <v>2398</v>
      </c>
      <c r="H404" s="11">
        <v>9.887771126E9</v>
      </c>
      <c r="I404" s="11" t="s">
        <v>82</v>
      </c>
      <c r="J404" s="11" t="s">
        <v>71</v>
      </c>
      <c r="K404" s="13" t="s">
        <v>443</v>
      </c>
      <c r="L404" s="11" t="s">
        <v>247</v>
      </c>
      <c r="M404" s="11" t="s">
        <v>2399</v>
      </c>
      <c r="N404" s="11" t="s">
        <v>1722</v>
      </c>
      <c r="O404" s="11" t="s">
        <v>71</v>
      </c>
      <c r="P404" s="11" t="s">
        <v>2400</v>
      </c>
      <c r="Q404" s="13" t="s">
        <v>2401</v>
      </c>
      <c r="R404" s="14" t="str">
        <f>HYPERLINK("https://drive.google.com/file/d/1OY_fe90I1DLO7Pepf8zilUiSHKgC9dD2/view?usp=drivesdk","OFFER LETTER")</f>
        <v>OFFER LETTER</v>
      </c>
      <c r="S404" s="11" t="s">
        <v>2402</v>
      </c>
    </row>
    <row r="405" ht="22.5" customHeight="1">
      <c r="A405" s="10">
        <v>46257.838495185184</v>
      </c>
      <c r="B405" s="11" t="s">
        <v>2403</v>
      </c>
      <c r="C405" s="11" t="s">
        <v>91</v>
      </c>
      <c r="D405" s="11" t="s">
        <v>68</v>
      </c>
      <c r="E405" s="12">
        <v>46259.0</v>
      </c>
      <c r="F405" s="12">
        <v>46290.0</v>
      </c>
      <c r="G405" s="11" t="s">
        <v>2404</v>
      </c>
      <c r="H405" s="11">
        <v>9.026861716E9</v>
      </c>
      <c r="I405" s="11" t="s">
        <v>82</v>
      </c>
      <c r="J405" s="11" t="s">
        <v>71</v>
      </c>
      <c r="K405" s="11" t="s">
        <v>72</v>
      </c>
      <c r="L405" s="11" t="s">
        <v>131</v>
      </c>
      <c r="M405" s="11" t="s">
        <v>2405</v>
      </c>
      <c r="N405" s="11" t="s">
        <v>241</v>
      </c>
      <c r="O405" s="11" t="s">
        <v>71</v>
      </c>
      <c r="P405" s="11" t="s">
        <v>2406</v>
      </c>
      <c r="Q405" s="13" t="s">
        <v>2407</v>
      </c>
      <c r="R405" s="14" t="str">
        <f>HYPERLINK("https://drive.google.com/file/d/1NSH2QytNHgfXOVgHZM_uG3VhpAsQV4lP/view?usp=drivesdk","OFFER LETTER")</f>
        <v>OFFER LETTER</v>
      </c>
      <c r="S405" s="11" t="s">
        <v>2408</v>
      </c>
    </row>
    <row r="406" ht="22.5" customHeight="1">
      <c r="A406" s="10">
        <v>46257.83979366898</v>
      </c>
      <c r="B406" s="11" t="s">
        <v>2409</v>
      </c>
      <c r="C406" s="11" t="s">
        <v>195</v>
      </c>
      <c r="D406" s="11" t="s">
        <v>108</v>
      </c>
      <c r="E406" s="12">
        <v>46257.0</v>
      </c>
      <c r="F406" s="12">
        <v>46318.0</v>
      </c>
      <c r="G406" s="11" t="s">
        <v>2410</v>
      </c>
      <c r="H406" s="11">
        <v>9.811651028E9</v>
      </c>
      <c r="I406" s="11" t="s">
        <v>70</v>
      </c>
      <c r="J406" s="11" t="s">
        <v>71</v>
      </c>
      <c r="K406" s="11" t="s">
        <v>110</v>
      </c>
      <c r="L406" s="11" t="s">
        <v>247</v>
      </c>
      <c r="M406" s="11" t="s">
        <v>2411</v>
      </c>
      <c r="N406" s="11" t="s">
        <v>241</v>
      </c>
      <c r="O406" s="11" t="s">
        <v>71</v>
      </c>
      <c r="P406" s="11" t="s">
        <v>2412</v>
      </c>
      <c r="Q406" s="13" t="s">
        <v>2413</v>
      </c>
      <c r="R406" s="14" t="str">
        <f>HYPERLINK("https://drive.google.com/file/d/1wD2H5J6flVeXC2keuUZYeaAdNXWF7GWS/view?usp=drivesdk","OFFER LETTER")</f>
        <v>OFFER LETTER</v>
      </c>
      <c r="S406" s="11" t="s">
        <v>2414</v>
      </c>
    </row>
    <row r="407" ht="22.5" customHeight="1">
      <c r="A407" s="10">
        <v>46257.8402712963</v>
      </c>
      <c r="B407" s="11" t="s">
        <v>2415</v>
      </c>
      <c r="C407" s="11" t="s">
        <v>128</v>
      </c>
      <c r="D407" s="11" t="s">
        <v>68</v>
      </c>
      <c r="E407" s="12">
        <v>46266.0</v>
      </c>
      <c r="F407" s="12">
        <v>46296.0</v>
      </c>
      <c r="G407" s="11" t="s">
        <v>2416</v>
      </c>
      <c r="H407" s="11">
        <v>8.329836928E9</v>
      </c>
      <c r="I407" s="11" t="s">
        <v>70</v>
      </c>
      <c r="J407" s="11" t="s">
        <v>71</v>
      </c>
      <c r="K407" s="11" t="s">
        <v>356</v>
      </c>
      <c r="L407" s="11" t="s">
        <v>84</v>
      </c>
      <c r="M407" s="11" t="s">
        <v>2417</v>
      </c>
      <c r="N407" s="11" t="s">
        <v>75</v>
      </c>
      <c r="O407" s="11" t="s">
        <v>71</v>
      </c>
      <c r="P407" s="11" t="s">
        <v>2418</v>
      </c>
      <c r="Q407" s="13" t="s">
        <v>2419</v>
      </c>
      <c r="R407" s="14" t="str">
        <f>HYPERLINK("https://drive.google.com/file/d/1TF8ZlrUCA5lq3K7fmUSSrgtl5P2zNC3P/view?usp=drivesdk","OFFER LETTER")</f>
        <v>OFFER LETTER</v>
      </c>
      <c r="S407" s="11" t="s">
        <v>2420</v>
      </c>
    </row>
    <row r="408" ht="22.5" customHeight="1">
      <c r="A408" s="10">
        <v>46257.853331238424</v>
      </c>
      <c r="B408" s="11" t="s">
        <v>2421</v>
      </c>
      <c r="C408" s="11" t="s">
        <v>173</v>
      </c>
      <c r="D408" s="11" t="s">
        <v>68</v>
      </c>
      <c r="E408" s="12">
        <v>46266.0</v>
      </c>
      <c r="F408" s="12">
        <v>46296.0</v>
      </c>
      <c r="G408" s="11" t="s">
        <v>2422</v>
      </c>
      <c r="H408" s="11">
        <v>7.905466229E9</v>
      </c>
      <c r="I408" s="11" t="s">
        <v>82</v>
      </c>
      <c r="J408" s="11" t="s">
        <v>71</v>
      </c>
      <c r="K408" s="11" t="s">
        <v>110</v>
      </c>
      <c r="L408" s="11" t="s">
        <v>84</v>
      </c>
      <c r="M408" s="11" t="s">
        <v>2423</v>
      </c>
      <c r="N408" s="11" t="s">
        <v>75</v>
      </c>
      <c r="O408" s="11" t="s">
        <v>71</v>
      </c>
      <c r="P408" s="11" t="s">
        <v>2424</v>
      </c>
      <c r="Q408" s="13" t="s">
        <v>2425</v>
      </c>
      <c r="R408" s="14" t="str">
        <f>HYPERLINK("https://drive.google.com/file/d/1wya43ZZeaj-v89RwbhWvdc-POGefNCBK/view?usp=drivesdk","OFFER LETTER")</f>
        <v>OFFER LETTER</v>
      </c>
      <c r="S408" s="11" t="s">
        <v>2426</v>
      </c>
    </row>
    <row r="409" ht="22.5" customHeight="1">
      <c r="A409" s="10">
        <v>46257.8543750463</v>
      </c>
      <c r="B409" s="11" t="s">
        <v>2427</v>
      </c>
      <c r="C409" s="11" t="s">
        <v>195</v>
      </c>
      <c r="D409" s="11" t="s">
        <v>68</v>
      </c>
      <c r="E409" s="12">
        <v>46257.0</v>
      </c>
      <c r="F409" s="12">
        <v>46288.0</v>
      </c>
      <c r="G409" s="11" t="s">
        <v>2428</v>
      </c>
      <c r="H409" s="11" t="s">
        <v>2429</v>
      </c>
      <c r="I409" s="11" t="s">
        <v>70</v>
      </c>
      <c r="J409" s="11" t="s">
        <v>71</v>
      </c>
      <c r="K409" s="11" t="s">
        <v>72</v>
      </c>
      <c r="L409" s="11" t="s">
        <v>73</v>
      </c>
      <c r="M409" s="11" t="s">
        <v>2430</v>
      </c>
      <c r="N409" s="11" t="s">
        <v>198</v>
      </c>
      <c r="O409" s="11" t="s">
        <v>71</v>
      </c>
      <c r="P409" s="11" t="s">
        <v>2431</v>
      </c>
      <c r="Q409" s="13" t="s">
        <v>2432</v>
      </c>
      <c r="R409" s="14" t="str">
        <f>HYPERLINK("https://drive.google.com/file/d/1ZKL-ND5I2lUcSH8gklPH0FEk-3eBcNgA/view?usp=drivesdk","OFFER LETTER")</f>
        <v>OFFER LETTER</v>
      </c>
      <c r="S409" s="11" t="s">
        <v>2433</v>
      </c>
    </row>
    <row r="410" ht="22.5" customHeight="1">
      <c r="A410" s="10">
        <v>46257.85707778935</v>
      </c>
      <c r="B410" s="11" t="s">
        <v>2434</v>
      </c>
      <c r="C410" s="11" t="s">
        <v>107</v>
      </c>
      <c r="D410" s="11" t="s">
        <v>238</v>
      </c>
      <c r="E410" s="12">
        <v>46244.0</v>
      </c>
      <c r="F410" s="12">
        <v>46336.0</v>
      </c>
      <c r="G410" s="11" t="s">
        <v>2435</v>
      </c>
      <c r="H410" s="11">
        <v>7.89240674E9</v>
      </c>
      <c r="I410" s="11" t="s">
        <v>82</v>
      </c>
      <c r="J410" s="11" t="s">
        <v>71</v>
      </c>
      <c r="K410" s="11" t="s">
        <v>72</v>
      </c>
      <c r="L410" s="11" t="s">
        <v>247</v>
      </c>
      <c r="M410" s="11" t="s">
        <v>2436</v>
      </c>
      <c r="N410" s="11" t="s">
        <v>219</v>
      </c>
      <c r="O410" s="11" t="s">
        <v>71</v>
      </c>
      <c r="P410" s="11" t="s">
        <v>2437</v>
      </c>
      <c r="Q410" s="13" t="s">
        <v>2438</v>
      </c>
      <c r="R410" s="14" t="str">
        <f>HYPERLINK("https://drive.google.com/file/d/1dJODWBtxMThxkqV0eIXOYFy8muoQnj4s/view?usp=drivesdk","OFFER LETTER")</f>
        <v>OFFER LETTER</v>
      </c>
      <c r="S410" s="11" t="s">
        <v>2439</v>
      </c>
    </row>
    <row r="411" ht="22.5" customHeight="1">
      <c r="A411" s="10">
        <v>46257.86164333334</v>
      </c>
      <c r="B411" s="11" t="s">
        <v>2440</v>
      </c>
      <c r="C411" s="11" t="s">
        <v>259</v>
      </c>
      <c r="D411" s="11" t="s">
        <v>68</v>
      </c>
      <c r="E411" s="12">
        <v>46258.0</v>
      </c>
      <c r="F411" s="12">
        <v>46289.0</v>
      </c>
      <c r="G411" s="11" t="s">
        <v>2441</v>
      </c>
      <c r="H411" s="11">
        <v>8.30967524E9</v>
      </c>
      <c r="I411" s="11" t="s">
        <v>70</v>
      </c>
      <c r="J411" s="11" t="s">
        <v>71</v>
      </c>
      <c r="K411" s="11" t="s">
        <v>72</v>
      </c>
      <c r="L411" s="11" t="s">
        <v>131</v>
      </c>
      <c r="M411" s="11" t="s">
        <v>2442</v>
      </c>
      <c r="N411" s="11" t="s">
        <v>75</v>
      </c>
      <c r="O411" s="11" t="s">
        <v>71</v>
      </c>
      <c r="P411" s="11" t="s">
        <v>2443</v>
      </c>
      <c r="Q411" s="13" t="s">
        <v>2444</v>
      </c>
      <c r="R411" s="14" t="str">
        <f>HYPERLINK("https://drive.google.com/file/d/1XYwt_n5YoOROIlBdzqVodETLGFC5NGhG/view?usp=drivesdk","OFFER LETTER")</f>
        <v>OFFER LETTER</v>
      </c>
      <c r="S411" s="11" t="s">
        <v>2445</v>
      </c>
    </row>
    <row r="412" ht="22.5" customHeight="1">
      <c r="A412" s="10">
        <v>46257.86315320602</v>
      </c>
      <c r="B412" s="11" t="s">
        <v>2446</v>
      </c>
      <c r="C412" s="11" t="s">
        <v>107</v>
      </c>
      <c r="D412" s="11" t="s">
        <v>68</v>
      </c>
      <c r="E412" s="12">
        <v>46257.0</v>
      </c>
      <c r="F412" s="12">
        <v>46257.0</v>
      </c>
      <c r="G412" s="11" t="s">
        <v>2447</v>
      </c>
      <c r="H412" s="11">
        <v>8.122707017E9</v>
      </c>
      <c r="I412" s="11" t="s">
        <v>70</v>
      </c>
      <c r="J412" s="11" t="s">
        <v>71</v>
      </c>
      <c r="K412" s="11" t="s">
        <v>72</v>
      </c>
      <c r="L412" s="11" t="s">
        <v>131</v>
      </c>
      <c r="M412" s="11" t="s">
        <v>2448</v>
      </c>
      <c r="N412" s="11" t="s">
        <v>226</v>
      </c>
      <c r="O412" s="11" t="s">
        <v>71</v>
      </c>
      <c r="P412" s="11" t="s">
        <v>2449</v>
      </c>
      <c r="Q412" s="13" t="s">
        <v>2450</v>
      </c>
      <c r="R412" s="14" t="str">
        <f>HYPERLINK("https://drive.google.com/file/d/1c9y0uO2kYhQl6258vf4YEjgAN3gmxM_c/view?usp=drivesdk","OFFER LETTER")</f>
        <v>OFFER LETTER</v>
      </c>
      <c r="S412" s="11" t="s">
        <v>2451</v>
      </c>
    </row>
    <row r="413" ht="22.5" customHeight="1">
      <c r="A413" s="10">
        <v>46257.86446173611</v>
      </c>
      <c r="B413" s="11" t="s">
        <v>2452</v>
      </c>
      <c r="C413" s="11" t="s">
        <v>195</v>
      </c>
      <c r="D413" s="11" t="s">
        <v>68</v>
      </c>
      <c r="E413" s="12">
        <v>46204.0</v>
      </c>
      <c r="F413" s="12">
        <v>46295.0</v>
      </c>
      <c r="G413" s="11" t="s">
        <v>2453</v>
      </c>
      <c r="H413" s="11">
        <v>7.880317933E9</v>
      </c>
      <c r="I413" s="11" t="s">
        <v>70</v>
      </c>
      <c r="J413" s="11" t="s">
        <v>71</v>
      </c>
      <c r="K413" s="11" t="s">
        <v>356</v>
      </c>
      <c r="L413" s="11" t="s">
        <v>84</v>
      </c>
      <c r="M413" s="11" t="s">
        <v>662</v>
      </c>
      <c r="N413" s="11" t="s">
        <v>75</v>
      </c>
      <c r="O413" s="11" t="s">
        <v>71</v>
      </c>
      <c r="P413" s="11" t="s">
        <v>2454</v>
      </c>
      <c r="Q413" s="13" t="s">
        <v>2455</v>
      </c>
      <c r="R413" s="14" t="str">
        <f>HYPERLINK("https://drive.google.com/file/d/1NzTrKcIgEotXMjA6X4y7mhEEPj-7l-6v/view?usp=drivesdk","OFFER LETTER")</f>
        <v>OFFER LETTER</v>
      </c>
      <c r="S413" s="11" t="s">
        <v>2456</v>
      </c>
    </row>
    <row r="414" ht="22.5" customHeight="1">
      <c r="A414" s="10">
        <v>46257.86512873843</v>
      </c>
      <c r="B414" s="11" t="s">
        <v>2457</v>
      </c>
      <c r="C414" s="11" t="s">
        <v>128</v>
      </c>
      <c r="D414" s="11" t="s">
        <v>68</v>
      </c>
      <c r="E414" s="12">
        <v>46257.0</v>
      </c>
      <c r="F414" s="12">
        <v>46288.0</v>
      </c>
      <c r="G414" s="11" t="s">
        <v>2458</v>
      </c>
      <c r="H414" s="11">
        <v>7.080507589E9</v>
      </c>
      <c r="I414" s="11" t="s">
        <v>82</v>
      </c>
      <c r="J414" s="11" t="s">
        <v>71</v>
      </c>
      <c r="K414" s="11" t="s">
        <v>72</v>
      </c>
      <c r="L414" s="11" t="s">
        <v>247</v>
      </c>
      <c r="M414" s="11" t="s">
        <v>2459</v>
      </c>
      <c r="N414" s="11" t="s">
        <v>241</v>
      </c>
      <c r="O414" s="11" t="s">
        <v>71</v>
      </c>
      <c r="P414" s="11" t="s">
        <v>2460</v>
      </c>
      <c r="Q414" s="13" t="s">
        <v>2461</v>
      </c>
      <c r="R414" s="14" t="str">
        <f>HYPERLINK("https://drive.google.com/file/d/1V5BahTgcNlnVlILGqxuiOpktPWOuwhgV/view?usp=drivesdk","OFFER LETTER")</f>
        <v>OFFER LETTER</v>
      </c>
      <c r="S414" s="11" t="s">
        <v>2462</v>
      </c>
    </row>
    <row r="415" ht="22.5" customHeight="1">
      <c r="A415" s="10">
        <v>46257.86561296297</v>
      </c>
      <c r="B415" s="11" t="s">
        <v>2463</v>
      </c>
      <c r="C415" s="11" t="s">
        <v>173</v>
      </c>
      <c r="D415" s="11" t="s">
        <v>68</v>
      </c>
      <c r="E415" s="12">
        <v>46258.0</v>
      </c>
      <c r="F415" s="12">
        <v>46289.0</v>
      </c>
      <c r="G415" s="11" t="s">
        <v>2464</v>
      </c>
      <c r="H415" s="11">
        <v>8.26912661E9</v>
      </c>
      <c r="I415" s="11" t="s">
        <v>70</v>
      </c>
      <c r="J415" s="11" t="s">
        <v>71</v>
      </c>
      <c r="K415" s="11" t="s">
        <v>110</v>
      </c>
      <c r="L415" s="11" t="s">
        <v>73</v>
      </c>
      <c r="M415" s="11" t="s">
        <v>2465</v>
      </c>
      <c r="N415" s="11" t="s">
        <v>241</v>
      </c>
      <c r="O415" s="11" t="s">
        <v>71</v>
      </c>
      <c r="P415" s="11" t="s">
        <v>2466</v>
      </c>
      <c r="Q415" s="13" t="s">
        <v>2467</v>
      </c>
      <c r="R415" s="14" t="str">
        <f>HYPERLINK("https://drive.google.com/file/d/1HozMo8Gq0gV2t7pP_mm-VnhJTftMOqy3/view?usp=drivesdk","OFFER LETTER")</f>
        <v>OFFER LETTER</v>
      </c>
      <c r="S415" s="11" t="s">
        <v>2468</v>
      </c>
    </row>
    <row r="416" ht="22.5" customHeight="1">
      <c r="A416" s="10">
        <v>46257.86599835649</v>
      </c>
      <c r="B416" s="11" t="s">
        <v>2469</v>
      </c>
      <c r="C416" s="11" t="s">
        <v>80</v>
      </c>
      <c r="D416" s="11" t="s">
        <v>108</v>
      </c>
      <c r="E416" s="12">
        <v>46262.0</v>
      </c>
      <c r="F416" s="12">
        <v>46323.0</v>
      </c>
      <c r="G416" s="11" t="s">
        <v>2470</v>
      </c>
      <c r="H416" s="11">
        <v>9.022992239E9</v>
      </c>
      <c r="I416" s="11" t="s">
        <v>82</v>
      </c>
      <c r="J416" s="11" t="s">
        <v>71</v>
      </c>
      <c r="K416" s="11" t="s">
        <v>72</v>
      </c>
      <c r="L416" s="11" t="s">
        <v>131</v>
      </c>
      <c r="M416" s="11" t="s">
        <v>2471</v>
      </c>
      <c r="N416" s="11" t="s">
        <v>936</v>
      </c>
      <c r="O416" s="11" t="s">
        <v>71</v>
      </c>
      <c r="P416" s="11" t="s">
        <v>2472</v>
      </c>
      <c r="Q416" s="13" t="s">
        <v>2473</v>
      </c>
      <c r="R416" s="14" t="str">
        <f>HYPERLINK("https://drive.google.com/file/d/1ONW71AwpRpZqVbIqcdb5MRNrcH8cuigz/view?usp=drivesdk","OFFER LETTER")</f>
        <v>OFFER LETTER</v>
      </c>
      <c r="S416" s="11" t="s">
        <v>2474</v>
      </c>
    </row>
    <row r="417" ht="22.5" customHeight="1">
      <c r="A417" s="10">
        <v>46257.86688381944</v>
      </c>
      <c r="B417" s="11" t="s">
        <v>2475</v>
      </c>
      <c r="C417" s="11" t="s">
        <v>259</v>
      </c>
      <c r="D417" s="11" t="s">
        <v>68</v>
      </c>
      <c r="E417" s="12">
        <v>46257.0</v>
      </c>
      <c r="F417" s="12">
        <v>46288.0</v>
      </c>
      <c r="G417" s="11" t="s">
        <v>2476</v>
      </c>
      <c r="H417" s="11">
        <v>9.653270845E9</v>
      </c>
      <c r="I417" s="11" t="s">
        <v>82</v>
      </c>
      <c r="J417" s="11" t="s">
        <v>71</v>
      </c>
      <c r="K417" s="11" t="s">
        <v>72</v>
      </c>
      <c r="L417" s="11" t="s">
        <v>247</v>
      </c>
      <c r="M417" s="11" t="s">
        <v>2477</v>
      </c>
      <c r="N417" s="11" t="s">
        <v>241</v>
      </c>
      <c r="O417" s="11" t="s">
        <v>71</v>
      </c>
      <c r="P417" s="11" t="s">
        <v>2478</v>
      </c>
      <c r="Q417" s="13" t="s">
        <v>2479</v>
      </c>
      <c r="R417" s="14" t="str">
        <f>HYPERLINK("https://drive.google.com/file/d/1xzXS0wG-bB_EgfekuSc5roEQV50tGuPG/view?usp=drivesdk","OFFER LETTER")</f>
        <v>OFFER LETTER</v>
      </c>
      <c r="S417" s="11" t="s">
        <v>2480</v>
      </c>
    </row>
    <row r="418" ht="22.5" customHeight="1">
      <c r="A418" s="10">
        <v>46257.869408125</v>
      </c>
      <c r="B418" s="11" t="s">
        <v>2481</v>
      </c>
      <c r="C418" s="11" t="s">
        <v>107</v>
      </c>
      <c r="D418" s="11" t="s">
        <v>68</v>
      </c>
      <c r="E418" s="12">
        <v>46258.0</v>
      </c>
      <c r="F418" s="12">
        <v>46289.0</v>
      </c>
      <c r="G418" s="11" t="s">
        <v>2482</v>
      </c>
      <c r="H418" s="11">
        <v>9.430332464E9</v>
      </c>
      <c r="I418" s="11" t="s">
        <v>82</v>
      </c>
      <c r="J418" s="11" t="s">
        <v>71</v>
      </c>
      <c r="K418" s="11" t="s">
        <v>72</v>
      </c>
      <c r="L418" s="11" t="s">
        <v>73</v>
      </c>
      <c r="M418" s="11" t="s">
        <v>2483</v>
      </c>
      <c r="N418" s="11" t="s">
        <v>75</v>
      </c>
      <c r="O418" s="11" t="s">
        <v>71</v>
      </c>
      <c r="P418" s="11" t="s">
        <v>2484</v>
      </c>
      <c r="Q418" s="13" t="s">
        <v>2485</v>
      </c>
      <c r="R418" s="14" t="str">
        <f>HYPERLINK("https://drive.google.com/file/d/1tf56PkvlewI-FjGfetIn9uRp23xks-Az/view?usp=drivesdk","OFFER LETTER")</f>
        <v>OFFER LETTER</v>
      </c>
      <c r="S418" s="11" t="s">
        <v>2486</v>
      </c>
    </row>
    <row r="419" ht="22.5" customHeight="1">
      <c r="A419" s="10">
        <v>46257.87260097222</v>
      </c>
      <c r="B419" s="11" t="s">
        <v>2487</v>
      </c>
      <c r="C419" s="11" t="s">
        <v>195</v>
      </c>
      <c r="D419" s="11" t="s">
        <v>68</v>
      </c>
      <c r="E419" s="12">
        <v>46257.0</v>
      </c>
      <c r="F419" s="12">
        <v>46257.0</v>
      </c>
      <c r="G419" s="11" t="s">
        <v>2488</v>
      </c>
      <c r="H419" s="11">
        <v>7.505511641E9</v>
      </c>
      <c r="I419" s="11" t="s">
        <v>70</v>
      </c>
      <c r="J419" s="11" t="s">
        <v>130</v>
      </c>
      <c r="K419" s="11" t="s">
        <v>72</v>
      </c>
      <c r="L419" s="11" t="s">
        <v>84</v>
      </c>
      <c r="M419" s="11" t="s">
        <v>2489</v>
      </c>
      <c r="N419" s="11" t="s">
        <v>86</v>
      </c>
      <c r="O419" s="11" t="s">
        <v>71</v>
      </c>
      <c r="P419" s="11" t="s">
        <v>2490</v>
      </c>
      <c r="Q419" s="13" t="s">
        <v>2491</v>
      </c>
      <c r="R419" s="14" t="str">
        <f>HYPERLINK("https://drive.google.com/file/d/1huuIFm30nYaAPoK_A6OokpSJ38QaBvFL/view?usp=drivesdk","OFFER LETTER")</f>
        <v>OFFER LETTER</v>
      </c>
      <c r="S419" s="11" t="s">
        <v>2492</v>
      </c>
    </row>
    <row r="420" ht="22.5" customHeight="1">
      <c r="A420" s="10">
        <v>46257.87381841435</v>
      </c>
      <c r="B420" s="11" t="s">
        <v>2493</v>
      </c>
      <c r="C420" s="11" t="s">
        <v>596</v>
      </c>
      <c r="D420" s="11" t="s">
        <v>68</v>
      </c>
      <c r="E420" s="12">
        <v>46262.0</v>
      </c>
      <c r="F420" s="12">
        <v>46293.0</v>
      </c>
      <c r="G420" s="11" t="s">
        <v>2494</v>
      </c>
      <c r="H420" s="11">
        <v>7.061079293E9</v>
      </c>
      <c r="I420" s="11" t="s">
        <v>82</v>
      </c>
      <c r="J420" s="11" t="s">
        <v>71</v>
      </c>
      <c r="K420" s="11" t="s">
        <v>72</v>
      </c>
      <c r="L420" s="11" t="s">
        <v>73</v>
      </c>
      <c r="M420" s="11" t="s">
        <v>2495</v>
      </c>
      <c r="N420" s="11" t="s">
        <v>241</v>
      </c>
      <c r="O420" s="11" t="s">
        <v>71</v>
      </c>
      <c r="P420" s="11" t="s">
        <v>2496</v>
      </c>
      <c r="Q420" s="13" t="s">
        <v>2497</v>
      </c>
      <c r="R420" s="14" t="str">
        <f>HYPERLINK("https://drive.google.com/file/d/1vDgPv0OE3Uy4NVPZE1Yd68D398wR0kLe/view?usp=drivesdk","OFFER LETTER")</f>
        <v>OFFER LETTER</v>
      </c>
      <c r="S420" s="11" t="s">
        <v>2498</v>
      </c>
    </row>
    <row r="421" ht="22.5" customHeight="1">
      <c r="A421" s="10">
        <v>46257.87384665509</v>
      </c>
      <c r="B421" s="11" t="s">
        <v>2469</v>
      </c>
      <c r="C421" s="11" t="s">
        <v>237</v>
      </c>
      <c r="D421" s="11" t="s">
        <v>68</v>
      </c>
      <c r="E421" s="12">
        <v>46259.0</v>
      </c>
      <c r="F421" s="12">
        <v>46290.0</v>
      </c>
      <c r="G421" s="11" t="s">
        <v>2470</v>
      </c>
      <c r="H421" s="11">
        <v>9.022992239E9</v>
      </c>
      <c r="I421" s="11" t="s">
        <v>82</v>
      </c>
      <c r="J421" s="11" t="s">
        <v>71</v>
      </c>
      <c r="K421" s="11" t="s">
        <v>72</v>
      </c>
      <c r="L421" s="11" t="s">
        <v>131</v>
      </c>
      <c r="M421" s="11" t="s">
        <v>2499</v>
      </c>
      <c r="N421" s="11" t="s">
        <v>1323</v>
      </c>
      <c r="O421" s="11" t="s">
        <v>71</v>
      </c>
      <c r="P421" s="11" t="s">
        <v>2500</v>
      </c>
      <c r="Q421" s="13" t="s">
        <v>2501</v>
      </c>
      <c r="R421" s="14" t="str">
        <f>HYPERLINK("https://drive.google.com/file/d/1KcGv2DL87gj0xWndRwJg7cGQzeN1OoZP/view?usp=drivesdk","OFFER LETTER")</f>
        <v>OFFER LETTER</v>
      </c>
      <c r="S421" s="11" t="s">
        <v>2502</v>
      </c>
    </row>
    <row r="422" ht="22.5" customHeight="1">
      <c r="A422" s="10">
        <v>46257.87411048611</v>
      </c>
      <c r="B422" s="11" t="s">
        <v>2503</v>
      </c>
      <c r="C422" s="11" t="s">
        <v>195</v>
      </c>
      <c r="D422" s="11" t="s">
        <v>68</v>
      </c>
      <c r="E422" s="12">
        <v>46254.0</v>
      </c>
      <c r="F422" s="12">
        <v>46285.0</v>
      </c>
      <c r="G422" s="11" t="s">
        <v>1262</v>
      </c>
      <c r="H422" s="17" t="s">
        <v>1263</v>
      </c>
      <c r="I422" s="11" t="s">
        <v>70</v>
      </c>
      <c r="J422" s="11" t="s">
        <v>71</v>
      </c>
      <c r="K422" s="11" t="s">
        <v>167</v>
      </c>
      <c r="L422" s="11" t="s">
        <v>247</v>
      </c>
      <c r="M422" s="11" t="s">
        <v>2504</v>
      </c>
      <c r="N422" s="11" t="s">
        <v>241</v>
      </c>
      <c r="O422" s="11" t="s">
        <v>71</v>
      </c>
      <c r="P422" s="11" t="s">
        <v>2505</v>
      </c>
      <c r="Q422" s="13" t="s">
        <v>2506</v>
      </c>
      <c r="R422" s="14" t="str">
        <f>HYPERLINK("https://drive.google.com/file/d/1r0J252fonV2DTyhTzBgCi7k7EgxbfPea/view?usp=drivesdk","OFFER LETTER")</f>
        <v>OFFER LETTER</v>
      </c>
      <c r="S422" s="11" t="s">
        <v>2507</v>
      </c>
    </row>
    <row r="423" ht="22.5" customHeight="1">
      <c r="A423" s="10">
        <v>46257.875944872685</v>
      </c>
      <c r="B423" s="11" t="s">
        <v>2508</v>
      </c>
      <c r="C423" s="11" t="s">
        <v>1320</v>
      </c>
      <c r="D423" s="11" t="s">
        <v>68</v>
      </c>
      <c r="E423" s="12">
        <v>46194.0</v>
      </c>
      <c r="F423" s="12">
        <v>46224.0</v>
      </c>
      <c r="G423" s="11" t="s">
        <v>2509</v>
      </c>
      <c r="H423" s="11">
        <v>8.840712052E9</v>
      </c>
      <c r="I423" s="11" t="s">
        <v>70</v>
      </c>
      <c r="J423" s="11" t="s">
        <v>71</v>
      </c>
      <c r="K423" s="11" t="s">
        <v>72</v>
      </c>
      <c r="L423" s="11" t="s">
        <v>84</v>
      </c>
      <c r="M423" s="11" t="s">
        <v>2510</v>
      </c>
      <c r="N423" s="11" t="s">
        <v>155</v>
      </c>
      <c r="O423" s="11" t="s">
        <v>71</v>
      </c>
      <c r="P423" s="11" t="s">
        <v>2511</v>
      </c>
      <c r="Q423" s="13" t="s">
        <v>2512</v>
      </c>
      <c r="R423" s="14" t="str">
        <f>HYPERLINK("https://drive.google.com/file/d/1wb9tOzGhRSMHgbMRhWTcS91XM8yOZ_3Q/view?usp=drivesdk","OFFER LETTER")</f>
        <v>OFFER LETTER</v>
      </c>
      <c r="S423" s="11" t="s">
        <v>2513</v>
      </c>
    </row>
    <row r="424" ht="22.5" customHeight="1">
      <c r="A424" s="10">
        <v>46257.87864546296</v>
      </c>
      <c r="B424" s="11" t="s">
        <v>2508</v>
      </c>
      <c r="C424" s="11" t="s">
        <v>1320</v>
      </c>
      <c r="D424" s="11" t="s">
        <v>68</v>
      </c>
      <c r="E424" s="12">
        <v>46190.0</v>
      </c>
      <c r="F424" s="12">
        <v>46220.0</v>
      </c>
      <c r="G424" s="11" t="s">
        <v>2509</v>
      </c>
      <c r="H424" s="11">
        <v>8.840712052E9</v>
      </c>
      <c r="I424" s="11" t="s">
        <v>70</v>
      </c>
      <c r="J424" s="11" t="s">
        <v>71</v>
      </c>
      <c r="K424" s="11" t="s">
        <v>72</v>
      </c>
      <c r="L424" s="11" t="s">
        <v>84</v>
      </c>
      <c r="M424" s="11" t="s">
        <v>2514</v>
      </c>
      <c r="N424" s="11" t="s">
        <v>155</v>
      </c>
      <c r="O424" s="11" t="s">
        <v>71</v>
      </c>
      <c r="P424" s="11" t="s">
        <v>2515</v>
      </c>
      <c r="Q424" s="13" t="s">
        <v>2516</v>
      </c>
      <c r="R424" s="14" t="str">
        <f>HYPERLINK("https://drive.google.com/file/d/1EcYoPkpknJFzav-1ydEk_zi0JADE1Z71/view?usp=drivesdk","OFFER LETTER")</f>
        <v>OFFER LETTER</v>
      </c>
      <c r="S424" s="11" t="s">
        <v>2517</v>
      </c>
    </row>
    <row r="425" ht="22.5" customHeight="1">
      <c r="A425" s="10">
        <v>46257.880849814814</v>
      </c>
      <c r="B425" s="11" t="s">
        <v>2518</v>
      </c>
      <c r="C425" s="11" t="s">
        <v>80</v>
      </c>
      <c r="D425" s="11" t="s">
        <v>68</v>
      </c>
      <c r="E425" s="12">
        <v>46257.0</v>
      </c>
      <c r="F425" s="12">
        <v>46288.0</v>
      </c>
      <c r="G425" s="11" t="s">
        <v>2519</v>
      </c>
      <c r="H425" s="11">
        <v>8.185801912E9</v>
      </c>
      <c r="I425" s="11" t="s">
        <v>82</v>
      </c>
      <c r="J425" s="11" t="s">
        <v>71</v>
      </c>
      <c r="K425" s="11" t="s">
        <v>2045</v>
      </c>
      <c r="L425" s="11" t="s">
        <v>357</v>
      </c>
      <c r="M425" s="11" t="s">
        <v>2520</v>
      </c>
      <c r="N425" s="11" t="s">
        <v>226</v>
      </c>
      <c r="O425" s="11" t="s">
        <v>71</v>
      </c>
      <c r="P425" s="11" t="s">
        <v>2521</v>
      </c>
      <c r="Q425" s="13" t="s">
        <v>2522</v>
      </c>
      <c r="R425" s="14" t="str">
        <f>HYPERLINK("https://drive.google.com/file/d/1cbU1OukJDH-B3-2mlsk46iD3yyxWptmD/view?usp=drivesdk","OFFER LETTER")</f>
        <v>OFFER LETTER</v>
      </c>
      <c r="S425" s="11" t="s">
        <v>2523</v>
      </c>
    </row>
    <row r="426" ht="22.5" customHeight="1">
      <c r="A426" s="10">
        <v>46257.883000925925</v>
      </c>
      <c r="B426" s="11" t="s">
        <v>2524</v>
      </c>
      <c r="C426" s="11" t="s">
        <v>1200</v>
      </c>
      <c r="D426" s="11" t="s">
        <v>68</v>
      </c>
      <c r="E426" s="12">
        <v>46267.0</v>
      </c>
      <c r="F426" s="12">
        <v>46297.0</v>
      </c>
      <c r="G426" s="11" t="s">
        <v>2525</v>
      </c>
      <c r="H426" s="11">
        <v>8.885251487E9</v>
      </c>
      <c r="I426" s="11" t="s">
        <v>82</v>
      </c>
      <c r="J426" s="11" t="s">
        <v>71</v>
      </c>
      <c r="K426" s="13" t="s">
        <v>443</v>
      </c>
      <c r="L426" s="11" t="s">
        <v>247</v>
      </c>
      <c r="M426" s="11" t="s">
        <v>2526</v>
      </c>
      <c r="N426" s="11" t="s">
        <v>241</v>
      </c>
      <c r="O426" s="11" t="s">
        <v>71</v>
      </c>
      <c r="P426" s="11" t="s">
        <v>2527</v>
      </c>
      <c r="Q426" s="13" t="s">
        <v>2528</v>
      </c>
      <c r="R426" s="14" t="str">
        <f>HYPERLINK("https://drive.google.com/file/d/17CWNFiA86s5aNWKaVDrsZzytxjlh1MGN/view?usp=drivesdk","OFFER LETTER")</f>
        <v>OFFER LETTER</v>
      </c>
      <c r="S426" s="11" t="s">
        <v>2529</v>
      </c>
    </row>
    <row r="427" ht="22.5" customHeight="1">
      <c r="A427" s="10">
        <v>46257.88669319444</v>
      </c>
      <c r="B427" s="11" t="s">
        <v>1928</v>
      </c>
      <c r="C427" s="11" t="s">
        <v>237</v>
      </c>
      <c r="D427" s="11" t="s">
        <v>68</v>
      </c>
      <c r="E427" s="12">
        <v>46259.0</v>
      </c>
      <c r="F427" s="12">
        <v>46290.0</v>
      </c>
      <c r="G427" s="11" t="s">
        <v>1929</v>
      </c>
      <c r="H427" s="11">
        <v>9.975842142E9</v>
      </c>
      <c r="I427" s="11" t="s">
        <v>70</v>
      </c>
      <c r="J427" s="11" t="s">
        <v>71</v>
      </c>
      <c r="K427" s="11" t="s">
        <v>72</v>
      </c>
      <c r="L427" s="11" t="s">
        <v>131</v>
      </c>
      <c r="M427" s="11" t="s">
        <v>1930</v>
      </c>
      <c r="N427" s="11" t="s">
        <v>936</v>
      </c>
      <c r="O427" s="11" t="s">
        <v>71</v>
      </c>
      <c r="P427" s="11" t="s">
        <v>2530</v>
      </c>
      <c r="Q427" s="13" t="s">
        <v>2531</v>
      </c>
      <c r="R427" s="14" t="str">
        <f>HYPERLINK("https://drive.google.com/file/d/1o3BVh8VqDmzgvIS_Qj-udOQ3uw6R8Y7p/view?usp=drivesdk","OFFER LETTER")</f>
        <v>OFFER LETTER</v>
      </c>
      <c r="S427" s="11" t="s">
        <v>2532</v>
      </c>
    </row>
    <row r="428" ht="22.5" customHeight="1">
      <c r="A428" s="10">
        <v>46257.88866689814</v>
      </c>
      <c r="B428" s="11" t="s">
        <v>2533</v>
      </c>
      <c r="C428" s="11" t="s">
        <v>195</v>
      </c>
      <c r="D428" s="11" t="s">
        <v>68</v>
      </c>
      <c r="E428" s="12">
        <v>46204.0</v>
      </c>
      <c r="F428" s="12">
        <v>46234.0</v>
      </c>
      <c r="G428" s="11" t="s">
        <v>2534</v>
      </c>
      <c r="H428" s="11">
        <v>8.470908232E9</v>
      </c>
      <c r="I428" s="11" t="s">
        <v>82</v>
      </c>
      <c r="J428" s="11" t="s">
        <v>71</v>
      </c>
      <c r="K428" s="11" t="s">
        <v>72</v>
      </c>
      <c r="L428" s="11" t="s">
        <v>84</v>
      </c>
      <c r="M428" s="11" t="s">
        <v>2535</v>
      </c>
      <c r="N428" s="11" t="s">
        <v>86</v>
      </c>
      <c r="O428" s="11" t="s">
        <v>71</v>
      </c>
      <c r="P428" s="11" t="s">
        <v>2536</v>
      </c>
      <c r="Q428" s="13" t="s">
        <v>2537</v>
      </c>
      <c r="R428" s="14" t="str">
        <f>HYPERLINK("https://drive.google.com/file/d/1umDaiAUyM_7iRiHuc7-5JB0-SSoN5XBH/view?usp=drivesdk","OFFER LETTER")</f>
        <v>OFFER LETTER</v>
      </c>
      <c r="S428" s="11" t="s">
        <v>2538</v>
      </c>
    </row>
    <row r="429" ht="22.5" customHeight="1">
      <c r="A429" s="10">
        <v>46257.889217233795</v>
      </c>
      <c r="B429" s="11" t="s">
        <v>2539</v>
      </c>
      <c r="C429" s="11" t="s">
        <v>173</v>
      </c>
      <c r="D429" s="11" t="s">
        <v>68</v>
      </c>
      <c r="E429" s="12">
        <v>46174.0</v>
      </c>
      <c r="F429" s="12">
        <v>46204.0</v>
      </c>
      <c r="G429" s="11" t="s">
        <v>2509</v>
      </c>
      <c r="H429" s="11">
        <v>6.78945329E9</v>
      </c>
      <c r="I429" s="11" t="s">
        <v>70</v>
      </c>
      <c r="J429" s="11" t="s">
        <v>71</v>
      </c>
      <c r="K429" s="11" t="s">
        <v>72</v>
      </c>
      <c r="L429" s="11" t="s">
        <v>84</v>
      </c>
      <c r="M429" s="11" t="s">
        <v>2540</v>
      </c>
      <c r="N429" s="11" t="s">
        <v>155</v>
      </c>
      <c r="O429" s="11" t="s">
        <v>71</v>
      </c>
      <c r="P429" s="11" t="s">
        <v>2541</v>
      </c>
      <c r="Q429" s="13" t="s">
        <v>2542</v>
      </c>
      <c r="R429" s="14" t="str">
        <f>HYPERLINK("https://drive.google.com/file/d/1SH6ECVGmprIbW5t7f-_L8Cc87nFsviKp/view?usp=drivesdk","OFFER LETTER")</f>
        <v>OFFER LETTER</v>
      </c>
      <c r="S429" s="11" t="s">
        <v>2543</v>
      </c>
    </row>
    <row r="430" ht="22.5" customHeight="1">
      <c r="A430" s="10">
        <v>46257.89374581019</v>
      </c>
      <c r="B430" s="11" t="s">
        <v>2544</v>
      </c>
      <c r="C430" s="11" t="s">
        <v>107</v>
      </c>
      <c r="D430" s="11" t="s">
        <v>68</v>
      </c>
      <c r="E430" s="12">
        <v>46266.0</v>
      </c>
      <c r="F430" s="12">
        <v>46296.0</v>
      </c>
      <c r="G430" s="11" t="s">
        <v>2545</v>
      </c>
      <c r="H430" s="11">
        <v>9.696923962E9</v>
      </c>
      <c r="I430" s="11" t="s">
        <v>82</v>
      </c>
      <c r="J430" s="11" t="s">
        <v>71</v>
      </c>
      <c r="K430" s="11" t="s">
        <v>72</v>
      </c>
      <c r="L430" s="11" t="s">
        <v>73</v>
      </c>
      <c r="M430" s="11" t="s">
        <v>2546</v>
      </c>
      <c r="N430" s="11" t="s">
        <v>936</v>
      </c>
      <c r="O430" s="11" t="s">
        <v>71</v>
      </c>
      <c r="P430" s="11" t="s">
        <v>2547</v>
      </c>
      <c r="Q430" s="13" t="s">
        <v>2548</v>
      </c>
      <c r="R430" s="14" t="str">
        <f>HYPERLINK("https://drive.google.com/file/d/1Kjm7Tapp8hhYMZhjFJWdh0neE4nbKRzN/view?usp=drivesdk","OFFER LETTER")</f>
        <v>OFFER LETTER</v>
      </c>
      <c r="S430" s="11" t="s">
        <v>2549</v>
      </c>
    </row>
    <row r="431" ht="22.5" customHeight="1">
      <c r="A431" s="10">
        <v>46257.89391774306</v>
      </c>
      <c r="B431" s="11" t="s">
        <v>2550</v>
      </c>
      <c r="C431" s="11" t="s">
        <v>237</v>
      </c>
      <c r="D431" s="11" t="s">
        <v>68</v>
      </c>
      <c r="E431" s="12">
        <v>46258.0</v>
      </c>
      <c r="F431" s="12">
        <v>46289.0</v>
      </c>
      <c r="G431" s="11" t="s">
        <v>2551</v>
      </c>
      <c r="H431" s="11">
        <v>7.496034003E9</v>
      </c>
      <c r="I431" s="11" t="s">
        <v>82</v>
      </c>
      <c r="J431" s="11" t="s">
        <v>71</v>
      </c>
      <c r="K431" s="11" t="s">
        <v>72</v>
      </c>
      <c r="L431" s="11" t="s">
        <v>84</v>
      </c>
      <c r="M431" s="11" t="s">
        <v>2552</v>
      </c>
      <c r="N431" s="11" t="s">
        <v>75</v>
      </c>
      <c r="O431" s="11" t="s">
        <v>71</v>
      </c>
      <c r="P431" s="11" t="s">
        <v>2553</v>
      </c>
      <c r="Q431" s="13" t="s">
        <v>2554</v>
      </c>
      <c r="R431" s="14" t="str">
        <f>HYPERLINK("https://drive.google.com/file/d/1PfuSRuJN5oAuhkkVo6ClcypTAu0AXfJj/view?usp=drivesdk","OFFER LETTER")</f>
        <v>OFFER LETTER</v>
      </c>
      <c r="S431" s="11" t="s">
        <v>2555</v>
      </c>
    </row>
    <row r="432" ht="22.5" customHeight="1">
      <c r="A432" s="10">
        <v>46257.90156976852</v>
      </c>
      <c r="B432" s="11" t="s">
        <v>2556</v>
      </c>
      <c r="C432" s="11" t="s">
        <v>128</v>
      </c>
      <c r="D432" s="11" t="s">
        <v>68</v>
      </c>
      <c r="E432" s="12">
        <v>46206.0</v>
      </c>
      <c r="F432" s="12">
        <v>46237.0</v>
      </c>
      <c r="G432" s="11" t="s">
        <v>2557</v>
      </c>
      <c r="H432" s="11">
        <v>8.294039577E9</v>
      </c>
      <c r="I432" s="11" t="s">
        <v>82</v>
      </c>
      <c r="J432" s="11" t="s">
        <v>71</v>
      </c>
      <c r="K432" s="11" t="s">
        <v>72</v>
      </c>
      <c r="L432" s="11" t="s">
        <v>131</v>
      </c>
      <c r="M432" s="11" t="s">
        <v>2558</v>
      </c>
      <c r="N432" s="11" t="s">
        <v>75</v>
      </c>
      <c r="O432" s="11" t="s">
        <v>71</v>
      </c>
      <c r="P432" s="11" t="s">
        <v>2559</v>
      </c>
      <c r="Q432" s="13" t="s">
        <v>2560</v>
      </c>
      <c r="R432" s="14" t="str">
        <f>HYPERLINK("https://drive.google.com/file/d/1keUcYYHgtByFC-XnuuEw8VZFJv_IWhTk/view?usp=drivesdk","OFFER LETTER")</f>
        <v>OFFER LETTER</v>
      </c>
      <c r="S432" s="11" t="s">
        <v>2561</v>
      </c>
    </row>
    <row r="433" ht="22.5" customHeight="1">
      <c r="A433" s="10">
        <v>46257.901617118056</v>
      </c>
      <c r="B433" s="11" t="s">
        <v>2544</v>
      </c>
      <c r="C433" s="11" t="s">
        <v>107</v>
      </c>
      <c r="D433" s="11" t="s">
        <v>68</v>
      </c>
      <c r="E433" s="12">
        <v>46266.0</v>
      </c>
      <c r="F433" s="12">
        <v>46296.0</v>
      </c>
      <c r="G433" s="11" t="s">
        <v>2545</v>
      </c>
      <c r="H433" s="11">
        <v>9.696923962E9</v>
      </c>
      <c r="I433" s="11" t="s">
        <v>82</v>
      </c>
      <c r="J433" s="11" t="s">
        <v>71</v>
      </c>
      <c r="K433" s="11" t="s">
        <v>72</v>
      </c>
      <c r="L433" s="11" t="s">
        <v>73</v>
      </c>
      <c r="M433" s="11" t="s">
        <v>2546</v>
      </c>
      <c r="N433" s="11" t="s">
        <v>936</v>
      </c>
      <c r="O433" s="11" t="s">
        <v>71</v>
      </c>
      <c r="P433" s="11" t="s">
        <v>2562</v>
      </c>
      <c r="Q433" s="13" t="s">
        <v>2563</v>
      </c>
      <c r="R433" s="14" t="str">
        <f>HYPERLINK("https://drive.google.com/file/d/1R2FKQplTup4fsq1LL7Tk2EbSvTE_TIAP/view?usp=drivesdk","OFFER LETTER")</f>
        <v>OFFER LETTER</v>
      </c>
      <c r="S433" s="11" t="s">
        <v>2564</v>
      </c>
    </row>
    <row r="434" ht="22.5" customHeight="1">
      <c r="A434" s="10">
        <v>46257.904647013886</v>
      </c>
      <c r="B434" s="11" t="s">
        <v>2565</v>
      </c>
      <c r="C434" s="11" t="s">
        <v>237</v>
      </c>
      <c r="D434" s="11" t="s">
        <v>68</v>
      </c>
      <c r="E434" s="12">
        <v>46257.0</v>
      </c>
      <c r="F434" s="12">
        <v>46288.0</v>
      </c>
      <c r="G434" s="11" t="s">
        <v>2566</v>
      </c>
      <c r="H434" s="11">
        <v>6.264229147E9</v>
      </c>
      <c r="I434" s="11" t="s">
        <v>82</v>
      </c>
      <c r="J434" s="11" t="s">
        <v>71</v>
      </c>
      <c r="K434" s="11" t="s">
        <v>72</v>
      </c>
      <c r="L434" s="11" t="s">
        <v>84</v>
      </c>
      <c r="M434" s="11" t="s">
        <v>2567</v>
      </c>
      <c r="N434" s="11" t="s">
        <v>75</v>
      </c>
      <c r="O434" s="11" t="s">
        <v>71</v>
      </c>
      <c r="P434" s="11" t="s">
        <v>2568</v>
      </c>
      <c r="Q434" s="13" t="s">
        <v>2569</v>
      </c>
      <c r="R434" s="14" t="str">
        <f>HYPERLINK("https://drive.google.com/file/d/1FpQESBXjKdQqaQBjyr3uQlyrrC4HQiuS/view?usp=drivesdk","OFFER LETTER")</f>
        <v>OFFER LETTER</v>
      </c>
      <c r="S434" s="11" t="s">
        <v>2570</v>
      </c>
    </row>
    <row r="435" ht="22.5" customHeight="1">
      <c r="A435" s="10">
        <v>46257.90711532407</v>
      </c>
      <c r="B435" s="11" t="s">
        <v>2571</v>
      </c>
      <c r="C435" s="11" t="s">
        <v>173</v>
      </c>
      <c r="D435" s="11" t="s">
        <v>68</v>
      </c>
      <c r="E435" s="12">
        <v>46258.0</v>
      </c>
      <c r="F435" s="12">
        <v>46321.0</v>
      </c>
      <c r="G435" s="11" t="s">
        <v>2572</v>
      </c>
      <c r="H435" s="11">
        <v>8.21744925E8</v>
      </c>
      <c r="I435" s="11" t="s">
        <v>82</v>
      </c>
      <c r="J435" s="11" t="s">
        <v>71</v>
      </c>
      <c r="K435" s="11" t="s">
        <v>72</v>
      </c>
      <c r="L435" s="11" t="s">
        <v>131</v>
      </c>
      <c r="M435" s="11" t="s">
        <v>2573</v>
      </c>
      <c r="N435" s="11" t="s">
        <v>2574</v>
      </c>
      <c r="O435" s="11" t="s">
        <v>71</v>
      </c>
      <c r="P435" s="11" t="s">
        <v>2575</v>
      </c>
      <c r="Q435" s="13" t="s">
        <v>2576</v>
      </c>
      <c r="R435" s="14" t="str">
        <f>HYPERLINK("https://drive.google.com/file/d/1F2tMUhvC8SkbigT-IlLNAPXKxCkuok1U/view?usp=drivesdk","OFFER LETTER")</f>
        <v>OFFER LETTER</v>
      </c>
      <c r="S435" s="11" t="s">
        <v>2577</v>
      </c>
    </row>
    <row r="436" ht="22.5" customHeight="1">
      <c r="A436" s="10">
        <v>46257.911719236115</v>
      </c>
      <c r="B436" s="11" t="s">
        <v>2578</v>
      </c>
      <c r="C436" s="11" t="s">
        <v>128</v>
      </c>
      <c r="D436" s="11" t="s">
        <v>68</v>
      </c>
      <c r="E436" s="12">
        <v>46257.0</v>
      </c>
      <c r="F436" s="12">
        <v>46288.0</v>
      </c>
      <c r="G436" s="11" t="s">
        <v>2579</v>
      </c>
      <c r="H436" s="11">
        <v>9.025173095E9</v>
      </c>
      <c r="I436" s="11" t="s">
        <v>82</v>
      </c>
      <c r="J436" s="11" t="s">
        <v>83</v>
      </c>
      <c r="K436" s="11" t="s">
        <v>72</v>
      </c>
      <c r="L436" s="11" t="s">
        <v>84</v>
      </c>
      <c r="M436" s="11" t="s">
        <v>2580</v>
      </c>
      <c r="N436" s="11" t="s">
        <v>75</v>
      </c>
      <c r="O436" s="11" t="s">
        <v>71</v>
      </c>
      <c r="P436" s="11" t="s">
        <v>2581</v>
      </c>
      <c r="Q436" s="13" t="s">
        <v>2582</v>
      </c>
      <c r="R436" s="14" t="str">
        <f>HYPERLINK("https://drive.google.com/file/d/1W-I44D6f0S6GXBFH_pVHJtIqH8WMbb_k/view?usp=drivesdk","OFFER LETTER")</f>
        <v>OFFER LETTER</v>
      </c>
      <c r="S436" s="11" t="s">
        <v>2583</v>
      </c>
    </row>
    <row r="437" ht="22.5" customHeight="1">
      <c r="A437" s="10">
        <v>46257.91473633102</v>
      </c>
      <c r="B437" s="11" t="s">
        <v>2584</v>
      </c>
      <c r="C437" s="11" t="s">
        <v>107</v>
      </c>
      <c r="D437" s="11" t="s">
        <v>68</v>
      </c>
      <c r="E437" s="12">
        <v>46258.0</v>
      </c>
      <c r="F437" s="12">
        <v>46289.0</v>
      </c>
      <c r="G437" s="11" t="s">
        <v>2585</v>
      </c>
      <c r="H437" s="11">
        <v>8.770332038E9</v>
      </c>
      <c r="I437" s="11" t="s">
        <v>82</v>
      </c>
      <c r="J437" s="11" t="s">
        <v>71</v>
      </c>
      <c r="K437" s="11" t="s">
        <v>72</v>
      </c>
      <c r="L437" s="11" t="s">
        <v>247</v>
      </c>
      <c r="M437" s="11" t="s">
        <v>2586</v>
      </c>
      <c r="N437" s="11" t="s">
        <v>630</v>
      </c>
      <c r="O437" s="11" t="s">
        <v>71</v>
      </c>
      <c r="P437" s="11" t="s">
        <v>2587</v>
      </c>
      <c r="Q437" s="13" t="s">
        <v>2588</v>
      </c>
      <c r="R437" s="14" t="str">
        <f>HYPERLINK("https://drive.google.com/file/d/1KUxIWo_WhfdUp8mE46y8T7CDlU1lN7BA/view?usp=drivesdk","OFFER LETTER")</f>
        <v>OFFER LETTER</v>
      </c>
      <c r="S437" s="11" t="s">
        <v>2589</v>
      </c>
    </row>
    <row r="438" ht="22.5" customHeight="1">
      <c r="A438" s="10">
        <v>46257.927516805554</v>
      </c>
      <c r="B438" s="11" t="s">
        <v>2590</v>
      </c>
      <c r="C438" s="11" t="s">
        <v>2591</v>
      </c>
      <c r="D438" s="11" t="s">
        <v>68</v>
      </c>
      <c r="E438" s="12">
        <v>46258.0</v>
      </c>
      <c r="F438" s="12">
        <v>46288.0</v>
      </c>
      <c r="G438" s="11" t="s">
        <v>2592</v>
      </c>
      <c r="H438" s="11">
        <v>9.767955799E9</v>
      </c>
      <c r="I438" s="11" t="s">
        <v>82</v>
      </c>
      <c r="J438" s="11" t="s">
        <v>71</v>
      </c>
      <c r="K438" s="11" t="s">
        <v>72</v>
      </c>
      <c r="L438" s="11" t="s">
        <v>73</v>
      </c>
      <c r="M438" s="11" t="s">
        <v>2593</v>
      </c>
      <c r="N438" s="11" t="s">
        <v>86</v>
      </c>
      <c r="O438" s="11" t="s">
        <v>71</v>
      </c>
      <c r="P438" s="11" t="s">
        <v>2594</v>
      </c>
      <c r="Q438" s="13" t="s">
        <v>2595</v>
      </c>
      <c r="R438" s="14" t="str">
        <f>HYPERLINK("https://drive.google.com/file/d/1sm31JIoaR63elCi8yVOgC5CY9kQ1887J/view?usp=drivesdk","OFFER LETTER")</f>
        <v>OFFER LETTER</v>
      </c>
      <c r="S438" s="11" t="s">
        <v>2596</v>
      </c>
    </row>
    <row r="439" ht="22.5" customHeight="1">
      <c r="A439" s="10">
        <v>46257.927883275464</v>
      </c>
      <c r="B439" s="11" t="s">
        <v>2597</v>
      </c>
      <c r="C439" s="11" t="s">
        <v>742</v>
      </c>
      <c r="D439" s="11" t="s">
        <v>68</v>
      </c>
      <c r="E439" s="12">
        <v>46257.0</v>
      </c>
      <c r="F439" s="12">
        <v>46288.0</v>
      </c>
      <c r="G439" s="11" t="s">
        <v>2598</v>
      </c>
      <c r="H439" s="11">
        <v>9.026919219E9</v>
      </c>
      <c r="I439" s="11" t="s">
        <v>82</v>
      </c>
      <c r="J439" s="11" t="s">
        <v>71</v>
      </c>
      <c r="K439" s="11" t="s">
        <v>110</v>
      </c>
      <c r="L439" s="11" t="s">
        <v>73</v>
      </c>
      <c r="M439" s="11" t="s">
        <v>2599</v>
      </c>
      <c r="N439" s="11" t="s">
        <v>241</v>
      </c>
      <c r="O439" s="11" t="s">
        <v>71</v>
      </c>
      <c r="P439" s="11" t="s">
        <v>2600</v>
      </c>
      <c r="Q439" s="13" t="s">
        <v>2601</v>
      </c>
      <c r="R439" s="14" t="str">
        <f>HYPERLINK("https://drive.google.com/file/d/1BDVSUNL5idYVNlJ6QZmQAvbv-WUVuBo2/view?usp=drivesdk","OFFER LETTER")</f>
        <v>OFFER LETTER</v>
      </c>
      <c r="S439" s="11" t="s">
        <v>2602</v>
      </c>
    </row>
    <row r="440" ht="22.5" customHeight="1">
      <c r="A440" s="10">
        <v>46257.94224657408</v>
      </c>
      <c r="B440" s="11" t="s">
        <v>2603</v>
      </c>
      <c r="C440" s="11" t="s">
        <v>173</v>
      </c>
      <c r="D440" s="11" t="s">
        <v>238</v>
      </c>
      <c r="E440" s="12">
        <v>46257.0</v>
      </c>
      <c r="F440" s="12">
        <v>46257.0</v>
      </c>
      <c r="G440" s="11" t="s">
        <v>2604</v>
      </c>
      <c r="H440" s="11">
        <v>9.640457179E9</v>
      </c>
      <c r="I440" s="11" t="s">
        <v>70</v>
      </c>
      <c r="J440" s="11" t="s">
        <v>71</v>
      </c>
      <c r="K440" s="11" t="s">
        <v>72</v>
      </c>
      <c r="L440" s="11" t="s">
        <v>84</v>
      </c>
      <c r="M440" s="11" t="s">
        <v>2605</v>
      </c>
      <c r="N440" s="11" t="s">
        <v>241</v>
      </c>
      <c r="O440" s="11" t="s">
        <v>71</v>
      </c>
      <c r="P440" s="11" t="s">
        <v>2606</v>
      </c>
      <c r="Q440" s="13" t="s">
        <v>2607</v>
      </c>
      <c r="R440" s="14" t="str">
        <f>HYPERLINK("https://drive.google.com/file/d/1GTgEhDDrpIAJScH78Pdg2s9qDBsrE-ZN/view?usp=drivesdk","OFFER LETTER")</f>
        <v>OFFER LETTER</v>
      </c>
      <c r="S440" s="11" t="s">
        <v>2608</v>
      </c>
    </row>
    <row r="441" ht="22.5" customHeight="1">
      <c r="A441" s="10">
        <v>46257.94245369213</v>
      </c>
      <c r="B441" s="11" t="s">
        <v>2609</v>
      </c>
      <c r="C441" s="11" t="s">
        <v>259</v>
      </c>
      <c r="D441" s="11" t="s">
        <v>108</v>
      </c>
      <c r="E441" s="12">
        <v>46258.0</v>
      </c>
      <c r="F441" s="12">
        <v>46319.0</v>
      </c>
      <c r="G441" s="11" t="s">
        <v>2610</v>
      </c>
      <c r="H441" s="11">
        <v>8.016390206E9</v>
      </c>
      <c r="I441" s="11" t="s">
        <v>82</v>
      </c>
      <c r="J441" s="11" t="s">
        <v>71</v>
      </c>
      <c r="K441" s="11" t="s">
        <v>110</v>
      </c>
      <c r="L441" s="11" t="s">
        <v>84</v>
      </c>
      <c r="M441" s="11" t="s">
        <v>2611</v>
      </c>
      <c r="N441" s="11" t="s">
        <v>86</v>
      </c>
      <c r="O441" s="11" t="s">
        <v>71</v>
      </c>
      <c r="P441" s="11" t="s">
        <v>2612</v>
      </c>
      <c r="Q441" s="13" t="s">
        <v>2613</v>
      </c>
      <c r="R441" s="14" t="str">
        <f>HYPERLINK("https://drive.google.com/file/d/1H2g74NMOgEHWE6rAqVSAdeMG5AJ0fC_x/view?usp=drivesdk","OFFER LETTER")</f>
        <v>OFFER LETTER</v>
      </c>
      <c r="S441" s="11" t="s">
        <v>2614</v>
      </c>
    </row>
    <row r="442" ht="22.5" customHeight="1">
      <c r="A442" s="10">
        <v>46257.94521096065</v>
      </c>
      <c r="B442" s="11" t="s">
        <v>2615</v>
      </c>
      <c r="C442" s="11" t="s">
        <v>259</v>
      </c>
      <c r="D442" s="11" t="s">
        <v>108</v>
      </c>
      <c r="E442" s="12">
        <v>46258.0</v>
      </c>
      <c r="F442" s="12">
        <v>46319.0</v>
      </c>
      <c r="G442" s="11" t="s">
        <v>2616</v>
      </c>
      <c r="H442" s="11">
        <v>7.47753961E9</v>
      </c>
      <c r="I442" s="11" t="s">
        <v>82</v>
      </c>
      <c r="J442" s="11" t="s">
        <v>71</v>
      </c>
      <c r="K442" s="11" t="s">
        <v>110</v>
      </c>
      <c r="L442" s="11" t="s">
        <v>84</v>
      </c>
      <c r="M442" s="11" t="s">
        <v>2617</v>
      </c>
      <c r="N442" s="11" t="s">
        <v>86</v>
      </c>
      <c r="O442" s="11" t="s">
        <v>71</v>
      </c>
      <c r="P442" s="11" t="s">
        <v>2618</v>
      </c>
      <c r="Q442" s="13" t="s">
        <v>2619</v>
      </c>
      <c r="R442" s="14" t="str">
        <f>HYPERLINK("https://drive.google.com/file/d/17WurFJ6QYg4Luopgot5DCcgVJWkB9cfg/view?usp=drivesdk","OFFER LETTER")</f>
        <v>OFFER LETTER</v>
      </c>
      <c r="S442" s="11" t="s">
        <v>2620</v>
      </c>
    </row>
    <row r="443" ht="22.5" customHeight="1">
      <c r="A443" s="10">
        <v>46257.94565383102</v>
      </c>
      <c r="B443" s="11" t="s">
        <v>2621</v>
      </c>
      <c r="C443" s="11" t="s">
        <v>259</v>
      </c>
      <c r="D443" s="11" t="s">
        <v>68</v>
      </c>
      <c r="E443" s="12">
        <v>46258.0</v>
      </c>
      <c r="F443" s="12">
        <v>46289.0</v>
      </c>
      <c r="G443" s="11" t="s">
        <v>2622</v>
      </c>
      <c r="H443" s="11">
        <v>9.007546388E9</v>
      </c>
      <c r="I443" s="11" t="s">
        <v>70</v>
      </c>
      <c r="J443" s="11" t="s">
        <v>71</v>
      </c>
      <c r="K443" s="11" t="s">
        <v>72</v>
      </c>
      <c r="L443" s="11" t="s">
        <v>73</v>
      </c>
      <c r="M443" s="11" t="s">
        <v>2623</v>
      </c>
      <c r="N443" s="11" t="s">
        <v>241</v>
      </c>
      <c r="O443" s="11" t="s">
        <v>71</v>
      </c>
      <c r="P443" s="11" t="s">
        <v>2624</v>
      </c>
      <c r="Q443" s="13" t="s">
        <v>2625</v>
      </c>
      <c r="R443" s="14" t="str">
        <f>HYPERLINK("https://drive.google.com/file/d/1RhH1uvUElRD3QbeY3K2a92qlWFCULgxy/view?usp=drivesdk","OFFER LETTER")</f>
        <v>OFFER LETTER</v>
      </c>
      <c r="S443" s="11" t="s">
        <v>2626</v>
      </c>
    </row>
    <row r="444" ht="22.5" customHeight="1">
      <c r="A444" s="10">
        <v>46257.947627291665</v>
      </c>
      <c r="B444" s="11" t="s">
        <v>2627</v>
      </c>
      <c r="C444" s="11" t="s">
        <v>298</v>
      </c>
      <c r="D444" s="11" t="s">
        <v>68</v>
      </c>
      <c r="E444" s="12">
        <v>46200.0</v>
      </c>
      <c r="F444" s="12">
        <v>46230.0</v>
      </c>
      <c r="G444" s="11" t="s">
        <v>2628</v>
      </c>
      <c r="H444" s="11">
        <v>7.369846403E9</v>
      </c>
      <c r="I444" s="11" t="s">
        <v>82</v>
      </c>
      <c r="J444" s="11" t="s">
        <v>71</v>
      </c>
      <c r="K444" s="11" t="s">
        <v>72</v>
      </c>
      <c r="L444" s="11" t="s">
        <v>84</v>
      </c>
      <c r="M444" s="11" t="s">
        <v>2629</v>
      </c>
      <c r="N444" s="11" t="s">
        <v>936</v>
      </c>
      <c r="O444" s="11" t="s">
        <v>71</v>
      </c>
      <c r="P444" s="11" t="s">
        <v>2630</v>
      </c>
      <c r="Q444" s="13" t="s">
        <v>2631</v>
      </c>
      <c r="R444" s="14" t="str">
        <f>HYPERLINK("https://drive.google.com/file/d/16nq0tAhq6PJzIAA3D0tg9XXG7PsE5HFH/view?usp=drivesdk","OFFER LETTER")</f>
        <v>OFFER LETTER</v>
      </c>
      <c r="S444" s="11" t="s">
        <v>2632</v>
      </c>
    </row>
    <row r="445" ht="22.5" customHeight="1">
      <c r="A445" s="10">
        <v>46257.948929826394</v>
      </c>
      <c r="B445" s="11" t="s">
        <v>2633</v>
      </c>
      <c r="C445" s="11" t="s">
        <v>128</v>
      </c>
      <c r="D445" s="11" t="s">
        <v>929</v>
      </c>
      <c r="E445" s="12">
        <v>46258.0</v>
      </c>
      <c r="F445" s="12">
        <v>46442.0</v>
      </c>
      <c r="G445" s="11" t="s">
        <v>2634</v>
      </c>
      <c r="H445" s="11">
        <v>8.668649274E9</v>
      </c>
      <c r="I445" s="11" t="s">
        <v>82</v>
      </c>
      <c r="J445" s="11" t="s">
        <v>71</v>
      </c>
      <c r="K445" s="11" t="s">
        <v>72</v>
      </c>
      <c r="L445" s="11" t="s">
        <v>73</v>
      </c>
      <c r="M445" s="11" t="s">
        <v>2635</v>
      </c>
      <c r="N445" s="11" t="s">
        <v>86</v>
      </c>
      <c r="O445" s="11" t="s">
        <v>71</v>
      </c>
      <c r="P445" s="11" t="s">
        <v>2636</v>
      </c>
      <c r="Q445" s="13" t="s">
        <v>2637</v>
      </c>
      <c r="R445" s="14" t="str">
        <f>HYPERLINK("https://drive.google.com/file/d/1Ft__0M16igomhppA-Q2_5oqGf4N2p30N/view?usp=drivesdk","OFFER LETTER")</f>
        <v>OFFER LETTER</v>
      </c>
      <c r="S445" s="11" t="s">
        <v>2638</v>
      </c>
    </row>
    <row r="446" ht="22.5" customHeight="1">
      <c r="A446" s="10">
        <v>46257.95001918981</v>
      </c>
      <c r="B446" s="11" t="s">
        <v>2639</v>
      </c>
      <c r="C446" s="11" t="s">
        <v>195</v>
      </c>
      <c r="D446" s="11" t="s">
        <v>68</v>
      </c>
      <c r="E446" s="12">
        <v>46258.0</v>
      </c>
      <c r="F446" s="12">
        <v>46288.0</v>
      </c>
      <c r="G446" s="11" t="s">
        <v>2640</v>
      </c>
      <c r="H446" s="11">
        <v>7.828172443E9</v>
      </c>
      <c r="I446" s="11" t="s">
        <v>82</v>
      </c>
      <c r="J446" s="11" t="s">
        <v>71</v>
      </c>
      <c r="K446" s="11" t="s">
        <v>72</v>
      </c>
      <c r="L446" s="11" t="s">
        <v>131</v>
      </c>
      <c r="M446" s="11" t="s">
        <v>2641</v>
      </c>
      <c r="N446" s="11" t="s">
        <v>226</v>
      </c>
      <c r="O446" s="11" t="s">
        <v>71</v>
      </c>
      <c r="P446" s="11" t="s">
        <v>2642</v>
      </c>
      <c r="Q446" s="13" t="s">
        <v>2643</v>
      </c>
      <c r="R446" s="14" t="str">
        <f>HYPERLINK("https://drive.google.com/file/d/1578ImXb8Fs_vnIQMIZNvKiLG6NVt0c0o/view?usp=drivesdk","OFFER LETTER")</f>
        <v>OFFER LETTER</v>
      </c>
      <c r="S446" s="11" t="s">
        <v>2644</v>
      </c>
    </row>
    <row r="447" ht="22.5" customHeight="1">
      <c r="A447" s="10">
        <v>46257.95092616898</v>
      </c>
      <c r="B447" s="11" t="s">
        <v>2621</v>
      </c>
      <c r="C447" s="11" t="s">
        <v>259</v>
      </c>
      <c r="D447" s="11" t="s">
        <v>68</v>
      </c>
      <c r="E447" s="12">
        <v>46258.0</v>
      </c>
      <c r="F447" s="12">
        <v>46289.0</v>
      </c>
      <c r="G447" s="11" t="s">
        <v>2622</v>
      </c>
      <c r="H447" s="11">
        <v>9.007546388E9</v>
      </c>
      <c r="I447" s="11" t="s">
        <v>70</v>
      </c>
      <c r="J447" s="11" t="s">
        <v>71</v>
      </c>
      <c r="K447" s="11" t="s">
        <v>72</v>
      </c>
      <c r="L447" s="11" t="s">
        <v>73</v>
      </c>
      <c r="M447" s="11" t="s">
        <v>2623</v>
      </c>
      <c r="N447" s="11" t="s">
        <v>241</v>
      </c>
      <c r="O447" s="11" t="s">
        <v>71</v>
      </c>
      <c r="P447" s="11" t="s">
        <v>2645</v>
      </c>
      <c r="Q447" s="13" t="s">
        <v>2646</v>
      </c>
      <c r="R447" s="14" t="str">
        <f>HYPERLINK("https://drive.google.com/file/d/1oFu6IpSZh_MZleECFFYOvLsJdBBhHkJ0/view?usp=drivesdk","OFFER LETTER")</f>
        <v>OFFER LETTER</v>
      </c>
      <c r="S447" s="11" t="s">
        <v>2647</v>
      </c>
    </row>
    <row r="448" ht="22.5" customHeight="1">
      <c r="A448" s="10">
        <v>46257.957805972226</v>
      </c>
      <c r="B448" s="11" t="s">
        <v>2648</v>
      </c>
      <c r="C448" s="11" t="s">
        <v>173</v>
      </c>
      <c r="D448" s="11" t="s">
        <v>68</v>
      </c>
      <c r="E448" s="12">
        <v>46258.0</v>
      </c>
      <c r="F448" s="12">
        <v>46290.0</v>
      </c>
      <c r="G448" s="11" t="s">
        <v>2572</v>
      </c>
      <c r="H448" s="11">
        <v>8.217544925E9</v>
      </c>
      <c r="I448" s="11" t="s">
        <v>82</v>
      </c>
      <c r="J448" s="11" t="s">
        <v>71</v>
      </c>
      <c r="K448" s="11" t="s">
        <v>72</v>
      </c>
      <c r="L448" s="11" t="s">
        <v>131</v>
      </c>
      <c r="M448" s="11" t="s">
        <v>2649</v>
      </c>
      <c r="N448" s="11" t="s">
        <v>219</v>
      </c>
      <c r="O448" s="11" t="s">
        <v>71</v>
      </c>
      <c r="P448" s="11" t="s">
        <v>2650</v>
      </c>
      <c r="Q448" s="13" t="s">
        <v>2651</v>
      </c>
      <c r="R448" s="14" t="str">
        <f>HYPERLINK("https://drive.google.com/file/d/1aLAE1W5qDrxNCmC_0QRWHGoCsMUHK8Yy/view?usp=drivesdk","OFFER LETTER")</f>
        <v>OFFER LETTER</v>
      </c>
      <c r="S448" s="11" t="s">
        <v>2652</v>
      </c>
    </row>
    <row r="449" ht="22.5" customHeight="1">
      <c r="A449" s="10">
        <v>46257.95820613426</v>
      </c>
      <c r="B449" s="11" t="s">
        <v>2653</v>
      </c>
      <c r="C449" s="11" t="s">
        <v>173</v>
      </c>
      <c r="D449" s="11" t="s">
        <v>68</v>
      </c>
      <c r="E449" s="12">
        <v>46225.0</v>
      </c>
      <c r="F449" s="12">
        <v>46256.0</v>
      </c>
      <c r="G449" s="11" t="s">
        <v>2654</v>
      </c>
      <c r="H449" s="11">
        <v>7.310427038E9</v>
      </c>
      <c r="I449" s="11" t="s">
        <v>82</v>
      </c>
      <c r="J449" s="11" t="s">
        <v>71</v>
      </c>
      <c r="K449" s="11" t="s">
        <v>72</v>
      </c>
      <c r="L449" s="11" t="s">
        <v>84</v>
      </c>
      <c r="M449" s="11" t="s">
        <v>2655</v>
      </c>
      <c r="N449" s="11" t="s">
        <v>86</v>
      </c>
      <c r="O449" s="11" t="s">
        <v>71</v>
      </c>
      <c r="P449" s="11" t="s">
        <v>2656</v>
      </c>
      <c r="Q449" s="13" t="s">
        <v>2657</v>
      </c>
      <c r="R449" s="14" t="str">
        <f>HYPERLINK("https://drive.google.com/file/d/13BWoBe-5jzCeyvX9NLNOgChXfrcKpos4/view?usp=drivesdk","OFFER LETTER")</f>
        <v>OFFER LETTER</v>
      </c>
      <c r="S449" s="11" t="s">
        <v>2658</v>
      </c>
    </row>
    <row r="450" ht="22.5" customHeight="1">
      <c r="A450" s="10">
        <v>46257.95904209491</v>
      </c>
      <c r="B450" s="11" t="s">
        <v>2659</v>
      </c>
      <c r="C450" s="11" t="s">
        <v>173</v>
      </c>
      <c r="D450" s="11" t="s">
        <v>68</v>
      </c>
      <c r="E450" s="12">
        <v>46254.0</v>
      </c>
      <c r="F450" s="12">
        <v>46285.0</v>
      </c>
      <c r="G450" s="11" t="s">
        <v>2660</v>
      </c>
      <c r="H450" s="11">
        <v>7.058948425E9</v>
      </c>
      <c r="I450" s="11" t="s">
        <v>70</v>
      </c>
      <c r="J450" s="11" t="s">
        <v>71</v>
      </c>
      <c r="K450" s="11" t="s">
        <v>72</v>
      </c>
      <c r="L450" s="11" t="s">
        <v>73</v>
      </c>
      <c r="M450" s="11" t="s">
        <v>2661</v>
      </c>
      <c r="N450" s="11" t="s">
        <v>936</v>
      </c>
      <c r="O450" s="11" t="s">
        <v>71</v>
      </c>
      <c r="P450" s="11" t="s">
        <v>2662</v>
      </c>
      <c r="Q450" s="13" t="s">
        <v>2663</v>
      </c>
      <c r="R450" s="14" t="str">
        <f>HYPERLINK("https://drive.google.com/file/d/117dnUPe8x920h3JO-4PkdVI_9m_bGMSa/view?usp=drivesdk","OFFER LETTER")</f>
        <v>OFFER LETTER</v>
      </c>
      <c r="S450" s="11" t="s">
        <v>2664</v>
      </c>
    </row>
    <row r="451" ht="22.5" customHeight="1">
      <c r="A451" s="10">
        <v>46257.960454733795</v>
      </c>
      <c r="B451" s="11" t="s">
        <v>2665</v>
      </c>
      <c r="C451" s="11" t="s">
        <v>2591</v>
      </c>
      <c r="D451" s="11" t="s">
        <v>68</v>
      </c>
      <c r="E451" s="12">
        <v>46118.0</v>
      </c>
      <c r="F451" s="12">
        <v>46149.0</v>
      </c>
      <c r="G451" s="11" t="s">
        <v>2666</v>
      </c>
      <c r="H451" s="11" t="s">
        <v>2667</v>
      </c>
      <c r="I451" s="11" t="s">
        <v>82</v>
      </c>
      <c r="J451" s="11" t="s">
        <v>83</v>
      </c>
      <c r="K451" s="11" t="s">
        <v>72</v>
      </c>
      <c r="L451" s="11" t="s">
        <v>73</v>
      </c>
      <c r="M451" s="11" t="s">
        <v>2668</v>
      </c>
      <c r="N451" s="11" t="s">
        <v>198</v>
      </c>
      <c r="O451" s="11" t="s">
        <v>71</v>
      </c>
      <c r="P451" s="11" t="s">
        <v>2669</v>
      </c>
      <c r="Q451" s="13" t="s">
        <v>2670</v>
      </c>
      <c r="R451" s="14" t="str">
        <f>HYPERLINK("https://drive.google.com/file/d/1foEfXW-cXlkL3607jFblGQuuOP0b1y8a/view?usp=drivesdk","OFFER LETTER")</f>
        <v>OFFER LETTER</v>
      </c>
      <c r="S451" s="11" t="s">
        <v>2671</v>
      </c>
    </row>
    <row r="452" ht="22.5" customHeight="1">
      <c r="A452" s="10">
        <v>46257.96207559027</v>
      </c>
      <c r="B452" s="11" t="s">
        <v>2672</v>
      </c>
      <c r="C452" s="11" t="s">
        <v>259</v>
      </c>
      <c r="D452" s="11" t="s">
        <v>68</v>
      </c>
      <c r="E452" s="12">
        <v>46257.0</v>
      </c>
      <c r="F452" s="12">
        <v>46289.0</v>
      </c>
      <c r="G452" s="11" t="s">
        <v>2255</v>
      </c>
      <c r="H452" s="11">
        <v>7.743949056E9</v>
      </c>
      <c r="I452" s="11" t="s">
        <v>70</v>
      </c>
      <c r="J452" s="11" t="s">
        <v>71</v>
      </c>
      <c r="K452" s="11" t="s">
        <v>72</v>
      </c>
      <c r="L452" s="11" t="s">
        <v>131</v>
      </c>
      <c r="M452" s="11" t="s">
        <v>2673</v>
      </c>
      <c r="N452" s="11" t="s">
        <v>155</v>
      </c>
      <c r="O452" s="11" t="s">
        <v>71</v>
      </c>
      <c r="P452" s="11" t="s">
        <v>2674</v>
      </c>
      <c r="Q452" s="13" t="s">
        <v>2675</v>
      </c>
      <c r="R452" s="14" t="str">
        <f>HYPERLINK("https://drive.google.com/file/d/1aogyBpbArL6M2PooA-D388K5DsfXtBCE/view?usp=drivesdk","OFFER LETTER")</f>
        <v>OFFER LETTER</v>
      </c>
      <c r="S452" s="11" t="s">
        <v>2676</v>
      </c>
    </row>
    <row r="453" ht="22.5" customHeight="1">
      <c r="A453" s="10">
        <v>46257.967379016205</v>
      </c>
      <c r="B453" s="11" t="s">
        <v>2677</v>
      </c>
      <c r="C453" s="11" t="s">
        <v>173</v>
      </c>
      <c r="D453" s="11" t="s">
        <v>68</v>
      </c>
      <c r="E453" s="12">
        <v>46203.0</v>
      </c>
      <c r="F453" s="12">
        <v>46233.0</v>
      </c>
      <c r="G453" s="11" t="s">
        <v>2678</v>
      </c>
      <c r="H453" s="11">
        <v>9.99144785E9</v>
      </c>
      <c r="I453" s="11" t="s">
        <v>82</v>
      </c>
      <c r="J453" s="11" t="s">
        <v>71</v>
      </c>
      <c r="K453" s="11" t="s">
        <v>72</v>
      </c>
      <c r="L453" s="11" t="s">
        <v>73</v>
      </c>
      <c r="M453" s="11" t="s">
        <v>2679</v>
      </c>
      <c r="N453" s="11" t="s">
        <v>86</v>
      </c>
      <c r="O453" s="11" t="s">
        <v>71</v>
      </c>
      <c r="P453" s="11" t="s">
        <v>2680</v>
      </c>
      <c r="Q453" s="13" t="s">
        <v>2681</v>
      </c>
      <c r="R453" s="14" t="str">
        <f>HYPERLINK("https://drive.google.com/file/d/1FrcE5mTUWNN7Z6_eF4YqQDnRGP-pCvPg/view?usp=drivesdk","OFFER LETTER")</f>
        <v>OFFER LETTER</v>
      </c>
      <c r="S453" s="11" t="s">
        <v>2682</v>
      </c>
    </row>
    <row r="454" ht="22.5" customHeight="1">
      <c r="A454" s="10">
        <v>46257.9733728125</v>
      </c>
      <c r="B454" s="11" t="s">
        <v>2683</v>
      </c>
      <c r="C454" s="11" t="s">
        <v>91</v>
      </c>
      <c r="D454" s="11" t="s">
        <v>68</v>
      </c>
      <c r="E454" s="12">
        <v>46266.0</v>
      </c>
      <c r="F454" s="12">
        <v>46296.0</v>
      </c>
      <c r="G454" s="11" t="s">
        <v>2684</v>
      </c>
      <c r="H454" s="11">
        <v>6.200141051E9</v>
      </c>
      <c r="I454" s="11" t="s">
        <v>82</v>
      </c>
      <c r="J454" s="11" t="s">
        <v>71</v>
      </c>
      <c r="K454" s="11" t="s">
        <v>72</v>
      </c>
      <c r="L454" s="11" t="s">
        <v>84</v>
      </c>
      <c r="M454" s="11" t="s">
        <v>2685</v>
      </c>
      <c r="N454" s="11" t="s">
        <v>226</v>
      </c>
      <c r="O454" s="11" t="s">
        <v>71</v>
      </c>
      <c r="P454" s="11" t="s">
        <v>2686</v>
      </c>
      <c r="Q454" s="13" t="s">
        <v>2687</v>
      </c>
      <c r="R454" s="14" t="str">
        <f>HYPERLINK("https://drive.google.com/file/d/1_NbdupD_REDLykpPaAphsLNXK8TjzhQF/view?usp=drivesdk","OFFER LETTER")</f>
        <v>OFFER LETTER</v>
      </c>
      <c r="S454" s="11" t="s">
        <v>2688</v>
      </c>
    </row>
    <row r="455" ht="22.5" customHeight="1">
      <c r="A455" s="10">
        <v>46257.97547976852</v>
      </c>
      <c r="B455" s="11" t="s">
        <v>2689</v>
      </c>
      <c r="C455" s="11" t="s">
        <v>195</v>
      </c>
      <c r="D455" s="11" t="s">
        <v>238</v>
      </c>
      <c r="E455" s="12">
        <v>46258.0</v>
      </c>
      <c r="F455" s="12">
        <v>46387.0</v>
      </c>
      <c r="G455" s="11" t="s">
        <v>2690</v>
      </c>
      <c r="H455" s="11">
        <v>9.063898069E9</v>
      </c>
      <c r="I455" s="11" t="s">
        <v>70</v>
      </c>
      <c r="J455" s="11" t="s">
        <v>71</v>
      </c>
      <c r="K455" s="11" t="s">
        <v>72</v>
      </c>
      <c r="L455" s="11" t="s">
        <v>84</v>
      </c>
      <c r="M455" s="11" t="s">
        <v>2691</v>
      </c>
      <c r="N455" s="11" t="s">
        <v>241</v>
      </c>
      <c r="O455" s="11" t="s">
        <v>71</v>
      </c>
      <c r="P455" s="11" t="s">
        <v>2692</v>
      </c>
      <c r="Q455" s="13" t="s">
        <v>2693</v>
      </c>
      <c r="R455" s="14" t="str">
        <f>HYPERLINK("https://drive.google.com/file/d/1G8W3WlYz430kAXqHd-EqQjVlscaqI0vL/view?usp=drivesdk","OFFER LETTER")</f>
        <v>OFFER LETTER</v>
      </c>
      <c r="S455" s="11" t="s">
        <v>2694</v>
      </c>
    </row>
    <row r="456" ht="22.5" customHeight="1">
      <c r="A456" s="10">
        <v>46257.97669069444</v>
      </c>
      <c r="B456" s="11" t="s">
        <v>2695</v>
      </c>
      <c r="C456" s="11" t="s">
        <v>195</v>
      </c>
      <c r="D456" s="11" t="s">
        <v>108</v>
      </c>
      <c r="E456" s="12">
        <v>46257.0</v>
      </c>
      <c r="F456" s="12">
        <v>46318.0</v>
      </c>
      <c r="G456" s="11" t="s">
        <v>2696</v>
      </c>
      <c r="H456" s="11">
        <v>6.379755212E9</v>
      </c>
      <c r="I456" s="11" t="s">
        <v>70</v>
      </c>
      <c r="J456" s="11" t="s">
        <v>71</v>
      </c>
      <c r="K456" s="11" t="s">
        <v>72</v>
      </c>
      <c r="L456" s="11" t="s">
        <v>357</v>
      </c>
      <c r="M456" s="11" t="s">
        <v>2697</v>
      </c>
      <c r="N456" s="11" t="s">
        <v>241</v>
      </c>
      <c r="O456" s="11" t="s">
        <v>71</v>
      </c>
      <c r="P456" s="11" t="s">
        <v>2698</v>
      </c>
      <c r="Q456" s="13" t="s">
        <v>2699</v>
      </c>
      <c r="R456" s="14" t="str">
        <f>HYPERLINK("https://drive.google.com/file/d/1iweSuw6aaythJCb1WbZwy8IkaTnNy0QO/view?usp=drivesdk","OFFER LETTER")</f>
        <v>OFFER LETTER</v>
      </c>
      <c r="S456" s="11" t="s">
        <v>2700</v>
      </c>
    </row>
    <row r="457" ht="22.5" customHeight="1">
      <c r="A457" s="10">
        <v>46257.97719460649</v>
      </c>
      <c r="B457" s="11" t="s">
        <v>2701</v>
      </c>
      <c r="C457" s="11" t="s">
        <v>1320</v>
      </c>
      <c r="D457" s="11" t="s">
        <v>68</v>
      </c>
      <c r="E457" s="12">
        <v>46259.0</v>
      </c>
      <c r="F457" s="12">
        <v>46290.0</v>
      </c>
      <c r="G457" s="11" t="s">
        <v>2702</v>
      </c>
      <c r="H457" s="17" t="s">
        <v>2703</v>
      </c>
      <c r="I457" s="11" t="s">
        <v>70</v>
      </c>
      <c r="J457" s="11" t="s">
        <v>71</v>
      </c>
      <c r="K457" s="11" t="s">
        <v>72</v>
      </c>
      <c r="L457" s="11" t="s">
        <v>131</v>
      </c>
      <c r="M457" s="11" t="s">
        <v>2704</v>
      </c>
      <c r="N457" s="11" t="s">
        <v>241</v>
      </c>
      <c r="O457" s="11" t="s">
        <v>71</v>
      </c>
      <c r="P457" s="11" t="s">
        <v>2705</v>
      </c>
      <c r="Q457" s="13" t="s">
        <v>2706</v>
      </c>
      <c r="R457" s="14" t="str">
        <f>HYPERLINK("https://drive.google.com/file/d/1sXrOIH9jh5Z2J9It2Ng4AvOEY-4By6s9/view?usp=drivesdk","OFFER LETTER")</f>
        <v>OFFER LETTER</v>
      </c>
      <c r="S457" s="11" t="s">
        <v>2707</v>
      </c>
    </row>
    <row r="458" ht="22.5" customHeight="1">
      <c r="A458" s="10">
        <v>46257.984344745375</v>
      </c>
      <c r="B458" s="11" t="s">
        <v>2708</v>
      </c>
      <c r="C458" s="11" t="s">
        <v>173</v>
      </c>
      <c r="D458" s="11" t="s">
        <v>68</v>
      </c>
      <c r="E458" s="12">
        <v>46213.0</v>
      </c>
      <c r="F458" s="12">
        <v>46244.0</v>
      </c>
      <c r="G458" s="11" t="s">
        <v>2709</v>
      </c>
      <c r="H458" s="11">
        <v>8.077253061E9</v>
      </c>
      <c r="I458" s="11" t="s">
        <v>82</v>
      </c>
      <c r="J458" s="11" t="s">
        <v>83</v>
      </c>
      <c r="K458" s="11" t="s">
        <v>72</v>
      </c>
      <c r="L458" s="11" t="s">
        <v>84</v>
      </c>
      <c r="M458" s="11" t="s">
        <v>2710</v>
      </c>
      <c r="N458" s="11" t="s">
        <v>86</v>
      </c>
      <c r="O458" s="11" t="s">
        <v>71</v>
      </c>
      <c r="P458" s="11" t="s">
        <v>2711</v>
      </c>
      <c r="Q458" s="13" t="s">
        <v>2712</v>
      </c>
      <c r="R458" s="14" t="str">
        <f>HYPERLINK("https://drive.google.com/file/d/1k1p3PvJHJ0RAiDz4Nnm3HlJFzY0XOM7n/view?usp=drivesdk","OFFER LETTER")</f>
        <v>OFFER LETTER</v>
      </c>
      <c r="S458" s="11" t="s">
        <v>2713</v>
      </c>
    </row>
    <row r="459" ht="22.5" customHeight="1">
      <c r="A459" s="10">
        <v>46257.98479582176</v>
      </c>
      <c r="B459" s="11" t="s">
        <v>2714</v>
      </c>
      <c r="C459" s="11" t="s">
        <v>298</v>
      </c>
      <c r="D459" s="11" t="s">
        <v>108</v>
      </c>
      <c r="E459" s="12">
        <v>46176.0</v>
      </c>
      <c r="F459" s="12">
        <v>46237.0</v>
      </c>
      <c r="G459" s="11" t="s">
        <v>2715</v>
      </c>
      <c r="H459" s="11" t="s">
        <v>2716</v>
      </c>
      <c r="I459" s="11" t="s">
        <v>82</v>
      </c>
      <c r="J459" s="11" t="s">
        <v>130</v>
      </c>
      <c r="K459" s="11" t="s">
        <v>110</v>
      </c>
      <c r="L459" s="11" t="s">
        <v>73</v>
      </c>
      <c r="M459" s="11" t="s">
        <v>2717</v>
      </c>
      <c r="N459" s="11" t="s">
        <v>219</v>
      </c>
      <c r="O459" s="11" t="s">
        <v>130</v>
      </c>
      <c r="P459" s="11" t="s">
        <v>2718</v>
      </c>
      <c r="Q459" s="13" t="s">
        <v>2719</v>
      </c>
      <c r="R459" s="14" t="str">
        <f>HYPERLINK("https://drive.google.com/file/d/1fXIO1OQF9NB3ojDu7lIylXXkvW2Pvxq7/view?usp=drivesdk","OFFER LETTER")</f>
        <v>OFFER LETTER</v>
      </c>
      <c r="S459" s="11" t="s">
        <v>2720</v>
      </c>
    </row>
    <row r="460" ht="22.5" customHeight="1">
      <c r="A460" s="10">
        <v>46257.985559479166</v>
      </c>
      <c r="B460" s="11" t="s">
        <v>2481</v>
      </c>
      <c r="C460" s="11" t="s">
        <v>107</v>
      </c>
      <c r="D460" s="11" t="s">
        <v>68</v>
      </c>
      <c r="E460" s="12">
        <v>46226.0</v>
      </c>
      <c r="F460" s="12">
        <v>46257.0</v>
      </c>
      <c r="G460" s="11" t="s">
        <v>2482</v>
      </c>
      <c r="H460" s="11">
        <v>9.430332464E9</v>
      </c>
      <c r="I460" s="11" t="s">
        <v>82</v>
      </c>
      <c r="J460" s="11" t="s">
        <v>71</v>
      </c>
      <c r="K460" s="11" t="s">
        <v>72</v>
      </c>
      <c r="L460" s="11" t="s">
        <v>73</v>
      </c>
      <c r="M460" s="11" t="s">
        <v>2483</v>
      </c>
      <c r="N460" s="11" t="s">
        <v>75</v>
      </c>
      <c r="O460" s="11" t="s">
        <v>71</v>
      </c>
      <c r="P460" s="11" t="s">
        <v>2721</v>
      </c>
      <c r="Q460" s="13" t="s">
        <v>2722</v>
      </c>
      <c r="R460" s="14" t="str">
        <f>HYPERLINK("https://drive.google.com/file/d/11e2y102vCbxeF-DOKuTeliu1NSNkCKGf/view?usp=drivesdk","OFFER LETTER")</f>
        <v>OFFER LETTER</v>
      </c>
      <c r="S460" s="11" t="s">
        <v>2723</v>
      </c>
    </row>
    <row r="461" ht="22.5" customHeight="1">
      <c r="A461" s="10">
        <v>46257.99278417824</v>
      </c>
      <c r="B461" s="11" t="s">
        <v>2714</v>
      </c>
      <c r="C461" s="11" t="s">
        <v>298</v>
      </c>
      <c r="D461" s="11" t="s">
        <v>108</v>
      </c>
      <c r="E461" s="12">
        <v>46176.0</v>
      </c>
      <c r="F461" s="12">
        <v>46237.0</v>
      </c>
      <c r="G461" s="11" t="s">
        <v>2715</v>
      </c>
      <c r="H461" s="11" t="s">
        <v>2716</v>
      </c>
      <c r="I461" s="11" t="s">
        <v>82</v>
      </c>
      <c r="J461" s="11" t="s">
        <v>130</v>
      </c>
      <c r="K461" s="11" t="s">
        <v>110</v>
      </c>
      <c r="L461" s="11" t="s">
        <v>73</v>
      </c>
      <c r="M461" s="11" t="s">
        <v>2717</v>
      </c>
      <c r="N461" s="11" t="s">
        <v>75</v>
      </c>
      <c r="O461" s="11" t="s">
        <v>130</v>
      </c>
      <c r="P461" s="11" t="s">
        <v>2724</v>
      </c>
      <c r="Q461" s="13" t="s">
        <v>2725</v>
      </c>
      <c r="R461" s="14" t="str">
        <f>HYPERLINK("https://drive.google.com/file/d/1qC5hgyrrUdbOM1qXftqbjskog7oLBwS_/view?usp=drivesdk","OFFER LETTER")</f>
        <v>OFFER LETTER</v>
      </c>
      <c r="S461" s="11" t="s">
        <v>2726</v>
      </c>
    </row>
    <row r="462" ht="22.5" customHeight="1">
      <c r="A462" s="10">
        <v>46257.99397664352</v>
      </c>
      <c r="B462" s="11" t="s">
        <v>2727</v>
      </c>
      <c r="C462" s="11" t="s">
        <v>173</v>
      </c>
      <c r="D462" s="11" t="s">
        <v>68</v>
      </c>
      <c r="E462" s="12">
        <v>46182.0</v>
      </c>
      <c r="F462" s="12">
        <v>46211.0</v>
      </c>
      <c r="G462" s="11" t="s">
        <v>2728</v>
      </c>
      <c r="H462" s="11">
        <v>8.826265999E9</v>
      </c>
      <c r="I462" s="11" t="s">
        <v>82</v>
      </c>
      <c r="J462" s="11" t="s">
        <v>71</v>
      </c>
      <c r="K462" s="11" t="s">
        <v>72</v>
      </c>
      <c r="L462" s="11" t="s">
        <v>131</v>
      </c>
      <c r="M462" s="11" t="s">
        <v>2729</v>
      </c>
      <c r="N462" s="11" t="s">
        <v>75</v>
      </c>
      <c r="O462" s="11" t="s">
        <v>263</v>
      </c>
      <c r="P462" s="11" t="s">
        <v>2730</v>
      </c>
      <c r="Q462" s="13" t="s">
        <v>2731</v>
      </c>
      <c r="R462" s="14" t="str">
        <f>HYPERLINK("https://drive.google.com/file/d/1pVuXKIfy2Zhei5D4z3BhZ3juIL9nVIl1/view?usp=drivesdk","OFFER LETTER")</f>
        <v>OFFER LETTER</v>
      </c>
      <c r="S462" s="11" t="s">
        <v>2732</v>
      </c>
    </row>
    <row r="463" ht="22.5" customHeight="1">
      <c r="A463" s="10">
        <v>46258.00795782407</v>
      </c>
      <c r="B463" s="11" t="s">
        <v>2733</v>
      </c>
      <c r="C463" s="11" t="s">
        <v>298</v>
      </c>
      <c r="D463" s="11" t="s">
        <v>68</v>
      </c>
      <c r="E463" s="12">
        <v>46254.0</v>
      </c>
      <c r="F463" s="12">
        <v>46285.0</v>
      </c>
      <c r="G463" s="11" t="s">
        <v>2734</v>
      </c>
      <c r="H463" s="11">
        <v>9.309072859E9</v>
      </c>
      <c r="I463" s="11" t="s">
        <v>82</v>
      </c>
      <c r="J463" s="11" t="s">
        <v>71</v>
      </c>
      <c r="K463" s="11" t="s">
        <v>72</v>
      </c>
      <c r="L463" s="11" t="s">
        <v>131</v>
      </c>
      <c r="M463" s="11" t="s">
        <v>2735</v>
      </c>
      <c r="N463" s="11" t="s">
        <v>2736</v>
      </c>
      <c r="O463" s="11" t="s">
        <v>71</v>
      </c>
      <c r="P463" s="11" t="s">
        <v>2737</v>
      </c>
      <c r="Q463" s="13" t="s">
        <v>2738</v>
      </c>
      <c r="R463" s="14" t="str">
        <f>HYPERLINK("https://drive.google.com/file/d/18DBzzlG2w-5zGh4xnGguzsvChG7SVMyz/view?usp=drivesdk","OFFER LETTER")</f>
        <v>OFFER LETTER</v>
      </c>
      <c r="S463" s="11" t="s">
        <v>2739</v>
      </c>
    </row>
    <row r="464" ht="22.5" customHeight="1">
      <c r="A464" s="10">
        <v>46258.009882280094</v>
      </c>
      <c r="B464" s="11" t="s">
        <v>2740</v>
      </c>
      <c r="C464" s="11" t="s">
        <v>91</v>
      </c>
      <c r="D464" s="11" t="s">
        <v>68</v>
      </c>
      <c r="E464" s="12">
        <v>46258.0</v>
      </c>
      <c r="F464" s="12">
        <v>46289.0</v>
      </c>
      <c r="G464" s="11" t="s">
        <v>2741</v>
      </c>
      <c r="H464" s="11">
        <v>9.045534504E9</v>
      </c>
      <c r="I464" s="11" t="s">
        <v>82</v>
      </c>
      <c r="J464" s="11" t="s">
        <v>71</v>
      </c>
      <c r="K464" s="11" t="s">
        <v>72</v>
      </c>
      <c r="L464" s="11" t="s">
        <v>84</v>
      </c>
      <c r="M464" s="11" t="s">
        <v>2742</v>
      </c>
      <c r="N464" s="11" t="s">
        <v>86</v>
      </c>
      <c r="O464" s="11" t="s">
        <v>71</v>
      </c>
      <c r="P464" s="11" t="s">
        <v>2743</v>
      </c>
      <c r="Q464" s="13" t="s">
        <v>2744</v>
      </c>
      <c r="R464" s="14" t="str">
        <f>HYPERLINK("https://drive.google.com/file/d/1apOjqxq45YFhgfyWVWvSYvialc0Ld9lz/view?usp=drivesdk","OFFER LETTER")</f>
        <v>OFFER LETTER</v>
      </c>
      <c r="S464" s="11" t="s">
        <v>2745</v>
      </c>
    </row>
    <row r="465" ht="22.5" customHeight="1">
      <c r="A465" s="10">
        <v>46258.01192337963</v>
      </c>
      <c r="B465" s="11" t="s">
        <v>2746</v>
      </c>
      <c r="C465" s="11" t="s">
        <v>67</v>
      </c>
      <c r="D465" s="11" t="s">
        <v>108</v>
      </c>
      <c r="E465" s="12">
        <v>46258.0</v>
      </c>
      <c r="F465" s="12">
        <v>46319.0</v>
      </c>
      <c r="G465" s="11" t="s">
        <v>2747</v>
      </c>
      <c r="H465" s="11">
        <v>7.878197856E9</v>
      </c>
      <c r="I465" s="11" t="s">
        <v>82</v>
      </c>
      <c r="J465" s="11" t="s">
        <v>71</v>
      </c>
      <c r="K465" s="11" t="s">
        <v>72</v>
      </c>
      <c r="L465" s="11" t="s">
        <v>131</v>
      </c>
      <c r="M465" s="11" t="s">
        <v>2748</v>
      </c>
      <c r="N465" s="11" t="s">
        <v>1641</v>
      </c>
      <c r="O465" s="11" t="s">
        <v>71</v>
      </c>
      <c r="P465" s="11" t="s">
        <v>2749</v>
      </c>
      <c r="Q465" s="13" t="s">
        <v>2750</v>
      </c>
      <c r="R465" s="14" t="str">
        <f>HYPERLINK("https://drive.google.com/file/d/14Bnqzguec44JIXkeaeGCNkHXBciCPKqN/view?usp=drivesdk","OFFER LETTER")</f>
        <v>OFFER LETTER</v>
      </c>
      <c r="S465" s="11" t="s">
        <v>2751</v>
      </c>
    </row>
    <row r="466" ht="22.5" customHeight="1">
      <c r="A466" s="10">
        <v>46258.02718575232</v>
      </c>
      <c r="B466" s="11" t="s">
        <v>2752</v>
      </c>
      <c r="C466" s="11" t="s">
        <v>195</v>
      </c>
      <c r="D466" s="11" t="s">
        <v>68</v>
      </c>
      <c r="E466" s="12">
        <v>46252.0</v>
      </c>
      <c r="F466" s="12">
        <v>46260.0</v>
      </c>
      <c r="G466" s="11" t="s">
        <v>2753</v>
      </c>
      <c r="H466" s="11">
        <v>9.336509285E9</v>
      </c>
      <c r="I466" s="11" t="s">
        <v>82</v>
      </c>
      <c r="J466" s="11" t="s">
        <v>71</v>
      </c>
      <c r="K466" s="11" t="s">
        <v>72</v>
      </c>
      <c r="L466" s="11" t="s">
        <v>131</v>
      </c>
      <c r="M466" s="11" t="s">
        <v>2754</v>
      </c>
      <c r="N466" s="11" t="s">
        <v>75</v>
      </c>
      <c r="O466" s="11" t="s">
        <v>71</v>
      </c>
      <c r="P466" s="11" t="s">
        <v>2755</v>
      </c>
      <c r="Q466" s="13" t="s">
        <v>2756</v>
      </c>
      <c r="R466" s="14" t="str">
        <f>HYPERLINK("https://drive.google.com/file/d/1COXUJ5iZFYCqpcpLC4YVMSYxZSwA8Yu3/view?usp=drivesdk","OFFER LETTER")</f>
        <v>OFFER LETTER</v>
      </c>
      <c r="S466" s="11" t="s">
        <v>2757</v>
      </c>
    </row>
    <row r="467" ht="22.5" customHeight="1">
      <c r="A467" s="10">
        <v>46258.02815783565</v>
      </c>
      <c r="B467" s="11" t="s">
        <v>2758</v>
      </c>
      <c r="C467" s="11" t="s">
        <v>195</v>
      </c>
      <c r="D467" s="11" t="s">
        <v>68</v>
      </c>
      <c r="E467" s="12">
        <v>46204.0</v>
      </c>
      <c r="F467" s="12">
        <v>46235.0</v>
      </c>
      <c r="G467" s="11" t="s">
        <v>2759</v>
      </c>
      <c r="H467" s="11">
        <v>6.001604658E9</v>
      </c>
      <c r="I467" s="11" t="s">
        <v>82</v>
      </c>
      <c r="J467" s="11" t="s">
        <v>71</v>
      </c>
      <c r="K467" s="11" t="s">
        <v>72</v>
      </c>
      <c r="L467" s="11" t="s">
        <v>73</v>
      </c>
      <c r="M467" s="11" t="s">
        <v>1756</v>
      </c>
      <c r="N467" s="11" t="s">
        <v>86</v>
      </c>
      <c r="O467" s="11" t="s">
        <v>71</v>
      </c>
      <c r="P467" s="11" t="s">
        <v>2760</v>
      </c>
      <c r="Q467" s="13" t="s">
        <v>2761</v>
      </c>
      <c r="R467" s="14" t="str">
        <f>HYPERLINK("https://drive.google.com/file/d/12Y8Hm0tnWlVzDieUSlZYG1UIoTiDSTQ8/view?usp=drivesdk","OFFER LETTER")</f>
        <v>OFFER LETTER</v>
      </c>
      <c r="S467" s="11" t="s">
        <v>2762</v>
      </c>
    </row>
    <row r="468" ht="22.5" customHeight="1">
      <c r="A468" s="10">
        <v>46258.032111875</v>
      </c>
      <c r="B468" s="11" t="s">
        <v>2763</v>
      </c>
      <c r="C468" s="11" t="s">
        <v>107</v>
      </c>
      <c r="D468" s="11" t="s">
        <v>108</v>
      </c>
      <c r="E468" s="12">
        <v>46168.0</v>
      </c>
      <c r="F468" s="12">
        <v>46229.0</v>
      </c>
      <c r="G468" s="11" t="s">
        <v>2764</v>
      </c>
      <c r="H468" s="11">
        <v>8.595605282E9</v>
      </c>
      <c r="I468" s="11" t="s">
        <v>82</v>
      </c>
      <c r="J468" s="11" t="s">
        <v>71</v>
      </c>
      <c r="K468" s="11" t="s">
        <v>72</v>
      </c>
      <c r="L468" s="11" t="s">
        <v>73</v>
      </c>
      <c r="M468" s="11" t="s">
        <v>2765</v>
      </c>
      <c r="N468" s="11" t="s">
        <v>86</v>
      </c>
      <c r="O468" s="11" t="s">
        <v>71</v>
      </c>
      <c r="P468" s="11" t="s">
        <v>2766</v>
      </c>
      <c r="Q468" s="13" t="s">
        <v>2767</v>
      </c>
      <c r="R468" s="14" t="str">
        <f>HYPERLINK("https://drive.google.com/file/d/1sHUtkqcOREPSGBPWQaF5U9KXAPhvRJJH/view?usp=drivesdk","OFFER LETTER")</f>
        <v>OFFER LETTER</v>
      </c>
      <c r="S468" s="11" t="s">
        <v>2768</v>
      </c>
    </row>
    <row r="469" ht="22.5" customHeight="1">
      <c r="A469" s="10">
        <v>46258.03232100695</v>
      </c>
      <c r="B469" s="11" t="s">
        <v>2752</v>
      </c>
      <c r="C469" s="11" t="s">
        <v>195</v>
      </c>
      <c r="D469" s="11" t="s">
        <v>68</v>
      </c>
      <c r="E469" s="12">
        <v>46252.0</v>
      </c>
      <c r="F469" s="12">
        <v>46258.0</v>
      </c>
      <c r="G469" s="11" t="s">
        <v>2753</v>
      </c>
      <c r="H469" s="11">
        <v>9.336509285E9</v>
      </c>
      <c r="I469" s="11" t="s">
        <v>82</v>
      </c>
      <c r="J469" s="11" t="s">
        <v>71</v>
      </c>
      <c r="K469" s="11" t="s">
        <v>72</v>
      </c>
      <c r="L469" s="11" t="s">
        <v>131</v>
      </c>
      <c r="M469" s="11" t="s">
        <v>2754</v>
      </c>
      <c r="N469" s="11" t="s">
        <v>75</v>
      </c>
      <c r="O469" s="11" t="s">
        <v>71</v>
      </c>
      <c r="P469" s="11" t="s">
        <v>2769</v>
      </c>
      <c r="Q469" s="13" t="s">
        <v>2770</v>
      </c>
      <c r="R469" s="14" t="str">
        <f>HYPERLINK("https://drive.google.com/file/d/1--Q-GESSFXWLeXZlpwpcTEsxq1xfNHUv/view?usp=drivesdk","OFFER LETTER")</f>
        <v>OFFER LETTER</v>
      </c>
      <c r="S469" s="11" t="s">
        <v>2771</v>
      </c>
    </row>
    <row r="470" ht="22.5" customHeight="1">
      <c r="A470" s="10">
        <v>46258.038960034726</v>
      </c>
      <c r="B470" s="11" t="s">
        <v>2752</v>
      </c>
      <c r="C470" s="11" t="s">
        <v>195</v>
      </c>
      <c r="D470" s="11" t="s">
        <v>68</v>
      </c>
      <c r="E470" s="12">
        <v>46252.0</v>
      </c>
      <c r="F470" s="12">
        <v>46282.0</v>
      </c>
      <c r="G470" s="11" t="s">
        <v>2753</v>
      </c>
      <c r="H470" s="11">
        <v>9.336509285E9</v>
      </c>
      <c r="I470" s="11" t="s">
        <v>82</v>
      </c>
      <c r="J470" s="11" t="s">
        <v>71</v>
      </c>
      <c r="K470" s="11" t="s">
        <v>72</v>
      </c>
      <c r="L470" s="11" t="s">
        <v>131</v>
      </c>
      <c r="M470" s="11" t="s">
        <v>2754</v>
      </c>
      <c r="N470" s="11" t="s">
        <v>75</v>
      </c>
      <c r="O470" s="11" t="s">
        <v>71</v>
      </c>
      <c r="P470" s="11" t="s">
        <v>2772</v>
      </c>
      <c r="Q470" s="13" t="s">
        <v>2773</v>
      </c>
      <c r="R470" s="14" t="str">
        <f>HYPERLINK("https://drive.google.com/file/d/1rH_AjOdZ0R-V2YwP8BF0zMWGxNfYO21Y/view?usp=drivesdk","OFFER LETTER")</f>
        <v>OFFER LETTER</v>
      </c>
      <c r="S470" s="11" t="s">
        <v>2774</v>
      </c>
    </row>
    <row r="471" ht="22.5" customHeight="1">
      <c r="A471" s="10">
        <v>46258.06176253472</v>
      </c>
      <c r="B471" s="11" t="s">
        <v>2775</v>
      </c>
      <c r="C471" s="11" t="s">
        <v>195</v>
      </c>
      <c r="D471" s="11" t="s">
        <v>68</v>
      </c>
      <c r="E471" s="12">
        <v>46258.0</v>
      </c>
      <c r="F471" s="12">
        <v>46285.0</v>
      </c>
      <c r="G471" s="11" t="s">
        <v>2776</v>
      </c>
      <c r="H471" s="11">
        <v>8.85873874E9</v>
      </c>
      <c r="I471" s="11" t="s">
        <v>82</v>
      </c>
      <c r="J471" s="11" t="s">
        <v>71</v>
      </c>
      <c r="K471" s="11" t="s">
        <v>110</v>
      </c>
      <c r="L471" s="11" t="s">
        <v>73</v>
      </c>
      <c r="M471" s="11" t="s">
        <v>2777</v>
      </c>
      <c r="N471" s="11" t="s">
        <v>2778</v>
      </c>
      <c r="O471" s="11" t="s">
        <v>263</v>
      </c>
      <c r="P471" s="11" t="s">
        <v>2779</v>
      </c>
      <c r="Q471" s="13" t="s">
        <v>2780</v>
      </c>
      <c r="R471" s="14" t="str">
        <f>HYPERLINK("https://drive.google.com/file/d/1_bER7fwYJ1MHkktVp_7JaH0eWUpABaIs/view?usp=drivesdk","OFFER LETTER")</f>
        <v>OFFER LETTER</v>
      </c>
      <c r="S471" s="11" t="s">
        <v>2781</v>
      </c>
    </row>
    <row r="472" ht="22.5" customHeight="1">
      <c r="A472" s="10">
        <v>46258.066476064814</v>
      </c>
      <c r="B472" s="11" t="s">
        <v>2782</v>
      </c>
      <c r="C472" s="11" t="s">
        <v>173</v>
      </c>
      <c r="D472" s="11" t="s">
        <v>68</v>
      </c>
      <c r="E472" s="12">
        <v>46193.0</v>
      </c>
      <c r="F472" s="12">
        <v>46223.0</v>
      </c>
      <c r="G472" s="11" t="s">
        <v>2783</v>
      </c>
      <c r="H472" s="11">
        <v>9.006075897E9</v>
      </c>
      <c r="I472" s="11" t="s">
        <v>82</v>
      </c>
      <c r="J472" s="11" t="s">
        <v>71</v>
      </c>
      <c r="K472" s="11" t="s">
        <v>72</v>
      </c>
      <c r="L472" s="11" t="s">
        <v>73</v>
      </c>
      <c r="M472" s="11" t="s">
        <v>2784</v>
      </c>
      <c r="N472" s="11" t="s">
        <v>86</v>
      </c>
      <c r="O472" s="11" t="s">
        <v>71</v>
      </c>
      <c r="P472" s="11" t="s">
        <v>2785</v>
      </c>
      <c r="Q472" s="13" t="s">
        <v>2786</v>
      </c>
      <c r="R472" s="14" t="str">
        <f>HYPERLINK("https://drive.google.com/file/d/15QkJ-bgR2CEHlKXfd3ze1ez_6zIE_jkE/view?usp=drivesdk","OFFER LETTER")</f>
        <v>OFFER LETTER</v>
      </c>
      <c r="S472" s="11" t="s">
        <v>2787</v>
      </c>
    </row>
    <row r="473" ht="22.5" customHeight="1">
      <c r="A473" s="10">
        <v>46258.06734015046</v>
      </c>
      <c r="B473" s="11" t="s">
        <v>2788</v>
      </c>
      <c r="C473" s="11" t="s">
        <v>91</v>
      </c>
      <c r="D473" s="11" t="s">
        <v>108</v>
      </c>
      <c r="E473" s="12">
        <v>46259.0</v>
      </c>
      <c r="F473" s="12">
        <v>46320.0</v>
      </c>
      <c r="G473" s="11" t="s">
        <v>2789</v>
      </c>
      <c r="H473" s="11">
        <v>9.032955903E9</v>
      </c>
      <c r="I473" s="11" t="s">
        <v>70</v>
      </c>
      <c r="J473" s="11" t="s">
        <v>71</v>
      </c>
      <c r="K473" s="11" t="s">
        <v>72</v>
      </c>
      <c r="L473" s="11" t="s">
        <v>73</v>
      </c>
      <c r="M473" s="11" t="s">
        <v>2790</v>
      </c>
      <c r="N473" s="11" t="s">
        <v>86</v>
      </c>
      <c r="O473" s="11" t="s">
        <v>71</v>
      </c>
      <c r="P473" s="11" t="s">
        <v>2791</v>
      </c>
      <c r="Q473" s="13" t="s">
        <v>2792</v>
      </c>
      <c r="R473" s="14" t="str">
        <f>HYPERLINK("https://drive.google.com/file/d/1t5y5giFqUqKhKxaFKYHCPAdI66jTzPo7/view?usp=drivesdk","OFFER LETTER")</f>
        <v>OFFER LETTER</v>
      </c>
      <c r="S473" s="11" t="s">
        <v>2793</v>
      </c>
    </row>
    <row r="474" ht="22.5" customHeight="1">
      <c r="A474" s="10">
        <v>46258.08278793981</v>
      </c>
      <c r="B474" s="11" t="s">
        <v>2794</v>
      </c>
      <c r="C474" s="11" t="s">
        <v>107</v>
      </c>
      <c r="D474" s="11" t="s">
        <v>108</v>
      </c>
      <c r="E474" s="12">
        <v>46154.0</v>
      </c>
      <c r="F474" s="12">
        <v>46215.0</v>
      </c>
      <c r="G474" s="11" t="s">
        <v>2795</v>
      </c>
      <c r="H474" s="11">
        <v>9.097880308E9</v>
      </c>
      <c r="I474" s="11" t="s">
        <v>70</v>
      </c>
      <c r="J474" s="11" t="s">
        <v>71</v>
      </c>
      <c r="K474" s="11" t="s">
        <v>72</v>
      </c>
      <c r="L474" s="11" t="s">
        <v>131</v>
      </c>
      <c r="M474" s="11" t="s">
        <v>2796</v>
      </c>
      <c r="N474" s="11" t="s">
        <v>226</v>
      </c>
      <c r="O474" s="11" t="s">
        <v>71</v>
      </c>
      <c r="P474" s="11" t="s">
        <v>2797</v>
      </c>
      <c r="Q474" s="13" t="s">
        <v>2798</v>
      </c>
      <c r="R474" s="14" t="str">
        <f>HYPERLINK("https://drive.google.com/file/d/15ErQev4y8ZVOMJyZdjU8RlHLRa3eubuA/view?usp=drivesdk","OFFER LETTER")</f>
        <v>OFFER LETTER</v>
      </c>
      <c r="S474" s="11" t="s">
        <v>2799</v>
      </c>
    </row>
    <row r="475" ht="22.5" customHeight="1">
      <c r="A475" s="10">
        <v>46258.13317621528</v>
      </c>
      <c r="B475" s="11" t="s">
        <v>2800</v>
      </c>
      <c r="C475" s="11" t="s">
        <v>1320</v>
      </c>
      <c r="D475" s="11" t="s">
        <v>68</v>
      </c>
      <c r="E475" s="12">
        <v>46258.0</v>
      </c>
      <c r="F475" s="12">
        <v>46288.0</v>
      </c>
      <c r="G475" s="11" t="s">
        <v>2801</v>
      </c>
      <c r="H475" s="11">
        <v>9.424050402E9</v>
      </c>
      <c r="I475" s="11" t="s">
        <v>82</v>
      </c>
      <c r="J475" s="11" t="s">
        <v>71</v>
      </c>
      <c r="K475" s="11" t="s">
        <v>72</v>
      </c>
      <c r="L475" s="11" t="s">
        <v>131</v>
      </c>
      <c r="M475" s="11" t="s">
        <v>2802</v>
      </c>
      <c r="N475" s="11" t="s">
        <v>155</v>
      </c>
      <c r="O475" s="11" t="s">
        <v>71</v>
      </c>
      <c r="P475" s="11" t="s">
        <v>2803</v>
      </c>
      <c r="Q475" s="13" t="s">
        <v>2804</v>
      </c>
      <c r="R475" s="14" t="str">
        <f>HYPERLINK("https://drive.google.com/file/d/1cOV82p6OZDn9bsvpBEASOZWQKrECvYLN/view?usp=drivesdk","OFFER LETTER")</f>
        <v>OFFER LETTER</v>
      </c>
      <c r="S475" s="11" t="s">
        <v>2805</v>
      </c>
    </row>
    <row r="476" ht="22.5" customHeight="1">
      <c r="A476" s="10">
        <v>46258.17723006944</v>
      </c>
      <c r="B476" s="11" t="s">
        <v>2806</v>
      </c>
      <c r="C476" s="11" t="s">
        <v>596</v>
      </c>
      <c r="D476" s="11" t="s">
        <v>108</v>
      </c>
      <c r="E476" s="12">
        <v>46174.0</v>
      </c>
      <c r="F476" s="12">
        <v>46234.0</v>
      </c>
      <c r="G476" s="11" t="s">
        <v>2807</v>
      </c>
      <c r="H476" s="11">
        <v>9.262539211E9</v>
      </c>
      <c r="I476" s="11" t="s">
        <v>82</v>
      </c>
      <c r="J476" s="11" t="s">
        <v>71</v>
      </c>
      <c r="K476" s="11" t="s">
        <v>72</v>
      </c>
      <c r="L476" s="11" t="s">
        <v>131</v>
      </c>
      <c r="M476" s="11" t="s">
        <v>2808</v>
      </c>
      <c r="N476" s="11" t="s">
        <v>226</v>
      </c>
      <c r="O476" s="11" t="s">
        <v>71</v>
      </c>
      <c r="P476" s="11" t="s">
        <v>2809</v>
      </c>
      <c r="Q476" s="13" t="s">
        <v>2810</v>
      </c>
      <c r="R476" s="14" t="str">
        <f>HYPERLINK("https://drive.google.com/file/d/1DVa6iQmfeKFo_veOij-DLmFKSu7oIZf9/view?usp=drivesdk","OFFER LETTER")</f>
        <v>OFFER LETTER</v>
      </c>
      <c r="S476" s="11" t="s">
        <v>2811</v>
      </c>
    </row>
    <row r="477" ht="22.5" customHeight="1">
      <c r="A477" s="10">
        <v>46258.2590346875</v>
      </c>
      <c r="B477" s="11" t="s">
        <v>2812</v>
      </c>
      <c r="C477" s="11" t="s">
        <v>173</v>
      </c>
      <c r="D477" s="11" t="s">
        <v>108</v>
      </c>
      <c r="E477" s="12">
        <v>46182.0</v>
      </c>
      <c r="F477" s="12">
        <v>46240.0</v>
      </c>
      <c r="G477" s="11" t="s">
        <v>2813</v>
      </c>
      <c r="H477" s="11">
        <v>9.34544769E9</v>
      </c>
      <c r="I477" s="11" t="s">
        <v>70</v>
      </c>
      <c r="J477" s="11" t="s">
        <v>130</v>
      </c>
      <c r="K477" s="11" t="s">
        <v>72</v>
      </c>
      <c r="L477" s="11" t="s">
        <v>131</v>
      </c>
      <c r="M477" s="11" t="s">
        <v>2814</v>
      </c>
      <c r="N477" s="11" t="s">
        <v>75</v>
      </c>
      <c r="O477" s="11" t="s">
        <v>71</v>
      </c>
      <c r="P477" s="11" t="s">
        <v>2815</v>
      </c>
      <c r="Q477" s="13" t="s">
        <v>2816</v>
      </c>
      <c r="R477" s="14" t="str">
        <f>HYPERLINK("https://drive.google.com/file/d/1hlbSQ7eMW5mtxnJzGPlsvihg_PBVldxR/view?usp=drivesdk","OFFER LETTER")</f>
        <v>OFFER LETTER</v>
      </c>
      <c r="S477" s="11" t="s">
        <v>2817</v>
      </c>
    </row>
    <row r="478" ht="22.5" customHeight="1">
      <c r="A478" s="10">
        <v>46258.28630111111</v>
      </c>
      <c r="B478" s="11" t="s">
        <v>2818</v>
      </c>
      <c r="C478" s="11" t="s">
        <v>173</v>
      </c>
      <c r="D478" s="11" t="s">
        <v>68</v>
      </c>
      <c r="E478" s="12">
        <v>46266.0</v>
      </c>
      <c r="F478" s="12">
        <v>46296.0</v>
      </c>
      <c r="G478" s="11" t="s">
        <v>2267</v>
      </c>
      <c r="H478" s="11">
        <v>7.304740363E9</v>
      </c>
      <c r="I478" s="11" t="s">
        <v>82</v>
      </c>
      <c r="J478" s="11" t="s">
        <v>71</v>
      </c>
      <c r="K478" s="11" t="s">
        <v>110</v>
      </c>
      <c r="L478" s="11" t="s">
        <v>73</v>
      </c>
      <c r="M478" s="11" t="s">
        <v>2819</v>
      </c>
      <c r="N478" s="11" t="s">
        <v>241</v>
      </c>
      <c r="O478" s="11" t="s">
        <v>71</v>
      </c>
      <c r="P478" s="11" t="s">
        <v>2820</v>
      </c>
      <c r="Q478" s="13" t="s">
        <v>2821</v>
      </c>
      <c r="R478" s="14" t="str">
        <f>HYPERLINK("https://drive.google.com/file/d/1rJacEm6HTiX3eCQhSiQtD3d-4KQ7nYas/view?usp=drivesdk","OFFER LETTER")</f>
        <v>OFFER LETTER</v>
      </c>
      <c r="S478" s="11" t="s">
        <v>2822</v>
      </c>
    </row>
    <row r="479" ht="22.5" customHeight="1">
      <c r="A479" s="10">
        <v>46258.29197988426</v>
      </c>
      <c r="B479" s="11" t="s">
        <v>2195</v>
      </c>
      <c r="C479" s="11" t="s">
        <v>195</v>
      </c>
      <c r="D479" s="11" t="s">
        <v>68</v>
      </c>
      <c r="E479" s="12">
        <v>46266.0</v>
      </c>
      <c r="F479" s="12">
        <v>46296.0</v>
      </c>
      <c r="G479" s="11" t="s">
        <v>2196</v>
      </c>
      <c r="H479" s="11">
        <v>9.390896534E9</v>
      </c>
      <c r="I479" s="11" t="s">
        <v>82</v>
      </c>
      <c r="J479" s="11" t="s">
        <v>71</v>
      </c>
      <c r="K479" s="11" t="s">
        <v>72</v>
      </c>
      <c r="L479" s="11" t="s">
        <v>131</v>
      </c>
      <c r="M479" s="11" t="s">
        <v>2823</v>
      </c>
      <c r="N479" s="11" t="s">
        <v>75</v>
      </c>
      <c r="O479" s="11" t="s">
        <v>71</v>
      </c>
      <c r="P479" s="11" t="s">
        <v>2824</v>
      </c>
      <c r="Q479" s="13" t="s">
        <v>2825</v>
      </c>
      <c r="R479" s="14" t="str">
        <f>HYPERLINK("https://drive.google.com/file/d/1pc88ejMci2yznwF2RsUxHz-yO-JFRC7X/view?usp=drivesdk","OFFER LETTER")</f>
        <v>OFFER LETTER</v>
      </c>
      <c r="S479" s="11" t="s">
        <v>2826</v>
      </c>
    </row>
    <row r="480" ht="22.5" customHeight="1">
      <c r="A480" s="10">
        <v>46258.307064479166</v>
      </c>
      <c r="B480" s="11" t="s">
        <v>2827</v>
      </c>
      <c r="C480" s="11" t="s">
        <v>173</v>
      </c>
      <c r="D480" s="11" t="s">
        <v>68</v>
      </c>
      <c r="E480" s="12">
        <v>46249.0</v>
      </c>
      <c r="F480" s="12">
        <v>46280.0</v>
      </c>
      <c r="G480" s="11" t="s">
        <v>2828</v>
      </c>
      <c r="H480" s="11">
        <v>6.303908129E9</v>
      </c>
      <c r="I480" s="11" t="s">
        <v>70</v>
      </c>
      <c r="J480" s="11" t="s">
        <v>71</v>
      </c>
      <c r="K480" s="11" t="s">
        <v>72</v>
      </c>
      <c r="L480" s="11" t="s">
        <v>73</v>
      </c>
      <c r="M480" s="11" t="s">
        <v>2829</v>
      </c>
      <c r="N480" s="11" t="s">
        <v>241</v>
      </c>
      <c r="O480" s="11" t="s">
        <v>71</v>
      </c>
      <c r="P480" s="11" t="s">
        <v>2830</v>
      </c>
      <c r="Q480" s="13" t="s">
        <v>2831</v>
      </c>
      <c r="R480" s="14" t="str">
        <f>HYPERLINK("https://drive.google.com/file/d/1DbepTaCI3Rh1JF9NEBGM_iquuToCjXGP/view?usp=drivesdk","OFFER LETTER")</f>
        <v>OFFER LETTER</v>
      </c>
      <c r="S480" s="11" t="s">
        <v>2832</v>
      </c>
    </row>
    <row r="481" ht="22.5" customHeight="1">
      <c r="A481" s="10">
        <v>46258.31772046296</v>
      </c>
      <c r="B481" s="11" t="s">
        <v>2446</v>
      </c>
      <c r="C481" s="11" t="s">
        <v>107</v>
      </c>
      <c r="D481" s="11" t="s">
        <v>68</v>
      </c>
      <c r="E481" s="12">
        <v>46257.0</v>
      </c>
      <c r="F481" s="12">
        <v>46288.0</v>
      </c>
      <c r="G481" s="11" t="s">
        <v>2447</v>
      </c>
      <c r="H481" s="11">
        <v>8.122707017E9</v>
      </c>
      <c r="I481" s="11" t="s">
        <v>70</v>
      </c>
      <c r="J481" s="11" t="s">
        <v>71</v>
      </c>
      <c r="K481" s="11" t="s">
        <v>72</v>
      </c>
      <c r="L481" s="11" t="s">
        <v>131</v>
      </c>
      <c r="M481" s="11" t="s">
        <v>2833</v>
      </c>
      <c r="N481" s="11" t="s">
        <v>226</v>
      </c>
      <c r="O481" s="11" t="s">
        <v>71</v>
      </c>
      <c r="P481" s="11" t="s">
        <v>2834</v>
      </c>
      <c r="Q481" s="13" t="s">
        <v>2835</v>
      </c>
      <c r="R481" s="14" t="str">
        <f>HYPERLINK("https://drive.google.com/file/d/189QocUIXKDDfsVMvRHVuQE6iEZIrmkow/view?usp=drivesdk","OFFER LETTER")</f>
        <v>OFFER LETTER</v>
      </c>
      <c r="S481" s="11" t="s">
        <v>2836</v>
      </c>
    </row>
    <row r="482" ht="22.5" customHeight="1">
      <c r="A482" s="10">
        <v>46258.31842560185</v>
      </c>
      <c r="B482" s="11" t="s">
        <v>1268</v>
      </c>
      <c r="C482" s="11" t="s">
        <v>195</v>
      </c>
      <c r="D482" s="11" t="s">
        <v>68</v>
      </c>
      <c r="E482" s="12">
        <v>46259.0</v>
      </c>
      <c r="F482" s="12">
        <v>46290.0</v>
      </c>
      <c r="G482" s="11" t="s">
        <v>1269</v>
      </c>
      <c r="H482" s="11">
        <v>7.060862574E9</v>
      </c>
      <c r="I482" s="11" t="s">
        <v>82</v>
      </c>
      <c r="J482" s="11" t="s">
        <v>71</v>
      </c>
      <c r="K482" s="11" t="s">
        <v>72</v>
      </c>
      <c r="L482" s="11" t="s">
        <v>84</v>
      </c>
      <c r="M482" s="11" t="s">
        <v>2837</v>
      </c>
      <c r="N482" s="11" t="s">
        <v>655</v>
      </c>
      <c r="O482" s="11" t="s">
        <v>263</v>
      </c>
      <c r="P482" s="11" t="s">
        <v>2838</v>
      </c>
      <c r="Q482" s="13" t="s">
        <v>2839</v>
      </c>
      <c r="R482" s="14" t="str">
        <f>HYPERLINK("https://drive.google.com/file/d/1Yi46rsA65xg3LcatCXsvOI5_YpvIx1Mn/view?usp=drivesdk","OFFER LETTER")</f>
        <v>OFFER LETTER</v>
      </c>
      <c r="S482" s="11" t="s">
        <v>2840</v>
      </c>
    </row>
    <row r="483" ht="22.5" customHeight="1">
      <c r="A483" s="10">
        <v>46258.333531909724</v>
      </c>
      <c r="B483" s="11" t="s">
        <v>2841</v>
      </c>
      <c r="C483" s="11" t="s">
        <v>80</v>
      </c>
      <c r="D483" s="11" t="s">
        <v>108</v>
      </c>
      <c r="E483" s="12">
        <v>46191.0</v>
      </c>
      <c r="F483" s="12">
        <v>46289.0</v>
      </c>
      <c r="G483" s="11" t="s">
        <v>2842</v>
      </c>
      <c r="H483" s="11">
        <v>9.014341178E9</v>
      </c>
      <c r="I483" s="11" t="s">
        <v>82</v>
      </c>
      <c r="J483" s="11" t="s">
        <v>71</v>
      </c>
      <c r="K483" s="11" t="s">
        <v>72</v>
      </c>
      <c r="L483" s="11" t="s">
        <v>131</v>
      </c>
      <c r="M483" s="11" t="s">
        <v>2843</v>
      </c>
      <c r="N483" s="11" t="s">
        <v>630</v>
      </c>
      <c r="O483" s="11" t="s">
        <v>71</v>
      </c>
      <c r="P483" s="11" t="s">
        <v>2844</v>
      </c>
      <c r="Q483" s="13" t="s">
        <v>2845</v>
      </c>
      <c r="R483" s="14" t="str">
        <f>HYPERLINK("https://drive.google.com/file/d/1zFJ_5NdLNaLqfPp9OoqgBtuhqFnvQq7d/view?usp=drivesdk","OFFER LETTER")</f>
        <v>OFFER LETTER</v>
      </c>
      <c r="S483" s="11" t="s">
        <v>2846</v>
      </c>
    </row>
    <row r="484" ht="22.5" customHeight="1">
      <c r="A484" s="10">
        <v>46258.350496851854</v>
      </c>
      <c r="B484" s="11" t="s">
        <v>1957</v>
      </c>
      <c r="C484" s="11" t="s">
        <v>128</v>
      </c>
      <c r="D484" s="11" t="s">
        <v>68</v>
      </c>
      <c r="E484" s="12">
        <v>46258.0</v>
      </c>
      <c r="F484" s="12">
        <v>46289.0</v>
      </c>
      <c r="G484" s="11" t="s">
        <v>1958</v>
      </c>
      <c r="H484" s="11">
        <v>8.106219861E9</v>
      </c>
      <c r="I484" s="11" t="s">
        <v>82</v>
      </c>
      <c r="J484" s="11" t="s">
        <v>71</v>
      </c>
      <c r="K484" s="11" t="s">
        <v>72</v>
      </c>
      <c r="L484" s="11" t="s">
        <v>84</v>
      </c>
      <c r="M484" s="11" t="s">
        <v>1959</v>
      </c>
      <c r="N484" s="11" t="s">
        <v>86</v>
      </c>
      <c r="O484" s="11" t="s">
        <v>71</v>
      </c>
      <c r="P484" s="11" t="s">
        <v>2847</v>
      </c>
      <c r="Q484" s="13" t="s">
        <v>2848</v>
      </c>
      <c r="R484" s="14" t="str">
        <f>HYPERLINK("https://drive.google.com/file/d/1L1Sa0kPeN1XUEzrTjYL0GPi_bCOiJfqP/view?usp=drivesdk","OFFER LETTER")</f>
        <v>OFFER LETTER</v>
      </c>
      <c r="S484" s="11" t="s">
        <v>2849</v>
      </c>
    </row>
    <row r="485" ht="22.5" customHeight="1">
      <c r="A485" s="10">
        <v>46258.35695148148</v>
      </c>
      <c r="B485" s="11" t="s">
        <v>2850</v>
      </c>
      <c r="C485" s="11" t="s">
        <v>107</v>
      </c>
      <c r="D485" s="11" t="s">
        <v>68</v>
      </c>
      <c r="E485" s="12">
        <v>46258.0</v>
      </c>
      <c r="F485" s="12">
        <v>46289.0</v>
      </c>
      <c r="G485" s="11" t="s">
        <v>2851</v>
      </c>
      <c r="H485" s="17" t="s">
        <v>2852</v>
      </c>
      <c r="I485" s="11" t="s">
        <v>82</v>
      </c>
      <c r="J485" s="11" t="s">
        <v>71</v>
      </c>
      <c r="K485" s="11" t="s">
        <v>72</v>
      </c>
      <c r="L485" s="11" t="s">
        <v>73</v>
      </c>
      <c r="M485" s="11" t="s">
        <v>2853</v>
      </c>
      <c r="N485" s="11" t="s">
        <v>2854</v>
      </c>
      <c r="O485" s="11" t="s">
        <v>263</v>
      </c>
      <c r="P485" s="11" t="s">
        <v>2855</v>
      </c>
      <c r="Q485" s="13" t="s">
        <v>2856</v>
      </c>
      <c r="R485" s="14" t="str">
        <f>HYPERLINK("https://drive.google.com/file/d/1iLFhAm1oNTi58UlHnmI7wdTQXv_nADwz/view?usp=drivesdk","OFFER LETTER")</f>
        <v>OFFER LETTER</v>
      </c>
      <c r="S485" s="11" t="s">
        <v>2857</v>
      </c>
    </row>
    <row r="486" ht="22.5" customHeight="1">
      <c r="A486" s="10">
        <v>46258.361617268514</v>
      </c>
      <c r="B486" s="11" t="s">
        <v>2858</v>
      </c>
      <c r="C486" s="11" t="s">
        <v>195</v>
      </c>
      <c r="D486" s="11" t="s">
        <v>68</v>
      </c>
      <c r="E486" s="12">
        <v>46264.0</v>
      </c>
      <c r="F486" s="12">
        <v>46295.0</v>
      </c>
      <c r="G486" s="11" t="s">
        <v>2859</v>
      </c>
      <c r="H486" s="11">
        <v>7.666351578E9</v>
      </c>
      <c r="I486" s="11" t="s">
        <v>70</v>
      </c>
      <c r="J486" s="11" t="s">
        <v>71</v>
      </c>
      <c r="K486" s="11" t="s">
        <v>72</v>
      </c>
      <c r="L486" s="11" t="s">
        <v>73</v>
      </c>
      <c r="M486" s="11" t="s">
        <v>2860</v>
      </c>
      <c r="N486" s="11" t="s">
        <v>2778</v>
      </c>
      <c r="O486" s="11" t="s">
        <v>71</v>
      </c>
      <c r="P486" s="11" t="s">
        <v>2861</v>
      </c>
      <c r="Q486" s="13" t="s">
        <v>2862</v>
      </c>
      <c r="R486" s="14" t="str">
        <f>HYPERLINK("https://drive.google.com/file/d/1fklwtBCrvAgpA02dA4324PAFb5nurQzX/view?usp=drivesdk","OFFER LETTER")</f>
        <v>OFFER LETTER</v>
      </c>
      <c r="S486" s="11" t="s">
        <v>2863</v>
      </c>
    </row>
    <row r="487" ht="22.5" customHeight="1">
      <c r="A487" s="10">
        <v>46258.3836674537</v>
      </c>
      <c r="B487" s="11" t="s">
        <v>2864</v>
      </c>
      <c r="C487" s="11" t="s">
        <v>107</v>
      </c>
      <c r="D487" s="11" t="s">
        <v>68</v>
      </c>
      <c r="E487" s="12">
        <v>46258.0</v>
      </c>
      <c r="F487" s="12">
        <v>46289.0</v>
      </c>
      <c r="G487" s="11" t="s">
        <v>2865</v>
      </c>
      <c r="H487" s="11">
        <v>9.818953925E9</v>
      </c>
      <c r="I487" s="11" t="s">
        <v>82</v>
      </c>
      <c r="J487" s="11" t="s">
        <v>71</v>
      </c>
      <c r="K487" s="11" t="s">
        <v>110</v>
      </c>
      <c r="L487" s="11" t="s">
        <v>73</v>
      </c>
      <c r="M487" s="11" t="s">
        <v>2866</v>
      </c>
      <c r="N487" s="11" t="s">
        <v>86</v>
      </c>
      <c r="O487" s="11" t="s">
        <v>71</v>
      </c>
      <c r="P487" s="11" t="s">
        <v>2867</v>
      </c>
      <c r="Q487" s="13" t="s">
        <v>2868</v>
      </c>
      <c r="R487" s="14" t="str">
        <f>HYPERLINK("https://drive.google.com/file/d/1UK-DczwHBA3OclAWGqxmuT022R1cB-Tn/view?usp=drivesdk","OFFER LETTER")</f>
        <v>OFFER LETTER</v>
      </c>
      <c r="S487" s="11" t="s">
        <v>2869</v>
      </c>
    </row>
    <row r="488" ht="22.5" customHeight="1">
      <c r="A488" s="10">
        <v>46258.38432856482</v>
      </c>
      <c r="B488" s="11" t="s">
        <v>2870</v>
      </c>
      <c r="C488" s="11" t="s">
        <v>91</v>
      </c>
      <c r="D488" s="11" t="s">
        <v>68</v>
      </c>
      <c r="E488" s="12">
        <v>46258.0</v>
      </c>
      <c r="F488" s="12">
        <v>46289.0</v>
      </c>
      <c r="G488" s="11" t="s">
        <v>2871</v>
      </c>
      <c r="H488" s="11">
        <v>9.030295662E9</v>
      </c>
      <c r="I488" s="11" t="s">
        <v>82</v>
      </c>
      <c r="J488" s="11" t="s">
        <v>83</v>
      </c>
      <c r="K488" s="11" t="s">
        <v>72</v>
      </c>
      <c r="L488" s="11" t="s">
        <v>131</v>
      </c>
      <c r="M488" s="11" t="s">
        <v>530</v>
      </c>
      <c r="N488" s="11" t="s">
        <v>86</v>
      </c>
      <c r="O488" s="11" t="s">
        <v>71</v>
      </c>
      <c r="P488" s="11" t="s">
        <v>2872</v>
      </c>
      <c r="Q488" s="13" t="s">
        <v>2873</v>
      </c>
      <c r="R488" s="14" t="str">
        <f>HYPERLINK("https://drive.google.com/file/d/1Gm3XZLZKSAqp0Q62iTZOaKBUUReKbak3/view?usp=drivesdk","OFFER LETTER")</f>
        <v>OFFER LETTER</v>
      </c>
      <c r="S488" s="11" t="s">
        <v>2874</v>
      </c>
    </row>
    <row r="489" ht="22.5" customHeight="1">
      <c r="A489" s="10">
        <v>46258.38800672453</v>
      </c>
      <c r="B489" s="11" t="s">
        <v>2875</v>
      </c>
      <c r="C489" s="11" t="s">
        <v>195</v>
      </c>
      <c r="D489" s="11" t="s">
        <v>68</v>
      </c>
      <c r="E489" s="12">
        <v>46258.0</v>
      </c>
      <c r="F489" s="12">
        <v>46289.0</v>
      </c>
      <c r="G489" s="11" t="s">
        <v>2876</v>
      </c>
      <c r="H489" s="11">
        <v>8.31046883E9</v>
      </c>
      <c r="I489" s="11" t="s">
        <v>70</v>
      </c>
      <c r="J489" s="11" t="s">
        <v>71</v>
      </c>
      <c r="K489" s="11" t="s">
        <v>72</v>
      </c>
      <c r="L489" s="11" t="s">
        <v>131</v>
      </c>
      <c r="M489" s="11" t="s">
        <v>2877</v>
      </c>
      <c r="N489" s="11" t="s">
        <v>241</v>
      </c>
      <c r="O489" s="11" t="s">
        <v>71</v>
      </c>
      <c r="P489" s="11" t="s">
        <v>2878</v>
      </c>
      <c r="Q489" s="13" t="s">
        <v>2879</v>
      </c>
      <c r="R489" s="14" t="str">
        <f>HYPERLINK("https://drive.google.com/file/d/1wd9GmhoUI9cRODVR6KsCgjvzzM0VLPS7/view?usp=drivesdk","OFFER LETTER")</f>
        <v>OFFER LETTER</v>
      </c>
      <c r="S489" s="11" t="s">
        <v>2880</v>
      </c>
    </row>
    <row r="490" ht="22.5" customHeight="1">
      <c r="A490" s="10">
        <v>46258.39494267361</v>
      </c>
      <c r="B490" s="11" t="s">
        <v>2881</v>
      </c>
      <c r="C490" s="11" t="s">
        <v>107</v>
      </c>
      <c r="D490" s="11" t="s">
        <v>68</v>
      </c>
      <c r="E490" s="12">
        <v>46258.0</v>
      </c>
      <c r="F490" s="12">
        <v>46289.0</v>
      </c>
      <c r="G490" s="11" t="s">
        <v>2882</v>
      </c>
      <c r="H490" s="11">
        <v>6.381223295E9</v>
      </c>
      <c r="I490" s="11" t="s">
        <v>70</v>
      </c>
      <c r="J490" s="11" t="s">
        <v>71</v>
      </c>
      <c r="K490" s="11" t="s">
        <v>72</v>
      </c>
      <c r="L490" s="11" t="s">
        <v>131</v>
      </c>
      <c r="M490" s="11" t="s">
        <v>2883</v>
      </c>
      <c r="N490" s="11" t="s">
        <v>226</v>
      </c>
      <c r="O490" s="11" t="s">
        <v>71</v>
      </c>
      <c r="P490" s="11" t="s">
        <v>2884</v>
      </c>
      <c r="Q490" s="13" t="s">
        <v>2885</v>
      </c>
      <c r="R490" s="14" t="str">
        <f>HYPERLINK("https://drive.google.com/file/d/1SmclVWf6V9f3ggCONq28YHGZIyPTDdun/view?usp=drivesdk","OFFER LETTER")</f>
        <v>OFFER LETTER</v>
      </c>
      <c r="S490" s="11" t="s">
        <v>2886</v>
      </c>
    </row>
    <row r="491" ht="22.5" customHeight="1">
      <c r="A491" s="10">
        <v>46258.39511863426</v>
      </c>
      <c r="B491" s="11" t="s">
        <v>2887</v>
      </c>
      <c r="C491" s="11" t="s">
        <v>259</v>
      </c>
      <c r="D491" s="11" t="s">
        <v>238</v>
      </c>
      <c r="E491" s="12">
        <v>46257.0</v>
      </c>
      <c r="F491" s="12">
        <v>46349.0</v>
      </c>
      <c r="G491" s="11" t="s">
        <v>2888</v>
      </c>
      <c r="H491" s="11">
        <v>6.207938621E9</v>
      </c>
      <c r="I491" s="11" t="s">
        <v>82</v>
      </c>
      <c r="J491" s="11" t="s">
        <v>71</v>
      </c>
      <c r="K491" s="11" t="s">
        <v>110</v>
      </c>
      <c r="L491" s="11" t="s">
        <v>357</v>
      </c>
      <c r="M491" s="11" t="s">
        <v>2889</v>
      </c>
      <c r="N491" s="11" t="s">
        <v>241</v>
      </c>
      <c r="O491" s="11" t="s">
        <v>71</v>
      </c>
      <c r="P491" s="11" t="s">
        <v>2890</v>
      </c>
      <c r="Q491" s="13" t="s">
        <v>2891</v>
      </c>
      <c r="R491" s="14" t="str">
        <f>HYPERLINK("https://drive.google.com/file/d/1yFgV-w7yvx87b8BHx1ebibSWm1Gr9lT_/view?usp=drivesdk","OFFER LETTER")</f>
        <v>OFFER LETTER</v>
      </c>
      <c r="S491" s="11" t="s">
        <v>2892</v>
      </c>
    </row>
    <row r="492" ht="22.5" customHeight="1">
      <c r="A492" s="10">
        <v>46258.39902793981</v>
      </c>
      <c r="B492" s="11" t="s">
        <v>2893</v>
      </c>
      <c r="C492" s="11" t="s">
        <v>107</v>
      </c>
      <c r="D492" s="11" t="s">
        <v>68</v>
      </c>
      <c r="E492" s="12">
        <v>46258.0</v>
      </c>
      <c r="F492" s="12">
        <v>46289.0</v>
      </c>
      <c r="G492" s="11" t="s">
        <v>2894</v>
      </c>
      <c r="H492" s="11">
        <v>6.380899226E9</v>
      </c>
      <c r="I492" s="11" t="s">
        <v>70</v>
      </c>
      <c r="J492" s="11" t="s">
        <v>71</v>
      </c>
      <c r="K492" s="11" t="s">
        <v>72</v>
      </c>
      <c r="L492" s="11" t="s">
        <v>131</v>
      </c>
      <c r="M492" s="11" t="s">
        <v>2895</v>
      </c>
      <c r="N492" s="11" t="s">
        <v>226</v>
      </c>
      <c r="O492" s="11" t="s">
        <v>71</v>
      </c>
      <c r="P492" s="11" t="s">
        <v>2896</v>
      </c>
      <c r="Q492" s="13" t="s">
        <v>2897</v>
      </c>
      <c r="R492" s="14" t="str">
        <f>HYPERLINK("https://drive.google.com/file/d/18T0zGteo50NlsbTwFtVG7k2LY4oWvDaU/view?usp=drivesdk","OFFER LETTER")</f>
        <v>OFFER LETTER</v>
      </c>
      <c r="S492" s="11" t="s">
        <v>2898</v>
      </c>
    </row>
    <row r="493" ht="22.5" customHeight="1">
      <c r="A493" s="10">
        <v>46258.401549664355</v>
      </c>
      <c r="B493" s="11" t="s">
        <v>2899</v>
      </c>
      <c r="C493" s="11" t="s">
        <v>237</v>
      </c>
      <c r="D493" s="11" t="s">
        <v>68</v>
      </c>
      <c r="E493" s="12">
        <v>46157.0</v>
      </c>
      <c r="F493" s="12">
        <v>46188.0</v>
      </c>
      <c r="G493" s="11" t="s">
        <v>2900</v>
      </c>
      <c r="H493" s="11">
        <v>9.347550429E9</v>
      </c>
      <c r="I493" s="11" t="s">
        <v>82</v>
      </c>
      <c r="J493" s="11" t="s">
        <v>71</v>
      </c>
      <c r="K493" s="11" t="s">
        <v>72</v>
      </c>
      <c r="L493" s="11" t="s">
        <v>131</v>
      </c>
      <c r="M493" s="11" t="s">
        <v>2901</v>
      </c>
      <c r="N493" s="11" t="s">
        <v>750</v>
      </c>
      <c r="O493" s="11" t="s">
        <v>71</v>
      </c>
      <c r="P493" s="11" t="s">
        <v>2902</v>
      </c>
      <c r="Q493" s="13" t="s">
        <v>2903</v>
      </c>
      <c r="R493" s="14" t="str">
        <f>HYPERLINK("https://drive.google.com/file/d/12uRqwXqsMqo_yGGY-f-1SD2hMjaz4YIX/view?usp=drivesdk","OFFER LETTER")</f>
        <v>OFFER LETTER</v>
      </c>
      <c r="S493" s="11" t="s">
        <v>2904</v>
      </c>
    </row>
    <row r="494" ht="22.5" customHeight="1">
      <c r="A494" s="10">
        <v>46258.40518149306</v>
      </c>
      <c r="B494" s="11" t="s">
        <v>2905</v>
      </c>
      <c r="C494" s="11" t="s">
        <v>195</v>
      </c>
      <c r="D494" s="11" t="s">
        <v>68</v>
      </c>
      <c r="E494" s="12">
        <v>46260.0</v>
      </c>
      <c r="F494" s="12">
        <v>46291.0</v>
      </c>
      <c r="G494" s="11" t="s">
        <v>2906</v>
      </c>
      <c r="H494" s="11">
        <v>9.921001104E9</v>
      </c>
      <c r="I494" s="11" t="s">
        <v>82</v>
      </c>
      <c r="J494" s="11" t="s">
        <v>71</v>
      </c>
      <c r="K494" s="11" t="s">
        <v>72</v>
      </c>
      <c r="L494" s="11" t="s">
        <v>73</v>
      </c>
      <c r="M494" s="11" t="s">
        <v>2907</v>
      </c>
      <c r="N494" s="11" t="s">
        <v>226</v>
      </c>
      <c r="O494" s="11" t="s">
        <v>71</v>
      </c>
      <c r="P494" s="11" t="s">
        <v>2908</v>
      </c>
      <c r="Q494" s="13" t="s">
        <v>2909</v>
      </c>
      <c r="R494" s="14" t="str">
        <f>HYPERLINK("https://drive.google.com/file/d/1OT9nfqrPqmcYWS9rdixyLEKXaMN4TWLY/view?usp=drivesdk","OFFER LETTER")</f>
        <v>OFFER LETTER</v>
      </c>
      <c r="S494" s="11" t="s">
        <v>2910</v>
      </c>
    </row>
    <row r="495" ht="22.5" customHeight="1">
      <c r="A495" s="10">
        <v>46258.40626017361</v>
      </c>
      <c r="B495" s="11" t="s">
        <v>2911</v>
      </c>
      <c r="C495" s="11" t="s">
        <v>259</v>
      </c>
      <c r="D495" s="11" t="s">
        <v>68</v>
      </c>
      <c r="E495" s="12">
        <v>46258.0</v>
      </c>
      <c r="F495" s="12">
        <v>46289.0</v>
      </c>
      <c r="G495" s="11" t="s">
        <v>2912</v>
      </c>
      <c r="H495" s="11">
        <v>6.383367312E9</v>
      </c>
      <c r="I495" s="11" t="s">
        <v>82</v>
      </c>
      <c r="J495" s="11" t="s">
        <v>83</v>
      </c>
      <c r="K495" s="11" t="s">
        <v>72</v>
      </c>
      <c r="L495" s="11" t="s">
        <v>73</v>
      </c>
      <c r="M495" s="11" t="s">
        <v>2913</v>
      </c>
      <c r="N495" s="11" t="s">
        <v>86</v>
      </c>
      <c r="O495" s="11" t="s">
        <v>71</v>
      </c>
      <c r="P495" s="11" t="s">
        <v>2914</v>
      </c>
      <c r="Q495" s="13" t="s">
        <v>2915</v>
      </c>
      <c r="R495" s="14" t="str">
        <f>HYPERLINK("https://drive.google.com/file/d/1FeHWs1VX8bBsF_bbgFGxLFOHztMPJdV3/view?usp=drivesdk","OFFER LETTER")</f>
        <v>OFFER LETTER</v>
      </c>
      <c r="S495" s="11" t="s">
        <v>2916</v>
      </c>
    </row>
    <row r="496" ht="22.5" customHeight="1">
      <c r="A496" s="10">
        <v>46258.413112685186</v>
      </c>
      <c r="B496" s="11" t="s">
        <v>2917</v>
      </c>
      <c r="C496" s="11" t="s">
        <v>91</v>
      </c>
      <c r="D496" s="11" t="s">
        <v>68</v>
      </c>
      <c r="E496" s="12">
        <v>46252.0</v>
      </c>
      <c r="F496" s="12">
        <v>46283.0</v>
      </c>
      <c r="G496" s="11" t="s">
        <v>2918</v>
      </c>
      <c r="H496" s="17" t="s">
        <v>2919</v>
      </c>
      <c r="I496" s="11" t="s">
        <v>82</v>
      </c>
      <c r="J496" s="11" t="s">
        <v>71</v>
      </c>
      <c r="K496" s="11" t="s">
        <v>72</v>
      </c>
      <c r="L496" s="11" t="s">
        <v>131</v>
      </c>
      <c r="M496" s="11" t="s">
        <v>2920</v>
      </c>
      <c r="N496" s="11" t="s">
        <v>241</v>
      </c>
      <c r="O496" s="11" t="s">
        <v>71</v>
      </c>
      <c r="P496" s="11" t="s">
        <v>2921</v>
      </c>
      <c r="Q496" s="13" t="s">
        <v>2922</v>
      </c>
      <c r="R496" s="14" t="str">
        <f>HYPERLINK("https://drive.google.com/file/d/1HQ5uTaOaDDiGfW4EKIfXWM3oFaLUPf2I/view?usp=drivesdk","OFFER LETTER")</f>
        <v>OFFER LETTER</v>
      </c>
      <c r="S496" s="11" t="s">
        <v>2923</v>
      </c>
    </row>
    <row r="497" ht="22.5" customHeight="1">
      <c r="A497" s="10">
        <v>46258.42018086805</v>
      </c>
      <c r="B497" s="11" t="s">
        <v>127</v>
      </c>
      <c r="C497" s="11" t="s">
        <v>128</v>
      </c>
      <c r="D497" s="11" t="s">
        <v>68</v>
      </c>
      <c r="E497" s="12">
        <v>46256.0</v>
      </c>
      <c r="F497" s="12">
        <v>46288.0</v>
      </c>
      <c r="G497" s="11" t="s">
        <v>129</v>
      </c>
      <c r="H497" s="11">
        <v>9.381856182E9</v>
      </c>
      <c r="I497" s="11" t="s">
        <v>82</v>
      </c>
      <c r="J497" s="11" t="s">
        <v>71</v>
      </c>
      <c r="K497" s="11" t="s">
        <v>72</v>
      </c>
      <c r="L497" s="11" t="s">
        <v>131</v>
      </c>
      <c r="M497" s="11" t="s">
        <v>132</v>
      </c>
      <c r="N497" s="11" t="s">
        <v>86</v>
      </c>
      <c r="O497" s="11" t="s">
        <v>71</v>
      </c>
      <c r="P497" s="11" t="s">
        <v>2924</v>
      </c>
      <c r="Q497" s="13" t="s">
        <v>2925</v>
      </c>
      <c r="R497" s="14" t="str">
        <f>HYPERLINK("https://drive.google.com/file/d/1aKBg689-RXqNzsWhgJEaBNa8P6Rkn_j0/view?usp=drivesdk","OFFER LETTER")</f>
        <v>OFFER LETTER</v>
      </c>
      <c r="S497" s="11" t="s">
        <v>2926</v>
      </c>
    </row>
    <row r="498" ht="22.5" customHeight="1">
      <c r="A498" s="10">
        <v>46258.42238233796</v>
      </c>
      <c r="B498" s="11" t="s">
        <v>2603</v>
      </c>
      <c r="C498" s="11" t="s">
        <v>173</v>
      </c>
      <c r="D498" s="11" t="s">
        <v>929</v>
      </c>
      <c r="E498" s="12">
        <v>46076.0</v>
      </c>
      <c r="F498" s="12">
        <v>46258.0</v>
      </c>
      <c r="G498" s="11" t="s">
        <v>2604</v>
      </c>
      <c r="H498" s="11">
        <v>9.640457179E9</v>
      </c>
      <c r="I498" s="11" t="s">
        <v>70</v>
      </c>
      <c r="J498" s="11" t="s">
        <v>71</v>
      </c>
      <c r="K498" s="11" t="s">
        <v>72</v>
      </c>
      <c r="L498" s="11" t="s">
        <v>84</v>
      </c>
      <c r="M498" s="11" t="s">
        <v>2605</v>
      </c>
      <c r="N498" s="11" t="s">
        <v>241</v>
      </c>
      <c r="O498" s="11" t="s">
        <v>71</v>
      </c>
      <c r="P498" s="11" t="s">
        <v>2927</v>
      </c>
      <c r="Q498" s="13" t="s">
        <v>2928</v>
      </c>
      <c r="R498" s="14" t="str">
        <f>HYPERLINK("https://drive.google.com/file/d/1amGahWXJcAsTrdj2f3OghVd-c9wymSV9/view?usp=drivesdk","OFFER LETTER")</f>
        <v>OFFER LETTER</v>
      </c>
      <c r="S498" s="11" t="s">
        <v>2929</v>
      </c>
    </row>
    <row r="499" ht="22.5" customHeight="1">
      <c r="A499" s="10">
        <v>46258.422965000005</v>
      </c>
      <c r="B499" s="11" t="s">
        <v>2930</v>
      </c>
      <c r="C499" s="11" t="s">
        <v>91</v>
      </c>
      <c r="D499" s="11" t="s">
        <v>68</v>
      </c>
      <c r="E499" s="12">
        <v>46198.0</v>
      </c>
      <c r="F499" s="12">
        <v>46228.0</v>
      </c>
      <c r="G499" s="11" t="s">
        <v>2931</v>
      </c>
      <c r="H499" s="11">
        <v>9.118662061E9</v>
      </c>
      <c r="I499" s="11" t="s">
        <v>82</v>
      </c>
      <c r="J499" s="11" t="s">
        <v>71</v>
      </c>
      <c r="K499" s="11" t="s">
        <v>72</v>
      </c>
      <c r="L499" s="11" t="s">
        <v>73</v>
      </c>
      <c r="M499" s="11" t="s">
        <v>2932</v>
      </c>
      <c r="N499" s="11" t="s">
        <v>155</v>
      </c>
      <c r="O499" s="11" t="s">
        <v>71</v>
      </c>
      <c r="P499" s="11" t="s">
        <v>2933</v>
      </c>
      <c r="Q499" s="13" t="s">
        <v>2934</v>
      </c>
      <c r="R499" s="14" t="str">
        <f>HYPERLINK("https://drive.google.com/file/d/1hBv7-57iURlmrJvpB8PazLIemxBuG8BK/view?usp=drivesdk","OFFER LETTER")</f>
        <v>OFFER LETTER</v>
      </c>
      <c r="S499" s="11" t="s">
        <v>2935</v>
      </c>
    </row>
    <row r="500" ht="22.5" customHeight="1">
      <c r="A500" s="10">
        <v>46258.42731104167</v>
      </c>
      <c r="B500" s="11" t="s">
        <v>2936</v>
      </c>
      <c r="C500" s="11" t="s">
        <v>195</v>
      </c>
      <c r="D500" s="11" t="s">
        <v>68</v>
      </c>
      <c r="E500" s="12">
        <v>46258.0</v>
      </c>
      <c r="F500" s="12">
        <v>46291.0</v>
      </c>
      <c r="G500" s="11" t="s">
        <v>2937</v>
      </c>
      <c r="H500" s="11">
        <v>6.283086074E9</v>
      </c>
      <c r="I500" s="11" t="s">
        <v>82</v>
      </c>
      <c r="J500" s="11" t="s">
        <v>71</v>
      </c>
      <c r="K500" s="13" t="s">
        <v>443</v>
      </c>
      <c r="L500" s="11" t="s">
        <v>73</v>
      </c>
      <c r="M500" s="11" t="s">
        <v>2938</v>
      </c>
      <c r="N500" s="11" t="s">
        <v>86</v>
      </c>
      <c r="O500" s="11" t="s">
        <v>71</v>
      </c>
      <c r="P500" s="11" t="s">
        <v>2939</v>
      </c>
      <c r="Q500" s="13" t="s">
        <v>2940</v>
      </c>
      <c r="R500" s="14" t="str">
        <f>HYPERLINK("https://drive.google.com/file/d/1xlg5GKcokaiTypUbSRPP4V_169X26Ip6/view?usp=drivesdk","OFFER LETTER")</f>
        <v>OFFER LETTER</v>
      </c>
      <c r="S500" s="11" t="s">
        <v>2941</v>
      </c>
    </row>
    <row r="501" ht="22.5" customHeight="1">
      <c r="A501" s="10">
        <v>46258.43273298611</v>
      </c>
      <c r="B501" s="11" t="s">
        <v>2942</v>
      </c>
      <c r="C501" s="11" t="s">
        <v>80</v>
      </c>
      <c r="D501" s="11" t="s">
        <v>68</v>
      </c>
      <c r="E501" s="12">
        <v>46172.0</v>
      </c>
      <c r="F501" s="12">
        <v>46203.0</v>
      </c>
      <c r="G501" s="11" t="s">
        <v>2943</v>
      </c>
      <c r="H501" s="11">
        <v>9.392275832E9</v>
      </c>
      <c r="I501" s="11" t="s">
        <v>82</v>
      </c>
      <c r="J501" s="11" t="s">
        <v>71</v>
      </c>
      <c r="K501" s="11" t="s">
        <v>72</v>
      </c>
      <c r="L501" s="11" t="s">
        <v>73</v>
      </c>
      <c r="M501" s="11" t="s">
        <v>2944</v>
      </c>
      <c r="N501" s="11" t="s">
        <v>86</v>
      </c>
      <c r="O501" s="11" t="s">
        <v>71</v>
      </c>
      <c r="P501" s="11" t="s">
        <v>2945</v>
      </c>
      <c r="Q501" s="13" t="s">
        <v>2946</v>
      </c>
      <c r="R501" s="14" t="str">
        <f>HYPERLINK("https://drive.google.com/file/d/10joNNWDN--zEEUioZClbM04kZE5_mgxL/view?usp=drivesdk","OFFER LETTER")</f>
        <v>OFFER LETTER</v>
      </c>
      <c r="S501" s="11" t="s">
        <v>2947</v>
      </c>
    </row>
    <row r="502" ht="22.5" customHeight="1">
      <c r="A502" s="10">
        <v>46258.44107509259</v>
      </c>
      <c r="B502" s="11" t="s">
        <v>2948</v>
      </c>
      <c r="C502" s="11" t="s">
        <v>1200</v>
      </c>
      <c r="D502" s="11" t="s">
        <v>68</v>
      </c>
      <c r="E502" s="12">
        <v>46235.0</v>
      </c>
      <c r="F502" s="12">
        <v>46265.0</v>
      </c>
      <c r="G502" s="11" t="s">
        <v>2949</v>
      </c>
      <c r="H502" s="11">
        <v>9.984697095E9</v>
      </c>
      <c r="I502" s="11" t="s">
        <v>82</v>
      </c>
      <c r="J502" s="11" t="s">
        <v>71</v>
      </c>
      <c r="K502" s="11" t="s">
        <v>72</v>
      </c>
      <c r="L502" s="11" t="s">
        <v>131</v>
      </c>
      <c r="M502" s="11" t="s">
        <v>2950</v>
      </c>
      <c r="N502" s="11" t="s">
        <v>86</v>
      </c>
      <c r="O502" s="11" t="s">
        <v>71</v>
      </c>
      <c r="P502" s="11" t="s">
        <v>2951</v>
      </c>
      <c r="Q502" s="13" t="s">
        <v>2952</v>
      </c>
      <c r="R502" s="14" t="str">
        <f>HYPERLINK("https://drive.google.com/file/d/1t2utuZPzIeCep7Z_vV06F3k2TeawzIOm/view?usp=drivesdk","OFFER LETTER")</f>
        <v>OFFER LETTER</v>
      </c>
      <c r="S502" s="11" t="s">
        <v>2953</v>
      </c>
    </row>
    <row r="503" ht="22.5" customHeight="1">
      <c r="A503" s="10">
        <v>46258.446199004626</v>
      </c>
      <c r="B503" s="11" t="s">
        <v>2954</v>
      </c>
      <c r="C503" s="11" t="s">
        <v>195</v>
      </c>
      <c r="D503" s="11" t="s">
        <v>108</v>
      </c>
      <c r="E503" s="12">
        <v>46266.0</v>
      </c>
      <c r="F503" s="12">
        <v>46326.0</v>
      </c>
      <c r="G503" s="11" t="s">
        <v>2955</v>
      </c>
      <c r="H503" s="11">
        <v>9.480958242E9</v>
      </c>
      <c r="I503" s="11" t="s">
        <v>70</v>
      </c>
      <c r="J503" s="11" t="s">
        <v>71</v>
      </c>
      <c r="K503" s="11" t="s">
        <v>356</v>
      </c>
      <c r="L503" s="11" t="s">
        <v>84</v>
      </c>
      <c r="M503" s="11" t="s">
        <v>2956</v>
      </c>
      <c r="N503" s="11" t="s">
        <v>75</v>
      </c>
      <c r="O503" s="11" t="s">
        <v>71</v>
      </c>
      <c r="P503" s="11" t="s">
        <v>2957</v>
      </c>
      <c r="Q503" s="13" t="s">
        <v>2958</v>
      </c>
      <c r="R503" s="14" t="str">
        <f>HYPERLINK("https://drive.google.com/file/d/1Smq07XFLMHqTSmdNwcFE6K9quw6R7fCV/view?usp=drivesdk","OFFER LETTER")</f>
        <v>OFFER LETTER</v>
      </c>
      <c r="S503" s="11" t="s">
        <v>2959</v>
      </c>
    </row>
    <row r="504" ht="22.5" customHeight="1">
      <c r="A504" s="10">
        <v>46258.45350643518</v>
      </c>
      <c r="B504" s="11" t="s">
        <v>2960</v>
      </c>
      <c r="C504" s="11" t="s">
        <v>165</v>
      </c>
      <c r="D504" s="11" t="s">
        <v>68</v>
      </c>
      <c r="E504" s="12">
        <v>46258.0</v>
      </c>
      <c r="F504" s="12">
        <v>46289.0</v>
      </c>
      <c r="G504" s="11" t="s">
        <v>2961</v>
      </c>
      <c r="H504" s="11">
        <v>8.653880326E9</v>
      </c>
      <c r="I504" s="11" t="s">
        <v>82</v>
      </c>
      <c r="J504" s="11" t="s">
        <v>71</v>
      </c>
      <c r="K504" s="11" t="s">
        <v>110</v>
      </c>
      <c r="L504" s="11" t="s">
        <v>84</v>
      </c>
      <c r="M504" s="11" t="s">
        <v>2962</v>
      </c>
      <c r="N504" s="11" t="s">
        <v>86</v>
      </c>
      <c r="O504" s="11" t="s">
        <v>71</v>
      </c>
      <c r="P504" s="11" t="s">
        <v>2963</v>
      </c>
      <c r="Q504" s="13" t="s">
        <v>2964</v>
      </c>
      <c r="R504" s="14" t="str">
        <f>HYPERLINK("https://drive.google.com/file/d/1zBJ85tgrRp6AFqEj5OYQDo-6AkXoYgua/view?usp=drivesdk","OFFER LETTER")</f>
        <v>OFFER LETTER</v>
      </c>
      <c r="S504" s="11" t="s">
        <v>2965</v>
      </c>
    </row>
    <row r="505" ht="22.5" customHeight="1">
      <c r="A505" s="10">
        <v>46258.453703506944</v>
      </c>
      <c r="B505" s="11" t="s">
        <v>2966</v>
      </c>
      <c r="C505" s="11" t="s">
        <v>1200</v>
      </c>
      <c r="D505" s="11" t="s">
        <v>108</v>
      </c>
      <c r="E505" s="12">
        <v>46195.0</v>
      </c>
      <c r="F505" s="12">
        <v>46256.0</v>
      </c>
      <c r="G505" s="11" t="s">
        <v>2967</v>
      </c>
      <c r="H505" s="11">
        <v>7.505216213E9</v>
      </c>
      <c r="I505" s="11" t="s">
        <v>70</v>
      </c>
      <c r="J505" s="11" t="s">
        <v>71</v>
      </c>
      <c r="K505" s="11" t="s">
        <v>110</v>
      </c>
      <c r="L505" s="11" t="s">
        <v>73</v>
      </c>
      <c r="M505" s="11" t="s">
        <v>623</v>
      </c>
      <c r="N505" s="11" t="s">
        <v>75</v>
      </c>
      <c r="O505" s="11" t="s">
        <v>71</v>
      </c>
      <c r="P505" s="11" t="s">
        <v>2968</v>
      </c>
      <c r="Q505" s="13" t="s">
        <v>2969</v>
      </c>
      <c r="R505" s="14" t="str">
        <f>HYPERLINK("https://drive.google.com/file/d/1sHqFvdndzcoRhgahBI3D291YD3WxzbeW/view?usp=drivesdk","OFFER LETTER")</f>
        <v>OFFER LETTER</v>
      </c>
      <c r="S505" s="11" t="s">
        <v>2970</v>
      </c>
    </row>
    <row r="506" ht="22.5" customHeight="1">
      <c r="A506" s="10">
        <v>46258.46020472222</v>
      </c>
      <c r="B506" s="11" t="s">
        <v>2971</v>
      </c>
      <c r="C506" s="11" t="s">
        <v>195</v>
      </c>
      <c r="D506" s="11" t="s">
        <v>68</v>
      </c>
      <c r="E506" s="12">
        <v>46258.0</v>
      </c>
      <c r="F506" s="12">
        <v>46289.0</v>
      </c>
      <c r="G506" s="11" t="s">
        <v>2972</v>
      </c>
      <c r="H506" s="11">
        <v>7.338654416E9</v>
      </c>
      <c r="I506" s="11" t="s">
        <v>82</v>
      </c>
      <c r="J506" s="11" t="s">
        <v>71</v>
      </c>
      <c r="K506" s="11" t="s">
        <v>72</v>
      </c>
      <c r="L506" s="11" t="s">
        <v>131</v>
      </c>
      <c r="M506" s="11" t="s">
        <v>2973</v>
      </c>
      <c r="N506" s="11" t="s">
        <v>155</v>
      </c>
      <c r="O506" s="11" t="s">
        <v>71</v>
      </c>
      <c r="P506" s="11" t="s">
        <v>2974</v>
      </c>
      <c r="Q506" s="13" t="s">
        <v>2975</v>
      </c>
      <c r="R506" s="14" t="str">
        <f>HYPERLINK("https://drive.google.com/file/d/1uzJ6PfW0ly0vT5zU4GiZmWajBDOMNcKY/view?usp=drivesdk","OFFER LETTER")</f>
        <v>OFFER LETTER</v>
      </c>
      <c r="S506" s="11" t="s">
        <v>2976</v>
      </c>
    </row>
    <row r="507" ht="22.5" customHeight="1">
      <c r="A507" s="10">
        <v>46258.460351608795</v>
      </c>
      <c r="B507" s="11" t="s">
        <v>2977</v>
      </c>
      <c r="C507" s="11" t="s">
        <v>195</v>
      </c>
      <c r="D507" s="11" t="s">
        <v>108</v>
      </c>
      <c r="E507" s="12">
        <v>46266.0</v>
      </c>
      <c r="F507" s="12">
        <v>46326.0</v>
      </c>
      <c r="G507" s="11" t="s">
        <v>2978</v>
      </c>
      <c r="H507" s="11">
        <v>9.483364876E9</v>
      </c>
      <c r="I507" s="11" t="s">
        <v>82</v>
      </c>
      <c r="J507" s="11" t="s">
        <v>71</v>
      </c>
      <c r="K507" s="11" t="s">
        <v>356</v>
      </c>
      <c r="L507" s="11" t="s">
        <v>84</v>
      </c>
      <c r="M507" s="11" t="s">
        <v>2979</v>
      </c>
      <c r="N507" s="11" t="s">
        <v>75</v>
      </c>
      <c r="O507" s="11" t="s">
        <v>71</v>
      </c>
      <c r="P507" s="11" t="s">
        <v>2980</v>
      </c>
      <c r="Q507" s="13" t="s">
        <v>2981</v>
      </c>
      <c r="R507" s="14" t="str">
        <f>HYPERLINK("https://drive.google.com/file/d/1vqdstU6-jX_hYa56FL5be-v2LuQIhtcb/view?usp=drivesdk","OFFER LETTER")</f>
        <v>OFFER LETTER</v>
      </c>
      <c r="S507" s="11" t="s">
        <v>2982</v>
      </c>
    </row>
    <row r="508" ht="22.5" customHeight="1">
      <c r="A508" s="10">
        <v>46258.46213734953</v>
      </c>
      <c r="B508" s="11" t="s">
        <v>2942</v>
      </c>
      <c r="C508" s="11" t="s">
        <v>237</v>
      </c>
      <c r="D508" s="11" t="s">
        <v>68</v>
      </c>
      <c r="E508" s="12">
        <v>46176.0</v>
      </c>
      <c r="F508" s="12">
        <v>46200.0</v>
      </c>
      <c r="G508" s="11" t="s">
        <v>2943</v>
      </c>
      <c r="H508" s="11">
        <v>9.392275832E9</v>
      </c>
      <c r="I508" s="11" t="s">
        <v>82</v>
      </c>
      <c r="J508" s="11" t="s">
        <v>71</v>
      </c>
      <c r="K508" s="11" t="s">
        <v>2045</v>
      </c>
      <c r="L508" s="11" t="s">
        <v>73</v>
      </c>
      <c r="M508" s="11" t="s">
        <v>2983</v>
      </c>
      <c r="N508" s="11" t="s">
        <v>86</v>
      </c>
      <c r="O508" s="11" t="s">
        <v>263</v>
      </c>
      <c r="P508" s="11" t="s">
        <v>2984</v>
      </c>
      <c r="Q508" s="13" t="s">
        <v>2985</v>
      </c>
      <c r="R508" s="14" t="str">
        <f>HYPERLINK("https://drive.google.com/file/d/1gss19cyYbZY78gd0CxQjdKYAUEVcwhXL/view?usp=drivesdk","OFFER LETTER")</f>
        <v>OFFER LETTER</v>
      </c>
      <c r="S508" s="11" t="s">
        <v>2986</v>
      </c>
    </row>
    <row r="509" ht="22.5" customHeight="1">
      <c r="A509" s="10">
        <v>46258.46273061342</v>
      </c>
      <c r="B509" s="11" t="s">
        <v>2987</v>
      </c>
      <c r="C509" s="11" t="s">
        <v>259</v>
      </c>
      <c r="D509" s="11" t="s">
        <v>68</v>
      </c>
      <c r="E509" s="12">
        <v>46219.0</v>
      </c>
      <c r="F509" s="12">
        <v>46250.0</v>
      </c>
      <c r="G509" s="11" t="s">
        <v>2988</v>
      </c>
      <c r="H509" s="11">
        <v>9.940629332E9</v>
      </c>
      <c r="I509" s="11" t="s">
        <v>82</v>
      </c>
      <c r="J509" s="11" t="s">
        <v>71</v>
      </c>
      <c r="K509" s="11" t="s">
        <v>72</v>
      </c>
      <c r="L509" s="11" t="s">
        <v>84</v>
      </c>
      <c r="M509" s="11" t="s">
        <v>2989</v>
      </c>
      <c r="N509" s="11" t="s">
        <v>86</v>
      </c>
      <c r="O509" s="11" t="s">
        <v>71</v>
      </c>
      <c r="P509" s="11" t="s">
        <v>2990</v>
      </c>
      <c r="Q509" s="13" t="s">
        <v>2991</v>
      </c>
      <c r="R509" s="14" t="str">
        <f>HYPERLINK("https://drive.google.com/file/d/1GyJ1fWKhAKgE--KLp0WYT1C7w8mnOOJP/view?usp=drivesdk","OFFER LETTER")</f>
        <v>OFFER LETTER</v>
      </c>
      <c r="S509" s="11" t="s">
        <v>2992</v>
      </c>
    </row>
    <row r="510" ht="22.5" customHeight="1">
      <c r="A510" s="10">
        <v>46258.465274409726</v>
      </c>
      <c r="B510" s="11" t="s">
        <v>2993</v>
      </c>
      <c r="C510" s="11" t="s">
        <v>91</v>
      </c>
      <c r="D510" s="11" t="s">
        <v>68</v>
      </c>
      <c r="E510" s="12">
        <v>46113.0</v>
      </c>
      <c r="F510" s="12">
        <v>46142.0</v>
      </c>
      <c r="G510" s="11" t="s">
        <v>2994</v>
      </c>
      <c r="H510" s="11">
        <v>9.391931639E9</v>
      </c>
      <c r="I510" s="11" t="s">
        <v>82</v>
      </c>
      <c r="J510" s="11" t="s">
        <v>71</v>
      </c>
      <c r="K510" s="11" t="s">
        <v>72</v>
      </c>
      <c r="L510" s="11" t="s">
        <v>131</v>
      </c>
      <c r="M510" s="11" t="s">
        <v>2995</v>
      </c>
      <c r="N510" s="11" t="s">
        <v>2996</v>
      </c>
      <c r="O510" s="11" t="s">
        <v>71</v>
      </c>
      <c r="P510" s="11" t="s">
        <v>2997</v>
      </c>
      <c r="Q510" s="13" t="s">
        <v>2998</v>
      </c>
      <c r="R510" s="14" t="str">
        <f>HYPERLINK("https://drive.google.com/file/d/1gCfYQFQ3EABp0KjAm6W9QlW9df33XU6l/view?usp=drivesdk","OFFER LETTER")</f>
        <v>OFFER LETTER</v>
      </c>
      <c r="S510" s="11" t="s">
        <v>2999</v>
      </c>
    </row>
    <row r="511" ht="22.5" customHeight="1">
      <c r="A511" s="10">
        <v>46258.468160439814</v>
      </c>
      <c r="B511" s="11" t="s">
        <v>3000</v>
      </c>
      <c r="C511" s="11" t="s">
        <v>91</v>
      </c>
      <c r="D511" s="11" t="s">
        <v>68</v>
      </c>
      <c r="E511" s="12">
        <v>46198.0</v>
      </c>
      <c r="F511" s="12">
        <v>46228.0</v>
      </c>
      <c r="G511" s="11" t="s">
        <v>3001</v>
      </c>
      <c r="H511" s="11">
        <v>9.170672781E9</v>
      </c>
      <c r="I511" s="11" t="s">
        <v>82</v>
      </c>
      <c r="J511" s="11" t="s">
        <v>71</v>
      </c>
      <c r="K511" s="11" t="s">
        <v>72</v>
      </c>
      <c r="L511" s="11" t="s">
        <v>73</v>
      </c>
      <c r="M511" s="11" t="s">
        <v>3002</v>
      </c>
      <c r="N511" s="11" t="s">
        <v>86</v>
      </c>
      <c r="O511" s="11" t="s">
        <v>71</v>
      </c>
      <c r="P511" s="11" t="s">
        <v>3003</v>
      </c>
      <c r="Q511" s="13" t="s">
        <v>3004</v>
      </c>
      <c r="R511" s="14" t="str">
        <f>HYPERLINK("https://drive.google.com/file/d/1oUj87_PxbhEwFYblD9iWXSupzUhSs96X/view?usp=drivesdk","OFFER LETTER")</f>
        <v>OFFER LETTER</v>
      </c>
      <c r="S511" s="11" t="s">
        <v>3005</v>
      </c>
    </row>
    <row r="512" ht="22.5" customHeight="1">
      <c r="A512" s="10">
        <v>46258.46850793982</v>
      </c>
      <c r="B512" s="11" t="s">
        <v>3006</v>
      </c>
      <c r="C512" s="11" t="s">
        <v>173</v>
      </c>
      <c r="D512" s="11" t="s">
        <v>68</v>
      </c>
      <c r="E512" s="12">
        <v>46204.0</v>
      </c>
      <c r="F512" s="12">
        <v>46235.0</v>
      </c>
      <c r="G512" s="11" t="s">
        <v>3007</v>
      </c>
      <c r="H512" s="11">
        <v>9.125264133E9</v>
      </c>
      <c r="I512" s="11" t="s">
        <v>82</v>
      </c>
      <c r="J512" s="11" t="s">
        <v>71</v>
      </c>
      <c r="K512" s="11" t="s">
        <v>72</v>
      </c>
      <c r="L512" s="11" t="s">
        <v>131</v>
      </c>
      <c r="M512" s="11" t="s">
        <v>3008</v>
      </c>
      <c r="N512" s="11" t="s">
        <v>86</v>
      </c>
      <c r="O512" s="11" t="s">
        <v>71</v>
      </c>
      <c r="P512" s="11" t="s">
        <v>3009</v>
      </c>
      <c r="Q512" s="13" t="s">
        <v>3010</v>
      </c>
      <c r="R512" s="14" t="str">
        <f>HYPERLINK("https://drive.google.com/file/d/1jd1dRo8Ao3-AQoAWUJCSkL9v02jYWliM/view?usp=drivesdk","OFFER LETTER")</f>
        <v>OFFER LETTER</v>
      </c>
      <c r="S512" s="11" t="s">
        <v>3011</v>
      </c>
    </row>
    <row r="513" ht="22.5" customHeight="1">
      <c r="A513" s="10">
        <v>46258.46916934028</v>
      </c>
      <c r="B513" s="11" t="s">
        <v>3012</v>
      </c>
      <c r="C513" s="11" t="s">
        <v>128</v>
      </c>
      <c r="D513" s="11" t="s">
        <v>68</v>
      </c>
      <c r="E513" s="12">
        <v>46258.0</v>
      </c>
      <c r="F513" s="12">
        <v>46258.0</v>
      </c>
      <c r="G513" s="11" t="s">
        <v>3013</v>
      </c>
      <c r="H513" s="11">
        <v>6.200511756E9</v>
      </c>
      <c r="I513" s="11" t="s">
        <v>70</v>
      </c>
      <c r="J513" s="11" t="s">
        <v>71</v>
      </c>
      <c r="K513" s="11" t="s">
        <v>167</v>
      </c>
      <c r="L513" s="11" t="s">
        <v>247</v>
      </c>
      <c r="M513" s="11" t="s">
        <v>3014</v>
      </c>
      <c r="N513" s="11" t="s">
        <v>47</v>
      </c>
      <c r="O513" s="11" t="s">
        <v>71</v>
      </c>
      <c r="P513" s="11" t="s">
        <v>3015</v>
      </c>
      <c r="Q513" s="13" t="s">
        <v>3016</v>
      </c>
      <c r="R513" s="14" t="str">
        <f>HYPERLINK("https://drive.google.com/file/d/1xwS-iwIjM9_7B2Yv0jNCe5NBsyQAQO9p/view?usp=drivesdk","OFFER LETTER")</f>
        <v>OFFER LETTER</v>
      </c>
      <c r="S513" s="11" t="s">
        <v>3017</v>
      </c>
    </row>
    <row r="514" ht="22.5" customHeight="1">
      <c r="A514" s="10">
        <v>46258.471442326394</v>
      </c>
      <c r="B514" s="11" t="s">
        <v>3018</v>
      </c>
      <c r="C514" s="11" t="s">
        <v>128</v>
      </c>
      <c r="D514" s="11" t="s">
        <v>108</v>
      </c>
      <c r="E514" s="12">
        <v>46203.0</v>
      </c>
      <c r="F514" s="12">
        <v>46264.0</v>
      </c>
      <c r="G514" s="11" t="s">
        <v>3019</v>
      </c>
      <c r="H514" s="11">
        <v>8.859761972E9</v>
      </c>
      <c r="I514" s="11" t="s">
        <v>82</v>
      </c>
      <c r="J514" s="11" t="s">
        <v>71</v>
      </c>
      <c r="K514" s="11" t="s">
        <v>72</v>
      </c>
      <c r="L514" s="11" t="s">
        <v>131</v>
      </c>
      <c r="M514" s="11" t="s">
        <v>3020</v>
      </c>
      <c r="N514" s="11" t="s">
        <v>3021</v>
      </c>
      <c r="O514" s="11" t="s">
        <v>71</v>
      </c>
      <c r="P514" s="11" t="s">
        <v>3022</v>
      </c>
      <c r="Q514" s="13" t="s">
        <v>3023</v>
      </c>
      <c r="R514" s="14" t="str">
        <f>HYPERLINK("https://drive.google.com/file/d/1YifuIEK_k3pvO1_f7SakYvfOgWweS5db/view?usp=drivesdk","OFFER LETTER")</f>
        <v>OFFER LETTER</v>
      </c>
      <c r="S514" s="11" t="s">
        <v>3024</v>
      </c>
    </row>
    <row r="515" ht="22.5" customHeight="1">
      <c r="A515" s="10">
        <v>46258.47496561342</v>
      </c>
      <c r="B515" s="11" t="s">
        <v>3025</v>
      </c>
      <c r="C515" s="11" t="s">
        <v>173</v>
      </c>
      <c r="D515" s="11" t="s">
        <v>68</v>
      </c>
      <c r="E515" s="12">
        <v>46266.0</v>
      </c>
      <c r="F515" s="12">
        <v>46296.0</v>
      </c>
      <c r="G515" s="11" t="s">
        <v>3026</v>
      </c>
      <c r="H515" s="11">
        <v>8.590417277E9</v>
      </c>
      <c r="I515" s="11" t="s">
        <v>70</v>
      </c>
      <c r="J515" s="11" t="s">
        <v>71</v>
      </c>
      <c r="K515" s="11" t="s">
        <v>72</v>
      </c>
      <c r="L515" s="11" t="s">
        <v>73</v>
      </c>
      <c r="M515" s="11" t="s">
        <v>3027</v>
      </c>
      <c r="N515" s="11" t="s">
        <v>75</v>
      </c>
      <c r="O515" s="11" t="s">
        <v>71</v>
      </c>
      <c r="P515" s="11" t="s">
        <v>3028</v>
      </c>
      <c r="Q515" s="13" t="s">
        <v>3029</v>
      </c>
      <c r="R515" s="14" t="str">
        <f>HYPERLINK("https://drive.google.com/file/d/14fKglvqHBuIUgfs29wlHrW4q96N2FDYq/view?usp=drivesdk","OFFER LETTER")</f>
        <v>OFFER LETTER</v>
      </c>
      <c r="S515" s="11" t="s">
        <v>3030</v>
      </c>
    </row>
    <row r="516" ht="22.5" customHeight="1">
      <c r="A516" s="10">
        <v>46258.480255532406</v>
      </c>
      <c r="B516" s="11" t="s">
        <v>3031</v>
      </c>
      <c r="C516" s="11" t="s">
        <v>1200</v>
      </c>
      <c r="D516" s="11" t="s">
        <v>68</v>
      </c>
      <c r="E516" s="12">
        <v>46195.0</v>
      </c>
      <c r="F516" s="12">
        <v>46222.0</v>
      </c>
      <c r="G516" s="11" t="s">
        <v>3032</v>
      </c>
      <c r="H516" s="11">
        <v>9.510953388E9</v>
      </c>
      <c r="I516" s="11" t="s">
        <v>82</v>
      </c>
      <c r="J516" s="11" t="s">
        <v>83</v>
      </c>
      <c r="K516" s="11" t="s">
        <v>72</v>
      </c>
      <c r="L516" s="11" t="s">
        <v>131</v>
      </c>
      <c r="M516" s="11" t="s">
        <v>3033</v>
      </c>
      <c r="N516" s="11" t="s">
        <v>86</v>
      </c>
      <c r="O516" s="11" t="s">
        <v>71</v>
      </c>
      <c r="P516" s="11" t="s">
        <v>3034</v>
      </c>
      <c r="Q516" s="13" t="s">
        <v>3035</v>
      </c>
      <c r="R516" s="14" t="str">
        <f>HYPERLINK("https://drive.google.com/file/d/1csJtBdlLPJJYsLSSK7Fhya960RAt6yBI/view?usp=drivesdk","OFFER LETTER")</f>
        <v>OFFER LETTER</v>
      </c>
      <c r="S516" s="11" t="s">
        <v>3036</v>
      </c>
    </row>
    <row r="517" ht="22.5" customHeight="1">
      <c r="A517" s="10">
        <v>46258.482868125</v>
      </c>
      <c r="B517" s="11" t="s">
        <v>3037</v>
      </c>
      <c r="C517" s="11" t="s">
        <v>67</v>
      </c>
      <c r="D517" s="11" t="s">
        <v>108</v>
      </c>
      <c r="E517" s="12">
        <v>46258.0</v>
      </c>
      <c r="F517" s="12">
        <v>46319.0</v>
      </c>
      <c r="G517" s="11" t="s">
        <v>3038</v>
      </c>
      <c r="H517" s="11">
        <v>7.353205657E9</v>
      </c>
      <c r="I517" s="11" t="s">
        <v>70</v>
      </c>
      <c r="J517" s="11" t="s">
        <v>71</v>
      </c>
      <c r="K517" s="11" t="s">
        <v>356</v>
      </c>
      <c r="L517" s="11" t="s">
        <v>84</v>
      </c>
      <c r="M517" s="11" t="s">
        <v>3039</v>
      </c>
      <c r="N517" s="11" t="s">
        <v>86</v>
      </c>
      <c r="O517" s="11" t="s">
        <v>71</v>
      </c>
      <c r="P517" s="11" t="s">
        <v>3040</v>
      </c>
      <c r="Q517" s="13" t="s">
        <v>3041</v>
      </c>
      <c r="R517" s="14" t="str">
        <f>HYPERLINK("https://drive.google.com/file/d/1aDhgfwO8HmfSuUzwyPvGzoD94SL3aEFE/view?usp=drivesdk","OFFER LETTER")</f>
        <v>OFFER LETTER</v>
      </c>
      <c r="S517" s="11" t="s">
        <v>3042</v>
      </c>
    </row>
    <row r="518" ht="22.5" customHeight="1">
      <c r="A518" s="10">
        <v>46258.483203449076</v>
      </c>
      <c r="B518" s="11" t="s">
        <v>3043</v>
      </c>
      <c r="C518" s="11" t="s">
        <v>195</v>
      </c>
      <c r="D518" s="11" t="s">
        <v>108</v>
      </c>
      <c r="E518" s="12">
        <v>46258.0</v>
      </c>
      <c r="F518" s="12">
        <v>46318.0</v>
      </c>
      <c r="G518" s="11" t="s">
        <v>3044</v>
      </c>
      <c r="H518" s="11">
        <v>7.903492838E9</v>
      </c>
      <c r="I518" s="11" t="s">
        <v>82</v>
      </c>
      <c r="J518" s="11" t="s">
        <v>71</v>
      </c>
      <c r="K518" s="11" t="s">
        <v>72</v>
      </c>
      <c r="L518" s="11" t="s">
        <v>131</v>
      </c>
      <c r="M518" s="11" t="s">
        <v>3045</v>
      </c>
      <c r="N518" s="11" t="s">
        <v>226</v>
      </c>
      <c r="O518" s="11" t="s">
        <v>71</v>
      </c>
      <c r="P518" s="11" t="s">
        <v>3046</v>
      </c>
      <c r="Q518" s="13" t="s">
        <v>3047</v>
      </c>
      <c r="R518" s="14" t="str">
        <f>HYPERLINK("https://drive.google.com/file/d/1ubw1fPJ9DXbbPuwCGfZzcVPOGcSQzv3I/view?usp=drivesdk","OFFER LETTER")</f>
        <v>OFFER LETTER</v>
      </c>
      <c r="S518" s="11" t="s">
        <v>3048</v>
      </c>
    </row>
    <row r="519" ht="22.5" customHeight="1">
      <c r="A519" s="10">
        <v>46258.485657268524</v>
      </c>
      <c r="B519" s="11" t="s">
        <v>3049</v>
      </c>
      <c r="C519" s="11" t="s">
        <v>107</v>
      </c>
      <c r="D519" s="11" t="s">
        <v>68</v>
      </c>
      <c r="E519" s="12">
        <v>46237.0</v>
      </c>
      <c r="F519" s="12">
        <v>46268.0</v>
      </c>
      <c r="G519" s="11" t="s">
        <v>3050</v>
      </c>
      <c r="H519" s="11">
        <v>9.843010489E9</v>
      </c>
      <c r="I519" s="11" t="s">
        <v>82</v>
      </c>
      <c r="J519" s="11" t="s">
        <v>71</v>
      </c>
      <c r="K519" s="11" t="s">
        <v>72</v>
      </c>
      <c r="L519" s="11" t="s">
        <v>131</v>
      </c>
      <c r="M519" s="11" t="s">
        <v>3051</v>
      </c>
      <c r="N519" s="11" t="s">
        <v>86</v>
      </c>
      <c r="O519" s="11" t="s">
        <v>71</v>
      </c>
      <c r="P519" s="11" t="s">
        <v>3052</v>
      </c>
      <c r="Q519" s="13" t="s">
        <v>3053</v>
      </c>
      <c r="R519" s="14" t="str">
        <f>HYPERLINK("https://drive.google.com/file/d/1vIv0UcgfA7ptBPl383DlyvyQA3caj7PK/view?usp=drivesdk","OFFER LETTER")</f>
        <v>OFFER LETTER</v>
      </c>
      <c r="S519" s="11" t="s">
        <v>3054</v>
      </c>
    </row>
    <row r="520" ht="22.5" customHeight="1">
      <c r="A520" s="10">
        <v>46258.487075578705</v>
      </c>
      <c r="B520" s="11" t="s">
        <v>3055</v>
      </c>
      <c r="C520" s="11" t="s">
        <v>195</v>
      </c>
      <c r="D520" s="11" t="s">
        <v>68</v>
      </c>
      <c r="E520" s="12">
        <v>46259.0</v>
      </c>
      <c r="F520" s="12">
        <v>46277.0</v>
      </c>
      <c r="G520" s="11" t="s">
        <v>3056</v>
      </c>
      <c r="H520" s="11">
        <v>9.108652337E9</v>
      </c>
      <c r="I520" s="11" t="s">
        <v>70</v>
      </c>
      <c r="J520" s="11" t="s">
        <v>83</v>
      </c>
      <c r="K520" s="11" t="s">
        <v>72</v>
      </c>
      <c r="L520" s="11" t="s">
        <v>131</v>
      </c>
      <c r="M520" s="11" t="s">
        <v>3057</v>
      </c>
      <c r="N520" s="11" t="s">
        <v>75</v>
      </c>
      <c r="O520" s="11" t="s">
        <v>71</v>
      </c>
      <c r="P520" s="11" t="s">
        <v>3058</v>
      </c>
      <c r="Q520" s="13" t="s">
        <v>3059</v>
      </c>
      <c r="R520" s="14" t="str">
        <f>HYPERLINK("https://drive.google.com/file/d/1goJIPG-ikHctoqYwMiLnzFStnsh3oFfT/view?usp=drivesdk","OFFER LETTER")</f>
        <v>OFFER LETTER</v>
      </c>
      <c r="S520" s="11" t="s">
        <v>3060</v>
      </c>
    </row>
    <row r="521" ht="22.5" customHeight="1">
      <c r="A521" s="10">
        <v>46258.48897896991</v>
      </c>
      <c r="B521" s="11" t="s">
        <v>3061</v>
      </c>
      <c r="C521" s="11" t="s">
        <v>80</v>
      </c>
      <c r="D521" s="11" t="s">
        <v>68</v>
      </c>
      <c r="E521" s="12">
        <v>46266.0</v>
      </c>
      <c r="F521" s="12">
        <v>46295.0</v>
      </c>
      <c r="G521" s="11" t="s">
        <v>3062</v>
      </c>
      <c r="H521" s="11">
        <v>7.022282046E9</v>
      </c>
      <c r="I521" s="11" t="s">
        <v>82</v>
      </c>
      <c r="J521" s="11" t="s">
        <v>71</v>
      </c>
      <c r="K521" s="11" t="s">
        <v>1028</v>
      </c>
      <c r="L521" s="11" t="s">
        <v>247</v>
      </c>
      <c r="M521" s="11" t="s">
        <v>3063</v>
      </c>
      <c r="N521" s="11" t="s">
        <v>241</v>
      </c>
      <c r="O521" s="11" t="s">
        <v>263</v>
      </c>
      <c r="P521" s="11" t="s">
        <v>3064</v>
      </c>
      <c r="Q521" s="13" t="s">
        <v>3065</v>
      </c>
      <c r="R521" s="14" t="str">
        <f>HYPERLINK("https://drive.google.com/file/d/1wIum15Y5xjL8R3CjvA0S0uz-g3NEwz-3/view?usp=drivesdk","OFFER LETTER")</f>
        <v>OFFER LETTER</v>
      </c>
      <c r="S521" s="11" t="s">
        <v>3066</v>
      </c>
    </row>
    <row r="522" ht="22.5" customHeight="1">
      <c r="A522" s="10">
        <v>46258.489247060184</v>
      </c>
      <c r="B522" s="11" t="s">
        <v>3067</v>
      </c>
      <c r="C522" s="11" t="s">
        <v>128</v>
      </c>
      <c r="D522" s="11" t="s">
        <v>68</v>
      </c>
      <c r="E522" s="12">
        <v>46258.0</v>
      </c>
      <c r="F522" s="12">
        <v>46258.0</v>
      </c>
      <c r="G522" s="11" t="s">
        <v>3068</v>
      </c>
      <c r="H522" s="11">
        <v>9.044478094E9</v>
      </c>
      <c r="I522" s="11" t="s">
        <v>82</v>
      </c>
      <c r="J522" s="11" t="s">
        <v>71</v>
      </c>
      <c r="K522" s="11" t="s">
        <v>72</v>
      </c>
      <c r="L522" s="11" t="s">
        <v>73</v>
      </c>
      <c r="M522" s="11" t="s">
        <v>3069</v>
      </c>
      <c r="N522" s="11" t="s">
        <v>2854</v>
      </c>
      <c r="O522" s="11" t="s">
        <v>263</v>
      </c>
      <c r="P522" s="11" t="s">
        <v>3070</v>
      </c>
      <c r="Q522" s="13" t="s">
        <v>3071</v>
      </c>
      <c r="R522" s="14" t="str">
        <f>HYPERLINK("https://drive.google.com/file/d/1N6VqSqxbr1dGMAGKg15OcbYiQjyv2FB4/view?usp=drivesdk","OFFER LETTER")</f>
        <v>OFFER LETTER</v>
      </c>
      <c r="S522" s="11" t="s">
        <v>3072</v>
      </c>
    </row>
    <row r="523" ht="22.5" customHeight="1">
      <c r="A523" s="10">
        <v>46258.49126177083</v>
      </c>
      <c r="B523" s="11" t="s">
        <v>3073</v>
      </c>
      <c r="C523" s="11" t="s">
        <v>259</v>
      </c>
      <c r="D523" s="11" t="s">
        <v>108</v>
      </c>
      <c r="E523" s="12">
        <v>46256.0</v>
      </c>
      <c r="F523" s="12">
        <v>46317.0</v>
      </c>
      <c r="G523" s="11" t="s">
        <v>3074</v>
      </c>
      <c r="H523" s="11">
        <v>9.483323084E9</v>
      </c>
      <c r="I523" s="11" t="s">
        <v>82</v>
      </c>
      <c r="J523" s="11" t="s">
        <v>71</v>
      </c>
      <c r="K523" s="11" t="s">
        <v>356</v>
      </c>
      <c r="L523" s="11" t="s">
        <v>84</v>
      </c>
      <c r="M523" s="11" t="s">
        <v>3075</v>
      </c>
      <c r="N523" s="11" t="s">
        <v>750</v>
      </c>
      <c r="O523" s="11" t="s">
        <v>71</v>
      </c>
      <c r="P523" s="11" t="s">
        <v>3076</v>
      </c>
      <c r="Q523" s="13" t="s">
        <v>3077</v>
      </c>
      <c r="R523" s="14" t="str">
        <f>HYPERLINK("https://drive.google.com/file/d/1LPawPXntT8zIWdZWdAhblJNy39r-nuKe/view?usp=drivesdk","OFFER LETTER")</f>
        <v>OFFER LETTER</v>
      </c>
      <c r="S523" s="11" t="s">
        <v>3078</v>
      </c>
    </row>
    <row r="524" ht="22.5" customHeight="1">
      <c r="A524" s="10">
        <v>46258.49434292824</v>
      </c>
      <c r="B524" s="11" t="s">
        <v>3079</v>
      </c>
      <c r="C524" s="11" t="s">
        <v>107</v>
      </c>
      <c r="D524" s="11" t="s">
        <v>3080</v>
      </c>
      <c r="E524" s="12">
        <v>46266.0</v>
      </c>
      <c r="F524" s="12">
        <v>46315.0</v>
      </c>
      <c r="G524" s="11" t="s">
        <v>3081</v>
      </c>
      <c r="H524" s="11" t="s">
        <v>3079</v>
      </c>
      <c r="I524" s="11" t="s">
        <v>70</v>
      </c>
      <c r="J524" s="11" t="s">
        <v>71</v>
      </c>
      <c r="K524" s="13" t="s">
        <v>443</v>
      </c>
      <c r="L524" s="11" t="s">
        <v>357</v>
      </c>
      <c r="M524" s="11" t="s">
        <v>3082</v>
      </c>
      <c r="N524" s="11" t="s">
        <v>75</v>
      </c>
      <c r="O524" s="11" t="s">
        <v>71</v>
      </c>
      <c r="P524" s="11" t="s">
        <v>3083</v>
      </c>
      <c r="Q524" s="13" t="s">
        <v>3084</v>
      </c>
      <c r="R524" s="14" t="str">
        <f>HYPERLINK("https://drive.google.com/file/d/1gJSg4RHaRj5DMz8dCtSeARlymI2emGVS/view?usp=drivesdk","OFFER LETTER")</f>
        <v>OFFER LETTER</v>
      </c>
      <c r="S524" s="11" t="s">
        <v>3085</v>
      </c>
    </row>
    <row r="525" ht="22.5" customHeight="1">
      <c r="A525" s="10">
        <v>46258.49490297453</v>
      </c>
      <c r="B525" s="11" t="s">
        <v>3086</v>
      </c>
      <c r="C525" s="11" t="s">
        <v>107</v>
      </c>
      <c r="D525" s="11" t="s">
        <v>68</v>
      </c>
      <c r="E525" s="12">
        <v>46143.0</v>
      </c>
      <c r="F525" s="12">
        <v>46173.0</v>
      </c>
      <c r="G525" s="11" t="s">
        <v>3087</v>
      </c>
      <c r="H525" s="11">
        <v>9.032702702E9</v>
      </c>
      <c r="I525" s="11" t="s">
        <v>70</v>
      </c>
      <c r="J525" s="11" t="s">
        <v>71</v>
      </c>
      <c r="K525" s="11" t="s">
        <v>72</v>
      </c>
      <c r="L525" s="11" t="s">
        <v>131</v>
      </c>
      <c r="M525" s="11" t="s">
        <v>2883</v>
      </c>
      <c r="N525" s="11" t="s">
        <v>86</v>
      </c>
      <c r="O525" s="11" t="s">
        <v>71</v>
      </c>
      <c r="P525" s="11" t="s">
        <v>3088</v>
      </c>
      <c r="Q525" s="13" t="s">
        <v>3089</v>
      </c>
      <c r="R525" s="14" t="str">
        <f>HYPERLINK("https://drive.google.com/file/d/1LHQ3RpmT3G6n3lBMDZ9bt-yqUWSWIkPx/view?usp=drivesdk","OFFER LETTER")</f>
        <v>OFFER LETTER</v>
      </c>
      <c r="S525" s="11" t="s">
        <v>3090</v>
      </c>
    </row>
    <row r="526" ht="22.5" customHeight="1">
      <c r="A526" s="10">
        <v>46258.50427550926</v>
      </c>
      <c r="B526" s="11" t="s">
        <v>3091</v>
      </c>
      <c r="C526" s="11" t="s">
        <v>354</v>
      </c>
      <c r="D526" s="11" t="s">
        <v>238</v>
      </c>
      <c r="E526" s="12">
        <v>46188.0</v>
      </c>
      <c r="F526" s="12">
        <v>46280.0</v>
      </c>
      <c r="G526" s="11" t="s">
        <v>3092</v>
      </c>
      <c r="H526" s="11">
        <v>6.397651812E9</v>
      </c>
      <c r="I526" s="11" t="s">
        <v>82</v>
      </c>
      <c r="J526" s="11" t="s">
        <v>71</v>
      </c>
      <c r="K526" s="11" t="s">
        <v>72</v>
      </c>
      <c r="L526" s="11" t="s">
        <v>247</v>
      </c>
      <c r="M526" s="11" t="s">
        <v>3093</v>
      </c>
      <c r="N526" s="11" t="s">
        <v>226</v>
      </c>
      <c r="O526" s="11" t="s">
        <v>71</v>
      </c>
      <c r="P526" s="11" t="s">
        <v>3094</v>
      </c>
      <c r="Q526" s="13" t="s">
        <v>3095</v>
      </c>
      <c r="R526" s="14" t="str">
        <f>HYPERLINK("https://drive.google.com/file/d/1JoSW3OV8_8UPpLQPvguhdWRUk-qs0S8b/view?usp=drivesdk","OFFER LETTER")</f>
        <v>OFFER LETTER</v>
      </c>
      <c r="S526" s="11" t="s">
        <v>3096</v>
      </c>
    </row>
    <row r="527" ht="22.5" customHeight="1">
      <c r="A527" s="10">
        <v>46258.50550640046</v>
      </c>
      <c r="B527" s="11" t="s">
        <v>3097</v>
      </c>
      <c r="C527" s="11" t="s">
        <v>237</v>
      </c>
      <c r="D527" s="11" t="s">
        <v>68</v>
      </c>
      <c r="E527" s="12">
        <v>46258.0</v>
      </c>
      <c r="F527" s="12">
        <v>46289.0</v>
      </c>
      <c r="G527" s="11" t="s">
        <v>3098</v>
      </c>
      <c r="H527" s="11">
        <v>6.37427573E9</v>
      </c>
      <c r="I527" s="11" t="s">
        <v>82</v>
      </c>
      <c r="J527" s="11" t="s">
        <v>71</v>
      </c>
      <c r="K527" s="11" t="s">
        <v>72</v>
      </c>
      <c r="L527" s="11" t="s">
        <v>84</v>
      </c>
      <c r="M527" s="11" t="s">
        <v>3099</v>
      </c>
      <c r="N527" s="11" t="s">
        <v>241</v>
      </c>
      <c r="O527" s="11" t="s">
        <v>71</v>
      </c>
      <c r="P527" s="11" t="s">
        <v>3100</v>
      </c>
      <c r="Q527" s="13" t="s">
        <v>3101</v>
      </c>
      <c r="R527" s="14" t="str">
        <f>HYPERLINK("https://drive.google.com/file/d/1ZLJw3U31LsErM-vUEaZAqRAC4rt7wB0b/view?usp=drivesdk","OFFER LETTER")</f>
        <v>OFFER LETTER</v>
      </c>
      <c r="S527" s="11" t="s">
        <v>3102</v>
      </c>
    </row>
    <row r="528" ht="22.5" customHeight="1">
      <c r="A528" s="10">
        <v>46258.50646201389</v>
      </c>
      <c r="B528" s="11" t="s">
        <v>3103</v>
      </c>
      <c r="C528" s="11" t="s">
        <v>91</v>
      </c>
      <c r="D528" s="11" t="s">
        <v>68</v>
      </c>
      <c r="E528" s="12">
        <v>46258.0</v>
      </c>
      <c r="F528" s="12">
        <v>46289.0</v>
      </c>
      <c r="G528" s="11" t="s">
        <v>3104</v>
      </c>
      <c r="H528" s="11">
        <v>9.15055607E9</v>
      </c>
      <c r="I528" s="11" t="s">
        <v>70</v>
      </c>
      <c r="J528" s="11" t="s">
        <v>71</v>
      </c>
      <c r="K528" s="11" t="s">
        <v>72</v>
      </c>
      <c r="L528" s="11" t="s">
        <v>131</v>
      </c>
      <c r="M528" s="11" t="s">
        <v>3105</v>
      </c>
      <c r="N528" s="11" t="s">
        <v>75</v>
      </c>
      <c r="O528" s="11" t="s">
        <v>71</v>
      </c>
      <c r="P528" s="11" t="s">
        <v>3106</v>
      </c>
      <c r="Q528" s="13" t="s">
        <v>3107</v>
      </c>
      <c r="R528" s="14" t="str">
        <f>HYPERLINK("https://drive.google.com/file/d/1IUbFG2f1PtYoIJrnMWSRyMuiZ1Qhp4Ox/view?usp=drivesdk","OFFER LETTER")</f>
        <v>OFFER LETTER</v>
      </c>
      <c r="S528" s="11" t="s">
        <v>3108</v>
      </c>
    </row>
    <row r="529" ht="22.5" customHeight="1">
      <c r="A529" s="10">
        <v>46258.5118059375</v>
      </c>
      <c r="B529" s="11" t="s">
        <v>3109</v>
      </c>
      <c r="C529" s="11" t="s">
        <v>195</v>
      </c>
      <c r="D529" s="11" t="s">
        <v>68</v>
      </c>
      <c r="E529" s="12">
        <v>46258.0</v>
      </c>
      <c r="F529" s="12">
        <v>46290.0</v>
      </c>
      <c r="G529" s="11" t="s">
        <v>3110</v>
      </c>
      <c r="H529" s="11">
        <v>9.665940421E9</v>
      </c>
      <c r="I529" s="11" t="s">
        <v>82</v>
      </c>
      <c r="J529" s="11" t="s">
        <v>71</v>
      </c>
      <c r="K529" s="11" t="s">
        <v>167</v>
      </c>
      <c r="L529" s="11" t="s">
        <v>84</v>
      </c>
      <c r="M529" s="11" t="s">
        <v>3111</v>
      </c>
      <c r="N529" s="11" t="s">
        <v>75</v>
      </c>
      <c r="O529" s="11" t="s">
        <v>71</v>
      </c>
      <c r="P529" s="11" t="s">
        <v>3112</v>
      </c>
      <c r="Q529" s="13" t="s">
        <v>3113</v>
      </c>
      <c r="R529" s="14" t="str">
        <f>HYPERLINK("https://drive.google.com/file/d/1o08yC5RGFREY1BLFbZXHhrp1kF19CXmT/view?usp=drivesdk","OFFER LETTER")</f>
        <v>OFFER LETTER</v>
      </c>
      <c r="S529" s="11" t="s">
        <v>3114</v>
      </c>
    </row>
    <row r="530" ht="22.5" customHeight="1">
      <c r="A530" s="10">
        <v>46258.512131678246</v>
      </c>
      <c r="B530" s="11" t="s">
        <v>3115</v>
      </c>
      <c r="C530" s="11" t="s">
        <v>354</v>
      </c>
      <c r="D530" s="11" t="s">
        <v>68</v>
      </c>
      <c r="E530" s="12">
        <v>46296.0</v>
      </c>
      <c r="F530" s="12">
        <v>46327.0</v>
      </c>
      <c r="G530" s="11" t="s">
        <v>3098</v>
      </c>
      <c r="H530" s="11">
        <v>6.37427573E9</v>
      </c>
      <c r="I530" s="11" t="s">
        <v>82</v>
      </c>
      <c r="J530" s="11" t="s">
        <v>71</v>
      </c>
      <c r="K530" s="11" t="s">
        <v>72</v>
      </c>
      <c r="L530" s="11" t="s">
        <v>84</v>
      </c>
      <c r="M530" s="11" t="s">
        <v>3099</v>
      </c>
      <c r="N530" s="11" t="s">
        <v>241</v>
      </c>
      <c r="O530" s="11" t="s">
        <v>71</v>
      </c>
      <c r="P530" s="11" t="s">
        <v>3116</v>
      </c>
      <c r="Q530" s="13" t="s">
        <v>3117</v>
      </c>
      <c r="R530" s="14" t="str">
        <f>HYPERLINK("https://drive.google.com/file/d/1aYM9TRfzYxp6vFQaWgCmcgD7nBPX0oS7/view?usp=drivesdk","OFFER LETTER")</f>
        <v>OFFER LETTER</v>
      </c>
      <c r="S530" s="11" t="s">
        <v>3118</v>
      </c>
    </row>
    <row r="531" ht="22.5" customHeight="1">
      <c r="A531" s="10">
        <v>46258.5131837963</v>
      </c>
      <c r="B531" s="11" t="s">
        <v>3119</v>
      </c>
      <c r="C531" s="11" t="s">
        <v>354</v>
      </c>
      <c r="D531" s="11" t="s">
        <v>68</v>
      </c>
      <c r="E531" s="12">
        <v>46258.0</v>
      </c>
      <c r="F531" s="12">
        <v>46290.0</v>
      </c>
      <c r="G531" s="11" t="s">
        <v>3120</v>
      </c>
      <c r="H531" s="11">
        <v>7.906475474E9</v>
      </c>
      <c r="I531" s="11" t="s">
        <v>82</v>
      </c>
      <c r="J531" s="11" t="s">
        <v>71</v>
      </c>
      <c r="K531" s="11" t="s">
        <v>72</v>
      </c>
      <c r="L531" s="11" t="s">
        <v>131</v>
      </c>
      <c r="M531" s="11" t="s">
        <v>3121</v>
      </c>
      <c r="N531" s="11" t="s">
        <v>86</v>
      </c>
      <c r="O531" s="11" t="s">
        <v>71</v>
      </c>
      <c r="P531" s="11" t="s">
        <v>3122</v>
      </c>
      <c r="Q531" s="13" t="s">
        <v>3123</v>
      </c>
      <c r="R531" s="14" t="str">
        <f>HYPERLINK("https://drive.google.com/file/d/1GdtfgXnK9Pk0GB5ec_D_8tyR3LrvioB5/view?usp=drivesdk","OFFER LETTER")</f>
        <v>OFFER LETTER</v>
      </c>
      <c r="S531" s="11" t="s">
        <v>3124</v>
      </c>
    </row>
    <row r="532" ht="22.5" customHeight="1">
      <c r="A532" s="10">
        <v>46258.51329289352</v>
      </c>
      <c r="B532" s="11" t="s">
        <v>3125</v>
      </c>
      <c r="C532" s="11" t="s">
        <v>237</v>
      </c>
      <c r="D532" s="11" t="s">
        <v>68</v>
      </c>
      <c r="E532" s="12">
        <v>46208.0</v>
      </c>
      <c r="F532" s="12">
        <v>46239.0</v>
      </c>
      <c r="G532" s="11" t="s">
        <v>3126</v>
      </c>
      <c r="H532" s="11">
        <v>9.644402524E9</v>
      </c>
      <c r="I532" s="11" t="s">
        <v>82</v>
      </c>
      <c r="K532" s="11" t="s">
        <v>72</v>
      </c>
      <c r="L532" s="11" t="s">
        <v>73</v>
      </c>
      <c r="M532" s="11" t="s">
        <v>3127</v>
      </c>
      <c r="N532" s="11" t="s">
        <v>75</v>
      </c>
      <c r="O532" s="11" t="s">
        <v>130</v>
      </c>
      <c r="P532" s="11" t="s">
        <v>3128</v>
      </c>
      <c r="Q532" s="13" t="s">
        <v>3129</v>
      </c>
      <c r="R532" s="14" t="str">
        <f>HYPERLINK("https://drive.google.com/file/d/1vZpYHW5qHxC49iNbMe2pG_AI0IHyhv6L/view?usp=drivesdk","OFFER LETTER")</f>
        <v>OFFER LETTER</v>
      </c>
      <c r="S532" s="11" t="s">
        <v>3130</v>
      </c>
    </row>
    <row r="533" ht="22.5" customHeight="1">
      <c r="A533" s="10">
        <v>46258.513378483796</v>
      </c>
      <c r="B533" s="11" t="s">
        <v>3131</v>
      </c>
      <c r="C533" s="11" t="s">
        <v>91</v>
      </c>
      <c r="D533" s="11" t="s">
        <v>238</v>
      </c>
      <c r="E533" s="12">
        <v>46260.0</v>
      </c>
      <c r="F533" s="12">
        <v>46352.0</v>
      </c>
      <c r="G533" s="11" t="s">
        <v>3132</v>
      </c>
      <c r="H533" s="11">
        <v>9.122060258E9</v>
      </c>
      <c r="I533" s="11" t="s">
        <v>82</v>
      </c>
      <c r="J533" s="11" t="s">
        <v>83</v>
      </c>
      <c r="K533" s="11" t="s">
        <v>72</v>
      </c>
      <c r="L533" s="11" t="s">
        <v>131</v>
      </c>
      <c r="M533" s="11" t="s">
        <v>3133</v>
      </c>
      <c r="N533" s="11" t="s">
        <v>86</v>
      </c>
      <c r="O533" s="11" t="s">
        <v>71</v>
      </c>
      <c r="P533" s="11" t="s">
        <v>3134</v>
      </c>
      <c r="Q533" s="13" t="s">
        <v>3135</v>
      </c>
      <c r="R533" s="14" t="str">
        <f>HYPERLINK("https://drive.google.com/file/d/1sgifRMffPmFD3wQ11X7DrSpf2rMbWThd/view?usp=drivesdk","OFFER LETTER")</f>
        <v>OFFER LETTER</v>
      </c>
      <c r="S533" s="11" t="s">
        <v>3130</v>
      </c>
    </row>
    <row r="534" ht="22.5" customHeight="1">
      <c r="A534" s="10">
        <v>46258.51592052083</v>
      </c>
      <c r="B534" s="11" t="s">
        <v>3136</v>
      </c>
      <c r="C534" s="11" t="s">
        <v>237</v>
      </c>
      <c r="D534" s="11" t="s">
        <v>68</v>
      </c>
      <c r="E534" s="12">
        <v>46272.0</v>
      </c>
      <c r="F534" s="12">
        <v>46302.0</v>
      </c>
      <c r="G534" s="11" t="s">
        <v>3137</v>
      </c>
      <c r="H534" s="11">
        <v>7.770073587E9</v>
      </c>
      <c r="I534" s="11" t="s">
        <v>70</v>
      </c>
      <c r="J534" s="11" t="s">
        <v>71</v>
      </c>
      <c r="K534" s="11" t="s">
        <v>72</v>
      </c>
      <c r="L534" s="11" t="s">
        <v>73</v>
      </c>
      <c r="M534" s="11" t="s">
        <v>3138</v>
      </c>
      <c r="N534" s="11" t="s">
        <v>155</v>
      </c>
      <c r="O534" s="11" t="s">
        <v>71</v>
      </c>
      <c r="P534" s="11" t="s">
        <v>3139</v>
      </c>
      <c r="Q534" s="13" t="s">
        <v>3140</v>
      </c>
      <c r="R534" s="14" t="str">
        <f>HYPERLINK("https://drive.google.com/file/d/1mgAzZsXVjwvQfTx4pgqIuOgGoUrRx1mX/view?usp=drivesdk","OFFER LETTER")</f>
        <v>OFFER LETTER</v>
      </c>
      <c r="S534" s="11" t="s">
        <v>3141</v>
      </c>
    </row>
    <row r="535" ht="22.5" customHeight="1">
      <c r="A535" s="10">
        <v>46258.51796303241</v>
      </c>
      <c r="B535" s="11" t="s">
        <v>3136</v>
      </c>
      <c r="C535" s="11" t="s">
        <v>237</v>
      </c>
      <c r="D535" s="11" t="s">
        <v>68</v>
      </c>
      <c r="E535" s="12">
        <v>46272.0</v>
      </c>
      <c r="F535" s="12">
        <v>46302.0</v>
      </c>
      <c r="G535" s="11" t="s">
        <v>3137</v>
      </c>
      <c r="H535" s="11">
        <v>7.770073587E9</v>
      </c>
      <c r="I535" s="11" t="s">
        <v>70</v>
      </c>
      <c r="J535" s="11" t="s">
        <v>71</v>
      </c>
      <c r="K535" s="11" t="s">
        <v>72</v>
      </c>
      <c r="L535" s="11" t="s">
        <v>73</v>
      </c>
      <c r="M535" s="11" t="s">
        <v>3138</v>
      </c>
      <c r="N535" s="11" t="s">
        <v>155</v>
      </c>
      <c r="O535" s="11" t="s">
        <v>71</v>
      </c>
      <c r="P535" s="11" t="s">
        <v>3142</v>
      </c>
      <c r="Q535" s="13" t="s">
        <v>3143</v>
      </c>
      <c r="R535" s="14" t="str">
        <f>HYPERLINK("https://drive.google.com/file/d/1a4bSX7LWgj6RG1mbuQv0ktrfjxTTypyO/view?usp=drivesdk","OFFER LETTER")</f>
        <v>OFFER LETTER</v>
      </c>
      <c r="S535" s="11" t="s">
        <v>3144</v>
      </c>
    </row>
    <row r="536" ht="22.5" customHeight="1">
      <c r="A536" s="10">
        <v>46258.51813037037</v>
      </c>
      <c r="B536" s="11" t="s">
        <v>3145</v>
      </c>
      <c r="C536" s="11" t="s">
        <v>91</v>
      </c>
      <c r="D536" s="11" t="s">
        <v>68</v>
      </c>
      <c r="E536" s="12">
        <v>46258.0</v>
      </c>
      <c r="F536" s="12">
        <v>46289.0</v>
      </c>
      <c r="G536" s="11" t="s">
        <v>3146</v>
      </c>
      <c r="H536" s="11">
        <v>8.075107329E9</v>
      </c>
      <c r="I536" s="11" t="s">
        <v>82</v>
      </c>
      <c r="J536" s="11" t="s">
        <v>71</v>
      </c>
      <c r="K536" s="11" t="s">
        <v>72</v>
      </c>
      <c r="L536" s="11" t="s">
        <v>84</v>
      </c>
      <c r="M536" s="11" t="s">
        <v>3147</v>
      </c>
      <c r="N536" s="11" t="s">
        <v>3148</v>
      </c>
      <c r="O536" s="11" t="s">
        <v>71</v>
      </c>
      <c r="P536" s="11" t="s">
        <v>3149</v>
      </c>
      <c r="Q536" s="13" t="s">
        <v>3150</v>
      </c>
      <c r="R536" s="14" t="str">
        <f>HYPERLINK("https://drive.google.com/file/d/1VdTHHI3sOAu9_SViZL8DORLm2udpG0dA/view?usp=drivesdk","OFFER LETTER")</f>
        <v>OFFER LETTER</v>
      </c>
      <c r="S536" s="11" t="s">
        <v>3144</v>
      </c>
    </row>
    <row r="537" ht="22.5" customHeight="1">
      <c r="A537" s="10">
        <v>46258.521540138885</v>
      </c>
      <c r="B537" s="11" t="s">
        <v>3151</v>
      </c>
      <c r="C537" s="11" t="s">
        <v>128</v>
      </c>
      <c r="D537" s="11" t="s">
        <v>68</v>
      </c>
      <c r="E537" s="12">
        <v>46258.0</v>
      </c>
      <c r="F537" s="12">
        <v>46289.0</v>
      </c>
      <c r="G537" s="11" t="s">
        <v>3152</v>
      </c>
      <c r="H537" s="11">
        <v>7.022159313E9</v>
      </c>
      <c r="I537" s="11" t="s">
        <v>82</v>
      </c>
      <c r="J537" s="11" t="s">
        <v>71</v>
      </c>
      <c r="K537" s="11" t="s">
        <v>72</v>
      </c>
      <c r="L537" s="11" t="s">
        <v>73</v>
      </c>
      <c r="M537" s="11" t="s">
        <v>3153</v>
      </c>
      <c r="N537" s="11" t="s">
        <v>75</v>
      </c>
      <c r="O537" s="11" t="s">
        <v>71</v>
      </c>
      <c r="P537" s="11" t="s">
        <v>3154</v>
      </c>
      <c r="Q537" s="13" t="s">
        <v>3155</v>
      </c>
      <c r="R537" s="14" t="str">
        <f>HYPERLINK("https://drive.google.com/file/d/1SQyg_BrLDY6e2233bZxiGy6xmQ8af8cQ/view?usp=drivesdk","OFFER LETTER")</f>
        <v>OFFER LETTER</v>
      </c>
      <c r="S537" s="11" t="s">
        <v>3156</v>
      </c>
    </row>
    <row r="538" ht="22.5" customHeight="1">
      <c r="A538" s="10">
        <v>46258.5236428125</v>
      </c>
      <c r="B538" s="11" t="s">
        <v>3079</v>
      </c>
      <c r="C538" s="11" t="s">
        <v>107</v>
      </c>
      <c r="D538" s="11" t="s">
        <v>929</v>
      </c>
      <c r="E538" s="12">
        <v>46235.0</v>
      </c>
      <c r="F538" s="12">
        <v>46447.0</v>
      </c>
      <c r="G538" s="11" t="s">
        <v>3081</v>
      </c>
      <c r="H538" s="11">
        <v>9.264947102E9</v>
      </c>
      <c r="I538" s="11" t="s">
        <v>70</v>
      </c>
      <c r="J538" s="11" t="s">
        <v>71</v>
      </c>
      <c r="K538" s="13" t="s">
        <v>443</v>
      </c>
      <c r="L538" s="11" t="s">
        <v>357</v>
      </c>
      <c r="M538" s="11" t="s">
        <v>3082</v>
      </c>
      <c r="N538" s="11" t="s">
        <v>75</v>
      </c>
      <c r="O538" s="11" t="s">
        <v>71</v>
      </c>
      <c r="P538" s="11" t="s">
        <v>3157</v>
      </c>
      <c r="Q538" s="13" t="s">
        <v>3158</v>
      </c>
      <c r="R538" s="14" t="str">
        <f>HYPERLINK("https://drive.google.com/file/d/1iRMjQgGnVVvWv7umHHkiF00BbFT-adZX/view?usp=drivesdk","OFFER LETTER")</f>
        <v>OFFER LETTER</v>
      </c>
      <c r="S538" s="11" t="s">
        <v>3159</v>
      </c>
    </row>
    <row r="539" ht="22.5" customHeight="1">
      <c r="A539" s="10">
        <v>46258.52724040509</v>
      </c>
      <c r="B539" s="11" t="s">
        <v>3160</v>
      </c>
      <c r="C539" s="11" t="s">
        <v>128</v>
      </c>
      <c r="D539" s="11" t="s">
        <v>68</v>
      </c>
      <c r="E539" s="12">
        <v>46258.0</v>
      </c>
      <c r="F539" s="12">
        <v>46289.0</v>
      </c>
      <c r="G539" s="11" t="s">
        <v>3161</v>
      </c>
      <c r="H539" s="11">
        <v>9.266828495E9</v>
      </c>
      <c r="I539" s="11" t="s">
        <v>82</v>
      </c>
      <c r="J539" s="11" t="s">
        <v>71</v>
      </c>
      <c r="K539" s="11" t="s">
        <v>72</v>
      </c>
      <c r="L539" s="11" t="s">
        <v>357</v>
      </c>
      <c r="M539" s="11" t="s">
        <v>3162</v>
      </c>
      <c r="N539" s="11" t="s">
        <v>241</v>
      </c>
      <c r="O539" s="11" t="s">
        <v>71</v>
      </c>
      <c r="P539" s="11" t="s">
        <v>3163</v>
      </c>
      <c r="Q539" s="13" t="s">
        <v>3164</v>
      </c>
      <c r="R539" s="14" t="str">
        <f>HYPERLINK("https://drive.google.com/file/d/1amL7wKBaFKaD3HSI90PAmFzhqMRINwPz/view?usp=drivesdk","OFFER LETTER")</f>
        <v>OFFER LETTER</v>
      </c>
      <c r="S539" s="11" t="s">
        <v>3165</v>
      </c>
    </row>
    <row r="540" ht="22.5" customHeight="1">
      <c r="A540" s="10">
        <v>46258.529523749996</v>
      </c>
      <c r="B540" s="11" t="s">
        <v>3166</v>
      </c>
      <c r="C540" s="11" t="s">
        <v>80</v>
      </c>
      <c r="D540" s="11" t="s">
        <v>68</v>
      </c>
      <c r="E540" s="12">
        <v>46264.0</v>
      </c>
      <c r="F540" s="12">
        <v>46295.0</v>
      </c>
      <c r="G540" s="11" t="s">
        <v>3167</v>
      </c>
      <c r="H540" s="11">
        <v>9.515880699E9</v>
      </c>
      <c r="I540" s="11" t="s">
        <v>82</v>
      </c>
      <c r="J540" s="11" t="s">
        <v>71</v>
      </c>
      <c r="K540" s="11" t="s">
        <v>72</v>
      </c>
      <c r="L540" s="11" t="s">
        <v>73</v>
      </c>
      <c r="M540" s="11" t="s">
        <v>3168</v>
      </c>
      <c r="N540" s="11" t="s">
        <v>86</v>
      </c>
      <c r="O540" s="11" t="s">
        <v>71</v>
      </c>
      <c r="P540" s="11" t="s">
        <v>3169</v>
      </c>
      <c r="Q540" s="13" t="s">
        <v>3170</v>
      </c>
      <c r="R540" s="14" t="str">
        <f>HYPERLINK("https://drive.google.com/file/d/1MWkTus8uZWoMmdZJob9MkJ6hVrax5PtR/view?usp=drivesdk","OFFER LETTER")</f>
        <v>OFFER LETTER</v>
      </c>
      <c r="S540" s="11" t="s">
        <v>3171</v>
      </c>
    </row>
    <row r="541" ht="22.5" customHeight="1">
      <c r="A541" s="10">
        <v>46258.53061429398</v>
      </c>
      <c r="B541" s="11" t="s">
        <v>3172</v>
      </c>
      <c r="C541" s="11" t="s">
        <v>91</v>
      </c>
      <c r="D541" s="11" t="s">
        <v>108</v>
      </c>
      <c r="E541" s="12">
        <v>46264.0</v>
      </c>
      <c r="F541" s="12">
        <v>46325.0</v>
      </c>
      <c r="G541" s="11" t="s">
        <v>3173</v>
      </c>
      <c r="H541" s="11">
        <v>6.369118311E9</v>
      </c>
      <c r="I541" s="11" t="s">
        <v>82</v>
      </c>
      <c r="J541" s="11" t="s">
        <v>130</v>
      </c>
      <c r="K541" s="11" t="s">
        <v>72</v>
      </c>
      <c r="L541" s="11" t="s">
        <v>84</v>
      </c>
      <c r="M541" s="11" t="s">
        <v>3174</v>
      </c>
      <c r="N541" s="11" t="s">
        <v>241</v>
      </c>
      <c r="O541" s="11" t="s">
        <v>71</v>
      </c>
      <c r="P541" s="11" t="s">
        <v>3175</v>
      </c>
      <c r="Q541" s="13" t="s">
        <v>3176</v>
      </c>
      <c r="R541" s="14" t="str">
        <f>HYPERLINK("https://drive.google.com/file/d/1Fy0X4ItJ9heT0141PPeVdEKnA5QuVC2v/view?usp=drivesdk","OFFER LETTER")</f>
        <v>OFFER LETTER</v>
      </c>
      <c r="S541" s="11" t="s">
        <v>3177</v>
      </c>
    </row>
    <row r="542" ht="22.5" customHeight="1">
      <c r="A542" s="10">
        <v>46258.53224903935</v>
      </c>
      <c r="B542" s="11" t="s">
        <v>3178</v>
      </c>
      <c r="C542" s="11" t="s">
        <v>80</v>
      </c>
      <c r="D542" s="11" t="s">
        <v>68</v>
      </c>
      <c r="E542" s="12">
        <v>46264.0</v>
      </c>
      <c r="F542" s="12">
        <v>46295.0</v>
      </c>
      <c r="G542" s="11" t="s">
        <v>3179</v>
      </c>
      <c r="H542" s="11">
        <v>6.309802949E9</v>
      </c>
      <c r="I542" s="11" t="s">
        <v>82</v>
      </c>
      <c r="J542" s="11" t="s">
        <v>71</v>
      </c>
      <c r="K542" s="11" t="s">
        <v>72</v>
      </c>
      <c r="L542" s="11" t="s">
        <v>73</v>
      </c>
      <c r="M542" s="11" t="s">
        <v>3180</v>
      </c>
      <c r="N542" s="11" t="s">
        <v>241</v>
      </c>
      <c r="O542" s="11" t="s">
        <v>71</v>
      </c>
      <c r="P542" s="11" t="s">
        <v>3181</v>
      </c>
      <c r="Q542" s="13" t="s">
        <v>3182</v>
      </c>
      <c r="R542" s="14" t="str">
        <f>HYPERLINK("https://drive.google.com/file/d/1EcpiDDg6Vj6VGKwwIsbL34UvTQb98ojU/view?usp=drivesdk","OFFER LETTER")</f>
        <v>OFFER LETTER</v>
      </c>
      <c r="S542" s="11" t="s">
        <v>3183</v>
      </c>
    </row>
    <row r="543" ht="22.5" customHeight="1">
      <c r="A543" s="10">
        <v>46258.53268491898</v>
      </c>
      <c r="B543" s="11" t="s">
        <v>3172</v>
      </c>
      <c r="C543" s="11" t="s">
        <v>91</v>
      </c>
      <c r="D543" s="11" t="s">
        <v>68</v>
      </c>
      <c r="E543" s="12">
        <v>46264.0</v>
      </c>
      <c r="F543" s="12">
        <v>46295.0</v>
      </c>
      <c r="G543" s="11" t="s">
        <v>3173</v>
      </c>
      <c r="H543" s="11">
        <v>6.369118311E9</v>
      </c>
      <c r="I543" s="11" t="s">
        <v>82</v>
      </c>
      <c r="J543" s="11" t="s">
        <v>130</v>
      </c>
      <c r="K543" s="11" t="s">
        <v>72</v>
      </c>
      <c r="L543" s="11" t="s">
        <v>84</v>
      </c>
      <c r="M543" s="11" t="s">
        <v>3174</v>
      </c>
      <c r="N543" s="11" t="s">
        <v>241</v>
      </c>
      <c r="O543" s="11" t="s">
        <v>71</v>
      </c>
      <c r="P543" s="11" t="s">
        <v>3184</v>
      </c>
      <c r="Q543" s="13" t="s">
        <v>3185</v>
      </c>
      <c r="R543" s="14" t="str">
        <f>HYPERLINK("https://drive.google.com/file/d/1XFuzvpvHsOmtjTtQpOBAHbysI0gmp53L/view?usp=drivesdk","OFFER LETTER")</f>
        <v>OFFER LETTER</v>
      </c>
      <c r="S543" s="11" t="s">
        <v>3186</v>
      </c>
    </row>
    <row r="544" ht="22.5" customHeight="1">
      <c r="A544" s="10">
        <v>46258.5349492824</v>
      </c>
      <c r="B544" s="11" t="s">
        <v>3187</v>
      </c>
      <c r="C544" s="11" t="s">
        <v>107</v>
      </c>
      <c r="D544" s="11" t="s">
        <v>238</v>
      </c>
      <c r="E544" s="12">
        <v>46261.0</v>
      </c>
      <c r="F544" s="12">
        <v>46353.0</v>
      </c>
      <c r="G544" s="11" t="s">
        <v>3188</v>
      </c>
      <c r="H544" s="11">
        <v>9.341620546E9</v>
      </c>
      <c r="I544" s="11" t="s">
        <v>82</v>
      </c>
      <c r="J544" s="11" t="s">
        <v>71</v>
      </c>
      <c r="K544" s="11" t="s">
        <v>72</v>
      </c>
      <c r="L544" s="11" t="s">
        <v>131</v>
      </c>
      <c r="M544" s="11" t="s">
        <v>3189</v>
      </c>
      <c r="N544" s="11" t="s">
        <v>241</v>
      </c>
      <c r="O544" s="11" t="s">
        <v>71</v>
      </c>
      <c r="P544" s="11" t="s">
        <v>3190</v>
      </c>
      <c r="Q544" s="13" t="s">
        <v>3191</v>
      </c>
      <c r="R544" s="14" t="str">
        <f>HYPERLINK("https://drive.google.com/file/d/1Luc9X1nQIjwuY0fHB2lDHZYE15fbIOVU/view?usp=drivesdk","OFFER LETTER")</f>
        <v>OFFER LETTER</v>
      </c>
      <c r="S544" s="11" t="s">
        <v>3192</v>
      </c>
    </row>
    <row r="545" ht="22.5" customHeight="1">
      <c r="A545" s="10">
        <v>46258.537858564814</v>
      </c>
      <c r="B545" s="11" t="s">
        <v>3193</v>
      </c>
      <c r="C545" s="11" t="s">
        <v>128</v>
      </c>
      <c r="D545" s="11" t="s">
        <v>68</v>
      </c>
      <c r="E545" s="12">
        <v>46259.0</v>
      </c>
      <c r="F545" s="12">
        <v>46289.0</v>
      </c>
      <c r="G545" s="11" t="s">
        <v>3194</v>
      </c>
      <c r="H545" s="17" t="s">
        <v>3195</v>
      </c>
      <c r="I545" s="11" t="s">
        <v>82</v>
      </c>
      <c r="J545" s="11" t="s">
        <v>71</v>
      </c>
      <c r="K545" s="11" t="s">
        <v>167</v>
      </c>
      <c r="L545" s="11" t="s">
        <v>247</v>
      </c>
      <c r="M545" s="11" t="s">
        <v>3196</v>
      </c>
      <c r="N545" s="11" t="s">
        <v>1722</v>
      </c>
      <c r="O545" s="11" t="s">
        <v>71</v>
      </c>
      <c r="P545" s="11" t="s">
        <v>3197</v>
      </c>
      <c r="Q545" s="13" t="s">
        <v>3198</v>
      </c>
      <c r="R545" s="14" t="str">
        <f>HYPERLINK("https://drive.google.com/file/d/181rMWUChgewkyRzOldG65gqV-q3BFlw0/view?usp=drivesdk","OFFER LETTER")</f>
        <v>OFFER LETTER</v>
      </c>
      <c r="S545" s="11" t="s">
        <v>3199</v>
      </c>
    </row>
    <row r="546" ht="22.5" customHeight="1">
      <c r="A546" s="10">
        <v>46258.53925828704</v>
      </c>
      <c r="B546" s="11" t="s">
        <v>3200</v>
      </c>
      <c r="C546" s="11" t="s">
        <v>742</v>
      </c>
      <c r="D546" s="11" t="s">
        <v>68</v>
      </c>
      <c r="E546" s="12">
        <v>46258.0</v>
      </c>
      <c r="F546" s="12">
        <v>46289.0</v>
      </c>
      <c r="G546" s="11" t="s">
        <v>3201</v>
      </c>
      <c r="H546" s="11">
        <v>9.364023682E9</v>
      </c>
      <c r="I546" s="11" t="s">
        <v>70</v>
      </c>
      <c r="J546" s="11" t="s">
        <v>71</v>
      </c>
      <c r="K546" s="11" t="s">
        <v>167</v>
      </c>
      <c r="L546" s="11" t="s">
        <v>357</v>
      </c>
      <c r="M546" s="11" t="s">
        <v>3202</v>
      </c>
      <c r="N546" s="11" t="s">
        <v>219</v>
      </c>
      <c r="O546" s="11" t="s">
        <v>263</v>
      </c>
      <c r="P546" s="11" t="s">
        <v>3203</v>
      </c>
      <c r="Q546" s="13" t="s">
        <v>3204</v>
      </c>
      <c r="R546" s="14" t="str">
        <f>HYPERLINK("https://drive.google.com/file/d/1ParNSCZ925L48BSLpIaitpNXQ1hi5DV5/view?usp=drivesdk","OFFER LETTER")</f>
        <v>OFFER LETTER</v>
      </c>
      <c r="S546" s="11" t="s">
        <v>3205</v>
      </c>
    </row>
    <row r="547" ht="22.5" customHeight="1">
      <c r="A547" s="10">
        <v>46258.542087905094</v>
      </c>
      <c r="B547" s="11" t="s">
        <v>3206</v>
      </c>
      <c r="C547" s="11" t="s">
        <v>107</v>
      </c>
      <c r="D547" s="11" t="s">
        <v>108</v>
      </c>
      <c r="E547" s="12">
        <v>46262.0</v>
      </c>
      <c r="F547" s="12">
        <v>46323.0</v>
      </c>
      <c r="G547" s="11" t="s">
        <v>3207</v>
      </c>
      <c r="H547" s="11">
        <v>9.380634332E9</v>
      </c>
      <c r="I547" s="11" t="s">
        <v>82</v>
      </c>
      <c r="J547" s="11" t="s">
        <v>71</v>
      </c>
      <c r="K547" s="11" t="s">
        <v>356</v>
      </c>
      <c r="L547" s="11" t="s">
        <v>84</v>
      </c>
      <c r="M547" s="11" t="s">
        <v>3208</v>
      </c>
      <c r="N547" s="11" t="s">
        <v>155</v>
      </c>
      <c r="O547" s="11" t="s">
        <v>71</v>
      </c>
      <c r="P547" s="11" t="s">
        <v>3209</v>
      </c>
      <c r="Q547" s="13" t="s">
        <v>3210</v>
      </c>
      <c r="R547" s="14" t="str">
        <f>HYPERLINK("https://drive.google.com/file/d/1SNpqlU99r13mKSlyp2foR5ixQcsuH7GF/view?usp=drivesdk","OFFER LETTER")</f>
        <v>OFFER LETTER</v>
      </c>
      <c r="S547" s="11" t="s">
        <v>3211</v>
      </c>
    </row>
    <row r="548" ht="22.5" customHeight="1">
      <c r="A548" s="10">
        <v>46258.54311380787</v>
      </c>
      <c r="B548" s="11" t="s">
        <v>3212</v>
      </c>
      <c r="C548" s="11" t="s">
        <v>195</v>
      </c>
      <c r="D548" s="11" t="s">
        <v>68</v>
      </c>
      <c r="E548" s="12">
        <v>46174.0</v>
      </c>
      <c r="F548" s="12">
        <v>46209.0</v>
      </c>
      <c r="G548" s="11" t="s">
        <v>3213</v>
      </c>
      <c r="H548" s="11">
        <v>6.394556264E9</v>
      </c>
      <c r="I548" s="11" t="s">
        <v>82</v>
      </c>
      <c r="J548" s="11" t="s">
        <v>71</v>
      </c>
      <c r="K548" s="11" t="s">
        <v>110</v>
      </c>
      <c r="L548" s="11" t="s">
        <v>73</v>
      </c>
      <c r="M548" s="11" t="s">
        <v>3214</v>
      </c>
      <c r="N548" s="11" t="s">
        <v>86</v>
      </c>
      <c r="O548" s="11" t="s">
        <v>71</v>
      </c>
      <c r="P548" s="11" t="s">
        <v>3215</v>
      </c>
      <c r="Q548" s="13" t="s">
        <v>3216</v>
      </c>
      <c r="R548" s="14" t="str">
        <f>HYPERLINK("https://drive.google.com/file/d/11k_atros7wlyi5lA1HecFE1b90t7pb8w/view?usp=drivesdk","OFFER LETTER")</f>
        <v>OFFER LETTER</v>
      </c>
      <c r="S548" s="11" t="s">
        <v>3217</v>
      </c>
    </row>
    <row r="549" ht="22.5" customHeight="1">
      <c r="A549" s="10">
        <v>46258.54339171296</v>
      </c>
      <c r="B549" s="11" t="s">
        <v>3218</v>
      </c>
      <c r="C549" s="11" t="s">
        <v>237</v>
      </c>
      <c r="D549" s="11" t="s">
        <v>68</v>
      </c>
      <c r="E549" s="12">
        <v>46259.0</v>
      </c>
      <c r="F549" s="12">
        <v>46290.0</v>
      </c>
      <c r="G549" s="11" t="s">
        <v>3219</v>
      </c>
      <c r="H549" s="11">
        <v>8.010079976E9</v>
      </c>
      <c r="I549" s="11" t="s">
        <v>70</v>
      </c>
      <c r="J549" s="11" t="s">
        <v>71</v>
      </c>
      <c r="K549" s="11" t="s">
        <v>72</v>
      </c>
      <c r="L549" s="11" t="s">
        <v>84</v>
      </c>
      <c r="M549" s="11" t="s">
        <v>3220</v>
      </c>
      <c r="N549" s="11" t="s">
        <v>3221</v>
      </c>
      <c r="O549" s="11" t="s">
        <v>71</v>
      </c>
      <c r="P549" s="11" t="s">
        <v>3222</v>
      </c>
      <c r="Q549" s="13" t="s">
        <v>3223</v>
      </c>
      <c r="R549" s="14" t="str">
        <f>HYPERLINK("https://drive.google.com/file/d/1EOxyYQpLsO2ZNTgoi5o9lv0i_UqOsX1o/view?usp=drivesdk","OFFER LETTER")</f>
        <v>OFFER LETTER</v>
      </c>
      <c r="S549" s="11" t="s">
        <v>3224</v>
      </c>
    </row>
    <row r="550" ht="22.5" customHeight="1">
      <c r="A550" s="10">
        <v>46258.545702187505</v>
      </c>
      <c r="B550" s="11" t="s">
        <v>3225</v>
      </c>
      <c r="C550" s="11" t="s">
        <v>107</v>
      </c>
      <c r="D550" s="11" t="s">
        <v>68</v>
      </c>
      <c r="E550" s="12">
        <v>46295.0</v>
      </c>
      <c r="F550" s="12">
        <v>46325.0</v>
      </c>
      <c r="G550" s="11" t="s">
        <v>3226</v>
      </c>
      <c r="H550" s="11">
        <v>9.108982166E9</v>
      </c>
      <c r="I550" s="11" t="s">
        <v>70</v>
      </c>
      <c r="J550" s="11" t="s">
        <v>71</v>
      </c>
      <c r="K550" s="11" t="s">
        <v>72</v>
      </c>
      <c r="L550" s="11" t="s">
        <v>73</v>
      </c>
      <c r="M550" s="11" t="s">
        <v>3153</v>
      </c>
      <c r="N550" s="11" t="s">
        <v>75</v>
      </c>
      <c r="O550" s="11" t="s">
        <v>71</v>
      </c>
      <c r="P550" s="11" t="s">
        <v>3227</v>
      </c>
      <c r="Q550" s="13" t="s">
        <v>3228</v>
      </c>
      <c r="R550" s="14" t="str">
        <f>HYPERLINK("https://drive.google.com/file/d/1MzjLpKi0HKJzayXpIDqMDfZOyXuDRGQP/view?usp=drivesdk","OFFER LETTER")</f>
        <v>OFFER LETTER</v>
      </c>
      <c r="S550" s="11" t="s">
        <v>3229</v>
      </c>
    </row>
    <row r="551" ht="22.5" customHeight="1">
      <c r="A551" s="10">
        <v>46258.54995141204</v>
      </c>
      <c r="B551" s="11" t="s">
        <v>3230</v>
      </c>
      <c r="C551" s="11" t="s">
        <v>237</v>
      </c>
      <c r="D551" s="11" t="s">
        <v>68</v>
      </c>
      <c r="E551" s="12">
        <v>46265.0</v>
      </c>
      <c r="F551" s="12">
        <v>46295.0</v>
      </c>
      <c r="G551" s="11" t="s">
        <v>3231</v>
      </c>
      <c r="H551" s="11">
        <v>9.322196822E9</v>
      </c>
      <c r="I551" s="11" t="s">
        <v>82</v>
      </c>
      <c r="J551" s="11" t="s">
        <v>71</v>
      </c>
      <c r="K551" s="11" t="s">
        <v>72</v>
      </c>
      <c r="L551" s="11" t="s">
        <v>73</v>
      </c>
      <c r="M551" s="11" t="s">
        <v>3232</v>
      </c>
      <c r="N551" s="11" t="s">
        <v>241</v>
      </c>
      <c r="O551" s="11" t="s">
        <v>71</v>
      </c>
      <c r="P551" s="11" t="s">
        <v>3233</v>
      </c>
      <c r="Q551" s="13" t="s">
        <v>3234</v>
      </c>
      <c r="R551" s="14" t="str">
        <f>HYPERLINK("https://drive.google.com/file/d/1t8SfaNnnEhVJKB8-1qkHkoOIGFsHufbj/view?usp=drivesdk","OFFER LETTER")</f>
        <v>OFFER LETTER</v>
      </c>
      <c r="S551" s="11" t="s">
        <v>3235</v>
      </c>
    </row>
    <row r="552" ht="22.5" customHeight="1">
      <c r="A552" s="10">
        <v>46258.55113060185</v>
      </c>
      <c r="B552" s="11" t="s">
        <v>3236</v>
      </c>
      <c r="C552" s="11" t="s">
        <v>128</v>
      </c>
      <c r="D552" s="11" t="s">
        <v>68</v>
      </c>
      <c r="E552" s="12">
        <v>46259.0</v>
      </c>
      <c r="F552" s="12">
        <v>46290.0</v>
      </c>
      <c r="G552" s="11" t="s">
        <v>3237</v>
      </c>
      <c r="H552" s="11">
        <v>6.302309656E9</v>
      </c>
      <c r="I552" s="11" t="s">
        <v>70</v>
      </c>
      <c r="J552" s="11" t="s">
        <v>71</v>
      </c>
      <c r="K552" s="11" t="s">
        <v>72</v>
      </c>
      <c r="L552" s="11" t="s">
        <v>73</v>
      </c>
      <c r="M552" s="11" t="s">
        <v>3238</v>
      </c>
      <c r="N552" s="11" t="s">
        <v>1872</v>
      </c>
      <c r="O552" s="11" t="s">
        <v>71</v>
      </c>
      <c r="P552" s="11" t="s">
        <v>3239</v>
      </c>
      <c r="Q552" s="13" t="s">
        <v>3240</v>
      </c>
      <c r="R552" s="14" t="str">
        <f>HYPERLINK("https://drive.google.com/file/d/1txJsyD8T7VxgLRgtvz6lNirnmGbKriBY/view?usp=drivesdk","OFFER LETTER")</f>
        <v>OFFER LETTER</v>
      </c>
      <c r="S552" s="11" t="s">
        <v>3241</v>
      </c>
    </row>
    <row r="553" ht="22.5" customHeight="1">
      <c r="A553" s="10">
        <v>46258.553329664355</v>
      </c>
      <c r="B553" s="11" t="s">
        <v>3242</v>
      </c>
      <c r="C553" s="11" t="s">
        <v>237</v>
      </c>
      <c r="D553" s="11" t="s">
        <v>68</v>
      </c>
      <c r="E553" s="12">
        <v>46259.0</v>
      </c>
      <c r="F553" s="12">
        <v>46290.0</v>
      </c>
      <c r="G553" s="11" t="s">
        <v>3243</v>
      </c>
      <c r="H553" s="11">
        <v>8.76774046E9</v>
      </c>
      <c r="I553" s="11" t="s">
        <v>70</v>
      </c>
      <c r="J553" s="11" t="s">
        <v>71</v>
      </c>
      <c r="K553" s="11" t="s">
        <v>72</v>
      </c>
      <c r="L553" s="11" t="s">
        <v>84</v>
      </c>
      <c r="M553" s="11" t="s">
        <v>3244</v>
      </c>
      <c r="N553" s="11" t="s">
        <v>241</v>
      </c>
      <c r="O553" s="11" t="s">
        <v>71</v>
      </c>
      <c r="P553" s="11" t="s">
        <v>3245</v>
      </c>
      <c r="Q553" s="13" t="s">
        <v>3246</v>
      </c>
      <c r="R553" s="14" t="str">
        <f>HYPERLINK("https://drive.google.com/file/d/1T78vpM4rtdetA7HYZRQYJb-_FmMUZx2e/view?usp=drivesdk","OFFER LETTER")</f>
        <v>OFFER LETTER</v>
      </c>
      <c r="S553" s="11" t="s">
        <v>3247</v>
      </c>
    </row>
    <row r="554" ht="22.5" customHeight="1">
      <c r="A554" s="10">
        <v>46258.5536259838</v>
      </c>
      <c r="B554" s="11" t="s">
        <v>3248</v>
      </c>
      <c r="C554" s="11" t="s">
        <v>195</v>
      </c>
      <c r="D554" s="11" t="s">
        <v>68</v>
      </c>
      <c r="E554" s="12">
        <v>46266.0</v>
      </c>
      <c r="F554" s="12">
        <v>46295.0</v>
      </c>
      <c r="G554" s="11" t="s">
        <v>3249</v>
      </c>
      <c r="H554" s="11">
        <v>9.548040216E9</v>
      </c>
      <c r="I554" s="11" t="s">
        <v>70</v>
      </c>
      <c r="J554" s="11" t="s">
        <v>71</v>
      </c>
      <c r="K554" s="11" t="s">
        <v>72</v>
      </c>
      <c r="L554" s="11" t="s">
        <v>131</v>
      </c>
      <c r="M554" s="11" t="s">
        <v>3250</v>
      </c>
      <c r="N554" s="11" t="s">
        <v>241</v>
      </c>
      <c r="O554" s="11" t="s">
        <v>71</v>
      </c>
      <c r="P554" s="11" t="s">
        <v>3251</v>
      </c>
      <c r="Q554" s="13" t="s">
        <v>3252</v>
      </c>
      <c r="R554" s="14" t="str">
        <f>HYPERLINK("https://drive.google.com/file/d/1ntYa8Jg4icus6byVNg5qKGS_up8UZvU1/view?usp=drivesdk","OFFER LETTER")</f>
        <v>OFFER LETTER</v>
      </c>
      <c r="S554" s="11" t="s">
        <v>3247</v>
      </c>
    </row>
    <row r="555" ht="22.5" customHeight="1">
      <c r="A555" s="10">
        <v>46258.55431407408</v>
      </c>
      <c r="B555" s="11" t="s">
        <v>3253</v>
      </c>
      <c r="C555" s="11" t="s">
        <v>237</v>
      </c>
      <c r="D555" s="11" t="s">
        <v>68</v>
      </c>
      <c r="E555" s="12">
        <v>46259.0</v>
      </c>
      <c r="F555" s="12">
        <v>46259.0</v>
      </c>
      <c r="G555" s="11" t="s">
        <v>3254</v>
      </c>
      <c r="H555" s="11">
        <v>9.096799681E9</v>
      </c>
      <c r="I555" s="11" t="s">
        <v>70</v>
      </c>
      <c r="J555" s="11" t="s">
        <v>71</v>
      </c>
      <c r="K555" s="11" t="s">
        <v>72</v>
      </c>
      <c r="L555" s="11" t="s">
        <v>84</v>
      </c>
      <c r="M555" s="11" t="s">
        <v>3255</v>
      </c>
      <c r="N555" s="11" t="s">
        <v>241</v>
      </c>
      <c r="O555" s="11" t="s">
        <v>71</v>
      </c>
      <c r="P555" s="11" t="s">
        <v>3256</v>
      </c>
      <c r="Q555" s="13" t="s">
        <v>3257</v>
      </c>
      <c r="R555" s="14" t="str">
        <f>HYPERLINK("https://drive.google.com/file/d/1Lzcf4Zwlqd-x0hiiUmHxE9VpF7CHoITQ/view?usp=drivesdk","OFFER LETTER")</f>
        <v>OFFER LETTER</v>
      </c>
      <c r="S555" s="11" t="s">
        <v>3258</v>
      </c>
    </row>
    <row r="556" ht="22.5" customHeight="1">
      <c r="A556" s="10">
        <v>46258.55669059028</v>
      </c>
      <c r="B556" s="11" t="s">
        <v>3259</v>
      </c>
      <c r="C556" s="11" t="s">
        <v>596</v>
      </c>
      <c r="D556" s="11" t="s">
        <v>68</v>
      </c>
      <c r="E556" s="12">
        <v>46262.0</v>
      </c>
      <c r="F556" s="12">
        <v>46293.0</v>
      </c>
      <c r="G556" s="11" t="s">
        <v>3260</v>
      </c>
      <c r="H556" s="11">
        <v>9.111053655E9</v>
      </c>
      <c r="I556" s="11" t="s">
        <v>70</v>
      </c>
      <c r="J556" s="11" t="s">
        <v>71</v>
      </c>
      <c r="K556" s="11" t="s">
        <v>167</v>
      </c>
      <c r="L556" s="11" t="s">
        <v>247</v>
      </c>
      <c r="M556" s="11" t="s">
        <v>3261</v>
      </c>
      <c r="N556" s="11" t="s">
        <v>75</v>
      </c>
      <c r="O556" s="11" t="s">
        <v>71</v>
      </c>
      <c r="P556" s="11" t="s">
        <v>3262</v>
      </c>
      <c r="Q556" s="13" t="s">
        <v>3263</v>
      </c>
      <c r="R556" s="14" t="str">
        <f>HYPERLINK("https://drive.google.com/file/d/1ViBVgS3bERtHP_VPlL7sNKJA1iOJUvOT/view?usp=drivesdk","OFFER LETTER")</f>
        <v>OFFER LETTER</v>
      </c>
      <c r="S556" s="11" t="s">
        <v>3264</v>
      </c>
    </row>
    <row r="557" ht="22.5" customHeight="1">
      <c r="A557" s="10">
        <v>46258.56053127315</v>
      </c>
      <c r="B557" s="11" t="s">
        <v>3265</v>
      </c>
      <c r="C557" s="11" t="s">
        <v>128</v>
      </c>
      <c r="D557" s="11" t="s">
        <v>68</v>
      </c>
      <c r="E557" s="12">
        <v>46228.0</v>
      </c>
      <c r="F557" s="12">
        <v>46259.0</v>
      </c>
      <c r="G557" s="11" t="s">
        <v>3266</v>
      </c>
      <c r="H557" s="11">
        <v>8.432574331E9</v>
      </c>
      <c r="I557" s="11" t="s">
        <v>82</v>
      </c>
      <c r="J557" s="11" t="s">
        <v>71</v>
      </c>
      <c r="K557" s="11" t="s">
        <v>72</v>
      </c>
      <c r="L557" s="11" t="s">
        <v>73</v>
      </c>
      <c r="M557" s="11" t="s">
        <v>3267</v>
      </c>
      <c r="N557" s="11" t="s">
        <v>47</v>
      </c>
      <c r="O557" s="11" t="s">
        <v>71</v>
      </c>
      <c r="P557" s="11" t="s">
        <v>3268</v>
      </c>
      <c r="Q557" s="13" t="s">
        <v>3269</v>
      </c>
      <c r="R557" s="14" t="str">
        <f>HYPERLINK("https://drive.google.com/file/d/15FW7m5ARH8V8XQEd0jU1zith3c9t5jlI/view?usp=drivesdk","OFFER LETTER")</f>
        <v>OFFER LETTER</v>
      </c>
      <c r="S557" s="11" t="s">
        <v>3270</v>
      </c>
    </row>
    <row r="558" ht="22.5" customHeight="1">
      <c r="A558" s="10">
        <v>46258.5612777662</v>
      </c>
      <c r="B558" s="11" t="s">
        <v>3259</v>
      </c>
      <c r="C558" s="11" t="s">
        <v>128</v>
      </c>
      <c r="D558" s="11" t="s">
        <v>68</v>
      </c>
      <c r="E558" s="12">
        <v>46262.0</v>
      </c>
      <c r="F558" s="12">
        <v>46293.0</v>
      </c>
      <c r="G558" s="11" t="s">
        <v>3260</v>
      </c>
      <c r="H558" s="11">
        <v>9.111053655E9</v>
      </c>
      <c r="I558" s="11" t="s">
        <v>70</v>
      </c>
      <c r="J558" s="11" t="s">
        <v>71</v>
      </c>
      <c r="K558" s="11" t="s">
        <v>167</v>
      </c>
      <c r="L558" s="11" t="s">
        <v>247</v>
      </c>
      <c r="M558" s="11" t="s">
        <v>3271</v>
      </c>
      <c r="N558" s="11" t="s">
        <v>75</v>
      </c>
      <c r="O558" s="11" t="s">
        <v>71</v>
      </c>
      <c r="P558" s="11" t="s">
        <v>3272</v>
      </c>
      <c r="Q558" s="13" t="s">
        <v>3273</v>
      </c>
      <c r="R558" s="14" t="str">
        <f>HYPERLINK("https://drive.google.com/file/d/1PK1a_ad2uXUbik2X8iRf2mwz5byM2-4t/view?usp=drivesdk","OFFER LETTER")</f>
        <v>OFFER LETTER</v>
      </c>
      <c r="S558" s="11" t="s">
        <v>3274</v>
      </c>
    </row>
    <row r="559" ht="22.5" customHeight="1">
      <c r="A559" s="10">
        <v>46258.57634671296</v>
      </c>
      <c r="B559" s="11" t="s">
        <v>3275</v>
      </c>
      <c r="C559" s="11" t="s">
        <v>91</v>
      </c>
      <c r="D559" s="11" t="s">
        <v>68</v>
      </c>
      <c r="E559" s="12">
        <v>46258.0</v>
      </c>
      <c r="F559" s="12">
        <v>46289.0</v>
      </c>
      <c r="G559" s="11" t="s">
        <v>3276</v>
      </c>
      <c r="H559" s="11">
        <v>7.249897583E9</v>
      </c>
      <c r="I559" s="11" t="s">
        <v>70</v>
      </c>
      <c r="J559" s="11" t="s">
        <v>71</v>
      </c>
      <c r="K559" s="11" t="s">
        <v>72</v>
      </c>
      <c r="L559" s="11" t="s">
        <v>73</v>
      </c>
      <c r="M559" s="11" t="s">
        <v>3277</v>
      </c>
      <c r="N559" s="11" t="s">
        <v>86</v>
      </c>
      <c r="O559" s="11" t="s">
        <v>71</v>
      </c>
      <c r="P559" s="11" t="s">
        <v>3278</v>
      </c>
      <c r="Q559" s="13" t="s">
        <v>3279</v>
      </c>
      <c r="R559" s="14" t="str">
        <f>HYPERLINK("https://drive.google.com/file/d/1HKFsgJChp4pdISMIY83YEWdsc6kClGJw/view?usp=drivesdk","OFFER LETTER")</f>
        <v>OFFER LETTER</v>
      </c>
      <c r="S559" s="11" t="s">
        <v>3280</v>
      </c>
    </row>
    <row r="560" ht="22.5" customHeight="1">
      <c r="A560" s="10">
        <v>46258.580616377316</v>
      </c>
      <c r="B560" s="11" t="s">
        <v>3281</v>
      </c>
      <c r="C560" s="11" t="s">
        <v>91</v>
      </c>
      <c r="D560" s="11" t="s">
        <v>68</v>
      </c>
      <c r="E560" s="12">
        <v>46258.0</v>
      </c>
      <c r="F560" s="12">
        <v>46289.0</v>
      </c>
      <c r="G560" s="11" t="s">
        <v>3282</v>
      </c>
      <c r="H560" s="11">
        <v>8.459529321E9</v>
      </c>
      <c r="I560" s="11" t="s">
        <v>70</v>
      </c>
      <c r="J560" s="11" t="s">
        <v>71</v>
      </c>
      <c r="K560" s="11" t="s">
        <v>72</v>
      </c>
      <c r="L560" s="11" t="s">
        <v>73</v>
      </c>
      <c r="M560" s="11" t="s">
        <v>3277</v>
      </c>
      <c r="N560" s="11" t="s">
        <v>86</v>
      </c>
      <c r="O560" s="11" t="s">
        <v>71</v>
      </c>
      <c r="P560" s="11" t="s">
        <v>3283</v>
      </c>
      <c r="Q560" s="13" t="s">
        <v>3284</v>
      </c>
      <c r="R560" s="14" t="str">
        <f>HYPERLINK("https://drive.google.com/file/d/1qWsXuloh6gjVlWmBRpnbIuokY9wf-WG0/view?usp=drivesdk","OFFER LETTER")</f>
        <v>OFFER LETTER</v>
      </c>
      <c r="S560" s="11" t="s">
        <v>3285</v>
      </c>
    </row>
    <row r="561" ht="22.5" customHeight="1">
      <c r="A561" s="10">
        <v>46258.58593884259</v>
      </c>
      <c r="B561" s="11" t="s">
        <v>3286</v>
      </c>
      <c r="C561" s="11" t="s">
        <v>67</v>
      </c>
      <c r="D561" s="11" t="s">
        <v>929</v>
      </c>
      <c r="E561" s="12">
        <v>46258.0</v>
      </c>
      <c r="F561" s="12">
        <v>46442.0</v>
      </c>
      <c r="G561" s="11" t="s">
        <v>3287</v>
      </c>
      <c r="H561" s="11">
        <v>7.838697867E9</v>
      </c>
      <c r="I561" s="11" t="s">
        <v>82</v>
      </c>
      <c r="J561" s="11" t="s">
        <v>71</v>
      </c>
      <c r="K561" s="11" t="s">
        <v>110</v>
      </c>
      <c r="L561" s="11" t="s">
        <v>247</v>
      </c>
      <c r="M561" s="11" t="s">
        <v>3288</v>
      </c>
      <c r="N561" s="11" t="s">
        <v>241</v>
      </c>
      <c r="O561" s="11" t="s">
        <v>71</v>
      </c>
      <c r="P561" s="11" t="s">
        <v>3289</v>
      </c>
      <c r="Q561" s="13" t="s">
        <v>3290</v>
      </c>
      <c r="R561" s="14" t="str">
        <f>HYPERLINK("https://drive.google.com/file/d/1w7HnD-PggAUuqBHEWh1XZyexblz-bkRu/view?usp=drivesdk","OFFER LETTER")</f>
        <v>OFFER LETTER</v>
      </c>
      <c r="S561" s="11" t="s">
        <v>3291</v>
      </c>
    </row>
    <row r="562" ht="22.5" customHeight="1">
      <c r="A562" s="10">
        <v>46258.58746174768</v>
      </c>
      <c r="B562" s="11" t="s">
        <v>3292</v>
      </c>
      <c r="C562" s="11" t="s">
        <v>91</v>
      </c>
      <c r="D562" s="11" t="s">
        <v>68</v>
      </c>
      <c r="E562" s="12">
        <v>46266.0</v>
      </c>
      <c r="F562" s="12">
        <v>46295.0</v>
      </c>
      <c r="G562" s="11" t="s">
        <v>3293</v>
      </c>
      <c r="H562" s="11">
        <v>9.129820568E9</v>
      </c>
      <c r="I562" s="11" t="s">
        <v>82</v>
      </c>
      <c r="J562" s="11" t="s">
        <v>71</v>
      </c>
      <c r="K562" s="11" t="s">
        <v>72</v>
      </c>
      <c r="L562" s="11" t="s">
        <v>84</v>
      </c>
      <c r="M562" s="11" t="s">
        <v>3294</v>
      </c>
      <c r="N562" s="11" t="s">
        <v>1576</v>
      </c>
      <c r="O562" s="11" t="s">
        <v>71</v>
      </c>
      <c r="P562" s="11" t="s">
        <v>3295</v>
      </c>
      <c r="Q562" s="13" t="s">
        <v>3296</v>
      </c>
      <c r="R562" s="14" t="str">
        <f>HYPERLINK("https://drive.google.com/file/d/1m9ys8Vztq0fHqinQnj2DyKEncE8c9Pw3/view?usp=drivesdk","OFFER LETTER")</f>
        <v>OFFER LETTER</v>
      </c>
      <c r="S562" s="11" t="s">
        <v>3297</v>
      </c>
    </row>
    <row r="563" ht="22.5" customHeight="1">
      <c r="A563" s="10">
        <v>46258.58770070602</v>
      </c>
      <c r="B563" s="11" t="s">
        <v>3298</v>
      </c>
      <c r="C563" s="11" t="s">
        <v>195</v>
      </c>
      <c r="D563" s="11" t="s">
        <v>68</v>
      </c>
      <c r="E563" s="12">
        <v>46258.0</v>
      </c>
      <c r="F563" s="12">
        <v>46289.0</v>
      </c>
      <c r="G563" s="11" t="s">
        <v>3299</v>
      </c>
      <c r="H563" s="11">
        <v>9.618134638E9</v>
      </c>
      <c r="I563" s="11" t="s">
        <v>82</v>
      </c>
      <c r="J563" s="11" t="s">
        <v>71</v>
      </c>
      <c r="K563" s="11" t="s">
        <v>167</v>
      </c>
      <c r="L563" s="11" t="s">
        <v>247</v>
      </c>
      <c r="M563" s="11" t="s">
        <v>3300</v>
      </c>
      <c r="N563" s="11" t="s">
        <v>75</v>
      </c>
      <c r="O563" s="11" t="s">
        <v>71</v>
      </c>
      <c r="P563" s="11" t="s">
        <v>3301</v>
      </c>
      <c r="Q563" s="13" t="s">
        <v>3302</v>
      </c>
      <c r="R563" s="14" t="str">
        <f>HYPERLINK("https://drive.google.com/file/d/10GnkaSLb_H22TFjzC_0TDYuiWfTmNIv2/view?usp=drivesdk","OFFER LETTER")</f>
        <v>OFFER LETTER</v>
      </c>
      <c r="S563" s="11" t="s">
        <v>3303</v>
      </c>
    </row>
    <row r="564" ht="22.5" customHeight="1">
      <c r="A564" s="10">
        <v>46258.58889540509</v>
      </c>
      <c r="B564" s="11" t="s">
        <v>3304</v>
      </c>
      <c r="C564" s="11" t="s">
        <v>195</v>
      </c>
      <c r="D564" s="11" t="s">
        <v>68</v>
      </c>
      <c r="E564" s="12">
        <v>46258.0</v>
      </c>
      <c r="F564" s="12">
        <v>46289.0</v>
      </c>
      <c r="G564" s="11" t="s">
        <v>3305</v>
      </c>
      <c r="H564" s="11">
        <v>7.972199102E9</v>
      </c>
      <c r="I564" s="11" t="s">
        <v>82</v>
      </c>
      <c r="J564" s="11" t="s">
        <v>71</v>
      </c>
      <c r="K564" s="13" t="s">
        <v>674</v>
      </c>
      <c r="L564" s="11" t="s">
        <v>247</v>
      </c>
      <c r="M564" s="11" t="s">
        <v>3306</v>
      </c>
      <c r="N564" s="11" t="s">
        <v>75</v>
      </c>
      <c r="O564" s="11" t="s">
        <v>71</v>
      </c>
      <c r="P564" s="11" t="s">
        <v>3307</v>
      </c>
      <c r="Q564" s="13" t="s">
        <v>3308</v>
      </c>
      <c r="R564" s="14" t="str">
        <f>HYPERLINK("https://drive.google.com/file/d/1ks5rpaHRNLA3r5niGrjOb3-r4K1tZJUU/view?usp=drivesdk","OFFER LETTER")</f>
        <v>OFFER LETTER</v>
      </c>
      <c r="S564" s="11" t="s">
        <v>3309</v>
      </c>
    </row>
    <row r="565" ht="22.5" customHeight="1">
      <c r="A565" s="10">
        <v>46258.59827106481</v>
      </c>
      <c r="B565" s="11" t="s">
        <v>3310</v>
      </c>
      <c r="C565" s="11" t="s">
        <v>80</v>
      </c>
      <c r="D565" s="11" t="s">
        <v>68</v>
      </c>
      <c r="E565" s="12">
        <v>46228.0</v>
      </c>
      <c r="F565" s="12">
        <v>46259.0</v>
      </c>
      <c r="G565" s="11" t="s">
        <v>3311</v>
      </c>
      <c r="H565" s="11">
        <v>9.345026115E9</v>
      </c>
      <c r="I565" s="11" t="s">
        <v>82</v>
      </c>
      <c r="J565" s="11" t="s">
        <v>130</v>
      </c>
      <c r="K565" s="11" t="s">
        <v>72</v>
      </c>
      <c r="L565" s="11" t="s">
        <v>84</v>
      </c>
      <c r="M565" s="11" t="s">
        <v>3312</v>
      </c>
      <c r="N565" s="11" t="s">
        <v>86</v>
      </c>
      <c r="O565" s="11" t="s">
        <v>71</v>
      </c>
      <c r="P565" s="11" t="s">
        <v>3313</v>
      </c>
      <c r="Q565" s="13" t="s">
        <v>3314</v>
      </c>
      <c r="R565" s="14" t="str">
        <f>HYPERLINK("https://drive.google.com/file/d/1kHFl4-TgJTa62as1INERrLVEcFTWhZD9/view?usp=drivesdk","OFFER LETTER")</f>
        <v>OFFER LETTER</v>
      </c>
      <c r="S565" s="11" t="s">
        <v>3315</v>
      </c>
    </row>
    <row r="566" ht="22.5" customHeight="1">
      <c r="A566" s="10">
        <v>46258.60487601852</v>
      </c>
      <c r="B566" s="11" t="s">
        <v>3316</v>
      </c>
      <c r="C566" s="11" t="s">
        <v>1200</v>
      </c>
      <c r="D566" s="11" t="s">
        <v>68</v>
      </c>
      <c r="E566" s="12">
        <v>46258.0</v>
      </c>
      <c r="F566" s="12">
        <v>46289.0</v>
      </c>
      <c r="G566" s="11" t="s">
        <v>3317</v>
      </c>
      <c r="H566" s="11">
        <v>8.850018649E9</v>
      </c>
      <c r="I566" s="11" t="s">
        <v>82</v>
      </c>
      <c r="J566" s="11" t="s">
        <v>71</v>
      </c>
      <c r="K566" s="11" t="s">
        <v>110</v>
      </c>
      <c r="L566" s="11" t="s">
        <v>73</v>
      </c>
      <c r="M566" s="11" t="s">
        <v>3318</v>
      </c>
      <c r="N566" s="11" t="s">
        <v>3319</v>
      </c>
      <c r="O566" s="11" t="s">
        <v>71</v>
      </c>
      <c r="P566" s="11" t="s">
        <v>3320</v>
      </c>
      <c r="Q566" s="13" t="s">
        <v>3321</v>
      </c>
      <c r="R566" s="14" t="str">
        <f>HYPERLINK("https://drive.google.com/file/d/183HIze7Gp1kjmPMcbnB4zZOwxY3EnN4R/view?usp=drivesdk","OFFER LETTER")</f>
        <v>OFFER LETTER</v>
      </c>
      <c r="S566" s="11" t="s">
        <v>3322</v>
      </c>
    </row>
    <row r="567" ht="22.5" customHeight="1">
      <c r="A567" s="10">
        <v>46258.60602560185</v>
      </c>
      <c r="B567" s="11" t="s">
        <v>3323</v>
      </c>
      <c r="C567" s="11" t="s">
        <v>596</v>
      </c>
      <c r="D567" s="11" t="s">
        <v>238</v>
      </c>
      <c r="E567" s="12">
        <v>46259.0</v>
      </c>
      <c r="F567" s="12">
        <v>46352.0</v>
      </c>
      <c r="G567" s="11" t="s">
        <v>3324</v>
      </c>
      <c r="H567" s="11">
        <v>9.142701113E9</v>
      </c>
      <c r="I567" s="11" t="s">
        <v>82</v>
      </c>
      <c r="J567" s="11" t="s">
        <v>71</v>
      </c>
      <c r="K567" s="11" t="s">
        <v>72</v>
      </c>
      <c r="L567" s="11" t="s">
        <v>131</v>
      </c>
      <c r="M567" s="11" t="s">
        <v>3325</v>
      </c>
      <c r="N567" s="11" t="s">
        <v>86</v>
      </c>
      <c r="O567" s="11" t="s">
        <v>71</v>
      </c>
      <c r="P567" s="11" t="s">
        <v>3326</v>
      </c>
      <c r="Q567" s="13" t="s">
        <v>3327</v>
      </c>
      <c r="R567" s="14" t="str">
        <f>HYPERLINK("https://drive.google.com/file/d/1w1Fba1Tg_cpYFMix3nak1VUFK42nS-AF/view?usp=drivesdk","OFFER LETTER")</f>
        <v>OFFER LETTER</v>
      </c>
      <c r="S567" s="11" t="s">
        <v>3328</v>
      </c>
    </row>
    <row r="568" ht="22.5" customHeight="1">
      <c r="A568" s="10">
        <v>46258.60639888889</v>
      </c>
      <c r="B568" s="11" t="s">
        <v>3201</v>
      </c>
      <c r="C568" s="11" t="s">
        <v>742</v>
      </c>
      <c r="D568" s="11" t="s">
        <v>68</v>
      </c>
      <c r="E568" s="12">
        <v>46258.0</v>
      </c>
      <c r="F568" s="12">
        <v>46289.0</v>
      </c>
      <c r="G568" s="11" t="s">
        <v>3329</v>
      </c>
      <c r="H568" s="11">
        <v>9.364023682E9</v>
      </c>
      <c r="I568" s="11" t="s">
        <v>70</v>
      </c>
      <c r="J568" s="11" t="s">
        <v>71</v>
      </c>
      <c r="K568" s="11" t="s">
        <v>167</v>
      </c>
      <c r="L568" s="11" t="s">
        <v>357</v>
      </c>
      <c r="M568" s="11" t="s">
        <v>3330</v>
      </c>
      <c r="N568" s="11" t="s">
        <v>241</v>
      </c>
      <c r="O568" s="11" t="s">
        <v>71</v>
      </c>
      <c r="P568" s="11" t="s">
        <v>3331</v>
      </c>
      <c r="Q568" s="13" t="s">
        <v>3332</v>
      </c>
      <c r="R568" s="14" t="str">
        <f>HYPERLINK("https://drive.google.com/file/d/19-3Y9inU71c69-xgqjNFRmVVm0yc6EvU/view?usp=drivesdk","OFFER LETTER")</f>
        <v>OFFER LETTER</v>
      </c>
      <c r="S568" s="11" t="s">
        <v>3328</v>
      </c>
    </row>
    <row r="569" ht="22.5" customHeight="1">
      <c r="A569" s="10">
        <v>46258.60714645834</v>
      </c>
      <c r="B569" s="11" t="s">
        <v>3333</v>
      </c>
      <c r="C569" s="11" t="s">
        <v>173</v>
      </c>
      <c r="D569" s="11" t="s">
        <v>68</v>
      </c>
      <c r="E569" s="12">
        <v>46236.0</v>
      </c>
      <c r="F569" s="12">
        <v>46265.0</v>
      </c>
      <c r="G569" s="11" t="s">
        <v>3334</v>
      </c>
      <c r="H569" s="11">
        <v>7.070501319E9</v>
      </c>
      <c r="I569" s="11" t="s">
        <v>82</v>
      </c>
      <c r="J569" s="11" t="s">
        <v>71</v>
      </c>
      <c r="K569" s="11" t="s">
        <v>72</v>
      </c>
      <c r="L569" s="11" t="s">
        <v>131</v>
      </c>
      <c r="M569" s="11" t="s">
        <v>3335</v>
      </c>
      <c r="N569" s="11" t="s">
        <v>226</v>
      </c>
      <c r="O569" s="11" t="s">
        <v>71</v>
      </c>
      <c r="P569" s="11" t="s">
        <v>3336</v>
      </c>
      <c r="Q569" s="13" t="s">
        <v>3337</v>
      </c>
      <c r="R569" s="14" t="str">
        <f>HYPERLINK("https://drive.google.com/file/d/1UB0a-RQKtefO59whWJe5C3q8UjioL61k/view?usp=drivesdk","OFFER LETTER")</f>
        <v>OFFER LETTER</v>
      </c>
      <c r="S569" s="11" t="s">
        <v>3338</v>
      </c>
    </row>
    <row r="570" ht="22.5" customHeight="1">
      <c r="A570" s="10">
        <v>46258.609808506946</v>
      </c>
      <c r="B570" s="11" t="s">
        <v>3339</v>
      </c>
      <c r="C570" s="11" t="s">
        <v>107</v>
      </c>
      <c r="D570" s="11" t="s">
        <v>68</v>
      </c>
      <c r="E570" s="12">
        <v>45992.0</v>
      </c>
      <c r="F570" s="12">
        <v>46022.0</v>
      </c>
      <c r="G570" s="11" t="s">
        <v>3340</v>
      </c>
      <c r="H570" s="11">
        <v>6.205098627E9</v>
      </c>
      <c r="I570" s="11" t="s">
        <v>82</v>
      </c>
      <c r="J570" s="11" t="s">
        <v>71</v>
      </c>
      <c r="K570" s="11" t="s">
        <v>72</v>
      </c>
      <c r="L570" s="11" t="s">
        <v>73</v>
      </c>
      <c r="M570" s="11" t="s">
        <v>3341</v>
      </c>
      <c r="N570" s="11" t="s">
        <v>75</v>
      </c>
      <c r="O570" s="11" t="s">
        <v>71</v>
      </c>
      <c r="P570" s="11" t="s">
        <v>3342</v>
      </c>
      <c r="Q570" s="13" t="s">
        <v>3343</v>
      </c>
      <c r="R570" s="14" t="str">
        <f>HYPERLINK("https://drive.google.com/file/d/1nT8TJ_RoLQjiVbJl4Rb3HuDWCXWWEBjX/view?usp=drivesdk","OFFER LETTER")</f>
        <v>OFFER LETTER</v>
      </c>
      <c r="S570" s="11" t="s">
        <v>3344</v>
      </c>
    </row>
    <row r="571" ht="22.5" customHeight="1">
      <c r="A571" s="10">
        <v>46258.61138091436</v>
      </c>
      <c r="B571" s="11" t="s">
        <v>3345</v>
      </c>
      <c r="C571" s="11" t="s">
        <v>128</v>
      </c>
      <c r="D571" s="11" t="s">
        <v>68</v>
      </c>
      <c r="E571" s="12">
        <v>46258.0</v>
      </c>
      <c r="F571" s="12">
        <v>46289.0</v>
      </c>
      <c r="G571" s="11" t="s">
        <v>3346</v>
      </c>
      <c r="H571" s="11">
        <v>7.488901611E9</v>
      </c>
      <c r="I571" s="11" t="s">
        <v>82</v>
      </c>
      <c r="J571" s="11" t="s">
        <v>71</v>
      </c>
      <c r="K571" s="11" t="s">
        <v>72</v>
      </c>
      <c r="L571" s="11" t="s">
        <v>84</v>
      </c>
      <c r="M571" s="11" t="s">
        <v>3347</v>
      </c>
      <c r="N571" s="11" t="s">
        <v>133</v>
      </c>
      <c r="O571" s="11" t="s">
        <v>71</v>
      </c>
      <c r="P571" s="11" t="s">
        <v>3348</v>
      </c>
      <c r="Q571" s="13" t="s">
        <v>3349</v>
      </c>
      <c r="R571" s="14" t="str">
        <f>HYPERLINK("https://drive.google.com/file/d/1NiotFbClGHmbXgS0guuIlSfYTVBqMmvW/view?usp=drivesdk","OFFER LETTER")</f>
        <v>OFFER LETTER</v>
      </c>
      <c r="S571" s="11" t="s">
        <v>3350</v>
      </c>
    </row>
    <row r="572" ht="22.5" customHeight="1">
      <c r="A572" s="10">
        <v>46258.614939861116</v>
      </c>
      <c r="B572" s="11" t="s">
        <v>2056</v>
      </c>
      <c r="C572" s="11" t="s">
        <v>195</v>
      </c>
      <c r="D572" s="11" t="s">
        <v>68</v>
      </c>
      <c r="E572" s="12">
        <v>46227.0</v>
      </c>
      <c r="F572" s="12">
        <v>46259.0</v>
      </c>
      <c r="G572" s="11" t="s">
        <v>2057</v>
      </c>
      <c r="H572" s="11">
        <v>9.761787722E9</v>
      </c>
      <c r="I572" s="11" t="s">
        <v>82</v>
      </c>
      <c r="J572" s="11" t="s">
        <v>71</v>
      </c>
      <c r="K572" s="11" t="s">
        <v>110</v>
      </c>
      <c r="L572" s="11" t="s">
        <v>247</v>
      </c>
      <c r="M572" s="11" t="s">
        <v>2058</v>
      </c>
      <c r="N572" s="11" t="s">
        <v>241</v>
      </c>
      <c r="O572" s="11" t="s">
        <v>71</v>
      </c>
      <c r="P572" s="11" t="s">
        <v>3351</v>
      </c>
      <c r="Q572" s="13" t="s">
        <v>3352</v>
      </c>
      <c r="R572" s="14" t="str">
        <f>HYPERLINK("https://drive.google.com/file/d/15TGcZh_z5mHuSTmS402ib1yj-0uoa_XZ/view?usp=drivesdk","OFFER LETTER")</f>
        <v>OFFER LETTER</v>
      </c>
      <c r="S572" s="11" t="s">
        <v>3353</v>
      </c>
    </row>
    <row r="573" ht="22.5" customHeight="1">
      <c r="A573" s="10">
        <v>46258.615204155096</v>
      </c>
      <c r="B573" s="11" t="s">
        <v>3354</v>
      </c>
      <c r="C573" s="11" t="s">
        <v>107</v>
      </c>
      <c r="D573" s="11" t="s">
        <v>68</v>
      </c>
      <c r="E573" s="12">
        <v>45992.0</v>
      </c>
      <c r="F573" s="12">
        <v>46022.0</v>
      </c>
      <c r="G573" s="11" t="s">
        <v>3355</v>
      </c>
      <c r="H573" s="11">
        <v>9.955556838E9</v>
      </c>
      <c r="I573" s="11" t="s">
        <v>82</v>
      </c>
      <c r="J573" s="11" t="s">
        <v>71</v>
      </c>
      <c r="K573" s="11" t="s">
        <v>72</v>
      </c>
      <c r="L573" s="11" t="s">
        <v>131</v>
      </c>
      <c r="M573" s="11" t="s">
        <v>343</v>
      </c>
      <c r="N573" s="11" t="s">
        <v>75</v>
      </c>
      <c r="O573" s="11" t="s">
        <v>71</v>
      </c>
      <c r="P573" s="11" t="s">
        <v>3356</v>
      </c>
      <c r="Q573" s="13" t="s">
        <v>3357</v>
      </c>
      <c r="R573" s="14" t="str">
        <f>HYPERLINK("https://drive.google.com/file/d/1Vt5iL418EIkUnlcEmRe69-FUdLIpgR84/view?usp=drivesdk","OFFER LETTER")</f>
        <v>OFFER LETTER</v>
      </c>
      <c r="S573" s="11" t="s">
        <v>3358</v>
      </c>
    </row>
    <row r="574" ht="22.5" customHeight="1">
      <c r="A574" s="10">
        <v>46258.615853055555</v>
      </c>
      <c r="B574" s="11" t="s">
        <v>3359</v>
      </c>
      <c r="C574" s="11" t="s">
        <v>1200</v>
      </c>
      <c r="D574" s="11" t="s">
        <v>68</v>
      </c>
      <c r="E574" s="12">
        <v>46258.0</v>
      </c>
      <c r="F574" s="12">
        <v>46289.0</v>
      </c>
      <c r="G574" s="11" t="s">
        <v>3360</v>
      </c>
      <c r="H574" s="11">
        <v>8.976017485E9</v>
      </c>
      <c r="I574" s="11" t="s">
        <v>70</v>
      </c>
      <c r="J574" s="11" t="s">
        <v>71</v>
      </c>
      <c r="K574" s="13" t="s">
        <v>443</v>
      </c>
      <c r="L574" s="11" t="s">
        <v>73</v>
      </c>
      <c r="M574" s="11" t="s">
        <v>3318</v>
      </c>
      <c r="N574" s="11" t="s">
        <v>3319</v>
      </c>
      <c r="O574" s="11" t="s">
        <v>71</v>
      </c>
      <c r="P574" s="11" t="s">
        <v>3361</v>
      </c>
      <c r="Q574" s="13" t="s">
        <v>3362</v>
      </c>
      <c r="R574" s="14" t="str">
        <f>HYPERLINK("https://drive.google.com/file/d/1vUi8tG9D56vQD4-ZE8WuDJN0aXUbb31n/view?usp=drivesdk","OFFER LETTER")</f>
        <v>OFFER LETTER</v>
      </c>
      <c r="S574" s="11" t="s">
        <v>3363</v>
      </c>
    </row>
    <row r="575" ht="22.5" customHeight="1">
      <c r="A575" s="10">
        <v>46258.616053645834</v>
      </c>
      <c r="B575" s="11" t="s">
        <v>3364</v>
      </c>
      <c r="C575" s="11" t="s">
        <v>173</v>
      </c>
      <c r="D575" s="11" t="s">
        <v>68</v>
      </c>
      <c r="E575" s="12">
        <v>46257.0</v>
      </c>
      <c r="F575" s="12">
        <v>46288.0</v>
      </c>
      <c r="G575" s="11" t="s">
        <v>3365</v>
      </c>
      <c r="H575" s="11">
        <v>7.070501319E9</v>
      </c>
      <c r="I575" s="11" t="s">
        <v>82</v>
      </c>
      <c r="J575" s="11" t="s">
        <v>71</v>
      </c>
      <c r="K575" s="11" t="s">
        <v>72</v>
      </c>
      <c r="L575" s="11" t="s">
        <v>131</v>
      </c>
      <c r="M575" s="11" t="s">
        <v>3335</v>
      </c>
      <c r="N575" s="11" t="s">
        <v>155</v>
      </c>
      <c r="O575" s="11" t="s">
        <v>71</v>
      </c>
      <c r="P575" s="11" t="s">
        <v>3366</v>
      </c>
      <c r="Q575" s="13" t="s">
        <v>3367</v>
      </c>
      <c r="R575" s="14" t="str">
        <f>HYPERLINK("https://drive.google.com/file/d/1xZaiyIT2nsI5dzT9sSd3HhBIdmvsRX3j/view?usp=drivesdk","OFFER LETTER")</f>
        <v>OFFER LETTER</v>
      </c>
      <c r="S575" s="11" t="s">
        <v>3363</v>
      </c>
    </row>
    <row r="576" ht="22.5" customHeight="1">
      <c r="A576" s="10">
        <v>46258.61705414351</v>
      </c>
      <c r="B576" s="11" t="s">
        <v>3368</v>
      </c>
      <c r="C576" s="11" t="s">
        <v>128</v>
      </c>
      <c r="D576" s="11" t="s">
        <v>108</v>
      </c>
      <c r="E576" s="12">
        <v>46249.0</v>
      </c>
      <c r="F576" s="12">
        <v>46310.0</v>
      </c>
      <c r="G576" s="11" t="s">
        <v>3369</v>
      </c>
      <c r="H576" s="11">
        <v>9.011025452E9</v>
      </c>
      <c r="I576" s="11" t="s">
        <v>82</v>
      </c>
      <c r="J576" s="11" t="s">
        <v>83</v>
      </c>
      <c r="K576" s="11" t="s">
        <v>72</v>
      </c>
      <c r="L576" s="11" t="s">
        <v>131</v>
      </c>
      <c r="M576" s="11" t="s">
        <v>3370</v>
      </c>
      <c r="N576" s="11" t="s">
        <v>86</v>
      </c>
      <c r="O576" s="11" t="s">
        <v>71</v>
      </c>
      <c r="P576" s="11" t="s">
        <v>3371</v>
      </c>
      <c r="Q576" s="13" t="s">
        <v>3372</v>
      </c>
      <c r="R576" s="14" t="str">
        <f>HYPERLINK("https://drive.google.com/file/d/1ZNoo7zw9M3oGkqCZFlZ_Txwf_fZuoxpP/view?usp=drivesdk","OFFER LETTER")</f>
        <v>OFFER LETTER</v>
      </c>
      <c r="S576" s="11" t="s">
        <v>3373</v>
      </c>
    </row>
    <row r="577" ht="22.5" customHeight="1">
      <c r="A577" s="10">
        <v>46258.61836084491</v>
      </c>
      <c r="B577" s="11" t="s">
        <v>3374</v>
      </c>
      <c r="C577" s="11" t="s">
        <v>195</v>
      </c>
      <c r="D577" s="11" t="s">
        <v>68</v>
      </c>
      <c r="E577" s="12">
        <v>46188.0</v>
      </c>
      <c r="F577" s="12">
        <v>46218.0</v>
      </c>
      <c r="G577" s="11" t="s">
        <v>3375</v>
      </c>
      <c r="H577" s="11">
        <v>9.444726802E9</v>
      </c>
      <c r="I577" s="11" t="s">
        <v>82</v>
      </c>
      <c r="J577" s="11" t="s">
        <v>71</v>
      </c>
      <c r="K577" s="11" t="s">
        <v>72</v>
      </c>
      <c r="L577" s="11" t="s">
        <v>73</v>
      </c>
      <c r="M577" s="11" t="s">
        <v>3376</v>
      </c>
      <c r="N577" s="11" t="s">
        <v>75</v>
      </c>
      <c r="O577" s="11" t="s">
        <v>71</v>
      </c>
      <c r="P577" s="11" t="s">
        <v>3377</v>
      </c>
      <c r="Q577" s="13" t="s">
        <v>3378</v>
      </c>
      <c r="R577" s="14" t="str">
        <f>HYPERLINK("https://drive.google.com/file/d/1wMdWNB90VBD_dcjKgOgK2W6ImVNLRZ_Q/view?usp=drivesdk","OFFER LETTER")</f>
        <v>OFFER LETTER</v>
      </c>
      <c r="S577" s="11" t="s">
        <v>3379</v>
      </c>
    </row>
    <row r="578" ht="22.5" customHeight="1">
      <c r="A578" s="10">
        <v>46258.6187505787</v>
      </c>
      <c r="B578" s="11" t="s">
        <v>3380</v>
      </c>
      <c r="C578" s="11" t="s">
        <v>107</v>
      </c>
      <c r="D578" s="11" t="s">
        <v>68</v>
      </c>
      <c r="E578" s="12">
        <v>46214.0</v>
      </c>
      <c r="F578" s="12">
        <v>46244.0</v>
      </c>
      <c r="G578" s="11" t="s">
        <v>3381</v>
      </c>
      <c r="H578" s="11">
        <v>8.545080983E9</v>
      </c>
      <c r="I578" s="11" t="s">
        <v>82</v>
      </c>
      <c r="J578" s="11" t="s">
        <v>71</v>
      </c>
      <c r="K578" s="11" t="s">
        <v>167</v>
      </c>
      <c r="L578" s="11" t="s">
        <v>84</v>
      </c>
      <c r="M578" s="11" t="s">
        <v>3382</v>
      </c>
      <c r="N578" s="11" t="s">
        <v>75</v>
      </c>
      <c r="O578" s="11" t="s">
        <v>71</v>
      </c>
      <c r="P578" s="11" t="s">
        <v>3383</v>
      </c>
      <c r="Q578" s="13" t="s">
        <v>3384</v>
      </c>
      <c r="R578" s="14" t="str">
        <f>HYPERLINK("https://drive.google.com/file/d/1mrn8a8roxPysX2ibtYz18J0_KVS-S8St/view?usp=drivesdk","OFFER LETTER")</f>
        <v>OFFER LETTER</v>
      </c>
      <c r="S578" s="11" t="s">
        <v>3385</v>
      </c>
    </row>
    <row r="579" ht="22.5" customHeight="1">
      <c r="A579" s="10">
        <v>46258.61906689814</v>
      </c>
      <c r="B579" s="11" t="s">
        <v>3386</v>
      </c>
      <c r="C579" s="11" t="s">
        <v>1200</v>
      </c>
      <c r="D579" s="11" t="s">
        <v>68</v>
      </c>
      <c r="E579" s="12">
        <v>46258.0</v>
      </c>
      <c r="F579" s="12">
        <v>46289.0</v>
      </c>
      <c r="G579" s="11" t="s">
        <v>3317</v>
      </c>
      <c r="H579" s="11">
        <v>8.850018649E9</v>
      </c>
      <c r="I579" s="11" t="s">
        <v>82</v>
      </c>
      <c r="J579" s="11" t="s">
        <v>71</v>
      </c>
      <c r="K579" s="13" t="s">
        <v>443</v>
      </c>
      <c r="L579" s="11" t="s">
        <v>73</v>
      </c>
      <c r="M579" s="11" t="s">
        <v>3318</v>
      </c>
      <c r="N579" s="11" t="s">
        <v>3387</v>
      </c>
      <c r="O579" s="11" t="s">
        <v>71</v>
      </c>
      <c r="P579" s="11" t="s">
        <v>3388</v>
      </c>
      <c r="Q579" s="13" t="s">
        <v>3389</v>
      </c>
      <c r="R579" s="14" t="str">
        <f>HYPERLINK("https://drive.google.com/file/d/1U9d8WRsJHBjZ8-eflgq69vqvVideJYcR/view?usp=drivesdk","OFFER LETTER")</f>
        <v>OFFER LETTER</v>
      </c>
      <c r="S579" s="11" t="s">
        <v>3390</v>
      </c>
    </row>
    <row r="580" ht="22.5" customHeight="1">
      <c r="A580" s="10">
        <v>46258.62221886574</v>
      </c>
      <c r="B580" s="11" t="s">
        <v>3391</v>
      </c>
      <c r="C580" s="11" t="s">
        <v>195</v>
      </c>
      <c r="D580" s="11" t="s">
        <v>108</v>
      </c>
      <c r="E580" s="12">
        <v>46258.0</v>
      </c>
      <c r="F580" s="12">
        <v>46319.0</v>
      </c>
      <c r="G580" s="11" t="s">
        <v>3392</v>
      </c>
      <c r="H580" s="11">
        <v>9.122174485E9</v>
      </c>
      <c r="I580" s="11" t="s">
        <v>82</v>
      </c>
      <c r="J580" s="11" t="s">
        <v>71</v>
      </c>
      <c r="K580" s="11" t="s">
        <v>72</v>
      </c>
      <c r="L580" s="11" t="s">
        <v>131</v>
      </c>
      <c r="M580" s="11" t="s">
        <v>3393</v>
      </c>
      <c r="N580" s="11" t="s">
        <v>75</v>
      </c>
      <c r="O580" s="11" t="s">
        <v>71</v>
      </c>
      <c r="P580" s="11" t="s">
        <v>3394</v>
      </c>
      <c r="Q580" s="13" t="s">
        <v>3395</v>
      </c>
      <c r="R580" s="14" t="str">
        <f>HYPERLINK("https://drive.google.com/file/d/1PMPij2YxaeqDlSycu7r3aMNLdozWTsX6/view?usp=drivesdk","OFFER LETTER")</f>
        <v>OFFER LETTER</v>
      </c>
      <c r="S580" s="11" t="s">
        <v>3396</v>
      </c>
    </row>
    <row r="581" ht="22.5" customHeight="1">
      <c r="A581" s="10">
        <v>46258.6226527199</v>
      </c>
      <c r="B581" s="11" t="s">
        <v>3397</v>
      </c>
      <c r="C581" s="11" t="s">
        <v>107</v>
      </c>
      <c r="D581" s="11" t="s">
        <v>108</v>
      </c>
      <c r="E581" s="12">
        <v>46266.0</v>
      </c>
      <c r="F581" s="12">
        <v>46325.0</v>
      </c>
      <c r="G581" s="11" t="s">
        <v>3398</v>
      </c>
      <c r="H581" s="11">
        <v>9.353990225E9</v>
      </c>
      <c r="I581" s="11" t="s">
        <v>70</v>
      </c>
      <c r="J581" s="11" t="s">
        <v>71</v>
      </c>
      <c r="K581" s="11" t="s">
        <v>356</v>
      </c>
      <c r="L581" s="11" t="s">
        <v>84</v>
      </c>
      <c r="M581" s="11" t="s">
        <v>3399</v>
      </c>
      <c r="N581" s="11" t="s">
        <v>86</v>
      </c>
      <c r="O581" s="11" t="s">
        <v>71</v>
      </c>
      <c r="P581" s="11" t="s">
        <v>3400</v>
      </c>
      <c r="Q581" s="13" t="s">
        <v>3401</v>
      </c>
      <c r="R581" s="14" t="str">
        <f>HYPERLINK("https://drive.google.com/file/d/1z-KNUhFYNTjumAPTd1BB8-P2nuXt3xXZ/view?usp=drivesdk","OFFER LETTER")</f>
        <v>OFFER LETTER</v>
      </c>
      <c r="S581" s="11" t="s">
        <v>3396</v>
      </c>
    </row>
    <row r="582" ht="22.5" customHeight="1">
      <c r="A582" s="10">
        <v>46258.62775364584</v>
      </c>
      <c r="B582" s="11" t="s">
        <v>3402</v>
      </c>
      <c r="C582" s="11" t="s">
        <v>195</v>
      </c>
      <c r="D582" s="11" t="s">
        <v>68</v>
      </c>
      <c r="E582" s="12">
        <v>46227.0</v>
      </c>
      <c r="F582" s="12">
        <v>46258.0</v>
      </c>
      <c r="G582" s="11" t="s">
        <v>3403</v>
      </c>
      <c r="H582" s="11">
        <v>7.818898684E9</v>
      </c>
      <c r="I582" s="11" t="s">
        <v>70</v>
      </c>
      <c r="J582" s="11" t="s">
        <v>71</v>
      </c>
      <c r="K582" s="11" t="s">
        <v>72</v>
      </c>
      <c r="L582" s="11" t="s">
        <v>84</v>
      </c>
      <c r="M582" s="11" t="s">
        <v>560</v>
      </c>
      <c r="N582" s="11" t="s">
        <v>198</v>
      </c>
      <c r="O582" s="11" t="s">
        <v>71</v>
      </c>
      <c r="P582" s="11" t="s">
        <v>3404</v>
      </c>
      <c r="Q582" s="13" t="s">
        <v>3405</v>
      </c>
      <c r="R582" s="14" t="str">
        <f>HYPERLINK("https://drive.google.com/file/d/1Ljzd11HkW5bksH4J-YubQlemmyQdZQO4/view?usp=drivesdk","OFFER LETTER")</f>
        <v>OFFER LETTER</v>
      </c>
      <c r="S582" s="11" t="s">
        <v>3406</v>
      </c>
    </row>
    <row r="583" ht="22.5" customHeight="1">
      <c r="A583" s="10">
        <v>46258.63047284722</v>
      </c>
      <c r="B583" s="11" t="s">
        <v>3407</v>
      </c>
      <c r="C583" s="11" t="s">
        <v>195</v>
      </c>
      <c r="D583" s="11" t="s">
        <v>68</v>
      </c>
      <c r="E583" s="12">
        <v>46204.0</v>
      </c>
      <c r="F583" s="12">
        <v>46234.0</v>
      </c>
      <c r="G583" s="11" t="s">
        <v>3408</v>
      </c>
      <c r="H583" s="11">
        <v>9.565561999E9</v>
      </c>
      <c r="I583" s="11" t="s">
        <v>82</v>
      </c>
      <c r="J583" s="11" t="s">
        <v>83</v>
      </c>
      <c r="K583" s="11" t="s">
        <v>72</v>
      </c>
      <c r="L583" s="11" t="s">
        <v>84</v>
      </c>
      <c r="M583" s="11" t="s">
        <v>1322</v>
      </c>
      <c r="N583" s="11" t="s">
        <v>226</v>
      </c>
      <c r="O583" s="11" t="s">
        <v>71</v>
      </c>
      <c r="P583" s="11" t="s">
        <v>3409</v>
      </c>
      <c r="Q583" s="13" t="s">
        <v>3410</v>
      </c>
      <c r="R583" s="14" t="str">
        <f>HYPERLINK("https://drive.google.com/file/d/10hoULf_p6ZExr8YZWiqFHF42Erm7m0HB/view?usp=drivesdk","OFFER LETTER")</f>
        <v>OFFER LETTER</v>
      </c>
      <c r="S583" s="11" t="s">
        <v>3411</v>
      </c>
    </row>
    <row r="584" ht="22.5" customHeight="1">
      <c r="A584" s="10">
        <v>46258.63059054398</v>
      </c>
      <c r="B584" s="11" t="s">
        <v>3412</v>
      </c>
      <c r="C584" s="11" t="s">
        <v>107</v>
      </c>
      <c r="D584" s="11" t="s">
        <v>68</v>
      </c>
      <c r="E584" s="12">
        <v>45992.0</v>
      </c>
      <c r="F584" s="12">
        <v>46022.0</v>
      </c>
      <c r="G584" s="11" t="s">
        <v>3413</v>
      </c>
      <c r="H584" s="11">
        <v>7.319899442E9</v>
      </c>
      <c r="I584" s="11" t="s">
        <v>82</v>
      </c>
      <c r="J584" s="11" t="s">
        <v>71</v>
      </c>
      <c r="K584" s="11" t="s">
        <v>72</v>
      </c>
      <c r="L584" s="11" t="s">
        <v>73</v>
      </c>
      <c r="M584" s="11" t="s">
        <v>3414</v>
      </c>
      <c r="N584" s="11" t="s">
        <v>75</v>
      </c>
      <c r="O584" s="11" t="s">
        <v>71</v>
      </c>
      <c r="P584" s="11" t="s">
        <v>3415</v>
      </c>
      <c r="Q584" s="13" t="s">
        <v>3416</v>
      </c>
      <c r="R584" s="14" t="str">
        <f>HYPERLINK("https://drive.google.com/file/d/1GfbtupGIJ13cL5WKjyELiATxxe86Al6d/view?usp=drivesdk","OFFER LETTER")</f>
        <v>OFFER LETTER</v>
      </c>
      <c r="S584" s="11" t="s">
        <v>3411</v>
      </c>
    </row>
    <row r="585" ht="22.5" customHeight="1">
      <c r="A585" s="10">
        <v>46258.63949758102</v>
      </c>
      <c r="B585" s="11" t="s">
        <v>3417</v>
      </c>
      <c r="C585" s="11" t="s">
        <v>128</v>
      </c>
      <c r="D585" s="11" t="s">
        <v>68</v>
      </c>
      <c r="E585" s="12">
        <v>46266.0</v>
      </c>
      <c r="F585" s="12">
        <v>46295.0</v>
      </c>
      <c r="G585" s="11" t="s">
        <v>3418</v>
      </c>
      <c r="H585" s="11">
        <v>9.209181581E9</v>
      </c>
      <c r="I585" s="11" t="s">
        <v>82</v>
      </c>
      <c r="J585" s="11" t="s">
        <v>71</v>
      </c>
      <c r="K585" s="11" t="s">
        <v>72</v>
      </c>
      <c r="L585" s="11" t="s">
        <v>84</v>
      </c>
      <c r="M585" s="11" t="s">
        <v>3419</v>
      </c>
      <c r="N585" s="11" t="s">
        <v>75</v>
      </c>
      <c r="O585" s="11" t="s">
        <v>71</v>
      </c>
      <c r="P585" s="11" t="s">
        <v>3420</v>
      </c>
      <c r="Q585" s="13" t="s">
        <v>3421</v>
      </c>
      <c r="R585" s="14" t="str">
        <f>HYPERLINK("https://drive.google.com/file/d/1IL28rqijh6vYSIXu0uHAkazcoWCcMYNf/view?usp=drivesdk","OFFER LETTER")</f>
        <v>OFFER LETTER</v>
      </c>
      <c r="S585" s="11" t="s">
        <v>3422</v>
      </c>
    </row>
    <row r="586" ht="22.5" customHeight="1">
      <c r="A586" s="10">
        <v>46258.641018009264</v>
      </c>
      <c r="B586" s="11" t="s">
        <v>3423</v>
      </c>
      <c r="C586" s="11" t="s">
        <v>107</v>
      </c>
      <c r="D586" s="11" t="s">
        <v>68</v>
      </c>
      <c r="E586" s="12">
        <v>46259.0</v>
      </c>
      <c r="F586" s="12">
        <v>46290.0</v>
      </c>
      <c r="G586" s="11" t="s">
        <v>3424</v>
      </c>
      <c r="H586" s="11">
        <v>8.805669456E9</v>
      </c>
      <c r="I586" s="11" t="s">
        <v>70</v>
      </c>
      <c r="J586" s="11" t="s">
        <v>71</v>
      </c>
      <c r="K586" s="11" t="s">
        <v>110</v>
      </c>
      <c r="L586" s="11" t="s">
        <v>247</v>
      </c>
      <c r="M586" s="11" t="s">
        <v>3425</v>
      </c>
      <c r="N586" s="11" t="s">
        <v>241</v>
      </c>
      <c r="O586" s="11" t="s">
        <v>71</v>
      </c>
      <c r="P586" s="11" t="s">
        <v>3426</v>
      </c>
      <c r="Q586" s="13" t="s">
        <v>3427</v>
      </c>
      <c r="R586" s="14" t="str">
        <f>HYPERLINK("https://drive.google.com/file/d/1x_FXocr2KPPpV5Z89n4lDgEtz5JySHNo/view?usp=drivesdk","OFFER LETTER")</f>
        <v>OFFER LETTER</v>
      </c>
      <c r="S586" s="11" t="s">
        <v>3428</v>
      </c>
    </row>
    <row r="587" ht="22.5" customHeight="1">
      <c r="A587" s="10">
        <v>46258.64720841435</v>
      </c>
      <c r="B587" s="11" t="s">
        <v>3429</v>
      </c>
      <c r="C587" s="11" t="s">
        <v>128</v>
      </c>
      <c r="D587" s="11" t="s">
        <v>68</v>
      </c>
      <c r="E587" s="12">
        <v>46220.0</v>
      </c>
      <c r="F587" s="12">
        <v>46251.0</v>
      </c>
      <c r="G587" s="11" t="s">
        <v>3430</v>
      </c>
      <c r="H587" s="11">
        <v>8.168331709E9</v>
      </c>
      <c r="I587" s="11" t="s">
        <v>82</v>
      </c>
      <c r="J587" s="11" t="s">
        <v>71</v>
      </c>
      <c r="K587" s="11" t="s">
        <v>167</v>
      </c>
      <c r="L587" s="11" t="s">
        <v>73</v>
      </c>
      <c r="M587" s="11" t="s">
        <v>3431</v>
      </c>
      <c r="N587" s="11" t="s">
        <v>86</v>
      </c>
      <c r="O587" s="11" t="s">
        <v>71</v>
      </c>
      <c r="P587" s="11" t="s">
        <v>3432</v>
      </c>
      <c r="Q587" s="13" t="s">
        <v>3433</v>
      </c>
      <c r="R587" s="14" t="str">
        <f>HYPERLINK("https://drive.google.com/file/d/1542eMvhLudCdYjNJUyf5XS68E8Vx7jJO/view?usp=drivesdk","OFFER LETTER")</f>
        <v>OFFER LETTER</v>
      </c>
      <c r="S587" s="11" t="s">
        <v>3434</v>
      </c>
    </row>
    <row r="588" ht="22.5" customHeight="1">
      <c r="A588" s="10">
        <v>46258.650771307875</v>
      </c>
      <c r="B588" s="11" t="s">
        <v>3435</v>
      </c>
      <c r="C588" s="11" t="s">
        <v>80</v>
      </c>
      <c r="D588" s="11" t="s">
        <v>68</v>
      </c>
      <c r="E588" s="12">
        <v>46253.0</v>
      </c>
      <c r="F588" s="12">
        <v>46284.0</v>
      </c>
      <c r="G588" s="11" t="s">
        <v>3436</v>
      </c>
      <c r="H588" s="11">
        <v>7.708222767E9</v>
      </c>
      <c r="I588" s="11" t="s">
        <v>82</v>
      </c>
      <c r="J588" s="11" t="s">
        <v>71</v>
      </c>
      <c r="K588" s="11" t="s">
        <v>72</v>
      </c>
      <c r="L588" s="11" t="s">
        <v>84</v>
      </c>
      <c r="M588" s="11" t="s">
        <v>3437</v>
      </c>
      <c r="N588" s="11" t="s">
        <v>75</v>
      </c>
      <c r="O588" s="11" t="s">
        <v>71</v>
      </c>
      <c r="P588" s="11" t="s">
        <v>3438</v>
      </c>
      <c r="Q588" s="13" t="s">
        <v>3439</v>
      </c>
      <c r="R588" s="14" t="str">
        <f>HYPERLINK("https://drive.google.com/file/d/1K-gFCrLo9X3cxt6RC4-aVDxSzrJwITxo/view?usp=drivesdk","OFFER LETTER")</f>
        <v>OFFER LETTER</v>
      </c>
      <c r="S588" s="11" t="s">
        <v>3440</v>
      </c>
    </row>
    <row r="589" ht="22.5" customHeight="1">
      <c r="A589" s="10">
        <v>46258.65828320602</v>
      </c>
      <c r="B589" s="11" t="s">
        <v>3441</v>
      </c>
      <c r="C589" s="11" t="s">
        <v>195</v>
      </c>
      <c r="D589" s="11" t="s">
        <v>68</v>
      </c>
      <c r="E589" s="12">
        <v>46258.0</v>
      </c>
      <c r="F589" s="12">
        <v>46289.0</v>
      </c>
      <c r="G589" s="11" t="s">
        <v>3442</v>
      </c>
      <c r="H589" s="11">
        <v>9.9879254E9</v>
      </c>
      <c r="I589" s="11" t="s">
        <v>82</v>
      </c>
      <c r="J589" s="11" t="s">
        <v>83</v>
      </c>
      <c r="K589" s="13" t="s">
        <v>443</v>
      </c>
      <c r="L589" s="11" t="s">
        <v>73</v>
      </c>
      <c r="M589" s="11" t="s">
        <v>3443</v>
      </c>
      <c r="N589" s="11" t="s">
        <v>630</v>
      </c>
      <c r="O589" s="11" t="s">
        <v>71</v>
      </c>
      <c r="P589" s="11" t="s">
        <v>3444</v>
      </c>
      <c r="Q589" s="13" t="s">
        <v>3445</v>
      </c>
      <c r="R589" s="14" t="str">
        <f>HYPERLINK("https://drive.google.com/file/d/1_aUibojBjMydUUbpvEwa8k_NWLrdG6gx/view?usp=drivesdk","OFFER LETTER")</f>
        <v>OFFER LETTER</v>
      </c>
      <c r="S589" s="11" t="s">
        <v>3446</v>
      </c>
    </row>
    <row r="590" ht="22.5" customHeight="1">
      <c r="A590" s="10">
        <v>46258.65949826389</v>
      </c>
      <c r="B590" s="11" t="s">
        <v>3447</v>
      </c>
      <c r="C590" s="11" t="s">
        <v>107</v>
      </c>
      <c r="D590" s="11" t="s">
        <v>68</v>
      </c>
      <c r="E590" s="12">
        <v>46259.0</v>
      </c>
      <c r="F590" s="12">
        <v>46290.0</v>
      </c>
      <c r="G590" s="11" t="s">
        <v>3424</v>
      </c>
      <c r="H590" s="11">
        <v>8.805669456E9</v>
      </c>
      <c r="I590" s="11" t="s">
        <v>70</v>
      </c>
      <c r="J590" s="11" t="s">
        <v>71</v>
      </c>
      <c r="K590" s="11" t="s">
        <v>110</v>
      </c>
      <c r="L590" s="11" t="s">
        <v>247</v>
      </c>
      <c r="M590" s="11" t="s">
        <v>3425</v>
      </c>
      <c r="N590" s="11" t="s">
        <v>241</v>
      </c>
      <c r="O590" s="11" t="s">
        <v>71</v>
      </c>
      <c r="P590" s="11" t="s">
        <v>3448</v>
      </c>
      <c r="Q590" s="13" t="s">
        <v>3449</v>
      </c>
      <c r="R590" s="14" t="str">
        <f>HYPERLINK("https://drive.google.com/file/d/1UGrfyEQX3gDzphgFJled7d8qa7NeZwvH/view?usp=drivesdk","OFFER LETTER")</f>
        <v>OFFER LETTER</v>
      </c>
      <c r="S590" s="11" t="s">
        <v>3450</v>
      </c>
    </row>
    <row r="591" ht="22.5" customHeight="1">
      <c r="A591" s="10">
        <v>46258.66020158565</v>
      </c>
      <c r="B591" s="11" t="s">
        <v>3451</v>
      </c>
      <c r="C591" s="11" t="s">
        <v>128</v>
      </c>
      <c r="D591" s="11" t="s">
        <v>68</v>
      </c>
      <c r="E591" s="12">
        <v>46258.0</v>
      </c>
      <c r="F591" s="12">
        <v>46289.0</v>
      </c>
      <c r="G591" s="11" t="s">
        <v>3452</v>
      </c>
      <c r="H591" s="11">
        <v>9.052859441E9</v>
      </c>
      <c r="I591" s="11" t="s">
        <v>82</v>
      </c>
      <c r="J591" s="11" t="s">
        <v>71</v>
      </c>
      <c r="K591" s="11" t="s">
        <v>72</v>
      </c>
      <c r="L591" s="11" t="s">
        <v>73</v>
      </c>
      <c r="M591" s="11" t="s">
        <v>3453</v>
      </c>
      <c r="N591" s="11" t="s">
        <v>75</v>
      </c>
      <c r="O591" s="11" t="s">
        <v>71</v>
      </c>
      <c r="P591" s="11" t="s">
        <v>3454</v>
      </c>
      <c r="Q591" s="13" t="s">
        <v>3455</v>
      </c>
      <c r="R591" s="14" t="str">
        <f>HYPERLINK("https://drive.google.com/file/d/12kwGcq8sT5VkM5qhrhoSKpdLcOAeL3TF/view?usp=drivesdk","OFFER LETTER")</f>
        <v>OFFER LETTER</v>
      </c>
      <c r="S591" s="11" t="s">
        <v>3456</v>
      </c>
    </row>
    <row r="592" ht="22.5" customHeight="1">
      <c r="A592" s="10">
        <v>46258.66344261574</v>
      </c>
      <c r="B592" s="11" t="s">
        <v>3457</v>
      </c>
      <c r="C592" s="11" t="s">
        <v>1200</v>
      </c>
      <c r="D592" s="11" t="s">
        <v>108</v>
      </c>
      <c r="E592" s="12">
        <v>46259.0</v>
      </c>
      <c r="F592" s="12">
        <v>46320.0</v>
      </c>
      <c r="G592" s="11" t="s">
        <v>3458</v>
      </c>
      <c r="H592" s="11">
        <v>7.509345094E9</v>
      </c>
      <c r="I592" s="11" t="s">
        <v>82</v>
      </c>
      <c r="J592" s="11" t="s">
        <v>71</v>
      </c>
      <c r="K592" s="11" t="s">
        <v>167</v>
      </c>
      <c r="L592" s="11" t="s">
        <v>357</v>
      </c>
      <c r="M592" s="11" t="s">
        <v>3459</v>
      </c>
      <c r="N592" s="11" t="s">
        <v>241</v>
      </c>
      <c r="O592" s="11" t="s">
        <v>263</v>
      </c>
      <c r="P592" s="11" t="s">
        <v>3460</v>
      </c>
      <c r="Q592" s="13" t="s">
        <v>3461</v>
      </c>
      <c r="R592" s="14" t="str">
        <f>HYPERLINK("https://drive.google.com/file/d/1Cf8suRFila8w-Re2pD5HRy3NaGOWdKN_/view?usp=drivesdk","OFFER LETTER")</f>
        <v>OFFER LETTER</v>
      </c>
      <c r="S592" s="11" t="s">
        <v>3462</v>
      </c>
    </row>
    <row r="593" ht="22.5" customHeight="1">
      <c r="A593" s="10">
        <v>46258.67035164352</v>
      </c>
      <c r="B593" s="11" t="s">
        <v>3463</v>
      </c>
      <c r="C593" s="11" t="s">
        <v>237</v>
      </c>
      <c r="D593" s="11" t="s">
        <v>68</v>
      </c>
      <c r="E593" s="12">
        <v>46227.0</v>
      </c>
      <c r="F593" s="12">
        <v>46258.0</v>
      </c>
      <c r="G593" s="11" t="s">
        <v>3464</v>
      </c>
      <c r="H593" s="11">
        <v>9.382728711E9</v>
      </c>
      <c r="I593" s="11" t="s">
        <v>82</v>
      </c>
      <c r="J593" s="11" t="s">
        <v>71</v>
      </c>
      <c r="K593" s="11" t="s">
        <v>72</v>
      </c>
      <c r="L593" s="11" t="s">
        <v>247</v>
      </c>
      <c r="M593" s="11" t="s">
        <v>3465</v>
      </c>
      <c r="N593" s="11" t="s">
        <v>320</v>
      </c>
      <c r="O593" s="11" t="s">
        <v>71</v>
      </c>
      <c r="P593" s="11" t="s">
        <v>3466</v>
      </c>
      <c r="Q593" s="13" t="s">
        <v>3467</v>
      </c>
      <c r="R593" s="14" t="str">
        <f>HYPERLINK("https://drive.google.com/file/d/1cMw3SsRkVXuyEqrreDEypDww1f7VRxvD/view?usp=drivesdk","OFFER LETTER")</f>
        <v>OFFER LETTER</v>
      </c>
      <c r="S593" s="11" t="s">
        <v>3468</v>
      </c>
    </row>
    <row r="594" ht="22.5" customHeight="1">
      <c r="A594" s="10">
        <v>46258.674256134254</v>
      </c>
      <c r="B594" s="11" t="s">
        <v>3469</v>
      </c>
      <c r="C594" s="11" t="s">
        <v>107</v>
      </c>
      <c r="D594" s="11" t="s">
        <v>108</v>
      </c>
      <c r="E594" s="12">
        <v>46157.0</v>
      </c>
      <c r="F594" s="12">
        <v>46217.0</v>
      </c>
      <c r="G594" s="11" t="s">
        <v>3470</v>
      </c>
      <c r="H594" s="11">
        <v>9.336882488E9</v>
      </c>
      <c r="I594" s="11" t="s">
        <v>82</v>
      </c>
      <c r="J594" s="11" t="s">
        <v>71</v>
      </c>
      <c r="K594" s="11" t="s">
        <v>72</v>
      </c>
      <c r="L594" s="11" t="s">
        <v>131</v>
      </c>
      <c r="M594" s="11" t="s">
        <v>343</v>
      </c>
      <c r="N594" s="11" t="s">
        <v>75</v>
      </c>
      <c r="O594" s="11" t="s">
        <v>71</v>
      </c>
      <c r="P594" s="11" t="s">
        <v>3471</v>
      </c>
      <c r="Q594" s="13" t="s">
        <v>3472</v>
      </c>
      <c r="R594" s="14" t="str">
        <f>HYPERLINK("https://drive.google.com/file/d/1dnOjLEOk5cjzH5oRKY8fzJTIu15gVYMz/view?usp=drivesdk","OFFER LETTER")</f>
        <v>OFFER LETTER</v>
      </c>
      <c r="S594" s="11" t="s">
        <v>3473</v>
      </c>
    </row>
    <row r="595" ht="22.5" customHeight="1">
      <c r="A595" s="10">
        <v>46258.67596275463</v>
      </c>
      <c r="B595" s="11" t="s">
        <v>2415</v>
      </c>
      <c r="C595" s="11" t="s">
        <v>128</v>
      </c>
      <c r="D595" s="11" t="s">
        <v>68</v>
      </c>
      <c r="E595" s="12">
        <v>46266.0</v>
      </c>
      <c r="F595" s="12">
        <v>46235.0</v>
      </c>
      <c r="G595" s="11" t="s">
        <v>2416</v>
      </c>
      <c r="H595" s="11">
        <v>8.329836928E9</v>
      </c>
      <c r="I595" s="11" t="s">
        <v>70</v>
      </c>
      <c r="J595" s="11" t="s">
        <v>71</v>
      </c>
      <c r="K595" s="11" t="s">
        <v>356</v>
      </c>
      <c r="L595" s="11" t="s">
        <v>84</v>
      </c>
      <c r="M595" s="11" t="s">
        <v>3474</v>
      </c>
      <c r="N595" s="11" t="s">
        <v>75</v>
      </c>
      <c r="O595" s="11" t="s">
        <v>71</v>
      </c>
      <c r="P595" s="11" t="s">
        <v>3475</v>
      </c>
      <c r="Q595" s="13" t="s">
        <v>3476</v>
      </c>
      <c r="R595" s="14" t="str">
        <f>HYPERLINK("https://drive.google.com/file/d/1vUbkH4jdO92YfCDA1xUAeVHE-ouRu56V/view?usp=drivesdk","OFFER LETTER")</f>
        <v>OFFER LETTER</v>
      </c>
      <c r="S595" s="11" t="s">
        <v>3477</v>
      </c>
    </row>
    <row r="596" ht="22.5" customHeight="1">
      <c r="A596" s="10">
        <v>46258.68147541667</v>
      </c>
      <c r="B596" s="11" t="s">
        <v>3478</v>
      </c>
      <c r="C596" s="11" t="s">
        <v>195</v>
      </c>
      <c r="D596" s="11" t="s">
        <v>68</v>
      </c>
      <c r="E596" s="12">
        <v>46258.0</v>
      </c>
      <c r="F596" s="12">
        <v>46289.0</v>
      </c>
      <c r="G596" s="11" t="s">
        <v>3442</v>
      </c>
      <c r="H596" s="11">
        <v>9.9879254E9</v>
      </c>
      <c r="I596" s="11" t="s">
        <v>82</v>
      </c>
      <c r="J596" s="11" t="s">
        <v>83</v>
      </c>
      <c r="K596" s="13" t="s">
        <v>443</v>
      </c>
      <c r="L596" s="11" t="s">
        <v>73</v>
      </c>
      <c r="M596" s="11" t="s">
        <v>3479</v>
      </c>
      <c r="N596" s="11" t="s">
        <v>630</v>
      </c>
      <c r="O596" s="11" t="s">
        <v>71</v>
      </c>
      <c r="P596" s="11" t="s">
        <v>3480</v>
      </c>
      <c r="Q596" s="13" t="s">
        <v>3481</v>
      </c>
      <c r="R596" s="14" t="str">
        <f>HYPERLINK("https://drive.google.com/file/d/12Qg8-p9UPBTFhCGpVLqkqQhVR3_a81C3/view?usp=drivesdk","OFFER LETTER")</f>
        <v>OFFER LETTER</v>
      </c>
      <c r="S596" s="11" t="s">
        <v>3482</v>
      </c>
    </row>
    <row r="597" ht="22.5" customHeight="1">
      <c r="A597" s="10">
        <v>46258.68502693287</v>
      </c>
      <c r="B597" s="11" t="s">
        <v>3483</v>
      </c>
      <c r="C597" s="11" t="s">
        <v>195</v>
      </c>
      <c r="D597" s="11" t="s">
        <v>68</v>
      </c>
      <c r="E597" s="12">
        <v>46266.0</v>
      </c>
      <c r="F597" s="12">
        <v>46296.0</v>
      </c>
      <c r="G597" s="11" t="s">
        <v>3484</v>
      </c>
      <c r="H597" s="11">
        <v>8.919374773E9</v>
      </c>
      <c r="I597" s="11" t="s">
        <v>82</v>
      </c>
      <c r="J597" s="11" t="s">
        <v>71</v>
      </c>
      <c r="K597" s="11" t="s">
        <v>72</v>
      </c>
      <c r="L597" s="11" t="s">
        <v>73</v>
      </c>
      <c r="M597" s="11" t="s">
        <v>3485</v>
      </c>
      <c r="N597" s="11" t="s">
        <v>75</v>
      </c>
      <c r="O597" s="11" t="s">
        <v>71</v>
      </c>
      <c r="P597" s="11" t="s">
        <v>3486</v>
      </c>
      <c r="Q597" s="13" t="s">
        <v>3487</v>
      </c>
      <c r="R597" s="14" t="str">
        <f>HYPERLINK("https://drive.google.com/file/d/1_K8T7vHaaHiDe-Yz4JPKsZR-VeL54BVf/view?usp=drivesdk","OFFER LETTER")</f>
        <v>OFFER LETTER</v>
      </c>
      <c r="S597" s="11" t="s">
        <v>3488</v>
      </c>
    </row>
    <row r="598" ht="22.5" customHeight="1">
      <c r="A598" s="10">
        <v>46258.68535681713</v>
      </c>
      <c r="B598" s="11" t="s">
        <v>3489</v>
      </c>
      <c r="C598" s="11" t="s">
        <v>195</v>
      </c>
      <c r="D598" s="11" t="s">
        <v>68</v>
      </c>
      <c r="E598" s="12">
        <v>46266.0</v>
      </c>
      <c r="F598" s="12">
        <v>46296.0</v>
      </c>
      <c r="G598" s="11" t="s">
        <v>3490</v>
      </c>
      <c r="H598" s="11">
        <v>9.059509205E9</v>
      </c>
      <c r="I598" s="11" t="s">
        <v>82</v>
      </c>
      <c r="J598" s="11" t="s">
        <v>71</v>
      </c>
      <c r="K598" s="11" t="s">
        <v>72</v>
      </c>
      <c r="L598" s="11" t="s">
        <v>73</v>
      </c>
      <c r="M598" s="11" t="s">
        <v>3491</v>
      </c>
      <c r="N598" s="11" t="s">
        <v>75</v>
      </c>
      <c r="O598" s="11" t="s">
        <v>71</v>
      </c>
      <c r="P598" s="11" t="s">
        <v>3492</v>
      </c>
      <c r="Q598" s="13" t="s">
        <v>3493</v>
      </c>
      <c r="R598" s="14" t="str">
        <f>HYPERLINK("https://drive.google.com/file/d/16GrUX7dfFjpT1641wdwFDmvnCkIA0tVr/view?usp=drivesdk","OFFER LETTER")</f>
        <v>OFFER LETTER</v>
      </c>
      <c r="S598" s="11" t="s">
        <v>3494</v>
      </c>
    </row>
    <row r="599" ht="22.5" customHeight="1">
      <c r="A599" s="10">
        <v>46258.68589958333</v>
      </c>
      <c r="B599" s="11" t="s">
        <v>3495</v>
      </c>
      <c r="C599" s="11" t="s">
        <v>107</v>
      </c>
      <c r="D599" s="11" t="s">
        <v>68</v>
      </c>
      <c r="E599" s="12">
        <v>45992.0</v>
      </c>
      <c r="F599" s="12">
        <v>46022.0</v>
      </c>
      <c r="G599" s="11" t="s">
        <v>3496</v>
      </c>
      <c r="H599" s="11">
        <v>9.102558785E9</v>
      </c>
      <c r="I599" s="11" t="s">
        <v>82</v>
      </c>
      <c r="J599" s="11" t="s">
        <v>71</v>
      </c>
      <c r="K599" s="11" t="s">
        <v>72</v>
      </c>
      <c r="L599" s="11" t="s">
        <v>73</v>
      </c>
      <c r="M599" s="11" t="s">
        <v>343</v>
      </c>
      <c r="N599" s="11" t="s">
        <v>75</v>
      </c>
      <c r="O599" s="11" t="s">
        <v>71</v>
      </c>
      <c r="P599" s="11" t="s">
        <v>3497</v>
      </c>
      <c r="Q599" s="13" t="s">
        <v>3498</v>
      </c>
      <c r="R599" s="14" t="str">
        <f>HYPERLINK("https://drive.google.com/file/d/1FU1ICN2vXcxJ1vfcmjBoZn3i0sap6kmV/view?usp=drivesdk","OFFER LETTER")</f>
        <v>OFFER LETTER</v>
      </c>
      <c r="S599" s="11" t="s">
        <v>3499</v>
      </c>
    </row>
    <row r="600" ht="22.5" customHeight="1">
      <c r="A600" s="10">
        <v>46258.689268877315</v>
      </c>
      <c r="B600" s="11" t="s">
        <v>3500</v>
      </c>
      <c r="C600" s="11" t="s">
        <v>1320</v>
      </c>
      <c r="D600" s="11" t="s">
        <v>68</v>
      </c>
      <c r="E600" s="12">
        <v>46258.0</v>
      </c>
      <c r="F600" s="12">
        <v>46289.0</v>
      </c>
      <c r="G600" s="11" t="s">
        <v>3501</v>
      </c>
      <c r="H600" s="11">
        <v>8.143513468E9</v>
      </c>
      <c r="I600" s="11" t="s">
        <v>70</v>
      </c>
      <c r="J600" s="11" t="s">
        <v>71</v>
      </c>
      <c r="K600" s="11" t="s">
        <v>72</v>
      </c>
      <c r="L600" s="11" t="s">
        <v>73</v>
      </c>
      <c r="M600" s="11" t="s">
        <v>3502</v>
      </c>
      <c r="N600" s="11" t="s">
        <v>241</v>
      </c>
      <c r="O600" s="11" t="s">
        <v>71</v>
      </c>
      <c r="P600" s="11" t="s">
        <v>3503</v>
      </c>
      <c r="Q600" s="13" t="s">
        <v>3504</v>
      </c>
      <c r="R600" s="14" t="str">
        <f>HYPERLINK("https://drive.google.com/file/d/1Dx11S-cX2rShvpB5qbY1F6Fib7vT4tz6/view?usp=drivesdk","OFFER LETTER")</f>
        <v>OFFER LETTER</v>
      </c>
      <c r="S600" s="11" t="s">
        <v>3505</v>
      </c>
    </row>
    <row r="601" ht="22.5" customHeight="1">
      <c r="A601" s="10">
        <v>46258.68963570602</v>
      </c>
      <c r="B601" s="11" t="s">
        <v>3506</v>
      </c>
      <c r="C601" s="11" t="s">
        <v>107</v>
      </c>
      <c r="D601" s="11" t="s">
        <v>68</v>
      </c>
      <c r="E601" s="12">
        <v>45992.0</v>
      </c>
      <c r="F601" s="12">
        <v>46022.0</v>
      </c>
      <c r="G601" s="11" t="s">
        <v>3496</v>
      </c>
      <c r="H601" s="11">
        <v>9.102558785E9</v>
      </c>
      <c r="I601" s="11" t="s">
        <v>82</v>
      </c>
      <c r="J601" s="11" t="s">
        <v>71</v>
      </c>
      <c r="K601" s="11" t="s">
        <v>72</v>
      </c>
      <c r="L601" s="11" t="s">
        <v>73</v>
      </c>
      <c r="M601" s="11" t="s">
        <v>343</v>
      </c>
      <c r="N601" s="11" t="s">
        <v>75</v>
      </c>
      <c r="O601" s="11" t="s">
        <v>71</v>
      </c>
      <c r="P601" s="11" t="s">
        <v>3507</v>
      </c>
      <c r="Q601" s="13" t="s">
        <v>3508</v>
      </c>
      <c r="R601" s="14" t="str">
        <f>HYPERLINK("https://drive.google.com/file/d/146vFsGiWI2EVeCzHFA6Byqwel0832zQP/view?usp=drivesdk","OFFER LETTER")</f>
        <v>OFFER LETTER</v>
      </c>
      <c r="S601" s="11" t="s">
        <v>3509</v>
      </c>
    </row>
    <row r="602" ht="22.5" customHeight="1">
      <c r="A602" s="10">
        <v>46258.69120087963</v>
      </c>
      <c r="B602" s="11" t="s">
        <v>3510</v>
      </c>
      <c r="C602" s="11" t="s">
        <v>67</v>
      </c>
      <c r="D602" s="11" t="s">
        <v>68</v>
      </c>
      <c r="E602" s="12">
        <v>46258.0</v>
      </c>
      <c r="F602" s="12">
        <v>46289.0</v>
      </c>
      <c r="G602" s="11" t="s">
        <v>3511</v>
      </c>
      <c r="H602" s="11">
        <v>8.411898322E9</v>
      </c>
      <c r="I602" s="11" t="s">
        <v>82</v>
      </c>
      <c r="J602" s="11" t="s">
        <v>71</v>
      </c>
      <c r="K602" s="11" t="s">
        <v>72</v>
      </c>
      <c r="L602" s="11" t="s">
        <v>131</v>
      </c>
      <c r="M602" s="11" t="s">
        <v>3512</v>
      </c>
      <c r="N602" s="11" t="s">
        <v>86</v>
      </c>
      <c r="O602" s="11" t="s">
        <v>71</v>
      </c>
      <c r="P602" s="11" t="s">
        <v>3513</v>
      </c>
      <c r="Q602" s="13" t="s">
        <v>3514</v>
      </c>
      <c r="R602" s="14" t="str">
        <f>HYPERLINK("https://drive.google.com/file/d/1wqXdwb4BuqUC9q3M9L4myQZbN6ZzVpFm/view?usp=drivesdk","OFFER LETTER")</f>
        <v>OFFER LETTER</v>
      </c>
      <c r="S602" s="11" t="s">
        <v>3515</v>
      </c>
    </row>
    <row r="603" ht="22.5" customHeight="1">
      <c r="A603" s="10">
        <v>46258.69215591435</v>
      </c>
      <c r="B603" s="11" t="s">
        <v>3516</v>
      </c>
      <c r="C603" s="11" t="s">
        <v>80</v>
      </c>
      <c r="D603" s="11" t="s">
        <v>68</v>
      </c>
      <c r="E603" s="12">
        <v>46259.0</v>
      </c>
      <c r="F603" s="12">
        <v>46290.0</v>
      </c>
      <c r="G603" s="11" t="s">
        <v>3517</v>
      </c>
      <c r="H603" s="11">
        <v>9.657055718E9</v>
      </c>
      <c r="I603" s="11" t="s">
        <v>70</v>
      </c>
      <c r="J603" s="11" t="s">
        <v>71</v>
      </c>
      <c r="K603" s="11" t="s">
        <v>72</v>
      </c>
      <c r="L603" s="11" t="s">
        <v>247</v>
      </c>
      <c r="M603" s="11" t="s">
        <v>3518</v>
      </c>
      <c r="N603" s="11" t="s">
        <v>241</v>
      </c>
      <c r="O603" s="11" t="s">
        <v>71</v>
      </c>
      <c r="P603" s="11" t="s">
        <v>3519</v>
      </c>
      <c r="Q603" s="13" t="s">
        <v>3520</v>
      </c>
      <c r="R603" s="14" t="str">
        <f>HYPERLINK("https://drive.google.com/file/d/1Mq5UrMJhep3frC_aWTS0K_bnSAuilA_B/view?usp=drivesdk","OFFER LETTER")</f>
        <v>OFFER LETTER</v>
      </c>
      <c r="S603" s="11" t="s">
        <v>3521</v>
      </c>
    </row>
    <row r="604" ht="22.5" customHeight="1">
      <c r="A604" s="10">
        <v>46258.69570642361</v>
      </c>
      <c r="B604" s="11" t="s">
        <v>3522</v>
      </c>
      <c r="C604" s="11" t="s">
        <v>128</v>
      </c>
      <c r="D604" s="11" t="s">
        <v>68</v>
      </c>
      <c r="E604" s="12">
        <v>46260.0</v>
      </c>
      <c r="F604" s="12">
        <v>46291.0</v>
      </c>
      <c r="G604" s="11" t="s">
        <v>3523</v>
      </c>
      <c r="H604" s="11">
        <v>7.38255446E9</v>
      </c>
      <c r="I604" s="11" t="s">
        <v>70</v>
      </c>
      <c r="J604" s="11" t="s">
        <v>71</v>
      </c>
      <c r="K604" s="11" t="s">
        <v>72</v>
      </c>
      <c r="L604" s="11" t="s">
        <v>73</v>
      </c>
      <c r="M604" s="11" t="s">
        <v>3524</v>
      </c>
      <c r="N604" s="11" t="s">
        <v>75</v>
      </c>
      <c r="O604" s="11" t="s">
        <v>71</v>
      </c>
      <c r="P604" s="11" t="s">
        <v>3525</v>
      </c>
      <c r="Q604" s="13" t="s">
        <v>3526</v>
      </c>
      <c r="R604" s="14" t="str">
        <f>HYPERLINK("https://drive.google.com/file/d/1IARpy1bn3UeFAt3wpSI8KQ5rDhCZIzj_/view?usp=drivesdk","OFFER LETTER")</f>
        <v>OFFER LETTER</v>
      </c>
      <c r="S604" s="11" t="s">
        <v>3527</v>
      </c>
    </row>
    <row r="605" ht="22.5" customHeight="1">
      <c r="A605" s="10">
        <v>46258.69628108796</v>
      </c>
      <c r="B605" s="11" t="s">
        <v>3528</v>
      </c>
      <c r="C605" s="11" t="s">
        <v>128</v>
      </c>
      <c r="D605" s="11" t="s">
        <v>68</v>
      </c>
      <c r="E605" s="12">
        <v>46258.0</v>
      </c>
      <c r="F605" s="12">
        <v>46289.0</v>
      </c>
      <c r="G605" s="11" t="s">
        <v>3529</v>
      </c>
      <c r="H605" s="11">
        <v>9.391810499E9</v>
      </c>
      <c r="I605" s="11" t="s">
        <v>70</v>
      </c>
      <c r="J605" s="11" t="s">
        <v>71</v>
      </c>
      <c r="K605" s="11" t="s">
        <v>72</v>
      </c>
      <c r="L605" s="11" t="s">
        <v>73</v>
      </c>
      <c r="M605" s="11" t="s">
        <v>3453</v>
      </c>
      <c r="N605" s="11" t="s">
        <v>75</v>
      </c>
      <c r="O605" s="11" t="s">
        <v>71</v>
      </c>
      <c r="P605" s="11" t="s">
        <v>3530</v>
      </c>
      <c r="Q605" s="13" t="s">
        <v>3531</v>
      </c>
      <c r="R605" s="14" t="str">
        <f>HYPERLINK("https://drive.google.com/file/d/1mVXwsoQ82kwfz3xMS9iTumRRp4jvhzSX/view?usp=drivesdk","OFFER LETTER")</f>
        <v>OFFER LETTER</v>
      </c>
      <c r="S605" s="11" t="s">
        <v>3532</v>
      </c>
    </row>
    <row r="606" ht="22.5" customHeight="1">
      <c r="A606" s="10">
        <v>46258.697217152774</v>
      </c>
      <c r="B606" s="11" t="s">
        <v>3533</v>
      </c>
      <c r="C606" s="11" t="s">
        <v>91</v>
      </c>
      <c r="D606" s="11" t="s">
        <v>68</v>
      </c>
      <c r="E606" s="12">
        <v>46244.0</v>
      </c>
      <c r="F606" s="12">
        <v>46274.0</v>
      </c>
      <c r="G606" s="11" t="s">
        <v>3534</v>
      </c>
      <c r="H606" s="11">
        <v>6.394423324E9</v>
      </c>
      <c r="I606" s="11" t="s">
        <v>82</v>
      </c>
      <c r="J606" s="11" t="s">
        <v>71</v>
      </c>
      <c r="K606" s="11" t="s">
        <v>110</v>
      </c>
      <c r="L606" s="11" t="s">
        <v>73</v>
      </c>
      <c r="M606" s="11" t="s">
        <v>668</v>
      </c>
      <c r="N606" s="11" t="s">
        <v>86</v>
      </c>
      <c r="O606" s="11" t="s">
        <v>71</v>
      </c>
      <c r="P606" s="11" t="s">
        <v>3535</v>
      </c>
      <c r="Q606" s="13" t="s">
        <v>3536</v>
      </c>
      <c r="R606" s="14" t="str">
        <f>HYPERLINK("https://drive.google.com/file/d/1Mp64lLmEJTrLnWIL-E4wYKwfHpitMUuC/view?usp=drivesdk","OFFER LETTER")</f>
        <v>OFFER LETTER</v>
      </c>
      <c r="S606" s="11" t="s">
        <v>3537</v>
      </c>
    </row>
    <row r="607" ht="22.5" customHeight="1">
      <c r="A607" s="10">
        <v>46258.699100196754</v>
      </c>
      <c r="B607" s="11" t="s">
        <v>3538</v>
      </c>
      <c r="C607" s="11" t="s">
        <v>298</v>
      </c>
      <c r="D607" s="11" t="s">
        <v>238</v>
      </c>
      <c r="E607" s="12">
        <v>46153.0</v>
      </c>
      <c r="F607" s="12">
        <v>46246.0</v>
      </c>
      <c r="G607" s="11" t="s">
        <v>3539</v>
      </c>
      <c r="H607" s="11">
        <v>9.702330107E9</v>
      </c>
      <c r="I607" s="11" t="s">
        <v>82</v>
      </c>
      <c r="J607" s="11" t="s">
        <v>71</v>
      </c>
      <c r="K607" s="13" t="s">
        <v>443</v>
      </c>
      <c r="L607" s="11" t="s">
        <v>73</v>
      </c>
      <c r="M607" s="11" t="s">
        <v>3540</v>
      </c>
      <c r="N607" s="11" t="s">
        <v>86</v>
      </c>
      <c r="O607" s="11" t="s">
        <v>71</v>
      </c>
      <c r="P607" s="11" t="s">
        <v>3541</v>
      </c>
      <c r="Q607" s="13" t="s">
        <v>3542</v>
      </c>
      <c r="R607" s="14" t="str">
        <f>HYPERLINK("https://drive.google.com/file/d/1BdX4wArbbGsFsjSBtOYqkW8ftk9KWT2i/view?usp=drivesdk","OFFER LETTER")</f>
        <v>OFFER LETTER</v>
      </c>
      <c r="S607" s="11" t="s">
        <v>3543</v>
      </c>
    </row>
    <row r="608" ht="22.5" customHeight="1">
      <c r="A608" s="10">
        <v>46258.707095046295</v>
      </c>
      <c r="B608" s="11" t="s">
        <v>3544</v>
      </c>
      <c r="C608" s="11" t="s">
        <v>354</v>
      </c>
      <c r="D608" s="11" t="s">
        <v>108</v>
      </c>
      <c r="E608" s="12">
        <v>46258.0</v>
      </c>
      <c r="F608" s="12">
        <v>46319.0</v>
      </c>
      <c r="G608" s="11" t="s">
        <v>3545</v>
      </c>
      <c r="H608" s="11">
        <v>6.362031135E9</v>
      </c>
      <c r="I608" s="11" t="s">
        <v>82</v>
      </c>
      <c r="J608" s="11" t="s">
        <v>71</v>
      </c>
      <c r="K608" s="11" t="s">
        <v>356</v>
      </c>
      <c r="L608" s="11" t="s">
        <v>84</v>
      </c>
      <c r="M608" s="11" t="s">
        <v>3546</v>
      </c>
      <c r="N608" s="11" t="s">
        <v>155</v>
      </c>
      <c r="O608" s="11" t="s">
        <v>71</v>
      </c>
      <c r="P608" s="11" t="s">
        <v>3547</v>
      </c>
      <c r="Q608" s="13" t="s">
        <v>3548</v>
      </c>
      <c r="R608" s="14" t="str">
        <f>HYPERLINK("https://drive.google.com/file/d/1XHJTJaIaGjvUvLjquQXkENdK-O6MnBf7/view?usp=drivesdk","OFFER LETTER")</f>
        <v>OFFER LETTER</v>
      </c>
      <c r="S608" s="11" t="s">
        <v>3549</v>
      </c>
    </row>
    <row r="609" ht="22.5" customHeight="1">
      <c r="A609" s="10">
        <v>46258.710492557875</v>
      </c>
      <c r="B609" s="11" t="s">
        <v>3550</v>
      </c>
      <c r="C609" s="11" t="s">
        <v>128</v>
      </c>
      <c r="D609" s="11" t="s">
        <v>108</v>
      </c>
      <c r="E609" s="12">
        <v>46162.0</v>
      </c>
      <c r="F609" s="12">
        <v>46223.0</v>
      </c>
      <c r="G609" s="11" t="s">
        <v>3551</v>
      </c>
      <c r="H609" s="11">
        <v>7.367021106E9</v>
      </c>
      <c r="I609" s="11" t="s">
        <v>82</v>
      </c>
      <c r="J609" s="11" t="s">
        <v>71</v>
      </c>
      <c r="K609" s="11" t="s">
        <v>72</v>
      </c>
      <c r="L609" s="11" t="s">
        <v>131</v>
      </c>
      <c r="M609" s="11" t="s">
        <v>3552</v>
      </c>
      <c r="N609" s="11" t="s">
        <v>86</v>
      </c>
      <c r="O609" s="11" t="s">
        <v>71</v>
      </c>
      <c r="P609" s="11" t="s">
        <v>3553</v>
      </c>
      <c r="Q609" s="13" t="s">
        <v>3554</v>
      </c>
      <c r="R609" s="14" t="str">
        <f>HYPERLINK("https://drive.google.com/file/d/1EXlGtPI4ZE8NPcQJyr3XsJ3OupKz4l9q/view?usp=drivesdk","OFFER LETTER")</f>
        <v>OFFER LETTER</v>
      </c>
      <c r="S609" s="11" t="s">
        <v>3555</v>
      </c>
    </row>
    <row r="610" ht="22.5" customHeight="1">
      <c r="A610" s="10">
        <v>46258.711891238425</v>
      </c>
      <c r="B610" s="11" t="s">
        <v>3556</v>
      </c>
      <c r="C610" s="11" t="s">
        <v>195</v>
      </c>
      <c r="D610" s="11" t="s">
        <v>108</v>
      </c>
      <c r="E610" s="12">
        <v>46258.0</v>
      </c>
      <c r="F610" s="12">
        <v>46319.0</v>
      </c>
      <c r="G610" s="11" t="s">
        <v>3557</v>
      </c>
      <c r="H610" s="11">
        <v>8.707608621E9</v>
      </c>
      <c r="I610" s="11" t="s">
        <v>82</v>
      </c>
      <c r="J610" s="11" t="s">
        <v>71</v>
      </c>
      <c r="K610" s="11" t="s">
        <v>356</v>
      </c>
      <c r="L610" s="11" t="s">
        <v>84</v>
      </c>
      <c r="M610" s="11" t="s">
        <v>3558</v>
      </c>
      <c r="N610" s="11" t="s">
        <v>86</v>
      </c>
      <c r="O610" s="11" t="s">
        <v>71</v>
      </c>
      <c r="P610" s="11" t="s">
        <v>3559</v>
      </c>
      <c r="Q610" s="13" t="s">
        <v>3560</v>
      </c>
      <c r="R610" s="14" t="str">
        <f>HYPERLINK("https://drive.google.com/file/d/1k0FyI_oKgcbqGG593gEERCsUambAl_IZ/view?usp=drivesdk","OFFER LETTER")</f>
        <v>OFFER LETTER</v>
      </c>
      <c r="S610" s="11" t="s">
        <v>3561</v>
      </c>
    </row>
    <row r="611" ht="22.5" customHeight="1">
      <c r="A611" s="10">
        <v>46258.719591099536</v>
      </c>
      <c r="B611" s="11" t="s">
        <v>2415</v>
      </c>
      <c r="C611" s="11" t="s">
        <v>128</v>
      </c>
      <c r="D611" s="11" t="s">
        <v>68</v>
      </c>
      <c r="E611" s="12">
        <v>46258.0</v>
      </c>
      <c r="F611" s="12">
        <v>46289.0</v>
      </c>
      <c r="G611" s="11" t="s">
        <v>2416</v>
      </c>
      <c r="H611" s="11">
        <v>8.329836928E9</v>
      </c>
      <c r="I611" s="11" t="s">
        <v>70</v>
      </c>
      <c r="J611" s="11" t="s">
        <v>71</v>
      </c>
      <c r="K611" s="11" t="s">
        <v>356</v>
      </c>
      <c r="L611" s="11" t="s">
        <v>84</v>
      </c>
      <c r="M611" s="11" t="s">
        <v>3562</v>
      </c>
      <c r="N611" s="11" t="s">
        <v>75</v>
      </c>
      <c r="O611" s="11" t="s">
        <v>71</v>
      </c>
      <c r="P611" s="11" t="s">
        <v>3563</v>
      </c>
      <c r="Q611" s="13" t="s">
        <v>3564</v>
      </c>
      <c r="R611" s="14" t="str">
        <f>HYPERLINK("https://drive.google.com/file/d/11q_oyK4JVwtAN_AfVD3Lr9cW5Xk4hmOd/view?usp=drivesdk","OFFER LETTER")</f>
        <v>OFFER LETTER</v>
      </c>
      <c r="S611" s="11" t="s">
        <v>3565</v>
      </c>
    </row>
    <row r="612" ht="22.5" customHeight="1">
      <c r="A612" s="10">
        <v>46258.72091393518</v>
      </c>
      <c r="B612" s="11" t="s">
        <v>3566</v>
      </c>
      <c r="C612" s="11" t="s">
        <v>259</v>
      </c>
      <c r="D612" s="11" t="s">
        <v>238</v>
      </c>
      <c r="E612" s="12">
        <v>46258.0</v>
      </c>
      <c r="F612" s="12">
        <v>46349.0</v>
      </c>
      <c r="G612" s="11" t="s">
        <v>3567</v>
      </c>
      <c r="H612" s="11">
        <v>8.217571288E9</v>
      </c>
      <c r="I612" s="11" t="s">
        <v>70</v>
      </c>
      <c r="J612" s="11" t="s">
        <v>71</v>
      </c>
      <c r="K612" s="11" t="s">
        <v>72</v>
      </c>
      <c r="L612" s="11" t="s">
        <v>247</v>
      </c>
      <c r="M612" s="11" t="s">
        <v>3568</v>
      </c>
      <c r="N612" s="11" t="s">
        <v>198</v>
      </c>
      <c r="O612" s="11" t="s">
        <v>71</v>
      </c>
      <c r="P612" s="11" t="s">
        <v>3569</v>
      </c>
      <c r="Q612" s="13" t="s">
        <v>3570</v>
      </c>
      <c r="R612" s="14" t="str">
        <f>HYPERLINK("https://drive.google.com/file/d/1a8FlJZCjDtH1SBATHl7h7hIEg2KsgxcG/view?usp=drivesdk","OFFER LETTER")</f>
        <v>OFFER LETTER</v>
      </c>
      <c r="S612" s="11" t="s">
        <v>3571</v>
      </c>
    </row>
    <row r="613" ht="22.5" customHeight="1">
      <c r="A613" s="10">
        <v>46258.72094697917</v>
      </c>
      <c r="B613" s="11" t="s">
        <v>3572</v>
      </c>
      <c r="C613" s="11" t="s">
        <v>2591</v>
      </c>
      <c r="D613" s="11" t="s">
        <v>238</v>
      </c>
      <c r="E613" s="12">
        <v>46258.0</v>
      </c>
      <c r="F613" s="12">
        <v>46350.0</v>
      </c>
      <c r="G613" s="11" t="s">
        <v>3573</v>
      </c>
      <c r="H613" s="11">
        <v>6.363271349E9</v>
      </c>
      <c r="I613" s="11" t="s">
        <v>70</v>
      </c>
      <c r="J613" s="11" t="s">
        <v>71</v>
      </c>
      <c r="K613" s="11" t="s">
        <v>72</v>
      </c>
      <c r="L613" s="11" t="s">
        <v>131</v>
      </c>
      <c r="M613" s="11" t="s">
        <v>3574</v>
      </c>
      <c r="N613" s="11" t="s">
        <v>241</v>
      </c>
      <c r="O613" s="11" t="s">
        <v>71</v>
      </c>
      <c r="P613" s="11" t="s">
        <v>3575</v>
      </c>
      <c r="Q613" s="13" t="s">
        <v>3576</v>
      </c>
      <c r="R613" s="14" t="str">
        <f>HYPERLINK("https://drive.google.com/file/d/1iHxWCCJ3E1ejAE-3LXVPyMh4H3jbe2rs/view?usp=drivesdk","OFFER LETTER")</f>
        <v>OFFER LETTER</v>
      </c>
      <c r="S613" s="11" t="s">
        <v>3571</v>
      </c>
    </row>
    <row r="614" ht="22.5" customHeight="1">
      <c r="A614" s="10">
        <v>46258.72688112268</v>
      </c>
      <c r="B614" s="11" t="s">
        <v>3577</v>
      </c>
      <c r="C614" s="11" t="s">
        <v>173</v>
      </c>
      <c r="D614" s="11" t="s">
        <v>238</v>
      </c>
      <c r="E614" s="12">
        <v>46259.0</v>
      </c>
      <c r="F614" s="12">
        <v>46350.0</v>
      </c>
      <c r="G614" s="11" t="s">
        <v>3578</v>
      </c>
      <c r="H614" s="11">
        <v>9.322626178E9</v>
      </c>
      <c r="I614" s="11" t="s">
        <v>82</v>
      </c>
      <c r="J614" s="11" t="s">
        <v>71</v>
      </c>
      <c r="K614" s="11" t="s">
        <v>110</v>
      </c>
      <c r="L614" s="11" t="s">
        <v>73</v>
      </c>
      <c r="M614" s="11" t="s">
        <v>3579</v>
      </c>
      <c r="N614" s="11" t="s">
        <v>198</v>
      </c>
      <c r="O614" s="11" t="s">
        <v>71</v>
      </c>
      <c r="P614" s="11" t="s">
        <v>3580</v>
      </c>
      <c r="Q614" s="13" t="s">
        <v>3581</v>
      </c>
      <c r="R614" s="14" t="str">
        <f>HYPERLINK("https://drive.google.com/file/d/1r8G_lPydiLFhQVEpIBH6eyDuGM3cuG0B/view?usp=drivesdk","OFFER LETTER")</f>
        <v>OFFER LETTER</v>
      </c>
      <c r="S614" s="11" t="s">
        <v>3582</v>
      </c>
    </row>
    <row r="615" ht="22.5" customHeight="1">
      <c r="A615" s="10">
        <v>46258.72731965278</v>
      </c>
      <c r="B615" s="11" t="s">
        <v>3583</v>
      </c>
      <c r="C615" s="11" t="s">
        <v>91</v>
      </c>
      <c r="D615" s="11" t="s">
        <v>68</v>
      </c>
      <c r="E615" s="12">
        <v>46258.0</v>
      </c>
      <c r="F615" s="12">
        <v>46289.0</v>
      </c>
      <c r="G615" s="11" t="s">
        <v>3584</v>
      </c>
      <c r="H615" s="11">
        <v>9.789859138E9</v>
      </c>
      <c r="I615" s="11" t="s">
        <v>82</v>
      </c>
      <c r="J615" s="11" t="s">
        <v>71</v>
      </c>
      <c r="K615" s="11" t="s">
        <v>72</v>
      </c>
      <c r="L615" s="11" t="s">
        <v>84</v>
      </c>
      <c r="M615" s="11" t="s">
        <v>3585</v>
      </c>
      <c r="N615" s="11" t="s">
        <v>241</v>
      </c>
      <c r="O615" s="11" t="s">
        <v>71</v>
      </c>
      <c r="P615" s="11" t="s">
        <v>3586</v>
      </c>
      <c r="Q615" s="13" t="s">
        <v>3587</v>
      </c>
      <c r="R615" s="14" t="str">
        <f>HYPERLINK("https://drive.google.com/file/d/1DVCkExcXlFk-HcT7B-oShYjwog3juyMO/view?usp=drivesdk","OFFER LETTER")</f>
        <v>OFFER LETTER</v>
      </c>
      <c r="S615" s="11" t="s">
        <v>3582</v>
      </c>
    </row>
    <row r="616" ht="22.5" customHeight="1">
      <c r="A616" s="10">
        <v>46258.73210071759</v>
      </c>
      <c r="B616" s="11" t="s">
        <v>3588</v>
      </c>
      <c r="C616" s="11" t="s">
        <v>259</v>
      </c>
      <c r="D616" s="11" t="s">
        <v>68</v>
      </c>
      <c r="E616" s="12">
        <v>46259.0</v>
      </c>
      <c r="F616" s="12">
        <v>46290.0</v>
      </c>
      <c r="G616" s="11" t="s">
        <v>3589</v>
      </c>
      <c r="H616" s="11">
        <v>8.610321721E9</v>
      </c>
      <c r="I616" s="11" t="s">
        <v>82</v>
      </c>
      <c r="J616" s="11" t="s">
        <v>71</v>
      </c>
      <c r="K616" s="13" t="s">
        <v>674</v>
      </c>
      <c r="L616" s="11" t="s">
        <v>247</v>
      </c>
      <c r="M616" s="11" t="s">
        <v>3590</v>
      </c>
      <c r="N616" s="11" t="s">
        <v>241</v>
      </c>
      <c r="O616" s="11" t="s">
        <v>71</v>
      </c>
      <c r="P616" s="11" t="s">
        <v>3591</v>
      </c>
      <c r="Q616" s="13" t="s">
        <v>3592</v>
      </c>
      <c r="R616" s="14" t="str">
        <f>HYPERLINK("https://drive.google.com/file/d/14jtg6y4Wifw0YsPNypqUbu-wi42zyJ18/view?usp=drivesdk","OFFER LETTER")</f>
        <v>OFFER LETTER</v>
      </c>
      <c r="S616" s="11" t="s">
        <v>3593</v>
      </c>
    </row>
    <row r="617" ht="22.5" customHeight="1">
      <c r="A617" s="10">
        <v>46258.73591304398</v>
      </c>
      <c r="B617" s="11" t="s">
        <v>3577</v>
      </c>
      <c r="C617" s="11" t="s">
        <v>173</v>
      </c>
      <c r="D617" s="11" t="s">
        <v>238</v>
      </c>
      <c r="E617" s="12">
        <v>46259.0</v>
      </c>
      <c r="F617" s="12">
        <v>46350.0</v>
      </c>
      <c r="G617" s="11" t="s">
        <v>3594</v>
      </c>
      <c r="H617" s="11">
        <v>9.322626178E9</v>
      </c>
      <c r="I617" s="11" t="s">
        <v>82</v>
      </c>
      <c r="J617" s="11" t="s">
        <v>71</v>
      </c>
      <c r="K617" s="11" t="s">
        <v>110</v>
      </c>
      <c r="L617" s="11" t="s">
        <v>73</v>
      </c>
      <c r="M617" s="11" t="s">
        <v>3595</v>
      </c>
      <c r="N617" s="11" t="s">
        <v>198</v>
      </c>
      <c r="O617" s="11" t="s">
        <v>71</v>
      </c>
      <c r="P617" s="11" t="s">
        <v>3596</v>
      </c>
      <c r="Q617" s="13" t="s">
        <v>3597</v>
      </c>
      <c r="R617" s="14" t="str">
        <f>HYPERLINK("https://drive.google.com/file/d/1LVDmldH0ZTnCDiy0kcbmubZrv4I30n5I/view?usp=drivesdk","OFFER LETTER")</f>
        <v>OFFER LETTER</v>
      </c>
      <c r="S617" s="11" t="s">
        <v>3598</v>
      </c>
    </row>
    <row r="618" ht="22.5" customHeight="1">
      <c r="A618" s="10">
        <v>46258.73687633102</v>
      </c>
      <c r="B618" s="11" t="s">
        <v>3599</v>
      </c>
      <c r="C618" s="11" t="s">
        <v>259</v>
      </c>
      <c r="D618" s="11" t="s">
        <v>68</v>
      </c>
      <c r="E618" s="12">
        <v>46271.0</v>
      </c>
      <c r="F618" s="12">
        <v>46301.0</v>
      </c>
      <c r="G618" s="11" t="s">
        <v>3600</v>
      </c>
      <c r="H618" s="11">
        <v>9.398800106E9</v>
      </c>
      <c r="I618" s="11" t="s">
        <v>70</v>
      </c>
      <c r="J618" s="11" t="s">
        <v>83</v>
      </c>
      <c r="K618" s="11" t="s">
        <v>72</v>
      </c>
      <c r="L618" s="11" t="s">
        <v>131</v>
      </c>
      <c r="M618" s="11" t="s">
        <v>3601</v>
      </c>
      <c r="N618" s="11" t="s">
        <v>630</v>
      </c>
      <c r="O618" s="11" t="s">
        <v>263</v>
      </c>
      <c r="P618" s="11" t="s">
        <v>3602</v>
      </c>
      <c r="Q618" s="13" t="s">
        <v>3603</v>
      </c>
      <c r="R618" s="14" t="str">
        <f>HYPERLINK("https://drive.google.com/file/d/1mz4hUqPV5cxkiDIVVJoJhYN5kRHwSlqw/view?usp=drivesdk","OFFER LETTER")</f>
        <v>OFFER LETTER</v>
      </c>
      <c r="S618" s="11" t="s">
        <v>3604</v>
      </c>
    </row>
    <row r="619" ht="22.5" customHeight="1">
      <c r="A619" s="10">
        <v>46258.73976655093</v>
      </c>
      <c r="B619" s="11" t="s">
        <v>3605</v>
      </c>
      <c r="C619" s="11" t="s">
        <v>173</v>
      </c>
      <c r="D619" s="11" t="s">
        <v>68</v>
      </c>
      <c r="E619" s="12">
        <v>46235.0</v>
      </c>
      <c r="F619" s="12">
        <v>46265.0</v>
      </c>
      <c r="G619" s="11" t="s">
        <v>3606</v>
      </c>
      <c r="H619" s="11">
        <v>8.24814499E9</v>
      </c>
      <c r="I619" s="11" t="s">
        <v>82</v>
      </c>
      <c r="J619" s="11" t="s">
        <v>71</v>
      </c>
      <c r="K619" s="11" t="s">
        <v>72</v>
      </c>
      <c r="L619" s="11" t="s">
        <v>84</v>
      </c>
      <c r="M619" s="11" t="s">
        <v>3607</v>
      </c>
      <c r="N619" s="11" t="s">
        <v>86</v>
      </c>
      <c r="O619" s="11" t="s">
        <v>71</v>
      </c>
      <c r="P619" s="11" t="s">
        <v>3608</v>
      </c>
      <c r="Q619" s="13" t="s">
        <v>3609</v>
      </c>
      <c r="R619" s="14" t="str">
        <f>HYPERLINK("https://drive.google.com/file/d/16oUn4OziLcGo6JaFA7Oot_pR39C7XXJf/view?usp=drivesdk","OFFER LETTER")</f>
        <v>OFFER LETTER</v>
      </c>
      <c r="S619" s="11" t="s">
        <v>3610</v>
      </c>
    </row>
    <row r="620" ht="22.5" customHeight="1">
      <c r="A620" s="10">
        <v>46258.74774608796</v>
      </c>
      <c r="B620" s="11" t="s">
        <v>3611</v>
      </c>
      <c r="C620" s="11" t="s">
        <v>128</v>
      </c>
      <c r="D620" s="11" t="s">
        <v>68</v>
      </c>
      <c r="E620" s="12">
        <v>46235.0</v>
      </c>
      <c r="F620" s="12">
        <v>46266.0</v>
      </c>
      <c r="G620" s="11" t="s">
        <v>3612</v>
      </c>
      <c r="H620" s="11">
        <v>8.59725424E9</v>
      </c>
      <c r="I620" s="11" t="s">
        <v>82</v>
      </c>
      <c r="J620" s="11" t="s">
        <v>71</v>
      </c>
      <c r="K620" s="11" t="s">
        <v>72</v>
      </c>
      <c r="L620" s="11" t="s">
        <v>84</v>
      </c>
      <c r="M620" s="11" t="s">
        <v>886</v>
      </c>
      <c r="N620" s="11" t="s">
        <v>3613</v>
      </c>
      <c r="O620" s="11" t="s">
        <v>71</v>
      </c>
      <c r="P620" s="11" t="s">
        <v>3614</v>
      </c>
      <c r="Q620" s="13" t="s">
        <v>3615</v>
      </c>
      <c r="R620" s="14" t="str">
        <f>HYPERLINK("https://drive.google.com/file/d/1XDCQrSfHwAi5CTDeLvPkGUPKYTLyNmvv/view?usp=drivesdk","OFFER LETTER")</f>
        <v>OFFER LETTER</v>
      </c>
      <c r="S620" s="11" t="s">
        <v>3616</v>
      </c>
    </row>
    <row r="621" ht="22.5" customHeight="1">
      <c r="A621" s="10">
        <v>46258.74868491898</v>
      </c>
      <c r="B621" s="11" t="s">
        <v>3617</v>
      </c>
      <c r="C621" s="11" t="s">
        <v>259</v>
      </c>
      <c r="D621" s="11" t="s">
        <v>68</v>
      </c>
      <c r="E621" s="12">
        <v>46259.0</v>
      </c>
      <c r="F621" s="12">
        <v>46290.0</v>
      </c>
      <c r="G621" s="11" t="s">
        <v>3618</v>
      </c>
      <c r="H621" s="11">
        <v>9.234646243E9</v>
      </c>
      <c r="I621" s="11" t="s">
        <v>70</v>
      </c>
      <c r="J621" s="11" t="s">
        <v>71</v>
      </c>
      <c r="K621" s="11" t="s">
        <v>110</v>
      </c>
      <c r="L621" s="11" t="s">
        <v>357</v>
      </c>
      <c r="M621" s="11" t="s">
        <v>3619</v>
      </c>
      <c r="N621" s="11" t="s">
        <v>75</v>
      </c>
      <c r="O621" s="11" t="s">
        <v>71</v>
      </c>
      <c r="P621" s="11" t="s">
        <v>3620</v>
      </c>
      <c r="Q621" s="13" t="s">
        <v>3621</v>
      </c>
      <c r="R621" s="14" t="str">
        <f>HYPERLINK("https://drive.google.com/file/d/1eEHezBadEyovh29htQ7MGA-2StRZWPhJ/view?usp=drivesdk","OFFER LETTER")</f>
        <v>OFFER LETTER</v>
      </c>
      <c r="S621" s="11" t="s">
        <v>3622</v>
      </c>
    </row>
    <row r="622" ht="22.5" customHeight="1">
      <c r="A622" s="10">
        <v>46258.750246365744</v>
      </c>
      <c r="B622" s="11" t="s">
        <v>3623</v>
      </c>
      <c r="C622" s="11" t="s">
        <v>195</v>
      </c>
      <c r="D622" s="11" t="s">
        <v>68</v>
      </c>
      <c r="E622" s="12">
        <v>46258.0</v>
      </c>
      <c r="F622" s="12">
        <v>46289.0</v>
      </c>
      <c r="G622" s="11" t="s">
        <v>3624</v>
      </c>
      <c r="H622" s="11">
        <v>9.392494822E9</v>
      </c>
      <c r="I622" s="11" t="s">
        <v>82</v>
      </c>
      <c r="J622" s="11" t="s">
        <v>71</v>
      </c>
      <c r="K622" s="11" t="s">
        <v>72</v>
      </c>
      <c r="L622" s="11" t="s">
        <v>73</v>
      </c>
      <c r="M622" s="11" t="s">
        <v>3625</v>
      </c>
      <c r="N622" s="11" t="s">
        <v>86</v>
      </c>
      <c r="O622" s="11" t="s">
        <v>71</v>
      </c>
      <c r="P622" s="11" t="s">
        <v>3626</v>
      </c>
      <c r="Q622" s="13" t="s">
        <v>3627</v>
      </c>
      <c r="R622" s="14" t="str">
        <f>HYPERLINK("https://drive.google.com/file/d/1Pnb3UFjAKBjSsOowLNPBVeiNujVwk-3r/view?usp=drivesdk","OFFER LETTER")</f>
        <v>OFFER LETTER</v>
      </c>
      <c r="S622" s="11" t="s">
        <v>3628</v>
      </c>
    </row>
    <row r="623" ht="22.5" customHeight="1">
      <c r="A623" s="10">
        <v>46258.75309712963</v>
      </c>
      <c r="B623" s="11" t="s">
        <v>3629</v>
      </c>
      <c r="C623" s="11" t="s">
        <v>173</v>
      </c>
      <c r="D623" s="11" t="s">
        <v>68</v>
      </c>
      <c r="E623" s="12">
        <v>46235.0</v>
      </c>
      <c r="F623" s="12">
        <v>46266.0</v>
      </c>
      <c r="G623" s="11" t="s">
        <v>3612</v>
      </c>
      <c r="H623" s="11">
        <v>8.59725424E9</v>
      </c>
      <c r="I623" s="11" t="s">
        <v>82</v>
      </c>
      <c r="J623" s="11" t="s">
        <v>71</v>
      </c>
      <c r="K623" s="11" t="s">
        <v>72</v>
      </c>
      <c r="L623" s="11" t="s">
        <v>84</v>
      </c>
      <c r="M623" s="11" t="s">
        <v>3630</v>
      </c>
      <c r="N623" s="11" t="s">
        <v>75</v>
      </c>
      <c r="O623" s="11" t="s">
        <v>71</v>
      </c>
      <c r="P623" s="11" t="s">
        <v>3631</v>
      </c>
      <c r="Q623" s="13" t="s">
        <v>3632</v>
      </c>
      <c r="R623" s="14" t="str">
        <f>HYPERLINK("https://drive.google.com/file/d/1rqN8R3zHnnIBvEvvzusBiGl94O6oyQMC/view?usp=drivesdk","OFFER LETTER")</f>
        <v>OFFER LETTER</v>
      </c>
      <c r="S623" s="11" t="s">
        <v>3633</v>
      </c>
    </row>
    <row r="624" ht="22.5" customHeight="1">
      <c r="A624" s="10">
        <v>46258.7533759375</v>
      </c>
      <c r="B624" s="11" t="s">
        <v>3634</v>
      </c>
      <c r="C624" s="11" t="s">
        <v>195</v>
      </c>
      <c r="D624" s="11" t="s">
        <v>68</v>
      </c>
      <c r="E624" s="12">
        <v>46258.0</v>
      </c>
      <c r="F624" s="12">
        <v>46289.0</v>
      </c>
      <c r="G624" s="11" t="s">
        <v>3624</v>
      </c>
      <c r="H624" s="11">
        <v>9.392494822E9</v>
      </c>
      <c r="I624" s="11" t="s">
        <v>82</v>
      </c>
      <c r="J624" s="11" t="s">
        <v>71</v>
      </c>
      <c r="K624" s="11" t="s">
        <v>72</v>
      </c>
      <c r="L624" s="11" t="s">
        <v>73</v>
      </c>
      <c r="M624" s="11" t="s">
        <v>3625</v>
      </c>
      <c r="N624" s="11" t="s">
        <v>86</v>
      </c>
      <c r="O624" s="11" t="s">
        <v>71</v>
      </c>
      <c r="P624" s="11" t="s">
        <v>3635</v>
      </c>
      <c r="Q624" s="13" t="s">
        <v>3636</v>
      </c>
      <c r="R624" s="14" t="str">
        <f>HYPERLINK("https://drive.google.com/file/d/1eJu6Aaj9BfO27Sdugapoq3utFAT2vH1V/view?usp=drivesdk","OFFER LETTER")</f>
        <v>OFFER LETTER</v>
      </c>
      <c r="S624" s="11" t="s">
        <v>3633</v>
      </c>
    </row>
    <row r="625" ht="22.5" customHeight="1">
      <c r="A625" s="10">
        <v>46258.754657094905</v>
      </c>
      <c r="B625" s="11" t="s">
        <v>3623</v>
      </c>
      <c r="C625" s="11" t="s">
        <v>195</v>
      </c>
      <c r="D625" s="11" t="s">
        <v>68</v>
      </c>
      <c r="E625" s="12">
        <v>46258.0</v>
      </c>
      <c r="F625" s="12">
        <v>46289.0</v>
      </c>
      <c r="G625" s="11" t="s">
        <v>3624</v>
      </c>
      <c r="H625" s="11">
        <v>9.392494822E9</v>
      </c>
      <c r="I625" s="11" t="s">
        <v>82</v>
      </c>
      <c r="J625" s="11" t="s">
        <v>71</v>
      </c>
      <c r="K625" s="11" t="s">
        <v>72</v>
      </c>
      <c r="L625" s="11" t="s">
        <v>73</v>
      </c>
      <c r="M625" s="11" t="s">
        <v>3625</v>
      </c>
      <c r="N625" s="11" t="s">
        <v>219</v>
      </c>
      <c r="O625" s="11" t="s">
        <v>71</v>
      </c>
      <c r="P625" s="11" t="s">
        <v>3637</v>
      </c>
      <c r="Q625" s="13" t="s">
        <v>3638</v>
      </c>
      <c r="R625" s="14" t="str">
        <f>HYPERLINK("https://drive.google.com/file/d/1og-XAdR2OddGld2ifNzvIc_EG138J2Cr/view?usp=drivesdk","OFFER LETTER")</f>
        <v>OFFER LETTER</v>
      </c>
      <c r="S625" s="11" t="s">
        <v>3639</v>
      </c>
    </row>
    <row r="626" ht="22.5" customHeight="1">
      <c r="A626" s="10">
        <v>46258.75594775463</v>
      </c>
      <c r="B626" s="11" t="s">
        <v>3640</v>
      </c>
      <c r="C626" s="11" t="s">
        <v>173</v>
      </c>
      <c r="D626" s="11" t="s">
        <v>68</v>
      </c>
      <c r="E626" s="12">
        <v>46258.0</v>
      </c>
      <c r="F626" s="12">
        <v>46289.0</v>
      </c>
      <c r="G626" s="11" t="s">
        <v>3641</v>
      </c>
      <c r="H626" s="11">
        <v>8.01990842E9</v>
      </c>
      <c r="I626" s="11" t="s">
        <v>82</v>
      </c>
      <c r="J626" s="11" t="s">
        <v>71</v>
      </c>
      <c r="K626" s="11" t="s">
        <v>72</v>
      </c>
      <c r="L626" s="11" t="s">
        <v>73</v>
      </c>
      <c r="M626" s="11" t="s">
        <v>3642</v>
      </c>
      <c r="N626" s="11" t="s">
        <v>86</v>
      </c>
      <c r="O626" s="11" t="s">
        <v>71</v>
      </c>
      <c r="P626" s="11" t="s">
        <v>3643</v>
      </c>
      <c r="Q626" s="13" t="s">
        <v>3644</v>
      </c>
      <c r="R626" s="14" t="str">
        <f>HYPERLINK("https://drive.google.com/file/d/1j3jcMGmYPfQfSHimaEGwCvxIjQAT9oLA/view?usp=drivesdk","OFFER LETTER")</f>
        <v>OFFER LETTER</v>
      </c>
      <c r="S626" s="11" t="s">
        <v>3645</v>
      </c>
    </row>
    <row r="627" ht="22.5" customHeight="1">
      <c r="A627" s="10">
        <v>46258.75671657408</v>
      </c>
      <c r="B627" s="11" t="s">
        <v>3646</v>
      </c>
      <c r="C627" s="11" t="s">
        <v>107</v>
      </c>
      <c r="D627" s="11" t="s">
        <v>108</v>
      </c>
      <c r="E627" s="12">
        <v>46261.0</v>
      </c>
      <c r="F627" s="12">
        <v>46322.0</v>
      </c>
      <c r="G627" s="11" t="s">
        <v>3647</v>
      </c>
      <c r="H627" s="11">
        <v>6.360892513E9</v>
      </c>
      <c r="I627" s="11" t="s">
        <v>70</v>
      </c>
      <c r="J627" s="11" t="s">
        <v>71</v>
      </c>
      <c r="K627" s="11" t="s">
        <v>356</v>
      </c>
      <c r="L627" s="11" t="s">
        <v>84</v>
      </c>
      <c r="M627" s="11" t="s">
        <v>3648</v>
      </c>
      <c r="N627" s="11" t="s">
        <v>630</v>
      </c>
      <c r="O627" s="11" t="s">
        <v>71</v>
      </c>
      <c r="P627" s="11" t="s">
        <v>3649</v>
      </c>
      <c r="Q627" s="13" t="s">
        <v>3650</v>
      </c>
      <c r="R627" s="14" t="str">
        <f>HYPERLINK("https://drive.google.com/file/d/1a9De2FY64SM176iDWmpFh0K00sGY3FjR/view?usp=drivesdk","OFFER LETTER")</f>
        <v>OFFER LETTER</v>
      </c>
      <c r="S627" s="11" t="s">
        <v>3651</v>
      </c>
    </row>
    <row r="628" ht="22.5" customHeight="1">
      <c r="A628" s="10">
        <v>46258.75727880787</v>
      </c>
      <c r="B628" s="11" t="s">
        <v>3652</v>
      </c>
      <c r="C628" s="11" t="s">
        <v>107</v>
      </c>
      <c r="D628" s="11" t="s">
        <v>68</v>
      </c>
      <c r="E628" s="12">
        <v>46259.0</v>
      </c>
      <c r="F628" s="12">
        <v>46290.0</v>
      </c>
      <c r="G628" s="11" t="s">
        <v>3653</v>
      </c>
      <c r="H628" s="11">
        <v>7.676390585E9</v>
      </c>
      <c r="I628" s="11" t="s">
        <v>70</v>
      </c>
      <c r="K628" s="13" t="s">
        <v>443</v>
      </c>
      <c r="L628" s="11" t="s">
        <v>73</v>
      </c>
      <c r="M628" s="11" t="s">
        <v>3654</v>
      </c>
      <c r="N628" s="11" t="s">
        <v>241</v>
      </c>
      <c r="O628" s="11" t="s">
        <v>71</v>
      </c>
      <c r="P628" s="11" t="s">
        <v>3655</v>
      </c>
      <c r="Q628" s="13" t="s">
        <v>3656</v>
      </c>
      <c r="R628" s="14" t="str">
        <f>HYPERLINK("https://drive.google.com/file/d/1bNpm9zJ2QNIS7TFk61M9jOFAaW8YJb-j/view?usp=drivesdk","OFFER LETTER")</f>
        <v>OFFER LETTER</v>
      </c>
      <c r="S628" s="11" t="s">
        <v>3651</v>
      </c>
    </row>
    <row r="629" ht="22.5" customHeight="1">
      <c r="A629" s="10">
        <v>46258.75805070602</v>
      </c>
      <c r="B629" s="11" t="s">
        <v>3623</v>
      </c>
      <c r="C629" s="11" t="s">
        <v>195</v>
      </c>
      <c r="D629" s="11" t="s">
        <v>68</v>
      </c>
      <c r="E629" s="12">
        <v>46258.0</v>
      </c>
      <c r="F629" s="12">
        <v>46289.0</v>
      </c>
      <c r="G629" s="11" t="s">
        <v>3624</v>
      </c>
      <c r="H629" s="11">
        <v>9.392494822E9</v>
      </c>
      <c r="I629" s="11" t="s">
        <v>82</v>
      </c>
      <c r="J629" s="11" t="s">
        <v>71</v>
      </c>
      <c r="K629" s="11" t="s">
        <v>72</v>
      </c>
      <c r="L629" s="11" t="s">
        <v>73</v>
      </c>
      <c r="M629" s="11" t="s">
        <v>3625</v>
      </c>
      <c r="N629" s="11" t="s">
        <v>86</v>
      </c>
      <c r="O629" s="11" t="s">
        <v>71</v>
      </c>
      <c r="P629" s="11" t="s">
        <v>3657</v>
      </c>
      <c r="Q629" s="13" t="s">
        <v>3658</v>
      </c>
      <c r="R629" s="14" t="str">
        <f>HYPERLINK("https://drive.google.com/file/d/1AlfSCAMcwulnemmElJ-2J1qwTj-fb0fu/view?usp=drivesdk","OFFER LETTER")</f>
        <v>OFFER LETTER</v>
      </c>
      <c r="S629" s="11" t="s">
        <v>3659</v>
      </c>
    </row>
    <row r="630" ht="22.5" customHeight="1">
      <c r="A630" s="10">
        <v>46258.75910283565</v>
      </c>
      <c r="B630" s="11" t="s">
        <v>3660</v>
      </c>
      <c r="C630" s="11" t="s">
        <v>298</v>
      </c>
      <c r="D630" s="11" t="s">
        <v>238</v>
      </c>
      <c r="E630" s="12">
        <v>46163.0</v>
      </c>
      <c r="F630" s="12">
        <v>46256.0</v>
      </c>
      <c r="G630" s="11" t="s">
        <v>3661</v>
      </c>
      <c r="H630" s="11">
        <v>8.356853857E9</v>
      </c>
      <c r="I630" s="11" t="s">
        <v>82</v>
      </c>
      <c r="J630" s="11" t="s">
        <v>71</v>
      </c>
      <c r="K630" s="13" t="s">
        <v>443</v>
      </c>
      <c r="L630" s="11" t="s">
        <v>73</v>
      </c>
      <c r="M630" s="11" t="s">
        <v>3662</v>
      </c>
      <c r="N630" s="11" t="s">
        <v>3663</v>
      </c>
      <c r="O630" s="11" t="s">
        <v>71</v>
      </c>
      <c r="P630" s="11" t="s">
        <v>3664</v>
      </c>
      <c r="Q630" s="13" t="s">
        <v>3665</v>
      </c>
      <c r="R630" s="14" t="str">
        <f>HYPERLINK("https://drive.google.com/file/d/1AZ0acF0Y4dgzc8CuOMpj_yKDy5mpJ-Mm/view?usp=drivesdk","OFFER LETTER")</f>
        <v>OFFER LETTER</v>
      </c>
      <c r="S630" s="11" t="s">
        <v>3666</v>
      </c>
    </row>
    <row r="631" ht="22.5" customHeight="1">
      <c r="A631" s="10">
        <v>46258.76139436342</v>
      </c>
      <c r="B631" s="11" t="s">
        <v>3667</v>
      </c>
      <c r="C631" s="11" t="s">
        <v>195</v>
      </c>
      <c r="D631" s="11" t="s">
        <v>68</v>
      </c>
      <c r="E631" s="12">
        <v>46258.0</v>
      </c>
      <c r="F631" s="12">
        <v>46289.0</v>
      </c>
      <c r="G631" s="11" t="s">
        <v>3624</v>
      </c>
      <c r="H631" s="11">
        <v>9.392494822E9</v>
      </c>
      <c r="I631" s="11" t="s">
        <v>82</v>
      </c>
      <c r="J631" s="11" t="s">
        <v>71</v>
      </c>
      <c r="K631" s="11" t="s">
        <v>72</v>
      </c>
      <c r="L631" s="11" t="s">
        <v>73</v>
      </c>
      <c r="M631" s="11" t="s">
        <v>3625</v>
      </c>
      <c r="N631" s="11" t="s">
        <v>86</v>
      </c>
      <c r="O631" s="11" t="s">
        <v>71</v>
      </c>
      <c r="P631" s="11" t="s">
        <v>3668</v>
      </c>
      <c r="Q631" s="13" t="s">
        <v>3669</v>
      </c>
      <c r="R631" s="14" t="str">
        <f>HYPERLINK("https://drive.google.com/file/d/1nkLyVucsJROnUc4WR9LhYZLkUd1EJ8IB/view?usp=drivesdk","OFFER LETTER")</f>
        <v>OFFER LETTER</v>
      </c>
      <c r="S631" s="11" t="s">
        <v>3670</v>
      </c>
    </row>
    <row r="632" ht="22.5" customHeight="1">
      <c r="A632" s="10">
        <v>46258.76427990741</v>
      </c>
      <c r="B632" s="11" t="s">
        <v>3634</v>
      </c>
      <c r="C632" s="11" t="s">
        <v>195</v>
      </c>
      <c r="D632" s="11" t="s">
        <v>68</v>
      </c>
      <c r="E632" s="12">
        <v>46258.0</v>
      </c>
      <c r="F632" s="12">
        <v>46289.0</v>
      </c>
      <c r="G632" s="11" t="s">
        <v>3624</v>
      </c>
      <c r="H632" s="11">
        <v>9.392494822E9</v>
      </c>
      <c r="I632" s="11" t="s">
        <v>82</v>
      </c>
      <c r="J632" s="11" t="s">
        <v>71</v>
      </c>
      <c r="K632" s="11" t="s">
        <v>72</v>
      </c>
      <c r="L632" s="11" t="s">
        <v>73</v>
      </c>
      <c r="M632" s="11" t="s">
        <v>3625</v>
      </c>
      <c r="N632" s="11" t="s">
        <v>86</v>
      </c>
      <c r="O632" s="11" t="s">
        <v>71</v>
      </c>
      <c r="P632" s="11" t="s">
        <v>3671</v>
      </c>
      <c r="Q632" s="13" t="s">
        <v>3672</v>
      </c>
      <c r="R632" s="14" t="str">
        <f>HYPERLINK("https://drive.google.com/file/d/1Y4_g3E-Z-2OPn7FK8-MbjLWFgvBJzUH_/view?usp=drivesdk","OFFER LETTER")</f>
        <v>OFFER LETTER</v>
      </c>
      <c r="S632" s="11" t="s">
        <v>3673</v>
      </c>
    </row>
    <row r="633" ht="22.5" customHeight="1">
      <c r="A633" s="10">
        <v>46258.76547976852</v>
      </c>
      <c r="B633" s="11" t="s">
        <v>3674</v>
      </c>
      <c r="C633" s="11" t="s">
        <v>195</v>
      </c>
      <c r="D633" s="11" t="s">
        <v>68</v>
      </c>
      <c r="E633" s="12">
        <v>46258.0</v>
      </c>
      <c r="F633" s="12">
        <v>46289.0</v>
      </c>
      <c r="G633" s="11" t="s">
        <v>3675</v>
      </c>
      <c r="H633" s="11">
        <v>6.372213323E9</v>
      </c>
      <c r="I633" s="11" t="s">
        <v>70</v>
      </c>
      <c r="J633" s="11" t="s">
        <v>71</v>
      </c>
      <c r="K633" s="11" t="s">
        <v>110</v>
      </c>
      <c r="L633" s="11" t="s">
        <v>84</v>
      </c>
      <c r="M633" s="11" t="s">
        <v>3676</v>
      </c>
      <c r="N633" s="11" t="s">
        <v>75</v>
      </c>
      <c r="O633" s="11" t="s">
        <v>71</v>
      </c>
      <c r="P633" s="11" t="s">
        <v>3677</v>
      </c>
      <c r="Q633" s="13" t="s">
        <v>3678</v>
      </c>
      <c r="R633" s="14" t="str">
        <f>HYPERLINK("https://drive.google.com/file/d/10s3s784qFs3b5Y9pLTBA-qeKUF8c_N8I/view?usp=drivesdk","OFFER LETTER")</f>
        <v>OFFER LETTER</v>
      </c>
      <c r="S633" s="11" t="s">
        <v>3679</v>
      </c>
    </row>
    <row r="634" ht="22.5" customHeight="1">
      <c r="A634" s="10">
        <v>46258.76553089121</v>
      </c>
      <c r="B634" s="11" t="s">
        <v>3680</v>
      </c>
      <c r="C634" s="11" t="s">
        <v>195</v>
      </c>
      <c r="D634" s="11" t="s">
        <v>68</v>
      </c>
      <c r="E634" s="12">
        <v>46258.0</v>
      </c>
      <c r="F634" s="12">
        <v>46273.0</v>
      </c>
      <c r="G634" s="11" t="s">
        <v>3681</v>
      </c>
      <c r="H634" s="11">
        <v>8.856841817E9</v>
      </c>
      <c r="I634" s="11" t="s">
        <v>70</v>
      </c>
      <c r="J634" s="11" t="s">
        <v>71</v>
      </c>
      <c r="K634" s="11" t="s">
        <v>72</v>
      </c>
      <c r="L634" s="11" t="s">
        <v>84</v>
      </c>
      <c r="M634" s="11" t="s">
        <v>3682</v>
      </c>
      <c r="N634" s="11" t="s">
        <v>241</v>
      </c>
      <c r="O634" s="11" t="s">
        <v>71</v>
      </c>
      <c r="P634" s="11" t="s">
        <v>3683</v>
      </c>
      <c r="Q634" s="13" t="s">
        <v>3684</v>
      </c>
      <c r="R634" s="14" t="str">
        <f>HYPERLINK("https://drive.google.com/file/d/1Vw3TTU-AEKFEijLQiaH_BqELx8BEF34t/view?usp=drivesdk","OFFER LETTER")</f>
        <v>OFFER LETTER</v>
      </c>
      <c r="S634" s="11" t="s">
        <v>3679</v>
      </c>
    </row>
    <row r="635" ht="22.5" customHeight="1">
      <c r="A635" s="10">
        <v>46258.76707469908</v>
      </c>
      <c r="B635" s="11" t="s">
        <v>3685</v>
      </c>
      <c r="C635" s="11" t="s">
        <v>80</v>
      </c>
      <c r="D635" s="11" t="s">
        <v>68</v>
      </c>
      <c r="E635" s="12">
        <v>46259.0</v>
      </c>
      <c r="F635" s="12">
        <v>46290.0</v>
      </c>
      <c r="G635" s="11" t="s">
        <v>3686</v>
      </c>
      <c r="H635" s="11">
        <v>9.113954038E9</v>
      </c>
      <c r="I635" s="11" t="s">
        <v>70</v>
      </c>
      <c r="J635" s="11" t="s">
        <v>71</v>
      </c>
      <c r="K635" s="11" t="s">
        <v>72</v>
      </c>
      <c r="L635" s="11" t="s">
        <v>131</v>
      </c>
      <c r="M635" s="11" t="s">
        <v>3687</v>
      </c>
      <c r="N635" s="11" t="s">
        <v>86</v>
      </c>
      <c r="O635" s="11" t="s">
        <v>71</v>
      </c>
      <c r="P635" s="11" t="s">
        <v>3688</v>
      </c>
      <c r="Q635" s="13" t="s">
        <v>3689</v>
      </c>
      <c r="R635" s="14" t="str">
        <f>HYPERLINK("https://drive.google.com/file/d/1auPLA-vPxecmdoxCgF_MFQIu33n1Qh3x/view?usp=drivesdk","OFFER LETTER")</f>
        <v>OFFER LETTER</v>
      </c>
      <c r="S635" s="11" t="s">
        <v>3690</v>
      </c>
    </row>
    <row r="636" ht="22.5" customHeight="1">
      <c r="A636" s="10">
        <v>46258.76956097222</v>
      </c>
      <c r="B636" s="11" t="s">
        <v>3685</v>
      </c>
      <c r="C636" s="11" t="s">
        <v>80</v>
      </c>
      <c r="D636" s="11" t="s">
        <v>68</v>
      </c>
      <c r="E636" s="12">
        <v>46259.0</v>
      </c>
      <c r="F636" s="12">
        <v>46290.0</v>
      </c>
      <c r="G636" s="11" t="s">
        <v>3686</v>
      </c>
      <c r="H636" s="11">
        <v>9.113954038E9</v>
      </c>
      <c r="I636" s="11" t="s">
        <v>70</v>
      </c>
      <c r="J636" s="11" t="s">
        <v>71</v>
      </c>
      <c r="K636" s="11" t="s">
        <v>72</v>
      </c>
      <c r="L636" s="11" t="s">
        <v>131</v>
      </c>
      <c r="M636" s="11" t="s">
        <v>3687</v>
      </c>
      <c r="N636" s="11" t="s">
        <v>86</v>
      </c>
      <c r="O636" s="11" t="s">
        <v>71</v>
      </c>
      <c r="P636" s="11" t="s">
        <v>3691</v>
      </c>
      <c r="Q636" s="13" t="s">
        <v>3692</v>
      </c>
      <c r="R636" s="14" t="str">
        <f>HYPERLINK("https://drive.google.com/file/d/1BlTSAKmVL6NOC-xmnUkbGmL2CYisk0N4/view?usp=drivesdk","OFFER LETTER")</f>
        <v>OFFER LETTER</v>
      </c>
      <c r="S636" s="11" t="s">
        <v>3693</v>
      </c>
    </row>
    <row r="637" ht="22.5" customHeight="1">
      <c r="A637" s="10">
        <v>46258.77569547454</v>
      </c>
      <c r="B637" s="11" t="s">
        <v>3694</v>
      </c>
      <c r="C637" s="11" t="s">
        <v>1320</v>
      </c>
      <c r="D637" s="11" t="s">
        <v>238</v>
      </c>
      <c r="E637" s="12">
        <v>46227.0</v>
      </c>
      <c r="F637" s="12">
        <v>46319.0</v>
      </c>
      <c r="G637" s="11" t="s">
        <v>3695</v>
      </c>
      <c r="H637" s="11">
        <v>9.113782258E9</v>
      </c>
      <c r="I637" s="11" t="s">
        <v>82</v>
      </c>
      <c r="J637" s="11" t="s">
        <v>71</v>
      </c>
      <c r="K637" s="11" t="s">
        <v>167</v>
      </c>
      <c r="L637" s="11" t="s">
        <v>73</v>
      </c>
      <c r="M637" s="11" t="s">
        <v>3696</v>
      </c>
      <c r="N637" s="11" t="s">
        <v>75</v>
      </c>
      <c r="O637" s="11" t="s">
        <v>71</v>
      </c>
      <c r="P637" s="11" t="s">
        <v>3697</v>
      </c>
      <c r="Q637" s="13" t="s">
        <v>3698</v>
      </c>
      <c r="R637" s="14" t="str">
        <f>HYPERLINK("https://drive.google.com/file/d/1XgtzAK3aKLWE7FMVOfY8xcadJ3-JBGcT/view?usp=drivesdk","OFFER LETTER")</f>
        <v>OFFER LETTER</v>
      </c>
      <c r="S637" s="11" t="s">
        <v>3699</v>
      </c>
    </row>
    <row r="638" ht="22.5" customHeight="1">
      <c r="A638" s="10">
        <v>46258.77821532407</v>
      </c>
      <c r="B638" s="11" t="s">
        <v>3700</v>
      </c>
      <c r="C638" s="11" t="s">
        <v>80</v>
      </c>
      <c r="D638" s="11" t="s">
        <v>68</v>
      </c>
      <c r="E638" s="12">
        <v>46259.0</v>
      </c>
      <c r="F638" s="12">
        <v>46290.0</v>
      </c>
      <c r="G638" s="11" t="s">
        <v>3686</v>
      </c>
      <c r="H638" s="11">
        <v>9.113954038E9</v>
      </c>
      <c r="I638" s="11" t="s">
        <v>70</v>
      </c>
      <c r="J638" s="11" t="s">
        <v>71</v>
      </c>
      <c r="K638" s="11" t="s">
        <v>72</v>
      </c>
      <c r="L638" s="11" t="s">
        <v>131</v>
      </c>
      <c r="M638" s="11" t="s">
        <v>3687</v>
      </c>
      <c r="N638" s="11" t="s">
        <v>86</v>
      </c>
      <c r="O638" s="11" t="s">
        <v>71</v>
      </c>
      <c r="P638" s="11" t="s">
        <v>3701</v>
      </c>
      <c r="Q638" s="13" t="s">
        <v>3702</v>
      </c>
      <c r="R638" s="14" t="str">
        <f>HYPERLINK("https://drive.google.com/file/d/1IhPXxlAwdJTSWxxpOceX6yU3ilyCCkqz/view?usp=drivesdk","OFFER LETTER")</f>
        <v>OFFER LETTER</v>
      </c>
      <c r="S638" s="11" t="s">
        <v>3703</v>
      </c>
    </row>
    <row r="639" ht="22.5" customHeight="1">
      <c r="A639" s="10">
        <v>46258.7788978125</v>
      </c>
      <c r="B639" s="11" t="s">
        <v>3704</v>
      </c>
      <c r="C639" s="11" t="s">
        <v>80</v>
      </c>
      <c r="D639" s="11" t="s">
        <v>108</v>
      </c>
      <c r="E639" s="12">
        <v>46193.0</v>
      </c>
      <c r="F639" s="12">
        <v>46285.0</v>
      </c>
      <c r="G639" s="11" t="s">
        <v>3705</v>
      </c>
      <c r="H639" s="11">
        <v>7.569438967E9</v>
      </c>
      <c r="I639" s="11" t="s">
        <v>70</v>
      </c>
      <c r="J639" s="11" t="s">
        <v>71</v>
      </c>
      <c r="K639" s="11" t="s">
        <v>72</v>
      </c>
      <c r="L639" s="11" t="s">
        <v>131</v>
      </c>
      <c r="M639" s="11" t="s">
        <v>2901</v>
      </c>
      <c r="N639" s="11" t="s">
        <v>86</v>
      </c>
      <c r="O639" s="11" t="s">
        <v>71</v>
      </c>
      <c r="P639" s="11" t="s">
        <v>3706</v>
      </c>
      <c r="Q639" s="13" t="s">
        <v>3707</v>
      </c>
      <c r="R639" s="14" t="str">
        <f>HYPERLINK("https://drive.google.com/file/d/1KSqCyfkz1woGCXdBbs9HMilsG1vVeRsd/view?usp=drivesdk","OFFER LETTER")</f>
        <v>OFFER LETTER</v>
      </c>
      <c r="S639" s="11" t="s">
        <v>3703</v>
      </c>
    </row>
    <row r="640" ht="22.5" customHeight="1">
      <c r="A640" s="10">
        <v>46258.780378483796</v>
      </c>
      <c r="B640" s="11" t="s">
        <v>3708</v>
      </c>
      <c r="C640" s="11" t="s">
        <v>128</v>
      </c>
      <c r="D640" s="11" t="s">
        <v>238</v>
      </c>
      <c r="E640" s="12">
        <v>46258.0</v>
      </c>
      <c r="F640" s="12">
        <v>46350.0</v>
      </c>
      <c r="G640" s="11" t="s">
        <v>3709</v>
      </c>
      <c r="H640" s="11">
        <v>9.325822152E9</v>
      </c>
      <c r="I640" s="11" t="s">
        <v>82</v>
      </c>
      <c r="J640" s="11" t="s">
        <v>71</v>
      </c>
      <c r="K640" s="11" t="s">
        <v>72</v>
      </c>
      <c r="L640" s="11" t="s">
        <v>84</v>
      </c>
      <c r="M640" s="11" t="s">
        <v>3710</v>
      </c>
      <c r="N640" s="11" t="s">
        <v>2114</v>
      </c>
      <c r="O640" s="11" t="s">
        <v>71</v>
      </c>
      <c r="P640" s="11" t="s">
        <v>3711</v>
      </c>
      <c r="Q640" s="13" t="s">
        <v>3712</v>
      </c>
      <c r="R640" s="14" t="str">
        <f>HYPERLINK("https://drive.google.com/file/d/1dwBUUJiLfuIQcgDRy2khH1PLqD-j-gRj/view?usp=drivesdk","OFFER LETTER")</f>
        <v>OFFER LETTER</v>
      </c>
      <c r="S640" s="11" t="s">
        <v>3713</v>
      </c>
    </row>
    <row r="641" ht="22.5" customHeight="1">
      <c r="A641" s="10">
        <v>46258.78215961806</v>
      </c>
      <c r="B641" s="11" t="s">
        <v>3714</v>
      </c>
      <c r="C641" s="11" t="s">
        <v>1200</v>
      </c>
      <c r="D641" s="11" t="s">
        <v>68</v>
      </c>
      <c r="E641" s="12">
        <v>46258.0</v>
      </c>
      <c r="F641" s="12">
        <v>46289.0</v>
      </c>
      <c r="G641" s="11" t="s">
        <v>3715</v>
      </c>
      <c r="H641" s="11">
        <v>8.341803539E9</v>
      </c>
      <c r="I641" s="11" t="s">
        <v>70</v>
      </c>
      <c r="J641" s="11" t="s">
        <v>71</v>
      </c>
      <c r="K641" s="11" t="s">
        <v>72</v>
      </c>
      <c r="L641" s="11" t="s">
        <v>73</v>
      </c>
      <c r="M641" s="11" t="s">
        <v>3714</v>
      </c>
      <c r="N641" s="11" t="s">
        <v>86</v>
      </c>
      <c r="O641" s="11" t="s">
        <v>71</v>
      </c>
      <c r="P641" s="11" t="s">
        <v>3716</v>
      </c>
      <c r="Q641" s="13" t="s">
        <v>3717</v>
      </c>
      <c r="R641" s="14" t="str">
        <f>HYPERLINK("https://drive.google.com/file/d/1XJJHaBQqDGrpSiPD0JyepW_gLCv40RPe/view?usp=drivesdk","OFFER LETTER")</f>
        <v>OFFER LETTER</v>
      </c>
      <c r="S641" s="11" t="s">
        <v>3718</v>
      </c>
    </row>
    <row r="642" ht="22.5" customHeight="1">
      <c r="A642" s="10">
        <v>46258.78341870371</v>
      </c>
      <c r="B642" s="11" t="s">
        <v>3719</v>
      </c>
      <c r="C642" s="11" t="s">
        <v>195</v>
      </c>
      <c r="D642" s="11" t="s">
        <v>68</v>
      </c>
      <c r="E642" s="12">
        <v>46258.0</v>
      </c>
      <c r="F642" s="12">
        <v>46289.0</v>
      </c>
      <c r="G642" s="11" t="s">
        <v>3720</v>
      </c>
      <c r="H642" s="11">
        <v>9.124022278E9</v>
      </c>
      <c r="I642" s="11" t="s">
        <v>70</v>
      </c>
      <c r="J642" s="11" t="s">
        <v>71</v>
      </c>
      <c r="K642" s="11" t="s">
        <v>110</v>
      </c>
      <c r="L642" s="11" t="s">
        <v>84</v>
      </c>
      <c r="M642" s="11" t="s">
        <v>463</v>
      </c>
      <c r="N642" s="11" t="s">
        <v>75</v>
      </c>
      <c r="O642" s="11" t="s">
        <v>71</v>
      </c>
      <c r="P642" s="11" t="s">
        <v>3721</v>
      </c>
      <c r="Q642" s="13" t="s">
        <v>3722</v>
      </c>
      <c r="R642" s="14" t="str">
        <f>HYPERLINK("https://drive.google.com/file/d/1uwV7CP_PDZ1FvpvAM0ilnvrrQKSzF7V7/view?usp=drivesdk","OFFER LETTER")</f>
        <v>OFFER LETTER</v>
      </c>
      <c r="S642" s="11" t="s">
        <v>3723</v>
      </c>
    </row>
    <row r="643" ht="22.5" customHeight="1">
      <c r="A643" s="10">
        <v>46258.785371736114</v>
      </c>
      <c r="B643" s="11" t="s">
        <v>3724</v>
      </c>
      <c r="C643" s="11" t="s">
        <v>80</v>
      </c>
      <c r="D643" s="11" t="s">
        <v>108</v>
      </c>
      <c r="E643" s="12">
        <v>46257.0</v>
      </c>
      <c r="F643" s="12">
        <v>46318.0</v>
      </c>
      <c r="G643" s="11" t="s">
        <v>2368</v>
      </c>
      <c r="H643" s="11">
        <v>6.300859394E9</v>
      </c>
      <c r="I643" s="11" t="s">
        <v>82</v>
      </c>
      <c r="J643" s="11" t="s">
        <v>83</v>
      </c>
      <c r="K643" s="11" t="s">
        <v>72</v>
      </c>
      <c r="L643" s="11" t="s">
        <v>131</v>
      </c>
      <c r="M643" s="11" t="s">
        <v>2369</v>
      </c>
      <c r="N643" s="11" t="s">
        <v>226</v>
      </c>
      <c r="O643" s="11" t="s">
        <v>71</v>
      </c>
      <c r="P643" s="11" t="s">
        <v>3725</v>
      </c>
      <c r="Q643" s="13" t="s">
        <v>3726</v>
      </c>
      <c r="R643" s="14" t="str">
        <f>HYPERLINK("https://drive.google.com/file/d/1mlg1TGDCFymYlnVYxDHjGDPAu1LrRuQA/view?usp=drivesdk","OFFER LETTER")</f>
        <v>OFFER LETTER</v>
      </c>
      <c r="S643" s="11" t="s">
        <v>3727</v>
      </c>
    </row>
    <row r="644" ht="22.5" customHeight="1">
      <c r="A644" s="10">
        <v>46258.790580381945</v>
      </c>
      <c r="B644" s="11" t="s">
        <v>3700</v>
      </c>
      <c r="C644" s="11" t="s">
        <v>80</v>
      </c>
      <c r="D644" s="11" t="s">
        <v>68</v>
      </c>
      <c r="E644" s="12">
        <v>46259.0</v>
      </c>
      <c r="F644" s="12">
        <v>46290.0</v>
      </c>
      <c r="G644" s="11" t="s">
        <v>3686</v>
      </c>
      <c r="H644" s="11">
        <v>9.113954038E9</v>
      </c>
      <c r="I644" s="11" t="s">
        <v>70</v>
      </c>
      <c r="J644" s="11" t="s">
        <v>71</v>
      </c>
      <c r="K644" s="11" t="s">
        <v>72</v>
      </c>
      <c r="L644" s="11" t="s">
        <v>131</v>
      </c>
      <c r="M644" s="11" t="s">
        <v>3687</v>
      </c>
      <c r="N644" s="11" t="s">
        <v>86</v>
      </c>
      <c r="O644" s="11" t="s">
        <v>71</v>
      </c>
      <c r="P644" s="11" t="s">
        <v>3728</v>
      </c>
      <c r="Q644" s="13" t="s">
        <v>3729</v>
      </c>
      <c r="R644" s="14" t="str">
        <f>HYPERLINK("https://drive.google.com/file/d/1vXZvFooS8TqSriGeAJvn6b4EcNozyB9q/view?usp=drivesdk","OFFER LETTER")</f>
        <v>OFFER LETTER</v>
      </c>
      <c r="S644" s="11" t="s">
        <v>3730</v>
      </c>
    </row>
    <row r="645" ht="22.5" customHeight="1">
      <c r="A645" s="10">
        <v>46258.792404444444</v>
      </c>
      <c r="B645" s="11" t="s">
        <v>3731</v>
      </c>
      <c r="C645" s="11" t="s">
        <v>195</v>
      </c>
      <c r="D645" s="11" t="s">
        <v>68</v>
      </c>
      <c r="E645" s="12">
        <v>46258.0</v>
      </c>
      <c r="F645" s="12">
        <v>46289.0</v>
      </c>
      <c r="G645" s="11" t="s">
        <v>3681</v>
      </c>
      <c r="H645" s="11">
        <v>8.856841817E9</v>
      </c>
      <c r="I645" s="11" t="s">
        <v>70</v>
      </c>
      <c r="J645" s="11" t="s">
        <v>71</v>
      </c>
      <c r="K645" s="11" t="s">
        <v>72</v>
      </c>
      <c r="L645" s="11" t="s">
        <v>84</v>
      </c>
      <c r="M645" s="11" t="s">
        <v>3682</v>
      </c>
      <c r="N645" s="11" t="s">
        <v>630</v>
      </c>
      <c r="O645" s="11" t="s">
        <v>71</v>
      </c>
      <c r="P645" s="11" t="s">
        <v>3732</v>
      </c>
      <c r="Q645" s="13" t="s">
        <v>3733</v>
      </c>
      <c r="R645" s="14" t="str">
        <f>HYPERLINK("https://drive.google.com/file/d/1v2z7Z03bJ8VrCCa-5Q3Epz14qkc9qOM_/view?usp=drivesdk","OFFER LETTER")</f>
        <v>OFFER LETTER</v>
      </c>
      <c r="S645" s="11" t="s">
        <v>3734</v>
      </c>
    </row>
    <row r="646" ht="22.5" customHeight="1">
      <c r="A646" s="10">
        <v>46258.79582893518</v>
      </c>
      <c r="B646" s="11" t="s">
        <v>3735</v>
      </c>
      <c r="C646" s="11" t="s">
        <v>80</v>
      </c>
      <c r="D646" s="11" t="s">
        <v>68</v>
      </c>
      <c r="E646" s="12">
        <v>46236.0</v>
      </c>
      <c r="F646" s="12">
        <v>46267.0</v>
      </c>
      <c r="G646" s="11" t="s">
        <v>3736</v>
      </c>
      <c r="H646" s="11">
        <v>8.618397596E9</v>
      </c>
      <c r="I646" s="11" t="s">
        <v>82</v>
      </c>
      <c r="J646" s="11" t="s">
        <v>71</v>
      </c>
      <c r="K646" s="11" t="s">
        <v>72</v>
      </c>
      <c r="L646" s="11" t="s">
        <v>73</v>
      </c>
      <c r="M646" s="11" t="s">
        <v>3737</v>
      </c>
      <c r="N646" s="11" t="s">
        <v>86</v>
      </c>
      <c r="O646" s="11" t="s">
        <v>263</v>
      </c>
      <c r="P646" s="11" t="s">
        <v>3738</v>
      </c>
      <c r="Q646" s="13" t="s">
        <v>3739</v>
      </c>
      <c r="R646" s="14" t="str">
        <f>HYPERLINK("https://drive.google.com/file/d/1EhsPLFr0qARCL0UxJFzvY75G4eA81wsf/view?usp=drivesdk","OFFER LETTER")</f>
        <v>OFFER LETTER</v>
      </c>
      <c r="S646" s="11" t="s">
        <v>3740</v>
      </c>
    </row>
    <row r="647" ht="22.5" customHeight="1">
      <c r="A647" s="10">
        <v>46258.79782244213</v>
      </c>
      <c r="B647" s="11" t="s">
        <v>3741</v>
      </c>
      <c r="C647" s="11" t="s">
        <v>107</v>
      </c>
      <c r="D647" s="11" t="s">
        <v>238</v>
      </c>
      <c r="E647" s="12">
        <v>46154.0</v>
      </c>
      <c r="F647" s="12">
        <v>46216.0</v>
      </c>
      <c r="G647" s="11" t="s">
        <v>3742</v>
      </c>
      <c r="H647" s="11">
        <v>7.004540631E9</v>
      </c>
      <c r="I647" s="11" t="s">
        <v>82</v>
      </c>
      <c r="J647" s="11" t="s">
        <v>71</v>
      </c>
      <c r="K647" s="11" t="s">
        <v>72</v>
      </c>
      <c r="L647" s="11" t="s">
        <v>131</v>
      </c>
      <c r="M647" s="11" t="s">
        <v>3743</v>
      </c>
      <c r="N647" s="11" t="s">
        <v>75</v>
      </c>
      <c r="O647" s="11" t="s">
        <v>71</v>
      </c>
      <c r="P647" s="11" t="s">
        <v>3744</v>
      </c>
      <c r="Q647" s="13" t="s">
        <v>3745</v>
      </c>
      <c r="R647" s="14" t="str">
        <f>HYPERLINK("https://drive.google.com/file/d/1PHTlsXrzHbmHVRQ8kj45v9NSYHE7BbIT/view?usp=drivesdk","OFFER LETTER")</f>
        <v>OFFER LETTER</v>
      </c>
      <c r="S647" s="11" t="s">
        <v>3746</v>
      </c>
    </row>
    <row r="648" ht="22.5" customHeight="1">
      <c r="A648" s="10">
        <v>46258.80488708333</v>
      </c>
      <c r="B648" s="11" t="s">
        <v>3747</v>
      </c>
      <c r="C648" s="11" t="s">
        <v>195</v>
      </c>
      <c r="D648" s="11" t="s">
        <v>68</v>
      </c>
      <c r="E648" s="12">
        <v>46258.0</v>
      </c>
      <c r="F648" s="12">
        <v>46289.0</v>
      </c>
      <c r="G648" s="11" t="s">
        <v>3748</v>
      </c>
      <c r="H648" s="11">
        <v>6.294797539E9</v>
      </c>
      <c r="I648" s="11" t="s">
        <v>82</v>
      </c>
      <c r="J648" s="11" t="s">
        <v>83</v>
      </c>
      <c r="K648" s="11" t="s">
        <v>72</v>
      </c>
      <c r="L648" s="11" t="s">
        <v>84</v>
      </c>
      <c r="M648" s="11" t="s">
        <v>1073</v>
      </c>
      <c r="N648" s="11" t="s">
        <v>86</v>
      </c>
      <c r="O648" s="11" t="s">
        <v>71</v>
      </c>
      <c r="P648" s="11" t="s">
        <v>3749</v>
      </c>
      <c r="Q648" s="13" t="s">
        <v>3750</v>
      </c>
      <c r="R648" s="14" t="str">
        <f>HYPERLINK("https://drive.google.com/file/d/1lh7QCW-WLJY0DlA2wTPf5AYIgTnkcXa3/view?usp=drivesdk","OFFER LETTER")</f>
        <v>OFFER LETTER</v>
      </c>
      <c r="S648" s="11" t="s">
        <v>3751</v>
      </c>
    </row>
    <row r="649" ht="22.5" customHeight="1">
      <c r="A649" s="10">
        <v>46258.81152869213</v>
      </c>
      <c r="B649" s="11" t="s">
        <v>3752</v>
      </c>
      <c r="C649" s="11" t="s">
        <v>259</v>
      </c>
      <c r="D649" s="11" t="s">
        <v>68</v>
      </c>
      <c r="E649" s="12">
        <v>46271.0</v>
      </c>
      <c r="F649" s="12">
        <v>46295.0</v>
      </c>
      <c r="G649" s="11" t="s">
        <v>3753</v>
      </c>
      <c r="H649" s="11">
        <v>8.100569675E9</v>
      </c>
      <c r="I649" s="11" t="s">
        <v>82</v>
      </c>
      <c r="J649" s="11" t="s">
        <v>71</v>
      </c>
      <c r="K649" s="11" t="s">
        <v>72</v>
      </c>
      <c r="L649" s="11" t="s">
        <v>131</v>
      </c>
      <c r="M649" s="11" t="s">
        <v>3754</v>
      </c>
      <c r="N649" s="11" t="s">
        <v>3755</v>
      </c>
      <c r="O649" s="11" t="s">
        <v>71</v>
      </c>
      <c r="P649" s="11" t="s">
        <v>3756</v>
      </c>
      <c r="Q649" s="13" t="s">
        <v>3757</v>
      </c>
      <c r="R649" s="14" t="str">
        <f>HYPERLINK("https://drive.google.com/file/d/1orNkY44pPQ5YNMK4s0ep_DoU0_y5U0Hp/view?usp=drivesdk","OFFER LETTER")</f>
        <v>OFFER LETTER</v>
      </c>
      <c r="S649" s="11" t="s">
        <v>3758</v>
      </c>
    </row>
    <row r="650" ht="22.5" customHeight="1">
      <c r="A650" s="10">
        <v>46258.81320130787</v>
      </c>
      <c r="B650" s="11" t="s">
        <v>3759</v>
      </c>
      <c r="C650" s="11" t="s">
        <v>195</v>
      </c>
      <c r="D650" s="11" t="s">
        <v>68</v>
      </c>
      <c r="E650" s="12">
        <v>46257.0</v>
      </c>
      <c r="F650" s="12">
        <v>46289.0</v>
      </c>
      <c r="G650" s="11" t="s">
        <v>3760</v>
      </c>
      <c r="H650" s="17" t="s">
        <v>3761</v>
      </c>
      <c r="I650" s="11" t="s">
        <v>82</v>
      </c>
      <c r="J650" s="11" t="s">
        <v>71</v>
      </c>
      <c r="K650" s="11" t="s">
        <v>72</v>
      </c>
      <c r="L650" s="11" t="s">
        <v>84</v>
      </c>
      <c r="M650" s="11" t="s">
        <v>3762</v>
      </c>
      <c r="N650" s="11" t="s">
        <v>75</v>
      </c>
      <c r="O650" s="11" t="s">
        <v>71</v>
      </c>
      <c r="P650" s="11" t="s">
        <v>3763</v>
      </c>
      <c r="Q650" s="13" t="s">
        <v>3764</v>
      </c>
      <c r="R650" s="14" t="str">
        <f>HYPERLINK("https://drive.google.com/file/d/1cZWQpz5rWcHbpwhc2azKjHTqDt6xR1oH/view?usp=drivesdk","OFFER LETTER")</f>
        <v>OFFER LETTER</v>
      </c>
      <c r="S650" s="11" t="s">
        <v>3765</v>
      </c>
    </row>
    <row r="651" ht="22.5" customHeight="1">
      <c r="A651" s="10">
        <v>46258.814989652776</v>
      </c>
      <c r="B651" s="11" t="s">
        <v>3766</v>
      </c>
      <c r="C651" s="11" t="s">
        <v>195</v>
      </c>
      <c r="D651" s="11" t="s">
        <v>68</v>
      </c>
      <c r="E651" s="12">
        <v>46258.0</v>
      </c>
      <c r="F651" s="12">
        <v>46289.0</v>
      </c>
      <c r="G651" s="11" t="s">
        <v>3767</v>
      </c>
      <c r="H651" s="11">
        <v>7.595846442E9</v>
      </c>
      <c r="I651" s="11" t="s">
        <v>82</v>
      </c>
      <c r="J651" s="11" t="s">
        <v>130</v>
      </c>
      <c r="K651" s="11" t="s">
        <v>72</v>
      </c>
      <c r="L651" s="11" t="s">
        <v>131</v>
      </c>
      <c r="M651" s="11" t="s">
        <v>3768</v>
      </c>
      <c r="N651" s="11" t="s">
        <v>320</v>
      </c>
      <c r="O651" s="11" t="s">
        <v>71</v>
      </c>
      <c r="P651" s="11" t="s">
        <v>3769</v>
      </c>
      <c r="Q651" s="13" t="s">
        <v>3770</v>
      </c>
      <c r="R651" s="14" t="str">
        <f>HYPERLINK("https://drive.google.com/file/d/1KRM8lNYpz_1h7PkSv6zB_G16tnOlZLrr/view?usp=drivesdk","OFFER LETTER")</f>
        <v>OFFER LETTER</v>
      </c>
      <c r="S651" s="11" t="s">
        <v>3771</v>
      </c>
    </row>
    <row r="652" ht="22.5" customHeight="1">
      <c r="A652" s="10">
        <v>46258.822517650464</v>
      </c>
      <c r="B652" s="11" t="s">
        <v>3772</v>
      </c>
      <c r="C652" s="11" t="s">
        <v>195</v>
      </c>
      <c r="D652" s="11" t="s">
        <v>68</v>
      </c>
      <c r="E652" s="12">
        <v>46246.0</v>
      </c>
      <c r="F652" s="12">
        <v>46277.0</v>
      </c>
      <c r="G652" s="11" t="s">
        <v>3773</v>
      </c>
      <c r="H652" s="11">
        <v>7.259523784E9</v>
      </c>
      <c r="I652" s="11" t="s">
        <v>70</v>
      </c>
      <c r="J652" s="11" t="s">
        <v>130</v>
      </c>
      <c r="K652" s="11" t="s">
        <v>72</v>
      </c>
      <c r="L652" s="11" t="s">
        <v>357</v>
      </c>
      <c r="M652" s="11" t="s">
        <v>3774</v>
      </c>
      <c r="N652" s="11" t="s">
        <v>86</v>
      </c>
      <c r="O652" s="11" t="s">
        <v>71</v>
      </c>
      <c r="P652" s="11" t="s">
        <v>3775</v>
      </c>
      <c r="Q652" s="13" t="s">
        <v>3776</v>
      </c>
      <c r="R652" s="14" t="str">
        <f>HYPERLINK("https://drive.google.com/file/d/16QDl2xmMstBkK2h7xd9Mel_XUN3IcTx-/view?usp=drivesdk","OFFER LETTER")</f>
        <v>OFFER LETTER</v>
      </c>
      <c r="S652" s="11" t="s">
        <v>3777</v>
      </c>
    </row>
    <row r="653" ht="22.5" customHeight="1">
      <c r="A653" s="10">
        <v>46258.834474675925</v>
      </c>
      <c r="B653" s="11" t="s">
        <v>3778</v>
      </c>
      <c r="C653" s="11" t="s">
        <v>67</v>
      </c>
      <c r="D653" s="11" t="s">
        <v>238</v>
      </c>
      <c r="E653" s="12">
        <v>46258.0</v>
      </c>
      <c r="F653" s="12">
        <v>46350.0</v>
      </c>
      <c r="G653" s="11" t="s">
        <v>3779</v>
      </c>
      <c r="H653" s="11">
        <v>9.347800146E9</v>
      </c>
      <c r="I653" s="11" t="s">
        <v>82</v>
      </c>
      <c r="J653" s="11" t="s">
        <v>71</v>
      </c>
      <c r="K653" s="13" t="s">
        <v>443</v>
      </c>
      <c r="L653" s="11" t="s">
        <v>73</v>
      </c>
      <c r="M653" s="11" t="s">
        <v>3780</v>
      </c>
      <c r="N653" s="11" t="s">
        <v>75</v>
      </c>
      <c r="O653" s="11" t="s">
        <v>71</v>
      </c>
      <c r="P653" s="11" t="s">
        <v>3781</v>
      </c>
      <c r="Q653" s="13" t="s">
        <v>3782</v>
      </c>
      <c r="R653" s="14" t="str">
        <f>HYPERLINK("https://drive.google.com/file/d/1Ae4XduZZ4Va6M2E8EX0J0MffF8vadyJV/view?usp=drivesdk","OFFER LETTER")</f>
        <v>OFFER LETTER</v>
      </c>
      <c r="S653" s="11" t="s">
        <v>3783</v>
      </c>
    </row>
    <row r="654" ht="22.5" customHeight="1">
      <c r="A654" s="10">
        <v>46258.83935609953</v>
      </c>
      <c r="B654" s="11" t="s">
        <v>1963</v>
      </c>
      <c r="C654" s="11" t="s">
        <v>107</v>
      </c>
      <c r="D654" s="11" t="s">
        <v>68</v>
      </c>
      <c r="E654" s="12">
        <v>46257.0</v>
      </c>
      <c r="F654" s="12">
        <v>46287.0</v>
      </c>
      <c r="G654" s="11" t="s">
        <v>1964</v>
      </c>
      <c r="H654" s="11">
        <v>9.064473298E9</v>
      </c>
      <c r="I654" s="11" t="s">
        <v>82</v>
      </c>
      <c r="J654" s="11" t="s">
        <v>71</v>
      </c>
      <c r="K654" s="11" t="s">
        <v>110</v>
      </c>
      <c r="L654" s="11" t="s">
        <v>247</v>
      </c>
      <c r="M654" s="11" t="s">
        <v>3784</v>
      </c>
      <c r="N654" s="11" t="s">
        <v>226</v>
      </c>
      <c r="O654" s="11" t="s">
        <v>71</v>
      </c>
      <c r="P654" s="11" t="s">
        <v>3785</v>
      </c>
      <c r="Q654" s="13" t="s">
        <v>3786</v>
      </c>
      <c r="R654" s="14" t="str">
        <f>HYPERLINK("https://drive.google.com/file/d/1Z7sg0_SOBaWNDugzhLha1-hvdbcxnn2a/view?usp=drivesdk","OFFER LETTER")</f>
        <v>OFFER LETTER</v>
      </c>
      <c r="S654" s="11" t="s">
        <v>3787</v>
      </c>
    </row>
    <row r="655" ht="22.5" customHeight="1">
      <c r="A655" s="10">
        <v>46258.8418196875</v>
      </c>
      <c r="B655" s="11" t="s">
        <v>3788</v>
      </c>
      <c r="C655" s="11" t="s">
        <v>298</v>
      </c>
      <c r="D655" s="11" t="s">
        <v>68</v>
      </c>
      <c r="E655" s="12">
        <v>46258.0</v>
      </c>
      <c r="F655" s="12">
        <v>46289.0</v>
      </c>
      <c r="G655" s="11" t="s">
        <v>3789</v>
      </c>
      <c r="H655" s="11">
        <v>8.767448823E9</v>
      </c>
      <c r="I655" s="11" t="s">
        <v>3790</v>
      </c>
      <c r="J655" s="11" t="s">
        <v>71</v>
      </c>
      <c r="K655" s="11" t="s">
        <v>72</v>
      </c>
      <c r="L655" s="11" t="s">
        <v>84</v>
      </c>
      <c r="M655" s="11" t="s">
        <v>3791</v>
      </c>
      <c r="N655" s="11" t="s">
        <v>241</v>
      </c>
      <c r="O655" s="11" t="s">
        <v>71</v>
      </c>
      <c r="P655" s="11" t="s">
        <v>3792</v>
      </c>
      <c r="Q655" s="13" t="s">
        <v>3793</v>
      </c>
      <c r="R655" s="14" t="str">
        <f>HYPERLINK("https://drive.google.com/file/d/1xUFwJaSh9TM3g_k9_pJuUIHz0vWAD-B-/view?usp=drivesdk","OFFER LETTER")</f>
        <v>OFFER LETTER</v>
      </c>
      <c r="S655" s="11" t="s">
        <v>3794</v>
      </c>
    </row>
    <row r="656" ht="22.5" customHeight="1">
      <c r="A656" s="10">
        <v>46258.84215199074</v>
      </c>
      <c r="B656" s="11" t="s">
        <v>3795</v>
      </c>
      <c r="C656" s="11" t="s">
        <v>80</v>
      </c>
      <c r="D656" s="11" t="s">
        <v>68</v>
      </c>
      <c r="E656" s="12">
        <v>46228.0</v>
      </c>
      <c r="F656" s="12">
        <v>46259.0</v>
      </c>
      <c r="G656" s="11" t="s">
        <v>3796</v>
      </c>
      <c r="H656" s="11">
        <v>8.946089853E9</v>
      </c>
      <c r="I656" s="11" t="s">
        <v>82</v>
      </c>
      <c r="J656" s="11" t="s">
        <v>71</v>
      </c>
      <c r="K656" s="11" t="s">
        <v>72</v>
      </c>
      <c r="L656" s="11" t="s">
        <v>84</v>
      </c>
      <c r="M656" s="11" t="s">
        <v>3797</v>
      </c>
      <c r="N656" s="11" t="s">
        <v>86</v>
      </c>
      <c r="O656" s="11" t="s">
        <v>71</v>
      </c>
      <c r="P656" s="11" t="s">
        <v>3798</v>
      </c>
      <c r="Q656" s="13" t="s">
        <v>3799</v>
      </c>
      <c r="R656" s="14" t="str">
        <f>HYPERLINK("https://drive.google.com/file/d/1ExaZaqHlz8E4BQFTY9QQqGuY-Yy3FOM8/view?usp=drivesdk","OFFER LETTER")</f>
        <v>OFFER LETTER</v>
      </c>
      <c r="S656" s="11" t="s">
        <v>3800</v>
      </c>
    </row>
    <row r="657" ht="22.5" customHeight="1">
      <c r="A657" s="10">
        <v>46258.85245813658</v>
      </c>
      <c r="B657" s="11" t="s">
        <v>3801</v>
      </c>
      <c r="C657" s="11" t="s">
        <v>67</v>
      </c>
      <c r="D657" s="11" t="s">
        <v>108</v>
      </c>
      <c r="E657" s="12">
        <v>46266.0</v>
      </c>
      <c r="F657" s="12">
        <v>46325.0</v>
      </c>
      <c r="G657" s="11" t="s">
        <v>3802</v>
      </c>
      <c r="H657" s="11">
        <v>6.361140556E9</v>
      </c>
      <c r="I657" s="11" t="s">
        <v>70</v>
      </c>
      <c r="J657" s="11" t="s">
        <v>71</v>
      </c>
      <c r="K657" s="11" t="s">
        <v>356</v>
      </c>
      <c r="L657" s="11" t="s">
        <v>84</v>
      </c>
      <c r="M657" s="11" t="s">
        <v>3803</v>
      </c>
      <c r="N657" s="11" t="s">
        <v>1722</v>
      </c>
      <c r="O657" s="11" t="s">
        <v>71</v>
      </c>
      <c r="P657" s="11" t="s">
        <v>3804</v>
      </c>
      <c r="Q657" s="13" t="s">
        <v>3805</v>
      </c>
      <c r="R657" s="14" t="str">
        <f>HYPERLINK("https://drive.google.com/file/d/155r0jiLRgF0Ils_8vUS1OqOGA0Z190lb/view?usp=drivesdk","OFFER LETTER")</f>
        <v>OFFER LETTER</v>
      </c>
      <c r="S657" s="11" t="s">
        <v>3806</v>
      </c>
    </row>
    <row r="658" ht="22.5" customHeight="1">
      <c r="A658" s="10">
        <v>46258.8525705787</v>
      </c>
      <c r="B658" s="11" t="s">
        <v>3807</v>
      </c>
      <c r="C658" s="11" t="s">
        <v>259</v>
      </c>
      <c r="D658" s="11" t="s">
        <v>68</v>
      </c>
      <c r="E658" s="12">
        <v>46202.0</v>
      </c>
      <c r="F658" s="12">
        <v>46233.0</v>
      </c>
      <c r="G658" s="11" t="s">
        <v>3808</v>
      </c>
      <c r="H658" s="11">
        <v>6.398249691E9</v>
      </c>
      <c r="I658" s="11" t="s">
        <v>70</v>
      </c>
      <c r="J658" s="11" t="s">
        <v>83</v>
      </c>
      <c r="K658" s="11" t="s">
        <v>110</v>
      </c>
      <c r="L658" s="11" t="s">
        <v>73</v>
      </c>
      <c r="M658" s="11" t="s">
        <v>1211</v>
      </c>
      <c r="N658" s="11" t="s">
        <v>86</v>
      </c>
      <c r="O658" s="11" t="s">
        <v>71</v>
      </c>
      <c r="P658" s="11" t="s">
        <v>3809</v>
      </c>
      <c r="Q658" s="13" t="s">
        <v>3810</v>
      </c>
      <c r="R658" s="14" t="str">
        <f>HYPERLINK("https://drive.google.com/file/d/1276WZOxbEJFCwCHjDmDAylMziCPmRxvU/view?usp=drivesdk","OFFER LETTER")</f>
        <v>OFFER LETTER</v>
      </c>
      <c r="S658" s="11" t="s">
        <v>3811</v>
      </c>
    </row>
    <row r="659" ht="22.5" customHeight="1">
      <c r="A659" s="10">
        <v>46258.85523586806</v>
      </c>
      <c r="B659" s="11" t="s">
        <v>3812</v>
      </c>
      <c r="C659" s="11" t="s">
        <v>107</v>
      </c>
      <c r="D659" s="11" t="s">
        <v>68</v>
      </c>
      <c r="E659" s="12">
        <v>46258.0</v>
      </c>
      <c r="F659" s="12">
        <v>46289.0</v>
      </c>
      <c r="G659" s="11" t="s">
        <v>3813</v>
      </c>
      <c r="H659" s="11">
        <v>8.468914045E9</v>
      </c>
      <c r="I659" s="11" t="s">
        <v>82</v>
      </c>
      <c r="J659" s="11" t="s">
        <v>71</v>
      </c>
      <c r="K659" s="11" t="s">
        <v>72</v>
      </c>
      <c r="L659" s="11" t="s">
        <v>131</v>
      </c>
      <c r="M659" s="11" t="s">
        <v>3814</v>
      </c>
      <c r="N659" s="11" t="s">
        <v>86</v>
      </c>
      <c r="O659" s="11" t="s">
        <v>71</v>
      </c>
      <c r="P659" s="11" t="s">
        <v>3815</v>
      </c>
      <c r="Q659" s="13" t="s">
        <v>3816</v>
      </c>
      <c r="R659" s="14" t="str">
        <f>HYPERLINK("https://drive.google.com/file/d/1d7nOIAFbPxb3g0m9-XLTo4TplLU5ETuA/view?usp=drivesdk","OFFER LETTER")</f>
        <v>OFFER LETTER</v>
      </c>
      <c r="S659" s="11" t="s">
        <v>3817</v>
      </c>
    </row>
    <row r="660" ht="22.5" customHeight="1">
      <c r="A660" s="10">
        <v>46258.85707875</v>
      </c>
      <c r="B660" s="11" t="s">
        <v>3818</v>
      </c>
      <c r="C660" s="11" t="s">
        <v>128</v>
      </c>
      <c r="D660" s="11" t="s">
        <v>108</v>
      </c>
      <c r="E660" s="12">
        <v>46258.0</v>
      </c>
      <c r="F660" s="12">
        <v>46319.0</v>
      </c>
      <c r="G660" s="11" t="s">
        <v>3819</v>
      </c>
      <c r="H660" s="11">
        <v>7.061593892E9</v>
      </c>
      <c r="I660" s="11" t="s">
        <v>82</v>
      </c>
      <c r="J660" s="11" t="s">
        <v>71</v>
      </c>
      <c r="K660" s="11" t="s">
        <v>72</v>
      </c>
      <c r="L660" s="11" t="s">
        <v>84</v>
      </c>
      <c r="M660" s="11" t="s">
        <v>3820</v>
      </c>
      <c r="N660" s="11" t="s">
        <v>86</v>
      </c>
      <c r="O660" s="11" t="s">
        <v>71</v>
      </c>
      <c r="P660" s="11" t="s">
        <v>3821</v>
      </c>
      <c r="Q660" s="13" t="s">
        <v>3822</v>
      </c>
      <c r="R660" s="14" t="str">
        <f>HYPERLINK("https://drive.google.com/file/d/1eM1H6fJ_7sXxlKa8qmRoTrTd-ypcRfyR/view?usp=drivesdk","OFFER LETTER")</f>
        <v>OFFER LETTER</v>
      </c>
      <c r="S660" s="11" t="s">
        <v>3823</v>
      </c>
    </row>
    <row r="661" ht="22.5" customHeight="1">
      <c r="A661" s="10">
        <v>46258.85854961806</v>
      </c>
      <c r="B661" s="11" t="s">
        <v>3824</v>
      </c>
      <c r="C661" s="11" t="s">
        <v>259</v>
      </c>
      <c r="D661" s="11" t="s">
        <v>68</v>
      </c>
      <c r="E661" s="12">
        <v>46258.0</v>
      </c>
      <c r="F661" s="12">
        <v>46288.0</v>
      </c>
      <c r="G661" s="11" t="s">
        <v>3825</v>
      </c>
      <c r="H661" s="11">
        <v>9.952929764E9</v>
      </c>
      <c r="I661" s="11" t="s">
        <v>82</v>
      </c>
      <c r="J661" s="11" t="s">
        <v>71</v>
      </c>
      <c r="K661" s="11" t="s">
        <v>72</v>
      </c>
      <c r="L661" s="11" t="s">
        <v>73</v>
      </c>
      <c r="M661" s="11" t="s">
        <v>3826</v>
      </c>
      <c r="N661" s="11" t="s">
        <v>86</v>
      </c>
      <c r="O661" s="11" t="s">
        <v>71</v>
      </c>
      <c r="P661" s="11" t="s">
        <v>3827</v>
      </c>
      <c r="Q661" s="13" t="s">
        <v>3828</v>
      </c>
      <c r="R661" s="14" t="str">
        <f>HYPERLINK("https://drive.google.com/file/d/1aC5Oy-y3DqZo2Pohf7wO1vDnelidI4O7/view?usp=drivesdk","OFFER LETTER")</f>
        <v>OFFER LETTER</v>
      </c>
      <c r="S661" s="11" t="s">
        <v>3829</v>
      </c>
    </row>
    <row r="662" ht="22.5" customHeight="1">
      <c r="A662" s="10">
        <v>46258.86088247685</v>
      </c>
      <c r="B662" s="11" t="s">
        <v>3830</v>
      </c>
      <c r="C662" s="11" t="s">
        <v>80</v>
      </c>
      <c r="D662" s="11" t="s">
        <v>68</v>
      </c>
      <c r="E662" s="12">
        <v>46258.0</v>
      </c>
      <c r="F662" s="12">
        <v>46288.0</v>
      </c>
      <c r="G662" s="11" t="s">
        <v>3831</v>
      </c>
      <c r="H662" s="11">
        <v>6.202234245E9</v>
      </c>
      <c r="I662" s="11" t="s">
        <v>82</v>
      </c>
      <c r="J662" s="11" t="s">
        <v>71</v>
      </c>
      <c r="K662" s="11" t="s">
        <v>72</v>
      </c>
      <c r="L662" s="11" t="s">
        <v>84</v>
      </c>
      <c r="M662" s="11" t="s">
        <v>3832</v>
      </c>
      <c r="N662" s="11" t="s">
        <v>3833</v>
      </c>
      <c r="O662" s="11" t="s">
        <v>71</v>
      </c>
      <c r="P662" s="11" t="s">
        <v>3834</v>
      </c>
      <c r="Q662" s="13" t="s">
        <v>3835</v>
      </c>
      <c r="R662" s="14" t="str">
        <f>HYPERLINK("https://drive.google.com/file/d/14uGviV4yP4YcBhx-pdFeuNQkPvSoGSi8/view?usp=drivesdk","OFFER LETTER")</f>
        <v>OFFER LETTER</v>
      </c>
      <c r="S662" s="11" t="s">
        <v>3836</v>
      </c>
    </row>
    <row r="663" ht="22.5" customHeight="1">
      <c r="A663" s="10">
        <v>46258.86201840278</v>
      </c>
      <c r="B663" s="11" t="s">
        <v>3837</v>
      </c>
      <c r="C663" s="11" t="s">
        <v>195</v>
      </c>
      <c r="D663" s="11" t="s">
        <v>108</v>
      </c>
      <c r="E663" s="12">
        <v>46258.0</v>
      </c>
      <c r="F663" s="12">
        <v>46317.0</v>
      </c>
      <c r="G663" s="11" t="s">
        <v>3838</v>
      </c>
      <c r="H663" s="11">
        <v>7.654006702E9</v>
      </c>
      <c r="I663" s="11" t="s">
        <v>82</v>
      </c>
      <c r="J663" s="11" t="s">
        <v>71</v>
      </c>
      <c r="K663" s="11" t="s">
        <v>72</v>
      </c>
      <c r="L663" s="11" t="s">
        <v>131</v>
      </c>
      <c r="M663" s="11" t="s">
        <v>3839</v>
      </c>
      <c r="N663" s="11" t="s">
        <v>226</v>
      </c>
      <c r="O663" s="11" t="s">
        <v>71</v>
      </c>
      <c r="P663" s="11" t="s">
        <v>3840</v>
      </c>
      <c r="Q663" s="13" t="s">
        <v>3841</v>
      </c>
      <c r="R663" s="14" t="str">
        <f>HYPERLINK("https://drive.google.com/file/d/1ZeiinPSL8u7JBFbwtTKGiQ0olwyTc5WD/view?usp=drivesdk","OFFER LETTER")</f>
        <v>OFFER LETTER</v>
      </c>
      <c r="S663" s="11" t="s">
        <v>3842</v>
      </c>
    </row>
    <row r="664" ht="22.5" customHeight="1">
      <c r="A664" s="10">
        <v>46258.86315993055</v>
      </c>
      <c r="B664" s="11" t="s">
        <v>3843</v>
      </c>
      <c r="C664" s="11" t="s">
        <v>173</v>
      </c>
      <c r="D664" s="11" t="s">
        <v>238</v>
      </c>
      <c r="E664" s="12">
        <v>46258.0</v>
      </c>
      <c r="F664" s="12">
        <v>46350.0</v>
      </c>
      <c r="G664" s="11" t="s">
        <v>3844</v>
      </c>
      <c r="H664" s="11">
        <v>7.06147667E9</v>
      </c>
      <c r="I664" s="11" t="s">
        <v>70</v>
      </c>
      <c r="J664" s="11" t="s">
        <v>71</v>
      </c>
      <c r="K664" s="11" t="s">
        <v>110</v>
      </c>
      <c r="L664" s="11" t="s">
        <v>73</v>
      </c>
      <c r="M664" s="11" t="s">
        <v>3845</v>
      </c>
      <c r="N664" s="11" t="s">
        <v>241</v>
      </c>
      <c r="O664" s="11" t="s">
        <v>71</v>
      </c>
      <c r="P664" s="11" t="s">
        <v>3846</v>
      </c>
      <c r="Q664" s="13" t="s">
        <v>3847</v>
      </c>
      <c r="R664" s="14" t="str">
        <f>HYPERLINK("https://drive.google.com/file/d/1oWyU3jFxrVJwa1mvXyBVBJ3ozqYWMzAd/view?usp=drivesdk","OFFER LETTER")</f>
        <v>OFFER LETTER</v>
      </c>
      <c r="S664" s="11" t="s">
        <v>3848</v>
      </c>
    </row>
    <row r="665" ht="22.5" customHeight="1">
      <c r="A665" s="10">
        <v>46258.863997002314</v>
      </c>
      <c r="B665" s="11" t="s">
        <v>3849</v>
      </c>
      <c r="C665" s="11" t="s">
        <v>91</v>
      </c>
      <c r="D665" s="11" t="s">
        <v>68</v>
      </c>
      <c r="E665" s="12">
        <v>46285.0</v>
      </c>
      <c r="F665" s="12">
        <v>46285.0</v>
      </c>
      <c r="G665" s="11" t="s">
        <v>3850</v>
      </c>
      <c r="H665" s="11">
        <v>8.019575776E9</v>
      </c>
      <c r="I665" s="11" t="s">
        <v>70</v>
      </c>
      <c r="J665" s="11" t="s">
        <v>83</v>
      </c>
      <c r="K665" s="11" t="s">
        <v>72</v>
      </c>
      <c r="L665" s="11" t="s">
        <v>73</v>
      </c>
      <c r="M665" s="11" t="s">
        <v>3851</v>
      </c>
      <c r="N665" s="11" t="s">
        <v>86</v>
      </c>
      <c r="O665" s="11" t="s">
        <v>71</v>
      </c>
      <c r="P665" s="11" t="s">
        <v>3852</v>
      </c>
      <c r="Q665" s="13" t="s">
        <v>3853</v>
      </c>
      <c r="R665" s="14" t="str">
        <f>HYPERLINK("https://drive.google.com/file/d/1738ky23JSdq1GjzrCG8lzDsD0xy2ppi7/view?usp=drivesdk","OFFER LETTER")</f>
        <v>OFFER LETTER</v>
      </c>
      <c r="S665" s="11" t="s">
        <v>3854</v>
      </c>
    </row>
    <row r="666" ht="22.5" customHeight="1">
      <c r="A666" s="10">
        <v>46258.86606162037</v>
      </c>
      <c r="B666" s="11" t="s">
        <v>3855</v>
      </c>
      <c r="C666" s="11" t="s">
        <v>173</v>
      </c>
      <c r="D666" s="11" t="s">
        <v>68</v>
      </c>
      <c r="E666" s="12">
        <v>46210.0</v>
      </c>
      <c r="F666" s="12">
        <v>46258.0</v>
      </c>
      <c r="G666" s="11" t="s">
        <v>3856</v>
      </c>
      <c r="H666" s="11">
        <v>8.789088437E9</v>
      </c>
      <c r="I666" s="11" t="s">
        <v>82</v>
      </c>
      <c r="J666" s="11" t="s">
        <v>71</v>
      </c>
      <c r="K666" s="11" t="s">
        <v>110</v>
      </c>
      <c r="L666" s="11" t="s">
        <v>357</v>
      </c>
      <c r="M666" s="11" t="s">
        <v>3857</v>
      </c>
      <c r="N666" s="11" t="s">
        <v>133</v>
      </c>
      <c r="O666" s="11" t="s">
        <v>71</v>
      </c>
      <c r="P666" s="11" t="s">
        <v>3858</v>
      </c>
      <c r="Q666" s="13" t="s">
        <v>3859</v>
      </c>
      <c r="R666" s="14" t="str">
        <f>HYPERLINK("https://drive.google.com/file/d/1iDVvUwmOy-ypUH6HD8nkptiF1KJlQVHH/view?usp=drivesdk","OFFER LETTER")</f>
        <v>OFFER LETTER</v>
      </c>
      <c r="S666" s="11" t="s">
        <v>3860</v>
      </c>
    </row>
    <row r="667" ht="22.5" customHeight="1">
      <c r="A667" s="10">
        <v>46258.868612754624</v>
      </c>
      <c r="B667" s="11" t="s">
        <v>3843</v>
      </c>
      <c r="C667" s="11" t="s">
        <v>173</v>
      </c>
      <c r="D667" s="11" t="s">
        <v>238</v>
      </c>
      <c r="E667" s="12">
        <v>46258.0</v>
      </c>
      <c r="F667" s="12">
        <v>46350.0</v>
      </c>
      <c r="G667" s="11" t="s">
        <v>3844</v>
      </c>
      <c r="H667" s="11">
        <v>7.06147667E9</v>
      </c>
      <c r="I667" s="11" t="s">
        <v>70</v>
      </c>
      <c r="J667" s="11" t="s">
        <v>71</v>
      </c>
      <c r="K667" s="11" t="s">
        <v>110</v>
      </c>
      <c r="L667" s="11" t="s">
        <v>73</v>
      </c>
      <c r="M667" s="11" t="s">
        <v>3861</v>
      </c>
      <c r="N667" s="11" t="s">
        <v>219</v>
      </c>
      <c r="O667" s="11" t="s">
        <v>71</v>
      </c>
      <c r="P667" s="11" t="s">
        <v>3862</v>
      </c>
      <c r="Q667" s="13" t="s">
        <v>3863</v>
      </c>
      <c r="R667" s="14" t="str">
        <f>HYPERLINK("https://drive.google.com/file/d/1PZOjMQwGLeyn8etVdbGSWnJC8hA3Twkx/view?usp=drivesdk","OFFER LETTER")</f>
        <v>OFFER LETTER</v>
      </c>
      <c r="S667" s="11" t="s">
        <v>3864</v>
      </c>
    </row>
    <row r="668" ht="22.5" customHeight="1">
      <c r="A668" s="10">
        <v>46258.869406134254</v>
      </c>
      <c r="B668" s="11" t="s">
        <v>3807</v>
      </c>
      <c r="C668" s="11" t="s">
        <v>259</v>
      </c>
      <c r="D668" s="11" t="s">
        <v>68</v>
      </c>
      <c r="E668" s="12">
        <v>46202.0</v>
      </c>
      <c r="F668" s="12">
        <v>46233.0</v>
      </c>
      <c r="G668" s="11" t="s">
        <v>3865</v>
      </c>
      <c r="H668" s="11">
        <v>6.398249691E9</v>
      </c>
      <c r="I668" s="11" t="s">
        <v>70</v>
      </c>
      <c r="J668" s="11" t="s">
        <v>71</v>
      </c>
      <c r="K668" s="11" t="s">
        <v>110</v>
      </c>
      <c r="L668" s="11" t="s">
        <v>73</v>
      </c>
      <c r="M668" s="11" t="s">
        <v>1211</v>
      </c>
      <c r="N668" s="11" t="s">
        <v>86</v>
      </c>
      <c r="O668" s="11" t="s">
        <v>71</v>
      </c>
      <c r="P668" s="11" t="s">
        <v>3866</v>
      </c>
      <c r="Q668" s="13" t="s">
        <v>3867</v>
      </c>
      <c r="R668" s="14" t="str">
        <f>HYPERLINK("https://drive.google.com/file/d/1pVOQLPy8CKHm8J_SCiGPAPglo4BEfj7A/view?usp=drivesdk","OFFER LETTER")</f>
        <v>OFFER LETTER</v>
      </c>
      <c r="S668" s="11" t="s">
        <v>3868</v>
      </c>
    </row>
    <row r="669" ht="22.5" customHeight="1">
      <c r="A669" s="10">
        <v>46258.86975802083</v>
      </c>
      <c r="B669" s="11" t="s">
        <v>3830</v>
      </c>
      <c r="C669" s="11" t="s">
        <v>80</v>
      </c>
      <c r="D669" s="11" t="s">
        <v>68</v>
      </c>
      <c r="E669" s="12">
        <v>46258.0</v>
      </c>
      <c r="F669" s="12">
        <v>46288.0</v>
      </c>
      <c r="G669" s="11" t="s">
        <v>3869</v>
      </c>
      <c r="H669" s="11">
        <v>6.202234245E9</v>
      </c>
      <c r="I669" s="11" t="s">
        <v>82</v>
      </c>
      <c r="J669" s="11" t="s">
        <v>71</v>
      </c>
      <c r="K669" s="11" t="s">
        <v>72</v>
      </c>
      <c r="L669" s="11" t="s">
        <v>84</v>
      </c>
      <c r="M669" s="11" t="s">
        <v>3870</v>
      </c>
      <c r="N669" s="11" t="s">
        <v>3833</v>
      </c>
      <c r="O669" s="11" t="s">
        <v>263</v>
      </c>
      <c r="P669" s="11" t="s">
        <v>3871</v>
      </c>
      <c r="Q669" s="13" t="s">
        <v>3872</v>
      </c>
      <c r="R669" s="14" t="str">
        <f>HYPERLINK("https://drive.google.com/file/d/1azS8HgJIuCzov_F8LvNUB0D62ToyYncq/view?usp=drivesdk","OFFER LETTER")</f>
        <v>OFFER LETTER</v>
      </c>
      <c r="S669" s="11" t="s">
        <v>3873</v>
      </c>
    </row>
    <row r="670" ht="22.5" customHeight="1">
      <c r="A670" s="10">
        <v>46258.875223703704</v>
      </c>
      <c r="B670" s="11" t="s">
        <v>3874</v>
      </c>
      <c r="C670" s="11" t="s">
        <v>91</v>
      </c>
      <c r="D670" s="11" t="s">
        <v>68</v>
      </c>
      <c r="E670" s="12">
        <v>46258.0</v>
      </c>
      <c r="F670" s="12">
        <v>46288.0</v>
      </c>
      <c r="G670" s="11" t="s">
        <v>3875</v>
      </c>
      <c r="H670" s="11">
        <v>9.129334808E9</v>
      </c>
      <c r="I670" s="11" t="s">
        <v>82</v>
      </c>
      <c r="J670" s="11" t="s">
        <v>71</v>
      </c>
      <c r="K670" s="11" t="s">
        <v>110</v>
      </c>
      <c r="L670" s="11" t="s">
        <v>73</v>
      </c>
      <c r="M670" s="11" t="s">
        <v>3876</v>
      </c>
      <c r="N670" s="11" t="s">
        <v>241</v>
      </c>
      <c r="O670" s="11" t="s">
        <v>71</v>
      </c>
      <c r="P670" s="11" t="s">
        <v>3877</v>
      </c>
      <c r="Q670" s="13" t="s">
        <v>3878</v>
      </c>
      <c r="R670" s="14" t="str">
        <f>HYPERLINK("https://drive.google.com/file/d/1jzwnfYXuT3B3XusYdhnr9SACbURxkgDx/view?usp=drivesdk","OFFER LETTER")</f>
        <v>OFFER LETTER</v>
      </c>
      <c r="S670" s="11" t="s">
        <v>3879</v>
      </c>
    </row>
    <row r="671" ht="22.5" customHeight="1">
      <c r="A671" s="10">
        <v>46258.881518055554</v>
      </c>
      <c r="B671" s="11" t="s">
        <v>3880</v>
      </c>
      <c r="C671" s="11" t="s">
        <v>742</v>
      </c>
      <c r="D671" s="11" t="s">
        <v>68</v>
      </c>
      <c r="E671" s="12">
        <v>46257.0</v>
      </c>
      <c r="F671" s="12">
        <v>46288.0</v>
      </c>
      <c r="G671" s="11" t="s">
        <v>3881</v>
      </c>
      <c r="H671" s="11">
        <v>9.125780518E9</v>
      </c>
      <c r="I671" s="11" t="s">
        <v>70</v>
      </c>
      <c r="J671" s="11" t="s">
        <v>71</v>
      </c>
      <c r="K671" s="11" t="s">
        <v>110</v>
      </c>
      <c r="L671" s="11" t="s">
        <v>73</v>
      </c>
      <c r="M671" s="11" t="s">
        <v>3882</v>
      </c>
      <c r="N671" s="11" t="s">
        <v>75</v>
      </c>
      <c r="O671" s="11" t="s">
        <v>71</v>
      </c>
      <c r="P671" s="11" t="s">
        <v>3883</v>
      </c>
      <c r="Q671" s="13" t="s">
        <v>3884</v>
      </c>
      <c r="R671" s="14" t="str">
        <f>HYPERLINK("https://drive.google.com/file/d/1JcBhDmgauOTZegAfr-J5hx13HaSDRofm/view?usp=drivesdk","OFFER LETTER")</f>
        <v>OFFER LETTER</v>
      </c>
      <c r="S671" s="11" t="s">
        <v>3885</v>
      </c>
    </row>
    <row r="672" ht="22.5" customHeight="1">
      <c r="A672" s="10">
        <v>46258.88468429398</v>
      </c>
      <c r="B672" s="11" t="s">
        <v>3886</v>
      </c>
      <c r="C672" s="11" t="s">
        <v>128</v>
      </c>
      <c r="D672" s="11" t="s">
        <v>929</v>
      </c>
      <c r="E672" s="12">
        <v>46258.0</v>
      </c>
      <c r="F672" s="12">
        <v>46442.0</v>
      </c>
      <c r="G672" s="11" t="s">
        <v>3887</v>
      </c>
      <c r="H672" s="11">
        <v>8.87486092E8</v>
      </c>
      <c r="I672" s="11" t="s">
        <v>82</v>
      </c>
      <c r="J672" s="11" t="s">
        <v>71</v>
      </c>
      <c r="K672" s="11" t="s">
        <v>110</v>
      </c>
      <c r="L672" s="11" t="s">
        <v>84</v>
      </c>
      <c r="M672" s="11" t="s">
        <v>3888</v>
      </c>
      <c r="N672" s="11" t="s">
        <v>241</v>
      </c>
      <c r="O672" s="11" t="s">
        <v>71</v>
      </c>
      <c r="P672" s="11" t="s">
        <v>3889</v>
      </c>
      <c r="Q672" s="13" t="s">
        <v>3890</v>
      </c>
      <c r="R672" s="14" t="str">
        <f>HYPERLINK("https://drive.google.com/file/d/1rUzFZ-3Vm7M_SbcRcujj7AanO5QY3JWx/view?usp=drivesdk","OFFER LETTER")</f>
        <v>OFFER LETTER</v>
      </c>
      <c r="S672" s="11" t="s">
        <v>3891</v>
      </c>
    </row>
    <row r="673" ht="22.5" customHeight="1">
      <c r="A673" s="10">
        <v>46258.88547175926</v>
      </c>
      <c r="B673" s="11" t="s">
        <v>3892</v>
      </c>
      <c r="C673" s="11" t="s">
        <v>107</v>
      </c>
      <c r="D673" s="11" t="s">
        <v>238</v>
      </c>
      <c r="E673" s="12">
        <v>46174.0</v>
      </c>
      <c r="F673" s="12">
        <v>46265.0</v>
      </c>
      <c r="G673" s="11" t="s">
        <v>3893</v>
      </c>
      <c r="H673" s="11" t="s">
        <v>3894</v>
      </c>
      <c r="I673" s="11" t="s">
        <v>82</v>
      </c>
      <c r="J673" s="11" t="s">
        <v>71</v>
      </c>
      <c r="K673" s="11" t="s">
        <v>72</v>
      </c>
      <c r="L673" s="11" t="s">
        <v>247</v>
      </c>
      <c r="M673" s="11" t="s">
        <v>3895</v>
      </c>
      <c r="N673" s="11" t="s">
        <v>198</v>
      </c>
      <c r="O673" s="11" t="s">
        <v>71</v>
      </c>
      <c r="P673" s="11" t="s">
        <v>3896</v>
      </c>
      <c r="Q673" s="13" t="s">
        <v>3897</v>
      </c>
      <c r="R673" s="14" t="str">
        <f>HYPERLINK("https://drive.google.com/file/d/1jvBiPGIoIH16IOnc90kIZkKtAOXjkfJS/view?usp=drivesdk","OFFER LETTER")</f>
        <v>OFFER LETTER</v>
      </c>
      <c r="S673" s="11" t="s">
        <v>3898</v>
      </c>
    </row>
    <row r="674" ht="22.5" customHeight="1">
      <c r="A674" s="10">
        <v>46258.887646828705</v>
      </c>
      <c r="B674" s="11" t="s">
        <v>3899</v>
      </c>
      <c r="C674" s="11" t="s">
        <v>2591</v>
      </c>
      <c r="D674" s="11" t="s">
        <v>68</v>
      </c>
      <c r="E674" s="12">
        <v>46266.0</v>
      </c>
      <c r="F674" s="12">
        <v>46295.0</v>
      </c>
      <c r="G674" s="11" t="s">
        <v>3900</v>
      </c>
      <c r="H674" s="11">
        <v>8.767358787E9</v>
      </c>
      <c r="I674" s="11" t="s">
        <v>70</v>
      </c>
      <c r="J674" s="11" t="s">
        <v>71</v>
      </c>
      <c r="K674" s="11" t="s">
        <v>72</v>
      </c>
      <c r="L674" s="11" t="s">
        <v>131</v>
      </c>
      <c r="M674" s="11" t="s">
        <v>3901</v>
      </c>
      <c r="N674" s="11" t="s">
        <v>241</v>
      </c>
      <c r="O674" s="11" t="s">
        <v>71</v>
      </c>
      <c r="P674" s="11" t="s">
        <v>3902</v>
      </c>
      <c r="Q674" s="13" t="s">
        <v>3903</v>
      </c>
      <c r="R674" s="14" t="str">
        <f>HYPERLINK("https://drive.google.com/file/d/16iDYIyGlf-vMdc-bun_W7kszdcZQH1iL/view?usp=drivesdk","OFFER LETTER")</f>
        <v>OFFER LETTER</v>
      </c>
      <c r="S674" s="11" t="s">
        <v>3904</v>
      </c>
    </row>
    <row r="675" ht="22.5" customHeight="1">
      <c r="A675" s="10">
        <v>46258.88952678241</v>
      </c>
      <c r="B675" s="11" t="s">
        <v>3187</v>
      </c>
      <c r="C675" s="11" t="s">
        <v>107</v>
      </c>
      <c r="D675" s="11" t="s">
        <v>238</v>
      </c>
      <c r="E675" s="12">
        <v>46260.0</v>
      </c>
      <c r="F675" s="12">
        <v>46352.0</v>
      </c>
      <c r="G675" s="11" t="s">
        <v>3188</v>
      </c>
      <c r="H675" s="11">
        <v>9.341620546E9</v>
      </c>
      <c r="I675" s="11" t="s">
        <v>82</v>
      </c>
      <c r="J675" s="11" t="s">
        <v>71</v>
      </c>
      <c r="K675" s="11" t="s">
        <v>72</v>
      </c>
      <c r="L675" s="11" t="s">
        <v>131</v>
      </c>
      <c r="M675" s="11" t="s">
        <v>3325</v>
      </c>
      <c r="N675" s="11" t="s">
        <v>241</v>
      </c>
      <c r="O675" s="11" t="s">
        <v>71</v>
      </c>
      <c r="P675" s="11" t="s">
        <v>3905</v>
      </c>
      <c r="Q675" s="13" t="s">
        <v>3906</v>
      </c>
      <c r="R675" s="14" t="str">
        <f>HYPERLINK("https://drive.google.com/file/d/1LFMWbwiaHCYnbRg1SDF7iOsrlMjzalEi/view?usp=drivesdk","OFFER LETTER")</f>
        <v>OFFER LETTER</v>
      </c>
      <c r="S675" s="11" t="s">
        <v>3907</v>
      </c>
    </row>
    <row r="676" ht="22.5" customHeight="1">
      <c r="A676" s="10">
        <v>46258.889681863424</v>
      </c>
      <c r="B676" s="11" t="s">
        <v>3908</v>
      </c>
      <c r="C676" s="11" t="s">
        <v>80</v>
      </c>
      <c r="D676" s="11" t="s">
        <v>108</v>
      </c>
      <c r="E676" s="12">
        <v>46204.0</v>
      </c>
      <c r="F676" s="12">
        <v>46265.0</v>
      </c>
      <c r="G676" s="11" t="s">
        <v>3909</v>
      </c>
      <c r="H676" s="11">
        <v>9.795429286E9</v>
      </c>
      <c r="I676" s="11" t="s">
        <v>82</v>
      </c>
      <c r="J676" s="11" t="s">
        <v>83</v>
      </c>
      <c r="K676" s="11" t="s">
        <v>72</v>
      </c>
      <c r="L676" s="11" t="s">
        <v>84</v>
      </c>
      <c r="M676" s="11" t="s">
        <v>3910</v>
      </c>
      <c r="N676" s="11" t="s">
        <v>75</v>
      </c>
      <c r="O676" s="11" t="s">
        <v>71</v>
      </c>
      <c r="P676" s="11" t="s">
        <v>3911</v>
      </c>
      <c r="Q676" s="13" t="s">
        <v>3912</v>
      </c>
      <c r="R676" s="14" t="str">
        <f>HYPERLINK("https://drive.google.com/file/d/1S39lyVs3MDI-8DTiaejd00jTKkiUTSMU/view?usp=drivesdk","OFFER LETTER")</f>
        <v>OFFER LETTER</v>
      </c>
      <c r="S676" s="11" t="s">
        <v>3913</v>
      </c>
    </row>
    <row r="677" ht="22.5" customHeight="1">
      <c r="A677" s="10">
        <v>46258.891381423615</v>
      </c>
      <c r="B677" s="11" t="s">
        <v>3914</v>
      </c>
      <c r="C677" s="11" t="s">
        <v>128</v>
      </c>
      <c r="D677" s="11" t="s">
        <v>68</v>
      </c>
      <c r="E677" s="12">
        <v>46258.0</v>
      </c>
      <c r="F677" s="12">
        <v>46289.0</v>
      </c>
      <c r="G677" s="11" t="s">
        <v>3915</v>
      </c>
      <c r="H677" s="11">
        <v>8.554955545E9</v>
      </c>
      <c r="I677" s="11" t="s">
        <v>70</v>
      </c>
      <c r="J677" s="11" t="s">
        <v>71</v>
      </c>
      <c r="K677" s="11" t="s">
        <v>167</v>
      </c>
      <c r="L677" s="11" t="s">
        <v>73</v>
      </c>
      <c r="M677" s="11" t="s">
        <v>3916</v>
      </c>
      <c r="N677" s="11" t="s">
        <v>241</v>
      </c>
      <c r="O677" s="11" t="s">
        <v>71</v>
      </c>
      <c r="P677" s="11" t="s">
        <v>3917</v>
      </c>
      <c r="Q677" s="13" t="s">
        <v>3918</v>
      </c>
      <c r="R677" s="14" t="str">
        <f>HYPERLINK("https://drive.google.com/file/d/1TZQHMpHFYEx-rAEPwYyFUKtJSC9eNd3W/view?usp=drivesdk","OFFER LETTER")</f>
        <v>OFFER LETTER</v>
      </c>
      <c r="S677" s="11" t="s">
        <v>3919</v>
      </c>
    </row>
    <row r="678" ht="22.5" customHeight="1">
      <c r="A678" s="10">
        <v>46258.89306777778</v>
      </c>
      <c r="B678" s="11" t="s">
        <v>3920</v>
      </c>
      <c r="C678" s="11" t="s">
        <v>91</v>
      </c>
      <c r="D678" s="11" t="s">
        <v>68</v>
      </c>
      <c r="E678" s="12">
        <v>46266.0</v>
      </c>
      <c r="F678" s="12">
        <v>46296.0</v>
      </c>
      <c r="G678" s="11" t="s">
        <v>3921</v>
      </c>
      <c r="H678" s="11">
        <v>9.890170994E9</v>
      </c>
      <c r="I678" s="11" t="s">
        <v>70</v>
      </c>
      <c r="J678" s="11" t="s">
        <v>71</v>
      </c>
      <c r="K678" s="11" t="s">
        <v>72</v>
      </c>
      <c r="L678" s="11" t="s">
        <v>84</v>
      </c>
      <c r="M678" s="11" t="s">
        <v>3922</v>
      </c>
      <c r="N678" s="11" t="s">
        <v>86</v>
      </c>
      <c r="O678" s="11" t="s">
        <v>71</v>
      </c>
      <c r="P678" s="11" t="s">
        <v>3923</v>
      </c>
      <c r="Q678" s="13" t="s">
        <v>3924</v>
      </c>
      <c r="R678" s="14" t="str">
        <f>HYPERLINK("https://drive.google.com/file/d/1-7G0pLe_-ZRIRJOF_p9boMNmTZeeMmEm/view?usp=drivesdk","OFFER LETTER")</f>
        <v>OFFER LETTER</v>
      </c>
      <c r="S678" s="11" t="s">
        <v>3925</v>
      </c>
    </row>
    <row r="679" ht="22.5" customHeight="1">
      <c r="A679" s="10">
        <v>46258.901728993056</v>
      </c>
      <c r="B679" s="11" t="s">
        <v>3926</v>
      </c>
      <c r="C679" s="11" t="s">
        <v>128</v>
      </c>
      <c r="D679" s="11" t="s">
        <v>68</v>
      </c>
      <c r="E679" s="12">
        <v>46258.0</v>
      </c>
      <c r="F679" s="12">
        <v>46289.0</v>
      </c>
      <c r="G679" s="11" t="s">
        <v>3927</v>
      </c>
      <c r="H679" s="11">
        <v>8.925233862E9</v>
      </c>
      <c r="I679" s="11" t="s">
        <v>70</v>
      </c>
      <c r="J679" s="11" t="s">
        <v>71</v>
      </c>
      <c r="K679" s="11" t="s">
        <v>167</v>
      </c>
      <c r="L679" s="11" t="s">
        <v>247</v>
      </c>
      <c r="M679" s="11" t="s">
        <v>3928</v>
      </c>
      <c r="N679" s="11" t="s">
        <v>226</v>
      </c>
      <c r="O679" s="11" t="s">
        <v>71</v>
      </c>
      <c r="P679" s="11" t="s">
        <v>3929</v>
      </c>
      <c r="Q679" s="13" t="s">
        <v>3930</v>
      </c>
      <c r="R679" s="14" t="str">
        <f>HYPERLINK("https://drive.google.com/file/d/1CzJDOysSXZBUXa-SVJGx4NqvgJmYrlxh/view?usp=drivesdk","OFFER LETTER")</f>
        <v>OFFER LETTER</v>
      </c>
      <c r="S679" s="11" t="s">
        <v>3931</v>
      </c>
    </row>
    <row r="680" ht="22.5" customHeight="1">
      <c r="A680" s="10">
        <v>46258.90919173611</v>
      </c>
      <c r="B680" s="11" t="s">
        <v>3932</v>
      </c>
      <c r="C680" s="11" t="s">
        <v>107</v>
      </c>
      <c r="D680" s="11" t="s">
        <v>68</v>
      </c>
      <c r="E680" s="12">
        <v>46165.0</v>
      </c>
      <c r="F680" s="12">
        <v>46196.0</v>
      </c>
      <c r="G680" s="11" t="s">
        <v>3933</v>
      </c>
      <c r="H680" s="11">
        <v>6.306476593E9</v>
      </c>
      <c r="I680" s="11" t="s">
        <v>82</v>
      </c>
      <c r="K680" s="11" t="s">
        <v>72</v>
      </c>
      <c r="L680" s="11" t="s">
        <v>131</v>
      </c>
      <c r="M680" s="11" t="s">
        <v>3934</v>
      </c>
      <c r="N680" s="11" t="s">
        <v>86</v>
      </c>
      <c r="O680" s="11" t="s">
        <v>71</v>
      </c>
      <c r="P680" s="11" t="s">
        <v>3935</v>
      </c>
      <c r="Q680" s="13" t="s">
        <v>3936</v>
      </c>
      <c r="R680" s="14" t="str">
        <f>HYPERLINK("https://drive.google.com/file/d/1F4D1wqABvPbQxJhKDxPf_dRqEOVBPzk0/view?usp=drivesdk","OFFER LETTER")</f>
        <v>OFFER LETTER</v>
      </c>
      <c r="S680" s="11" t="s">
        <v>3937</v>
      </c>
    </row>
    <row r="681" ht="22.5" customHeight="1">
      <c r="A681" s="10">
        <v>46258.910583310186</v>
      </c>
      <c r="B681" s="11" t="s">
        <v>3938</v>
      </c>
      <c r="C681" s="11" t="s">
        <v>195</v>
      </c>
      <c r="D681" s="11" t="s">
        <v>238</v>
      </c>
      <c r="E681" s="12">
        <v>46266.0</v>
      </c>
      <c r="F681" s="12">
        <v>46722.0</v>
      </c>
      <c r="G681" s="11" t="s">
        <v>3939</v>
      </c>
      <c r="H681" s="11">
        <v>7.892847073E9</v>
      </c>
      <c r="I681" s="11" t="s">
        <v>82</v>
      </c>
      <c r="J681" s="11" t="s">
        <v>71</v>
      </c>
      <c r="K681" s="11" t="s">
        <v>72</v>
      </c>
      <c r="L681" s="11" t="s">
        <v>131</v>
      </c>
      <c r="M681" s="11" t="s">
        <v>3940</v>
      </c>
      <c r="N681" s="11" t="s">
        <v>241</v>
      </c>
      <c r="O681" s="11" t="s">
        <v>71</v>
      </c>
      <c r="P681" s="11" t="s">
        <v>3941</v>
      </c>
      <c r="Q681" s="13" t="s">
        <v>3942</v>
      </c>
      <c r="R681" s="14" t="str">
        <f>HYPERLINK("https://drive.google.com/file/d/1lkTnU1a8vwKRMsv-qPtxiJgXJ3_qqlxp/view?usp=drivesdk","OFFER LETTER")</f>
        <v>OFFER LETTER</v>
      </c>
      <c r="S681" s="11" t="s">
        <v>3943</v>
      </c>
    </row>
    <row r="682" ht="22.5" customHeight="1">
      <c r="A682" s="10">
        <v>46258.916636608796</v>
      </c>
      <c r="B682" s="11" t="s">
        <v>2469</v>
      </c>
      <c r="C682" s="11" t="s">
        <v>237</v>
      </c>
      <c r="D682" s="11" t="s">
        <v>108</v>
      </c>
      <c r="E682" s="12">
        <v>46260.0</v>
      </c>
      <c r="F682" s="12">
        <v>46321.0</v>
      </c>
      <c r="G682" s="11" t="s">
        <v>2470</v>
      </c>
      <c r="H682" s="11">
        <v>9.022992239E9</v>
      </c>
      <c r="I682" s="11" t="s">
        <v>82</v>
      </c>
      <c r="J682" s="11" t="s">
        <v>71</v>
      </c>
      <c r="K682" s="11" t="s">
        <v>72</v>
      </c>
      <c r="L682" s="11" t="s">
        <v>131</v>
      </c>
      <c r="M682" s="11" t="s">
        <v>2499</v>
      </c>
      <c r="N682" s="11" t="s">
        <v>262</v>
      </c>
      <c r="O682" s="11" t="s">
        <v>71</v>
      </c>
      <c r="P682" s="11" t="s">
        <v>3944</v>
      </c>
      <c r="Q682" s="13" t="s">
        <v>3945</v>
      </c>
      <c r="R682" s="14" t="str">
        <f>HYPERLINK("https://drive.google.com/file/d/1Ir5bXpbqp9FQGIRpRvtrcfI6kY52jzeS/view?usp=drivesdk","OFFER LETTER")</f>
        <v>OFFER LETTER</v>
      </c>
      <c r="S682" s="11" t="s">
        <v>3946</v>
      </c>
    </row>
    <row r="683" ht="22.5" customHeight="1">
      <c r="A683" s="10">
        <v>46258.91745204861</v>
      </c>
      <c r="B683" s="11" t="s">
        <v>3947</v>
      </c>
      <c r="C683" s="11" t="s">
        <v>195</v>
      </c>
      <c r="D683" s="11" t="s">
        <v>68</v>
      </c>
      <c r="E683" s="12">
        <v>46258.0</v>
      </c>
      <c r="F683" s="12">
        <v>46258.0</v>
      </c>
      <c r="G683" s="11" t="s">
        <v>3948</v>
      </c>
      <c r="H683" s="11">
        <v>9.347375496E9</v>
      </c>
      <c r="I683" s="11" t="s">
        <v>70</v>
      </c>
      <c r="J683" s="11" t="s">
        <v>71</v>
      </c>
      <c r="K683" s="11" t="s">
        <v>110</v>
      </c>
      <c r="L683" s="11" t="s">
        <v>73</v>
      </c>
      <c r="M683" s="11" t="s">
        <v>3949</v>
      </c>
      <c r="N683" s="11" t="s">
        <v>86</v>
      </c>
      <c r="O683" s="11" t="s">
        <v>71</v>
      </c>
      <c r="P683" s="11" t="s">
        <v>3950</v>
      </c>
      <c r="Q683" s="13" t="s">
        <v>3951</v>
      </c>
      <c r="R683" s="14" t="str">
        <f>HYPERLINK("https://drive.google.com/file/d/1QXeD3jC_SLobSxU6X1iqjzm3ErbWVUqq/view?usp=drivesdk","OFFER LETTER")</f>
        <v>OFFER LETTER</v>
      </c>
      <c r="S683" s="11" t="s">
        <v>3952</v>
      </c>
    </row>
    <row r="684" ht="22.5" customHeight="1">
      <c r="A684" s="10">
        <v>46258.92055002315</v>
      </c>
      <c r="B684" s="11" t="s">
        <v>2788</v>
      </c>
      <c r="C684" s="11" t="s">
        <v>298</v>
      </c>
      <c r="D684" s="11" t="s">
        <v>108</v>
      </c>
      <c r="E684" s="12">
        <v>46259.0</v>
      </c>
      <c r="F684" s="12">
        <v>46320.0</v>
      </c>
      <c r="G684" s="11" t="s">
        <v>2789</v>
      </c>
      <c r="H684" s="11">
        <v>9.032955903E9</v>
      </c>
      <c r="I684" s="11" t="s">
        <v>70</v>
      </c>
      <c r="J684" s="11" t="s">
        <v>71</v>
      </c>
      <c r="K684" s="11" t="s">
        <v>72</v>
      </c>
      <c r="L684" s="11" t="s">
        <v>73</v>
      </c>
      <c r="M684" s="11" t="s">
        <v>2790</v>
      </c>
      <c r="N684" s="11" t="s">
        <v>86</v>
      </c>
      <c r="O684" s="11" t="s">
        <v>71</v>
      </c>
      <c r="P684" s="11" t="s">
        <v>3953</v>
      </c>
      <c r="Q684" s="13" t="s">
        <v>3954</v>
      </c>
      <c r="R684" s="14" t="str">
        <f>HYPERLINK("https://drive.google.com/file/d/1KfRWlwtk88_QqOHYfSyRsW89_kvJwU2m/view?usp=drivesdk","OFFER LETTER")</f>
        <v>OFFER LETTER</v>
      </c>
      <c r="S684" s="11" t="s">
        <v>3955</v>
      </c>
    </row>
    <row r="685" ht="22.5" customHeight="1">
      <c r="A685" s="10">
        <v>46258.9312702662</v>
      </c>
      <c r="B685" s="11" t="s">
        <v>3956</v>
      </c>
      <c r="C685" s="11" t="s">
        <v>354</v>
      </c>
      <c r="D685" s="11" t="s">
        <v>108</v>
      </c>
      <c r="E685" s="12">
        <v>46258.0</v>
      </c>
      <c r="F685" s="12">
        <v>46319.0</v>
      </c>
      <c r="G685" s="11" t="s">
        <v>3957</v>
      </c>
      <c r="H685" s="11">
        <v>6.304581707E9</v>
      </c>
      <c r="I685" s="11" t="s">
        <v>82</v>
      </c>
      <c r="J685" s="11" t="s">
        <v>71</v>
      </c>
      <c r="K685" s="11" t="s">
        <v>72</v>
      </c>
      <c r="L685" s="11" t="s">
        <v>131</v>
      </c>
      <c r="M685" s="11" t="s">
        <v>2883</v>
      </c>
      <c r="N685" s="11" t="s">
        <v>75</v>
      </c>
      <c r="O685" s="11" t="s">
        <v>71</v>
      </c>
      <c r="P685" s="11" t="s">
        <v>3958</v>
      </c>
      <c r="Q685" s="13" t="s">
        <v>3959</v>
      </c>
      <c r="R685" s="14" t="str">
        <f>HYPERLINK("https://drive.google.com/file/d/1t7dlhl2yLfcYQadzx2uRC6OJUK1cL4I9/view?usp=drivesdk","OFFER LETTER")</f>
        <v>OFFER LETTER</v>
      </c>
      <c r="S685" s="11" t="s">
        <v>3960</v>
      </c>
    </row>
    <row r="686" ht="22.5" customHeight="1">
      <c r="A686" s="10">
        <v>46258.932415717594</v>
      </c>
      <c r="B686" s="11" t="s">
        <v>2415</v>
      </c>
      <c r="C686" s="11" t="s">
        <v>128</v>
      </c>
      <c r="D686" s="11" t="s">
        <v>68</v>
      </c>
      <c r="E686" s="12">
        <v>46257.0</v>
      </c>
      <c r="F686" s="12">
        <v>46256.0</v>
      </c>
      <c r="G686" s="11" t="s">
        <v>2416</v>
      </c>
      <c r="H686" s="17" t="s">
        <v>3961</v>
      </c>
      <c r="I686" s="11" t="s">
        <v>70</v>
      </c>
      <c r="J686" s="11" t="s">
        <v>71</v>
      </c>
      <c r="K686" s="11" t="s">
        <v>356</v>
      </c>
      <c r="L686" s="11" t="s">
        <v>84</v>
      </c>
      <c r="M686" s="11" t="s">
        <v>3962</v>
      </c>
      <c r="N686" s="11" t="s">
        <v>1641</v>
      </c>
      <c r="O686" s="11" t="s">
        <v>71</v>
      </c>
      <c r="P686" s="11" t="s">
        <v>3963</v>
      </c>
      <c r="Q686" s="13" t="s">
        <v>3964</v>
      </c>
      <c r="R686" s="14" t="str">
        <f>HYPERLINK("https://drive.google.com/file/d/1L9kZbbTzcATGY0Um9hOggYtQkPjOWYyE/view?usp=drivesdk","OFFER LETTER")</f>
        <v>OFFER LETTER</v>
      </c>
      <c r="S686" s="11" t="s">
        <v>3965</v>
      </c>
    </row>
    <row r="687" ht="22.5" customHeight="1">
      <c r="A687" s="10">
        <v>46258.93341564815</v>
      </c>
      <c r="B687" s="11" t="s">
        <v>3966</v>
      </c>
      <c r="C687" s="11" t="s">
        <v>195</v>
      </c>
      <c r="D687" s="11" t="s">
        <v>68</v>
      </c>
      <c r="E687" s="12">
        <v>46258.0</v>
      </c>
      <c r="F687" s="12">
        <v>46258.0</v>
      </c>
      <c r="G687" s="11" t="s">
        <v>3967</v>
      </c>
      <c r="H687" s="11">
        <v>8.755812048E9</v>
      </c>
      <c r="I687" s="11" t="s">
        <v>82</v>
      </c>
      <c r="J687" s="11" t="s">
        <v>71</v>
      </c>
      <c r="K687" s="11" t="s">
        <v>72</v>
      </c>
      <c r="L687" s="11" t="s">
        <v>247</v>
      </c>
      <c r="M687" s="11" t="s">
        <v>3968</v>
      </c>
      <c r="N687" s="11" t="s">
        <v>75</v>
      </c>
      <c r="O687" s="11" t="s">
        <v>71</v>
      </c>
      <c r="P687" s="11" t="s">
        <v>3969</v>
      </c>
      <c r="Q687" s="13" t="s">
        <v>3970</v>
      </c>
      <c r="R687" s="14" t="str">
        <f>HYPERLINK("https://drive.google.com/file/d/1oNWUGA1GPqGN3Z9o0lZZPZ86zCk36AvM/view?usp=drivesdk","OFFER LETTER")</f>
        <v>OFFER LETTER</v>
      </c>
      <c r="S687" s="11" t="s">
        <v>3971</v>
      </c>
    </row>
    <row r="688" ht="22.5" customHeight="1">
      <c r="A688" s="10">
        <v>46258.93809112268</v>
      </c>
      <c r="B688" s="11" t="s">
        <v>3972</v>
      </c>
      <c r="C688" s="11" t="s">
        <v>128</v>
      </c>
      <c r="D688" s="11" t="s">
        <v>68</v>
      </c>
      <c r="E688" s="12">
        <v>46188.0</v>
      </c>
      <c r="F688" s="12">
        <v>46218.0</v>
      </c>
      <c r="G688" s="11" t="s">
        <v>3973</v>
      </c>
      <c r="H688" s="11">
        <v>7.017161519E9</v>
      </c>
      <c r="I688" s="11" t="s">
        <v>82</v>
      </c>
      <c r="J688" s="11" t="s">
        <v>71</v>
      </c>
      <c r="K688" s="11" t="s">
        <v>72</v>
      </c>
      <c r="L688" s="11" t="s">
        <v>131</v>
      </c>
      <c r="M688" s="11" t="s">
        <v>2327</v>
      </c>
      <c r="N688" s="11" t="s">
        <v>86</v>
      </c>
      <c r="O688" s="11" t="s">
        <v>71</v>
      </c>
      <c r="P688" s="11" t="s">
        <v>3974</v>
      </c>
      <c r="Q688" s="13" t="s">
        <v>3975</v>
      </c>
      <c r="R688" s="14" t="str">
        <f>HYPERLINK("https://drive.google.com/file/d/1EBl-xhpgMF5Wm1NJdS4GtvwwHOHvGoq0/view?usp=drivesdk","OFFER LETTER")</f>
        <v>OFFER LETTER</v>
      </c>
      <c r="S688" s="11" t="s">
        <v>3976</v>
      </c>
    </row>
    <row r="689" ht="22.5" customHeight="1">
      <c r="A689" s="10">
        <v>46258.93865016203</v>
      </c>
      <c r="B689" s="11" t="s">
        <v>3977</v>
      </c>
      <c r="C689" s="11" t="s">
        <v>80</v>
      </c>
      <c r="D689" s="11" t="s">
        <v>68</v>
      </c>
      <c r="E689" s="12">
        <v>46258.0</v>
      </c>
      <c r="F689" s="12">
        <v>46289.0</v>
      </c>
      <c r="G689" s="11" t="s">
        <v>3978</v>
      </c>
      <c r="H689" s="11" t="s">
        <v>3979</v>
      </c>
      <c r="I689" s="11" t="s">
        <v>70</v>
      </c>
      <c r="J689" s="11" t="s">
        <v>71</v>
      </c>
      <c r="K689" s="11" t="s">
        <v>72</v>
      </c>
      <c r="L689" s="11" t="s">
        <v>357</v>
      </c>
      <c r="M689" s="11" t="s">
        <v>3980</v>
      </c>
      <c r="N689" s="11" t="s">
        <v>198</v>
      </c>
      <c r="O689" s="11" t="s">
        <v>71</v>
      </c>
      <c r="P689" s="11" t="s">
        <v>3981</v>
      </c>
      <c r="Q689" s="13" t="s">
        <v>3982</v>
      </c>
      <c r="R689" s="14" t="str">
        <f>HYPERLINK("https://drive.google.com/file/d/1oOzERdxwCjf3mRsr-UYqFw-28vSY6dJ7/view?usp=drivesdk","OFFER LETTER")</f>
        <v>OFFER LETTER</v>
      </c>
      <c r="S689" s="11" t="s">
        <v>3983</v>
      </c>
    </row>
    <row r="690" ht="22.5" customHeight="1">
      <c r="A690" s="10">
        <v>46258.94175170139</v>
      </c>
      <c r="B690" s="11" t="s">
        <v>3984</v>
      </c>
      <c r="C690" s="11" t="s">
        <v>91</v>
      </c>
      <c r="D690" s="11" t="s">
        <v>68</v>
      </c>
      <c r="E690" s="12">
        <v>46227.0</v>
      </c>
      <c r="F690" s="12">
        <v>46258.0</v>
      </c>
      <c r="G690" s="11" t="s">
        <v>3985</v>
      </c>
      <c r="H690" s="11">
        <v>6.30255636E9</v>
      </c>
      <c r="I690" s="11" t="s">
        <v>70</v>
      </c>
      <c r="J690" s="11" t="s">
        <v>71</v>
      </c>
      <c r="K690" s="11" t="s">
        <v>72</v>
      </c>
      <c r="L690" s="11" t="s">
        <v>84</v>
      </c>
      <c r="M690" s="11" t="s">
        <v>3986</v>
      </c>
      <c r="N690" s="11" t="s">
        <v>226</v>
      </c>
      <c r="O690" s="11" t="s">
        <v>71</v>
      </c>
      <c r="P690" s="11" t="s">
        <v>3987</v>
      </c>
      <c r="Q690" s="13" t="s">
        <v>3988</v>
      </c>
      <c r="R690" s="14" t="str">
        <f>HYPERLINK("https://drive.google.com/file/d/1lxpSI_1AxraC_BdFcqX-p-45fYgY1tE3/view?usp=drivesdk","OFFER LETTER")</f>
        <v>OFFER LETTER</v>
      </c>
      <c r="S690" s="11" t="s">
        <v>3989</v>
      </c>
    </row>
    <row r="691" ht="22.5" customHeight="1">
      <c r="A691" s="10">
        <v>46258.942698252315</v>
      </c>
      <c r="B691" s="11" t="s">
        <v>3990</v>
      </c>
      <c r="C691" s="11" t="s">
        <v>80</v>
      </c>
      <c r="D691" s="11" t="s">
        <v>68</v>
      </c>
      <c r="E691" s="12">
        <v>46258.0</v>
      </c>
      <c r="F691" s="12">
        <v>46289.0</v>
      </c>
      <c r="G691" s="11" t="s">
        <v>3978</v>
      </c>
      <c r="H691" s="11">
        <v>8.497042755E9</v>
      </c>
      <c r="I691" s="11" t="s">
        <v>70</v>
      </c>
      <c r="J691" s="11" t="s">
        <v>71</v>
      </c>
      <c r="K691" s="11" t="s">
        <v>72</v>
      </c>
      <c r="L691" s="11" t="s">
        <v>131</v>
      </c>
      <c r="M691" s="11" t="s">
        <v>3980</v>
      </c>
      <c r="N691" s="11" t="s">
        <v>198</v>
      </c>
      <c r="O691" s="11" t="s">
        <v>71</v>
      </c>
      <c r="P691" s="11" t="s">
        <v>3991</v>
      </c>
      <c r="Q691" s="13" t="s">
        <v>3992</v>
      </c>
      <c r="R691" s="14" t="str">
        <f>HYPERLINK("https://drive.google.com/file/d/13Vj3Yx6QtO1fGKVIlPR7Xo9A2RRxL6Zn/view?usp=drivesdk","OFFER LETTER")</f>
        <v>OFFER LETTER</v>
      </c>
      <c r="S691" s="11" t="s">
        <v>3993</v>
      </c>
    </row>
    <row r="692" ht="22.5" customHeight="1">
      <c r="A692" s="10">
        <v>46258.945250115736</v>
      </c>
      <c r="B692" s="11" t="s">
        <v>3994</v>
      </c>
      <c r="C692" s="11" t="s">
        <v>354</v>
      </c>
      <c r="D692" s="11" t="s">
        <v>108</v>
      </c>
      <c r="E692" s="12">
        <v>46252.0</v>
      </c>
      <c r="F692" s="12">
        <v>46312.0</v>
      </c>
      <c r="G692" s="11" t="s">
        <v>3995</v>
      </c>
      <c r="H692" s="17" t="s">
        <v>3996</v>
      </c>
      <c r="I692" s="11" t="s">
        <v>82</v>
      </c>
      <c r="J692" s="11" t="s">
        <v>71</v>
      </c>
      <c r="K692" s="11" t="s">
        <v>72</v>
      </c>
      <c r="L692" s="11" t="s">
        <v>131</v>
      </c>
      <c r="M692" s="11" t="s">
        <v>3997</v>
      </c>
      <c r="N692" s="11" t="s">
        <v>86</v>
      </c>
      <c r="O692" s="11" t="s">
        <v>71</v>
      </c>
      <c r="P692" s="11" t="s">
        <v>3998</v>
      </c>
      <c r="Q692" s="13" t="s">
        <v>3999</v>
      </c>
      <c r="R692" s="14" t="str">
        <f>HYPERLINK("https://drive.google.com/file/d/1Cq28nnDbH2Nr-2LHC7E959Y4aCw1nQyp/view?usp=drivesdk","OFFER LETTER")</f>
        <v>OFFER LETTER</v>
      </c>
      <c r="S692" s="11" t="s">
        <v>4000</v>
      </c>
    </row>
    <row r="693" ht="22.5" customHeight="1">
      <c r="A693" s="10">
        <v>46258.95226806713</v>
      </c>
      <c r="B693" s="11" t="s">
        <v>2415</v>
      </c>
      <c r="C693" s="11" t="s">
        <v>128</v>
      </c>
      <c r="D693" s="11" t="s">
        <v>68</v>
      </c>
      <c r="E693" s="12">
        <v>46235.0</v>
      </c>
      <c r="F693" s="12">
        <v>46266.0</v>
      </c>
      <c r="G693" s="11" t="s">
        <v>2416</v>
      </c>
      <c r="H693" s="17" t="s">
        <v>3961</v>
      </c>
      <c r="I693" s="11" t="s">
        <v>70</v>
      </c>
      <c r="J693" s="11" t="s">
        <v>71</v>
      </c>
      <c r="K693" s="11" t="s">
        <v>356</v>
      </c>
      <c r="L693" s="11" t="s">
        <v>84</v>
      </c>
      <c r="M693" s="11" t="s">
        <v>3562</v>
      </c>
      <c r="N693" s="11" t="s">
        <v>4001</v>
      </c>
      <c r="O693" s="11" t="s">
        <v>71</v>
      </c>
      <c r="P693" s="11" t="s">
        <v>4002</v>
      </c>
      <c r="Q693" s="13" t="s">
        <v>4003</v>
      </c>
      <c r="R693" s="14" t="str">
        <f>HYPERLINK("https://drive.google.com/file/d/1I72r4QkpXOwKF8bllOI4fadKnqcbvZX9/view?usp=drivesdk","OFFER LETTER")</f>
        <v>OFFER LETTER</v>
      </c>
      <c r="S693" s="11" t="s">
        <v>4004</v>
      </c>
    </row>
    <row r="694" ht="22.5" customHeight="1">
      <c r="A694" s="10">
        <v>46258.954255034725</v>
      </c>
      <c r="B694" s="11" t="s">
        <v>4005</v>
      </c>
      <c r="C694" s="11" t="s">
        <v>259</v>
      </c>
      <c r="D694" s="11" t="s">
        <v>68</v>
      </c>
      <c r="E694" s="12">
        <v>46198.0</v>
      </c>
      <c r="F694" s="12">
        <v>46228.0</v>
      </c>
      <c r="G694" s="13" t="s">
        <v>4006</v>
      </c>
      <c r="H694" s="11">
        <v>9.818643992E9</v>
      </c>
      <c r="I694" s="11" t="s">
        <v>70</v>
      </c>
      <c r="J694" s="11" t="s">
        <v>71</v>
      </c>
      <c r="K694" s="11" t="s">
        <v>72</v>
      </c>
      <c r="L694" s="11" t="s">
        <v>73</v>
      </c>
      <c r="M694" s="11" t="s">
        <v>4007</v>
      </c>
      <c r="N694" s="11" t="s">
        <v>75</v>
      </c>
      <c r="O694" s="11" t="s">
        <v>71</v>
      </c>
      <c r="P694" s="11" t="s">
        <v>4008</v>
      </c>
      <c r="Q694" s="13" t="s">
        <v>4009</v>
      </c>
      <c r="R694" s="14" t="str">
        <f>HYPERLINK("https://drive.google.com/file/d/1FoPCK5Um9lQl9moSjQwK_Etu3pnnZwmc/view?usp=drivesdk","OFFER LETTER")</f>
        <v>OFFER LETTER</v>
      </c>
      <c r="S694" s="11" t="s">
        <v>4010</v>
      </c>
    </row>
    <row r="695" ht="22.5" customHeight="1">
      <c r="A695" s="10">
        <v>46258.961385393515</v>
      </c>
      <c r="B695" s="11" t="s">
        <v>4011</v>
      </c>
      <c r="C695" s="11" t="s">
        <v>195</v>
      </c>
      <c r="D695" s="11" t="s">
        <v>68</v>
      </c>
      <c r="E695" s="12">
        <v>46266.0</v>
      </c>
      <c r="F695" s="12">
        <v>46296.0</v>
      </c>
      <c r="G695" s="11" t="s">
        <v>4012</v>
      </c>
      <c r="H695" s="11">
        <v>9.360940867E9</v>
      </c>
      <c r="I695" s="11" t="s">
        <v>70</v>
      </c>
      <c r="J695" s="11" t="s">
        <v>71</v>
      </c>
      <c r="K695" s="11" t="s">
        <v>72</v>
      </c>
      <c r="L695" s="11" t="s">
        <v>247</v>
      </c>
      <c r="M695" s="11" t="s">
        <v>4013</v>
      </c>
      <c r="N695" s="11" t="s">
        <v>75</v>
      </c>
      <c r="O695" s="11" t="s">
        <v>71</v>
      </c>
      <c r="P695" s="11" t="s">
        <v>4014</v>
      </c>
      <c r="Q695" s="13" t="s">
        <v>4015</v>
      </c>
      <c r="R695" s="14" t="str">
        <f>HYPERLINK("https://drive.google.com/file/d/1b6RnzOkKvPlQQ-XpmEfJjvw5FfjJToMJ/view?usp=drivesdk","OFFER LETTER")</f>
        <v>OFFER LETTER</v>
      </c>
      <c r="S695" s="11" t="s">
        <v>4016</v>
      </c>
    </row>
    <row r="696" ht="22.5" customHeight="1">
      <c r="A696" s="10">
        <v>46258.962089837965</v>
      </c>
      <c r="B696" s="11" t="s">
        <v>4017</v>
      </c>
      <c r="C696" s="11" t="s">
        <v>195</v>
      </c>
      <c r="D696" s="11" t="s">
        <v>68</v>
      </c>
      <c r="E696" s="12">
        <v>46180.0</v>
      </c>
      <c r="F696" s="12">
        <v>46181.0</v>
      </c>
      <c r="G696" s="11" t="s">
        <v>4018</v>
      </c>
      <c r="H696" s="11">
        <v>7.006913946E9</v>
      </c>
      <c r="I696" s="11" t="s">
        <v>82</v>
      </c>
      <c r="J696" s="11" t="s">
        <v>71</v>
      </c>
      <c r="K696" s="11" t="s">
        <v>72</v>
      </c>
      <c r="L696" s="11" t="s">
        <v>73</v>
      </c>
      <c r="M696" s="11" t="s">
        <v>4019</v>
      </c>
      <c r="N696" s="11" t="s">
        <v>630</v>
      </c>
      <c r="O696" s="11" t="s">
        <v>71</v>
      </c>
      <c r="P696" s="11" t="s">
        <v>4020</v>
      </c>
      <c r="Q696" s="13" t="s">
        <v>4021</v>
      </c>
      <c r="R696" s="14" t="str">
        <f>HYPERLINK("https://drive.google.com/file/d/1XLgM2a2gsVyc9TRsnU2Dq-DB7s29Ewl1/view?usp=drivesdk","OFFER LETTER")</f>
        <v>OFFER LETTER</v>
      </c>
      <c r="S696" s="11" t="s">
        <v>4022</v>
      </c>
    </row>
    <row r="697" ht="22.5" customHeight="1">
      <c r="A697" s="10">
        <v>46258.96396076389</v>
      </c>
      <c r="B697" s="11" t="s">
        <v>4023</v>
      </c>
      <c r="C697" s="11" t="s">
        <v>259</v>
      </c>
      <c r="D697" s="11" t="s">
        <v>68</v>
      </c>
      <c r="E697" s="12">
        <v>46259.0</v>
      </c>
      <c r="F697" s="12">
        <v>46290.0</v>
      </c>
      <c r="G697" s="11" t="s">
        <v>4024</v>
      </c>
      <c r="H697" s="11">
        <v>9.671960494E9</v>
      </c>
      <c r="I697" s="11" t="s">
        <v>70</v>
      </c>
      <c r="J697" s="11" t="s">
        <v>71</v>
      </c>
      <c r="K697" s="11" t="s">
        <v>72</v>
      </c>
      <c r="L697" s="11" t="s">
        <v>84</v>
      </c>
      <c r="M697" s="11" t="s">
        <v>4025</v>
      </c>
      <c r="N697" s="11" t="s">
        <v>198</v>
      </c>
      <c r="O697" s="11" t="s">
        <v>71</v>
      </c>
      <c r="P697" s="11" t="s">
        <v>4026</v>
      </c>
      <c r="Q697" s="13" t="s">
        <v>4027</v>
      </c>
      <c r="R697" s="14" t="str">
        <f>HYPERLINK("https://drive.google.com/file/d/1pOX5ZoMqqEuV75lZxPbNZ8fMZj4i6wKk/view?usp=drivesdk","OFFER LETTER")</f>
        <v>OFFER LETTER</v>
      </c>
      <c r="S697" s="11" t="s">
        <v>4028</v>
      </c>
    </row>
    <row r="698" ht="22.5" customHeight="1">
      <c r="A698" s="10">
        <v>46258.96565806713</v>
      </c>
      <c r="B698" s="11" t="s">
        <v>4029</v>
      </c>
      <c r="C698" s="11" t="s">
        <v>237</v>
      </c>
      <c r="D698" s="11" t="s">
        <v>68</v>
      </c>
      <c r="E698" s="12">
        <v>46259.0</v>
      </c>
      <c r="F698" s="12">
        <v>46290.0</v>
      </c>
      <c r="G698" s="11" t="s">
        <v>4030</v>
      </c>
      <c r="H698" s="11">
        <v>9.52991735E9</v>
      </c>
      <c r="I698" s="11" t="s">
        <v>70</v>
      </c>
      <c r="J698" s="11" t="s">
        <v>71</v>
      </c>
      <c r="K698" s="11" t="s">
        <v>72</v>
      </c>
      <c r="L698" s="11" t="s">
        <v>73</v>
      </c>
      <c r="M698" s="11" t="s">
        <v>4031</v>
      </c>
      <c r="N698" s="11" t="s">
        <v>936</v>
      </c>
      <c r="O698" s="11" t="s">
        <v>71</v>
      </c>
      <c r="P698" s="11" t="s">
        <v>4032</v>
      </c>
      <c r="Q698" s="13" t="s">
        <v>4033</v>
      </c>
      <c r="R698" s="14" t="str">
        <f>HYPERLINK("https://drive.google.com/file/d/1n9AHPrHwUO79w63fdrIXFNVa2bBJ_DiC/view?usp=drivesdk","OFFER LETTER")</f>
        <v>OFFER LETTER</v>
      </c>
      <c r="S698" s="11" t="s">
        <v>4034</v>
      </c>
    </row>
    <row r="699" ht="22.5" customHeight="1">
      <c r="A699" s="10">
        <v>46258.975153321764</v>
      </c>
      <c r="B699" s="11" t="s">
        <v>4017</v>
      </c>
      <c r="C699" s="11" t="s">
        <v>195</v>
      </c>
      <c r="D699" s="11" t="s">
        <v>68</v>
      </c>
      <c r="E699" s="12">
        <v>46180.0</v>
      </c>
      <c r="F699" s="12">
        <v>46181.0</v>
      </c>
      <c r="G699" s="11" t="s">
        <v>4018</v>
      </c>
      <c r="H699" s="11">
        <v>7.006913946E9</v>
      </c>
      <c r="I699" s="11" t="s">
        <v>82</v>
      </c>
      <c r="J699" s="11" t="s">
        <v>71</v>
      </c>
      <c r="K699" s="11" t="s">
        <v>72</v>
      </c>
      <c r="L699" s="11" t="s">
        <v>73</v>
      </c>
      <c r="M699" s="11" t="s">
        <v>4035</v>
      </c>
      <c r="N699" s="11" t="s">
        <v>86</v>
      </c>
      <c r="O699" s="11" t="s">
        <v>71</v>
      </c>
      <c r="P699" s="11" t="s">
        <v>4036</v>
      </c>
      <c r="Q699" s="13" t="s">
        <v>4037</v>
      </c>
      <c r="R699" s="14" t="str">
        <f>HYPERLINK("https://drive.google.com/file/d/1fG6FtIWt0-1HbUOB-GXjNSB3edVMZWS_/view?usp=drivesdk","OFFER LETTER")</f>
        <v>OFFER LETTER</v>
      </c>
      <c r="S699" s="11" t="s">
        <v>4038</v>
      </c>
    </row>
    <row r="700" ht="22.5" customHeight="1">
      <c r="A700" s="10">
        <v>46258.98270471065</v>
      </c>
      <c r="B700" s="11" t="s">
        <v>4039</v>
      </c>
      <c r="C700" s="11" t="s">
        <v>91</v>
      </c>
      <c r="D700" s="11" t="s">
        <v>929</v>
      </c>
      <c r="E700" s="12">
        <v>46256.0</v>
      </c>
      <c r="F700" s="12">
        <v>46440.0</v>
      </c>
      <c r="G700" s="11" t="s">
        <v>4040</v>
      </c>
      <c r="H700" s="11">
        <v>8.780590521E9</v>
      </c>
      <c r="I700" s="11" t="s">
        <v>82</v>
      </c>
      <c r="J700" s="11" t="s">
        <v>71</v>
      </c>
      <c r="K700" s="11" t="s">
        <v>72</v>
      </c>
      <c r="L700" s="11" t="s">
        <v>131</v>
      </c>
      <c r="M700" s="11" t="s">
        <v>4041</v>
      </c>
      <c r="N700" s="11" t="s">
        <v>155</v>
      </c>
      <c r="O700" s="11" t="s">
        <v>71</v>
      </c>
      <c r="P700" s="11" t="s">
        <v>4042</v>
      </c>
      <c r="Q700" s="13" t="s">
        <v>4043</v>
      </c>
      <c r="R700" s="14" t="str">
        <f>HYPERLINK("https://drive.google.com/file/d/1ELyzrPoybgQ7voBN4gTBkZ4Fj52w4aMw/view?usp=drivesdk","OFFER LETTER")</f>
        <v>OFFER LETTER</v>
      </c>
      <c r="S700" s="11" t="s">
        <v>4044</v>
      </c>
    </row>
    <row r="701" ht="22.5" customHeight="1">
      <c r="A701" s="10">
        <v>46258.98509311343</v>
      </c>
      <c r="B701" s="11" t="s">
        <v>4045</v>
      </c>
      <c r="C701" s="11" t="s">
        <v>237</v>
      </c>
      <c r="D701" s="11" t="s">
        <v>238</v>
      </c>
      <c r="E701" s="12">
        <v>46260.0</v>
      </c>
      <c r="F701" s="12">
        <v>46352.0</v>
      </c>
      <c r="G701" s="11" t="s">
        <v>4046</v>
      </c>
      <c r="H701" s="11">
        <v>9.284131892E9</v>
      </c>
      <c r="I701" s="11" t="s">
        <v>70</v>
      </c>
      <c r="J701" s="11" t="s">
        <v>71</v>
      </c>
      <c r="K701" s="11" t="s">
        <v>72</v>
      </c>
      <c r="L701" s="11" t="s">
        <v>73</v>
      </c>
      <c r="M701" s="11" t="s">
        <v>4047</v>
      </c>
      <c r="N701" s="11" t="s">
        <v>86</v>
      </c>
      <c r="O701" s="11" t="s">
        <v>71</v>
      </c>
      <c r="P701" s="11" t="s">
        <v>4048</v>
      </c>
      <c r="Q701" s="13" t="s">
        <v>4049</v>
      </c>
      <c r="R701" s="14" t="str">
        <f>HYPERLINK("https://drive.google.com/file/d/1x6GHNV2VwC3JTcB4EUm8r3dtRUcb4EOI/view?usp=drivesdk","OFFER LETTER")</f>
        <v>OFFER LETTER</v>
      </c>
      <c r="S701" s="11" t="s">
        <v>4050</v>
      </c>
    </row>
    <row r="702" ht="22.5" customHeight="1">
      <c r="A702" s="10">
        <v>46259.0165621875</v>
      </c>
      <c r="B702" s="11" t="s">
        <v>4051</v>
      </c>
      <c r="C702" s="11" t="s">
        <v>195</v>
      </c>
      <c r="D702" s="11" t="s">
        <v>108</v>
      </c>
      <c r="E702" s="12">
        <v>46269.0</v>
      </c>
      <c r="F702" s="12">
        <v>46329.0</v>
      </c>
      <c r="G702" s="11" t="s">
        <v>4052</v>
      </c>
      <c r="H702" s="11">
        <v>9.699983674E9</v>
      </c>
      <c r="I702" s="11" t="s">
        <v>82</v>
      </c>
      <c r="J702" s="11" t="s">
        <v>71</v>
      </c>
      <c r="K702" s="11" t="s">
        <v>72</v>
      </c>
      <c r="L702" s="11" t="s">
        <v>73</v>
      </c>
      <c r="M702" s="11" t="s">
        <v>4053</v>
      </c>
      <c r="N702" s="11" t="s">
        <v>241</v>
      </c>
      <c r="O702" s="11" t="s">
        <v>71</v>
      </c>
      <c r="P702" s="11" t="s">
        <v>4054</v>
      </c>
      <c r="Q702" s="13" t="s">
        <v>4055</v>
      </c>
      <c r="R702" s="14" t="str">
        <f>HYPERLINK("https://drive.google.com/file/d/1GEKXme1yt4AxmpmznBCDGpkgWWJmv9Rp/view?usp=drivesdk","OFFER LETTER")</f>
        <v>OFFER LETTER</v>
      </c>
      <c r="S702" s="11" t="s">
        <v>4056</v>
      </c>
    </row>
    <row r="703" ht="22.5" customHeight="1">
      <c r="A703" s="10">
        <v>46259.018469849536</v>
      </c>
      <c r="B703" s="11" t="s">
        <v>4057</v>
      </c>
      <c r="C703" s="11" t="s">
        <v>128</v>
      </c>
      <c r="D703" s="11" t="s">
        <v>68</v>
      </c>
      <c r="E703" s="12">
        <v>46259.0</v>
      </c>
      <c r="F703" s="12">
        <v>46290.0</v>
      </c>
      <c r="G703" s="11" t="s">
        <v>4058</v>
      </c>
      <c r="H703" s="11">
        <v>8.088178096E9</v>
      </c>
      <c r="I703" s="11" t="s">
        <v>82</v>
      </c>
      <c r="J703" s="11" t="s">
        <v>71</v>
      </c>
      <c r="K703" s="11" t="s">
        <v>72</v>
      </c>
      <c r="L703" s="11" t="s">
        <v>84</v>
      </c>
      <c r="M703" s="11" t="s">
        <v>4059</v>
      </c>
      <c r="N703" s="11" t="s">
        <v>75</v>
      </c>
      <c r="O703" s="11" t="s">
        <v>71</v>
      </c>
      <c r="P703" s="11" t="s">
        <v>4060</v>
      </c>
      <c r="Q703" s="13" t="s">
        <v>4061</v>
      </c>
      <c r="R703" s="14" t="str">
        <f>HYPERLINK("https://drive.google.com/file/d/1O5mZ_cm_EqcfaNdOpfyPe-p82_hq5CXu/view?usp=drivesdk","OFFER LETTER")</f>
        <v>OFFER LETTER</v>
      </c>
      <c r="S703" s="11" t="s">
        <v>4062</v>
      </c>
    </row>
    <row r="704" ht="22.5" customHeight="1">
      <c r="A704" s="10">
        <v>46259.02132103009</v>
      </c>
      <c r="B704" s="11" t="s">
        <v>4063</v>
      </c>
      <c r="C704" s="11" t="s">
        <v>128</v>
      </c>
      <c r="D704" s="11" t="s">
        <v>68</v>
      </c>
      <c r="E704" s="12">
        <v>46274.0</v>
      </c>
      <c r="F704" s="12">
        <v>46304.0</v>
      </c>
      <c r="G704" s="11" t="s">
        <v>4064</v>
      </c>
      <c r="H704" s="11">
        <v>6.377807312E9</v>
      </c>
      <c r="I704" s="11" t="s">
        <v>82</v>
      </c>
      <c r="J704" s="11" t="s">
        <v>71</v>
      </c>
      <c r="K704" s="11" t="s">
        <v>72</v>
      </c>
      <c r="L704" s="11" t="s">
        <v>84</v>
      </c>
      <c r="M704" s="11" t="s">
        <v>4065</v>
      </c>
      <c r="N704" s="11" t="s">
        <v>868</v>
      </c>
      <c r="O704" s="11" t="s">
        <v>71</v>
      </c>
      <c r="P704" s="11" t="s">
        <v>4066</v>
      </c>
      <c r="Q704" s="13" t="s">
        <v>4067</v>
      </c>
      <c r="R704" s="14" t="str">
        <f>HYPERLINK("https://drive.google.com/file/d/15I-gdPvqVYTW_gD6rN6_aCkr67WgcWDZ/view?usp=drivesdk","OFFER LETTER")</f>
        <v>OFFER LETTER</v>
      </c>
      <c r="S704" s="11" t="s">
        <v>4068</v>
      </c>
    </row>
    <row r="705" ht="22.5" customHeight="1">
      <c r="A705" s="10">
        <v>46259.039254166666</v>
      </c>
      <c r="B705" s="11" t="s">
        <v>4069</v>
      </c>
      <c r="C705" s="11" t="s">
        <v>298</v>
      </c>
      <c r="D705" s="11" t="s">
        <v>238</v>
      </c>
      <c r="E705" s="12">
        <v>46261.0</v>
      </c>
      <c r="F705" s="12">
        <v>46353.0</v>
      </c>
      <c r="G705" s="11" t="s">
        <v>4070</v>
      </c>
      <c r="H705" s="11">
        <v>9.835394864E9</v>
      </c>
      <c r="I705" s="11" t="s">
        <v>82</v>
      </c>
      <c r="J705" s="11" t="s">
        <v>71</v>
      </c>
      <c r="K705" s="11" t="s">
        <v>72</v>
      </c>
      <c r="L705" s="11" t="s">
        <v>131</v>
      </c>
      <c r="M705" s="11" t="s">
        <v>4071</v>
      </c>
      <c r="N705" s="11" t="s">
        <v>86</v>
      </c>
      <c r="O705" s="11" t="s">
        <v>71</v>
      </c>
      <c r="P705" s="11" t="s">
        <v>4072</v>
      </c>
      <c r="Q705" s="13" t="s">
        <v>4073</v>
      </c>
      <c r="R705" s="14" t="str">
        <f>HYPERLINK("https://drive.google.com/file/d/1u2iIwvGBmKNopAmKYnqeTzCzok_VJxu6/view?usp=drivesdk","OFFER LETTER")</f>
        <v>OFFER LETTER</v>
      </c>
      <c r="S705" s="11" t="s">
        <v>4074</v>
      </c>
    </row>
    <row r="706" ht="22.5" customHeight="1">
      <c r="A706" s="10">
        <v>46259.04230179398</v>
      </c>
      <c r="B706" s="11" t="s">
        <v>4075</v>
      </c>
      <c r="C706" s="11" t="s">
        <v>237</v>
      </c>
      <c r="D706" s="11" t="s">
        <v>68</v>
      </c>
      <c r="E706" s="12">
        <v>46266.0</v>
      </c>
      <c r="F706" s="12">
        <v>46296.0</v>
      </c>
      <c r="G706" s="11" t="s">
        <v>4076</v>
      </c>
      <c r="H706" s="11">
        <v>8.788899262E9</v>
      </c>
      <c r="I706" s="11" t="s">
        <v>82</v>
      </c>
      <c r="J706" s="11" t="s">
        <v>71</v>
      </c>
      <c r="K706" s="11" t="s">
        <v>72</v>
      </c>
      <c r="L706" s="11" t="s">
        <v>73</v>
      </c>
      <c r="M706" s="11" t="s">
        <v>4077</v>
      </c>
      <c r="N706" s="11" t="s">
        <v>75</v>
      </c>
      <c r="O706" s="11" t="s">
        <v>71</v>
      </c>
      <c r="P706" s="11" t="s">
        <v>4078</v>
      </c>
      <c r="Q706" s="13" t="s">
        <v>4079</v>
      </c>
      <c r="R706" s="14" t="str">
        <f>HYPERLINK("https://drive.google.com/file/d/1HQI-iv6zeEZH7tLBF4NYqcr3kPdNcL43/view?usp=drivesdk","OFFER LETTER")</f>
        <v>OFFER LETTER</v>
      </c>
      <c r="S706" s="11" t="s">
        <v>4080</v>
      </c>
    </row>
    <row r="707" ht="22.5" customHeight="1">
      <c r="A707" s="10">
        <v>46259.04373737269</v>
      </c>
      <c r="B707" s="11" t="s">
        <v>4081</v>
      </c>
      <c r="C707" s="11" t="s">
        <v>128</v>
      </c>
      <c r="D707" s="11" t="s">
        <v>68</v>
      </c>
      <c r="E707" s="12">
        <v>46274.0</v>
      </c>
      <c r="F707" s="12">
        <v>46304.0</v>
      </c>
      <c r="G707" s="11" t="s">
        <v>4082</v>
      </c>
      <c r="H707" s="11">
        <v>6.36773028E9</v>
      </c>
      <c r="I707" s="11" t="s">
        <v>82</v>
      </c>
      <c r="J707" s="11" t="s">
        <v>71</v>
      </c>
      <c r="K707" s="11" t="s">
        <v>72</v>
      </c>
      <c r="L707" s="11" t="s">
        <v>84</v>
      </c>
      <c r="M707" s="11" t="s">
        <v>4083</v>
      </c>
      <c r="N707" s="11" t="s">
        <v>3755</v>
      </c>
      <c r="O707" s="11" t="s">
        <v>71</v>
      </c>
      <c r="P707" s="11" t="s">
        <v>4084</v>
      </c>
      <c r="Q707" s="13" t="s">
        <v>4085</v>
      </c>
      <c r="R707" s="14" t="str">
        <f>HYPERLINK("https://drive.google.com/file/d/1FGF4Xc4I4vb4CUQo5w06bq_uUQLyys5T/view?usp=drivesdk","OFFER LETTER")</f>
        <v>OFFER LETTER</v>
      </c>
      <c r="S707" s="11" t="s">
        <v>4086</v>
      </c>
    </row>
    <row r="708" ht="22.5" customHeight="1">
      <c r="A708" s="10">
        <v>46259.04680332176</v>
      </c>
      <c r="B708" s="11" t="s">
        <v>4087</v>
      </c>
      <c r="C708" s="11" t="s">
        <v>298</v>
      </c>
      <c r="D708" s="11" t="s">
        <v>238</v>
      </c>
      <c r="E708" s="12">
        <v>46261.0</v>
      </c>
      <c r="F708" s="12">
        <v>46353.0</v>
      </c>
      <c r="G708" s="11" t="s">
        <v>4088</v>
      </c>
      <c r="H708" s="11">
        <v>9.608440782E9</v>
      </c>
      <c r="I708" s="11" t="s">
        <v>82</v>
      </c>
      <c r="J708" s="11" t="s">
        <v>71</v>
      </c>
      <c r="K708" s="11" t="s">
        <v>72</v>
      </c>
      <c r="L708" s="11" t="s">
        <v>131</v>
      </c>
      <c r="M708" s="11" t="s">
        <v>4089</v>
      </c>
      <c r="N708" s="11" t="s">
        <v>86</v>
      </c>
      <c r="O708" s="11" t="s">
        <v>71</v>
      </c>
      <c r="P708" s="11" t="s">
        <v>4090</v>
      </c>
      <c r="Q708" s="13" t="s">
        <v>4091</v>
      </c>
      <c r="R708" s="14" t="str">
        <f>HYPERLINK("https://drive.google.com/file/d/1ogaJIKVJ9ErChfOXxMcESHy0dJ2D4hpE/view?usp=drivesdk","OFFER LETTER")</f>
        <v>OFFER LETTER</v>
      </c>
      <c r="S708" s="11" t="s">
        <v>4092</v>
      </c>
    </row>
    <row r="709" ht="22.5" customHeight="1">
      <c r="A709" s="10">
        <v>46259.049092789355</v>
      </c>
      <c r="B709" s="11" t="s">
        <v>4087</v>
      </c>
      <c r="C709" s="11" t="s">
        <v>298</v>
      </c>
      <c r="D709" s="11" t="s">
        <v>238</v>
      </c>
      <c r="E709" s="12">
        <v>46261.0</v>
      </c>
      <c r="F709" s="12">
        <v>46343.0</v>
      </c>
      <c r="G709" s="11" t="s">
        <v>4088</v>
      </c>
      <c r="H709" s="11">
        <v>9.608440782E9</v>
      </c>
      <c r="I709" s="11" t="s">
        <v>82</v>
      </c>
      <c r="J709" s="11" t="s">
        <v>71</v>
      </c>
      <c r="K709" s="11" t="s">
        <v>72</v>
      </c>
      <c r="L709" s="11" t="s">
        <v>131</v>
      </c>
      <c r="M709" s="11" t="s">
        <v>4089</v>
      </c>
      <c r="N709" s="11" t="s">
        <v>86</v>
      </c>
      <c r="O709" s="11" t="s">
        <v>71</v>
      </c>
      <c r="P709" s="11" t="s">
        <v>4093</v>
      </c>
      <c r="Q709" s="13" t="s">
        <v>4094</v>
      </c>
      <c r="R709" s="14" t="str">
        <f>HYPERLINK("https://drive.google.com/file/d/1j_r5cUPngj-d5DakkMRH_FJm7gjg4gIF/view?usp=drivesdk","OFFER LETTER")</f>
        <v>OFFER LETTER</v>
      </c>
      <c r="S709" s="11" t="s">
        <v>4095</v>
      </c>
    </row>
    <row r="710" ht="22.5" customHeight="1">
      <c r="A710" s="10">
        <v>46259.050045729164</v>
      </c>
      <c r="B710" s="11" t="s">
        <v>4096</v>
      </c>
      <c r="C710" s="11" t="s">
        <v>107</v>
      </c>
      <c r="D710" s="11" t="s">
        <v>68</v>
      </c>
      <c r="E710" s="12">
        <v>46217.0</v>
      </c>
      <c r="F710" s="12">
        <v>46248.0</v>
      </c>
      <c r="G710" s="11" t="s">
        <v>4097</v>
      </c>
      <c r="H710" s="11">
        <v>8.944039151E9</v>
      </c>
      <c r="I710" s="11" t="s">
        <v>82</v>
      </c>
      <c r="J710" s="11" t="s">
        <v>71</v>
      </c>
      <c r="K710" s="11" t="s">
        <v>72</v>
      </c>
      <c r="L710" s="11" t="s">
        <v>73</v>
      </c>
      <c r="M710" s="11" t="s">
        <v>4098</v>
      </c>
      <c r="N710" s="11" t="s">
        <v>86</v>
      </c>
      <c r="O710" s="11" t="s">
        <v>71</v>
      </c>
      <c r="P710" s="11" t="s">
        <v>4099</v>
      </c>
      <c r="Q710" s="13" t="s">
        <v>4100</v>
      </c>
      <c r="R710" s="14" t="str">
        <f>HYPERLINK("https://drive.google.com/file/d/1BcCNdanzdFt_UG_DxwyFyel20D-6knD-/view?usp=drivesdk","OFFER LETTER")</f>
        <v>OFFER LETTER</v>
      </c>
      <c r="S710" s="11" t="s">
        <v>4101</v>
      </c>
    </row>
    <row r="711" ht="22.5" customHeight="1">
      <c r="A711" s="10">
        <v>46259.052164733796</v>
      </c>
      <c r="B711" s="11" t="s">
        <v>4102</v>
      </c>
      <c r="C711" s="11" t="s">
        <v>1320</v>
      </c>
      <c r="D711" s="11" t="s">
        <v>68</v>
      </c>
      <c r="E711" s="12">
        <v>46257.0</v>
      </c>
      <c r="F711" s="12">
        <v>46289.0</v>
      </c>
      <c r="G711" s="11" t="s">
        <v>4103</v>
      </c>
      <c r="H711" s="11">
        <v>8.115905338E9</v>
      </c>
      <c r="I711" s="11" t="s">
        <v>82</v>
      </c>
      <c r="J711" s="11" t="s">
        <v>71</v>
      </c>
      <c r="K711" s="11" t="s">
        <v>72</v>
      </c>
      <c r="L711" s="11" t="s">
        <v>84</v>
      </c>
      <c r="M711" s="11" t="s">
        <v>4104</v>
      </c>
      <c r="N711" s="11" t="s">
        <v>86</v>
      </c>
      <c r="O711" s="11" t="s">
        <v>71</v>
      </c>
      <c r="P711" s="11" t="s">
        <v>4105</v>
      </c>
      <c r="Q711" s="13" t="s">
        <v>4106</v>
      </c>
      <c r="R711" s="14" t="str">
        <f>HYPERLINK("https://drive.google.com/file/d/14y9GNOT-CAb38KSVo6S5FY1oSMy7WS-N/view?usp=drivesdk","OFFER LETTER")</f>
        <v>OFFER LETTER</v>
      </c>
      <c r="S711" s="11" t="s">
        <v>4107</v>
      </c>
    </row>
    <row r="712" ht="22.5" customHeight="1">
      <c r="A712" s="10">
        <v>46259.0637303125</v>
      </c>
      <c r="B712" s="11" t="s">
        <v>4108</v>
      </c>
      <c r="C712" s="11" t="s">
        <v>91</v>
      </c>
      <c r="D712" s="11" t="s">
        <v>238</v>
      </c>
      <c r="E712" s="12">
        <v>46261.0</v>
      </c>
      <c r="F712" s="12">
        <v>46353.0</v>
      </c>
      <c r="G712" s="11" t="s">
        <v>4109</v>
      </c>
      <c r="H712" s="11">
        <v>7.667241867E9</v>
      </c>
      <c r="I712" s="11" t="s">
        <v>82</v>
      </c>
      <c r="J712" s="11" t="s">
        <v>71</v>
      </c>
      <c r="K712" s="11" t="s">
        <v>72</v>
      </c>
      <c r="L712" s="11" t="s">
        <v>131</v>
      </c>
      <c r="M712" s="11" t="s">
        <v>3045</v>
      </c>
      <c r="N712" s="11" t="s">
        <v>241</v>
      </c>
      <c r="O712" s="11" t="s">
        <v>71</v>
      </c>
      <c r="P712" s="11" t="s">
        <v>4110</v>
      </c>
      <c r="Q712" s="13" t="s">
        <v>4111</v>
      </c>
      <c r="R712" s="14" t="str">
        <f>HYPERLINK("https://drive.google.com/file/d/1SwO-NR125yM5oPhQBiz_4p7Lyiu22teY/view?usp=drivesdk","OFFER LETTER")</f>
        <v>OFFER LETTER</v>
      </c>
      <c r="S712" s="11" t="s">
        <v>4112</v>
      </c>
    </row>
    <row r="713" ht="22.5" customHeight="1">
      <c r="A713" s="10">
        <v>46259.07308741898</v>
      </c>
      <c r="B713" s="11" t="s">
        <v>4108</v>
      </c>
      <c r="C713" s="11" t="s">
        <v>91</v>
      </c>
      <c r="D713" s="11" t="s">
        <v>238</v>
      </c>
      <c r="E713" s="12">
        <v>46261.0</v>
      </c>
      <c r="F713" s="12">
        <v>46353.0</v>
      </c>
      <c r="G713" s="11" t="s">
        <v>4109</v>
      </c>
      <c r="H713" s="11">
        <v>7.667241867E9</v>
      </c>
      <c r="I713" s="11" t="s">
        <v>82</v>
      </c>
      <c r="J713" s="11" t="s">
        <v>71</v>
      </c>
      <c r="K713" s="11" t="s">
        <v>72</v>
      </c>
      <c r="L713" s="11" t="s">
        <v>131</v>
      </c>
      <c r="M713" s="11" t="s">
        <v>3045</v>
      </c>
      <c r="N713" s="11" t="s">
        <v>219</v>
      </c>
      <c r="O713" s="11" t="s">
        <v>71</v>
      </c>
      <c r="P713" s="11" t="s">
        <v>4113</v>
      </c>
      <c r="Q713" s="13" t="s">
        <v>4114</v>
      </c>
      <c r="R713" s="14" t="str">
        <f>HYPERLINK("https://drive.google.com/file/d/1Kp0t7eOgg_ZJGO26W9xhQsvjqAVEYnzV/view?usp=drivesdk","OFFER LETTER")</f>
        <v>OFFER LETTER</v>
      </c>
      <c r="S713" s="11" t="s">
        <v>4112</v>
      </c>
    </row>
    <row r="714" ht="22.5" customHeight="1">
      <c r="A714" s="10">
        <v>46259.292978819445</v>
      </c>
      <c r="B714" s="11" t="s">
        <v>4115</v>
      </c>
      <c r="C714" s="11" t="s">
        <v>417</v>
      </c>
      <c r="D714" s="11" t="s">
        <v>68</v>
      </c>
      <c r="E714" s="12">
        <v>46210.0</v>
      </c>
      <c r="F714" s="12">
        <v>46242.0</v>
      </c>
      <c r="G714" s="11" t="s">
        <v>4116</v>
      </c>
      <c r="H714" s="11">
        <v>9.344334589E9</v>
      </c>
      <c r="I714" s="11" t="s">
        <v>82</v>
      </c>
      <c r="J714" s="11" t="s">
        <v>71</v>
      </c>
      <c r="K714" s="11" t="s">
        <v>2045</v>
      </c>
      <c r="L714" s="11" t="s">
        <v>84</v>
      </c>
      <c r="M714" s="11" t="s">
        <v>4117</v>
      </c>
      <c r="N714" s="11" t="s">
        <v>219</v>
      </c>
      <c r="O714" s="11" t="s">
        <v>71</v>
      </c>
      <c r="P714" s="11" t="s">
        <v>4118</v>
      </c>
      <c r="Q714" s="13" t="s">
        <v>4119</v>
      </c>
      <c r="R714" s="14" t="str">
        <f>HYPERLINK("https://drive.google.com/file/d/16JRc_AfJIjZcxg--IODVLxsMa8LezKeR/view?usp=drivesdk","OFFER LETTER")</f>
        <v>OFFER LETTER</v>
      </c>
      <c r="S714" s="11" t="s">
        <v>4120</v>
      </c>
    </row>
    <row r="715" ht="22.5" customHeight="1">
      <c r="A715" s="10">
        <v>46259.29320255787</v>
      </c>
      <c r="B715" s="11" t="s">
        <v>4121</v>
      </c>
      <c r="C715" s="11" t="s">
        <v>91</v>
      </c>
      <c r="D715" s="11" t="s">
        <v>238</v>
      </c>
      <c r="E715" s="12">
        <v>46260.0</v>
      </c>
      <c r="F715" s="12">
        <v>46352.0</v>
      </c>
      <c r="G715" s="11" t="s">
        <v>4122</v>
      </c>
      <c r="H715" s="11">
        <v>7.372849963E9</v>
      </c>
      <c r="I715" s="11" t="s">
        <v>82</v>
      </c>
      <c r="J715" s="11" t="s">
        <v>71</v>
      </c>
      <c r="K715" s="11" t="s">
        <v>72</v>
      </c>
      <c r="L715" s="11" t="s">
        <v>131</v>
      </c>
      <c r="M715" s="11" t="s">
        <v>4071</v>
      </c>
      <c r="N715" s="11" t="s">
        <v>75</v>
      </c>
      <c r="O715" s="11" t="s">
        <v>71</v>
      </c>
      <c r="P715" s="11" t="s">
        <v>4123</v>
      </c>
      <c r="Q715" s="13" t="s">
        <v>4124</v>
      </c>
      <c r="R715" s="14" t="str">
        <f>HYPERLINK("https://drive.google.com/file/d/1XuP8lkWvktndGSn5isxTJmEJ2cK_KYVG/view?usp=drivesdk","OFFER LETTER")</f>
        <v>OFFER LETTER</v>
      </c>
      <c r="S715" s="11" t="s">
        <v>4125</v>
      </c>
    </row>
    <row r="716" ht="22.5" customHeight="1">
      <c r="A716" s="10">
        <v>46259.29742783565</v>
      </c>
      <c r="B716" s="11" t="s">
        <v>4126</v>
      </c>
      <c r="C716" s="11" t="s">
        <v>91</v>
      </c>
      <c r="D716" s="11" t="s">
        <v>238</v>
      </c>
      <c r="E716" s="12">
        <v>46260.0</v>
      </c>
      <c r="F716" s="12">
        <v>46352.0</v>
      </c>
      <c r="G716" s="11" t="s">
        <v>4122</v>
      </c>
      <c r="H716" s="11">
        <v>7.372849963E9</v>
      </c>
      <c r="I716" s="11" t="s">
        <v>82</v>
      </c>
      <c r="J716" s="11" t="s">
        <v>71</v>
      </c>
      <c r="K716" s="11" t="s">
        <v>72</v>
      </c>
      <c r="L716" s="11" t="s">
        <v>131</v>
      </c>
      <c r="M716" s="11" t="s">
        <v>4071</v>
      </c>
      <c r="N716" s="11" t="s">
        <v>75</v>
      </c>
      <c r="O716" s="11" t="s">
        <v>71</v>
      </c>
      <c r="P716" s="11" t="s">
        <v>4127</v>
      </c>
      <c r="Q716" s="13" t="s">
        <v>4128</v>
      </c>
      <c r="R716" s="14" t="str">
        <f>HYPERLINK("https://drive.google.com/file/d/1PZadWp8gpaAmm6w_HN1ftM8xPNt2_zMg/view?usp=drivesdk","OFFER LETTER")</f>
        <v>OFFER LETTER</v>
      </c>
      <c r="S716" s="11" t="s">
        <v>4125</v>
      </c>
    </row>
    <row r="717" ht="22.5" customHeight="1">
      <c r="A717" s="10">
        <v>46259.32651857639</v>
      </c>
      <c r="B717" s="11" t="s">
        <v>4129</v>
      </c>
      <c r="C717" s="11" t="s">
        <v>80</v>
      </c>
      <c r="D717" s="11" t="s">
        <v>68</v>
      </c>
      <c r="E717" s="12">
        <v>46259.0</v>
      </c>
      <c r="F717" s="12">
        <v>46290.0</v>
      </c>
      <c r="G717" s="11" t="s">
        <v>4130</v>
      </c>
      <c r="H717" s="11" t="s">
        <v>4131</v>
      </c>
      <c r="I717" s="11" t="s">
        <v>82</v>
      </c>
      <c r="J717" s="11" t="s">
        <v>71</v>
      </c>
      <c r="K717" s="11" t="s">
        <v>72</v>
      </c>
      <c r="L717" s="11" t="s">
        <v>84</v>
      </c>
      <c r="M717" s="11" t="s">
        <v>4132</v>
      </c>
      <c r="N717" s="11" t="s">
        <v>198</v>
      </c>
      <c r="O717" s="11" t="s">
        <v>71</v>
      </c>
      <c r="P717" s="11" t="s">
        <v>4133</v>
      </c>
      <c r="Q717" s="13" t="s">
        <v>4134</v>
      </c>
      <c r="R717" s="14" t="str">
        <f>HYPERLINK("https://drive.google.com/file/d/1-34Ob2bRJ30aGKDQH5-47r5buzWqyL02/view?usp=drivesdk","OFFER LETTER")</f>
        <v>OFFER LETTER</v>
      </c>
      <c r="S717" s="11" t="s">
        <v>4135</v>
      </c>
    </row>
    <row r="718" ht="22.5" customHeight="1">
      <c r="A718" s="10">
        <v>46259.330274733795</v>
      </c>
      <c r="B718" s="11" t="s">
        <v>4136</v>
      </c>
      <c r="C718" s="11" t="s">
        <v>237</v>
      </c>
      <c r="D718" s="11" t="s">
        <v>68</v>
      </c>
      <c r="E718" s="12">
        <v>46259.0</v>
      </c>
      <c r="F718" s="12">
        <v>46290.0</v>
      </c>
      <c r="G718" s="11" t="s">
        <v>3254</v>
      </c>
      <c r="H718" s="11">
        <v>9.096799681E9</v>
      </c>
      <c r="I718" s="11" t="s">
        <v>70</v>
      </c>
      <c r="J718" s="11" t="s">
        <v>71</v>
      </c>
      <c r="K718" s="11" t="s">
        <v>72</v>
      </c>
      <c r="L718" s="11" t="s">
        <v>84</v>
      </c>
      <c r="M718" s="11" t="s">
        <v>4137</v>
      </c>
      <c r="N718" s="11" t="s">
        <v>241</v>
      </c>
      <c r="O718" s="11" t="s">
        <v>71</v>
      </c>
      <c r="P718" s="11" t="s">
        <v>4138</v>
      </c>
      <c r="Q718" s="13" t="s">
        <v>4139</v>
      </c>
      <c r="R718" s="14" t="str">
        <f>HYPERLINK("https://drive.google.com/file/d/11frXMRXZfn8ac5v4-1crwDmPpBpSXlr-/view?usp=drivesdk","OFFER LETTER")</f>
        <v>OFFER LETTER</v>
      </c>
      <c r="S718" s="11" t="s">
        <v>4140</v>
      </c>
    </row>
    <row r="719" ht="22.5" customHeight="1">
      <c r="A719" s="10">
        <v>46259.345452141206</v>
      </c>
      <c r="B719" s="11" t="s">
        <v>4141</v>
      </c>
      <c r="C719" s="11" t="s">
        <v>195</v>
      </c>
      <c r="D719" s="11" t="s">
        <v>108</v>
      </c>
      <c r="E719" s="12">
        <v>46113.0</v>
      </c>
      <c r="F719" s="12">
        <v>46173.0</v>
      </c>
      <c r="G719" s="11" t="s">
        <v>4142</v>
      </c>
      <c r="H719" s="11">
        <v>7.060216159E9</v>
      </c>
      <c r="I719" s="11" t="s">
        <v>82</v>
      </c>
      <c r="K719" s="11" t="s">
        <v>72</v>
      </c>
      <c r="L719" s="11" t="s">
        <v>131</v>
      </c>
      <c r="M719" s="11" t="s">
        <v>493</v>
      </c>
      <c r="N719" s="11" t="s">
        <v>75</v>
      </c>
      <c r="O719" s="11" t="s">
        <v>71</v>
      </c>
      <c r="P719" s="11" t="s">
        <v>4143</v>
      </c>
      <c r="Q719" s="13" t="s">
        <v>4144</v>
      </c>
      <c r="R719" s="14" t="str">
        <f>HYPERLINK("https://drive.google.com/file/d/1RBYX4NP26IaDO40MFjv2DPhgJzjkTZ7E/view?usp=drivesdk","OFFER LETTER")</f>
        <v>OFFER LETTER</v>
      </c>
      <c r="S719" s="11" t="s">
        <v>4145</v>
      </c>
    </row>
    <row r="720" ht="22.5" customHeight="1">
      <c r="A720" s="10">
        <v>46259.35624274306</v>
      </c>
      <c r="B720" s="11" t="s">
        <v>4146</v>
      </c>
      <c r="C720" s="11" t="s">
        <v>165</v>
      </c>
      <c r="D720" s="11" t="s">
        <v>68</v>
      </c>
      <c r="E720" s="12">
        <v>46178.0</v>
      </c>
      <c r="F720" s="12">
        <v>46210.0</v>
      </c>
      <c r="G720" s="11" t="s">
        <v>4147</v>
      </c>
      <c r="H720" s="11">
        <v>6.353977482E9</v>
      </c>
      <c r="I720" s="11" t="s">
        <v>82</v>
      </c>
      <c r="J720" s="11" t="s">
        <v>71</v>
      </c>
      <c r="K720" s="11" t="s">
        <v>167</v>
      </c>
      <c r="L720" s="11" t="s">
        <v>84</v>
      </c>
      <c r="M720" s="11" t="s">
        <v>4148</v>
      </c>
      <c r="N720" s="11" t="s">
        <v>226</v>
      </c>
      <c r="O720" s="11" t="s">
        <v>71</v>
      </c>
      <c r="P720" s="11" t="s">
        <v>4149</v>
      </c>
      <c r="Q720" s="13" t="s">
        <v>4150</v>
      </c>
      <c r="R720" s="14" t="str">
        <f>HYPERLINK("https://drive.google.com/file/d/1y0cqLV4fErKUQqDt4cwNpGmLA1Ij8zH2/view?usp=drivesdk","OFFER LETTER")</f>
        <v>OFFER LETTER</v>
      </c>
      <c r="S720" s="11" t="s">
        <v>4151</v>
      </c>
    </row>
    <row r="721" ht="22.5" customHeight="1">
      <c r="A721" s="10">
        <v>46259.37157341435</v>
      </c>
      <c r="B721" s="11" t="s">
        <v>4152</v>
      </c>
      <c r="C721" s="11" t="s">
        <v>128</v>
      </c>
      <c r="D721" s="11" t="s">
        <v>68</v>
      </c>
      <c r="E721" s="12">
        <v>46259.0</v>
      </c>
      <c r="F721" s="12">
        <v>46290.0</v>
      </c>
      <c r="G721" s="11" t="s">
        <v>4153</v>
      </c>
      <c r="H721" s="11">
        <v>9.69905802E9</v>
      </c>
      <c r="I721" s="11" t="s">
        <v>70</v>
      </c>
      <c r="J721" s="11" t="s">
        <v>71</v>
      </c>
      <c r="K721" s="11" t="s">
        <v>167</v>
      </c>
      <c r="L721" s="11" t="s">
        <v>73</v>
      </c>
      <c r="M721" s="11" t="s">
        <v>4154</v>
      </c>
      <c r="N721" s="11" t="s">
        <v>241</v>
      </c>
      <c r="O721" s="11" t="s">
        <v>71</v>
      </c>
      <c r="P721" s="11" t="s">
        <v>4155</v>
      </c>
      <c r="Q721" s="13" t="s">
        <v>4156</v>
      </c>
      <c r="R721" s="14" t="str">
        <f>HYPERLINK("https://drive.google.com/file/d/1oDjUtbhiK077WA_eGJhNC1trSQ9fC8Ll/view?usp=drivesdk","OFFER LETTER")</f>
        <v>OFFER LETTER</v>
      </c>
      <c r="S721" s="11" t="s">
        <v>4157</v>
      </c>
    </row>
    <row r="722" ht="22.5" customHeight="1">
      <c r="A722" s="10">
        <v>46259.386120497686</v>
      </c>
      <c r="B722" s="11" t="s">
        <v>4158</v>
      </c>
      <c r="C722" s="11" t="s">
        <v>128</v>
      </c>
      <c r="D722" s="11" t="s">
        <v>108</v>
      </c>
      <c r="E722" s="12">
        <v>46240.0</v>
      </c>
      <c r="F722" s="12">
        <v>46301.0</v>
      </c>
      <c r="G722" s="11" t="s">
        <v>4159</v>
      </c>
      <c r="H722" s="11">
        <v>9.581652006E9</v>
      </c>
      <c r="I722" s="11" t="s">
        <v>82</v>
      </c>
      <c r="J722" s="11" t="s">
        <v>71</v>
      </c>
      <c r="K722" s="11" t="s">
        <v>72</v>
      </c>
      <c r="L722" s="11" t="s">
        <v>131</v>
      </c>
      <c r="M722" s="11" t="s">
        <v>2901</v>
      </c>
      <c r="N722" s="11" t="s">
        <v>2778</v>
      </c>
      <c r="O722" s="11" t="s">
        <v>71</v>
      </c>
      <c r="P722" s="11" t="s">
        <v>4160</v>
      </c>
      <c r="Q722" s="13" t="s">
        <v>4161</v>
      </c>
      <c r="R722" s="14" t="str">
        <f>HYPERLINK("https://drive.google.com/file/d/1mB4AnWN5ykw7FTyE-B86nhIZj50xPQOU/view?usp=drivesdk","OFFER LETTER")</f>
        <v>OFFER LETTER</v>
      </c>
      <c r="S722" s="11" t="s">
        <v>4162</v>
      </c>
    </row>
    <row r="723" ht="22.5" customHeight="1">
      <c r="A723" s="10">
        <v>46259.39355304398</v>
      </c>
      <c r="B723" s="11" t="s">
        <v>4163</v>
      </c>
      <c r="C723" s="11" t="s">
        <v>195</v>
      </c>
      <c r="D723" s="11" t="s">
        <v>108</v>
      </c>
      <c r="E723" s="12">
        <v>46182.0</v>
      </c>
      <c r="F723" s="12">
        <v>46245.0</v>
      </c>
      <c r="G723" s="11" t="s">
        <v>4164</v>
      </c>
      <c r="H723" s="11">
        <v>9.4534351E8</v>
      </c>
      <c r="I723" s="11" t="s">
        <v>82</v>
      </c>
      <c r="J723" s="11" t="s">
        <v>71</v>
      </c>
      <c r="K723" s="11" t="s">
        <v>72</v>
      </c>
      <c r="L723" s="11" t="s">
        <v>131</v>
      </c>
      <c r="M723" s="11" t="s">
        <v>2932</v>
      </c>
      <c r="N723" s="11" t="s">
        <v>75</v>
      </c>
      <c r="O723" s="11" t="s">
        <v>263</v>
      </c>
      <c r="P723" s="11" t="s">
        <v>4165</v>
      </c>
      <c r="Q723" s="13" t="s">
        <v>4166</v>
      </c>
      <c r="R723" s="14" t="str">
        <f>HYPERLINK("https://drive.google.com/file/d/1jY7M7Bj5B5xtSd104PilqFjDnPUBEnb5/view?usp=drivesdk","OFFER LETTER")</f>
        <v>OFFER LETTER</v>
      </c>
      <c r="S723" s="11" t="s">
        <v>4167</v>
      </c>
    </row>
    <row r="724" ht="22.5" customHeight="1">
      <c r="A724" s="10">
        <v>46259.395003495374</v>
      </c>
      <c r="B724" s="11" t="s">
        <v>4168</v>
      </c>
      <c r="C724" s="11" t="s">
        <v>128</v>
      </c>
      <c r="D724" s="11" t="s">
        <v>68</v>
      </c>
      <c r="E724" s="12">
        <v>46266.0</v>
      </c>
      <c r="F724" s="12">
        <v>46296.0</v>
      </c>
      <c r="G724" s="11" t="s">
        <v>4169</v>
      </c>
      <c r="H724" s="11">
        <v>9.11366255E9</v>
      </c>
      <c r="I724" s="11" t="s">
        <v>70</v>
      </c>
      <c r="J724" s="11" t="s">
        <v>71</v>
      </c>
      <c r="K724" s="11" t="s">
        <v>110</v>
      </c>
      <c r="L724" s="11" t="s">
        <v>84</v>
      </c>
      <c r="M724" s="11" t="s">
        <v>4170</v>
      </c>
      <c r="N724" s="11" t="s">
        <v>75</v>
      </c>
      <c r="O724" s="11" t="s">
        <v>71</v>
      </c>
      <c r="P724" s="11" t="s">
        <v>4171</v>
      </c>
      <c r="Q724" s="13" t="s">
        <v>4172</v>
      </c>
      <c r="R724" s="14" t="str">
        <f>HYPERLINK("https://drive.google.com/file/d/1sAs07gFDBuj5SFidoyFlTGdQbjGHlBOx/view?usp=drivesdk","OFFER LETTER")</f>
        <v>OFFER LETTER</v>
      </c>
      <c r="S724" s="11" t="s">
        <v>4173</v>
      </c>
    </row>
    <row r="725" ht="22.5" customHeight="1">
      <c r="A725" s="10">
        <v>46259.405663530095</v>
      </c>
      <c r="B725" s="11" t="s">
        <v>4174</v>
      </c>
      <c r="C725" s="11" t="s">
        <v>80</v>
      </c>
      <c r="D725" s="11" t="s">
        <v>68</v>
      </c>
      <c r="E725" s="12">
        <v>46259.0</v>
      </c>
      <c r="F725" s="12">
        <v>46290.0</v>
      </c>
      <c r="G725" s="11" t="s">
        <v>4175</v>
      </c>
      <c r="H725" s="11">
        <v>8.122038267E9</v>
      </c>
      <c r="I725" s="11" t="s">
        <v>82</v>
      </c>
      <c r="J725" s="11" t="s">
        <v>71</v>
      </c>
      <c r="K725" s="11" t="s">
        <v>72</v>
      </c>
      <c r="L725" s="11" t="s">
        <v>73</v>
      </c>
      <c r="M725" s="11" t="s">
        <v>2883</v>
      </c>
      <c r="N725" s="11" t="s">
        <v>4176</v>
      </c>
      <c r="O725" s="11" t="s">
        <v>71</v>
      </c>
      <c r="P725" s="11" t="s">
        <v>4177</v>
      </c>
      <c r="Q725" s="13" t="s">
        <v>4178</v>
      </c>
      <c r="R725" s="14" t="str">
        <f>HYPERLINK("https://drive.google.com/file/d/1EvC4js011WcBEvUnmI1RPAtHBjsjU9aO/view?usp=drivesdk","OFFER LETTER")</f>
        <v>OFFER LETTER</v>
      </c>
      <c r="S725" s="11" t="s">
        <v>4179</v>
      </c>
    </row>
    <row r="726" ht="22.5" customHeight="1">
      <c r="A726" s="10">
        <v>46259.40683777777</v>
      </c>
      <c r="B726" s="11" t="s">
        <v>4180</v>
      </c>
      <c r="C726" s="11" t="s">
        <v>165</v>
      </c>
      <c r="D726" s="11" t="s">
        <v>68</v>
      </c>
      <c r="E726" s="12">
        <v>46174.0</v>
      </c>
      <c r="F726" s="12">
        <v>46193.0</v>
      </c>
      <c r="G726" s="11" t="s">
        <v>4181</v>
      </c>
      <c r="H726" s="11">
        <v>7.358530312E9</v>
      </c>
      <c r="I726" s="11" t="s">
        <v>82</v>
      </c>
      <c r="J726" s="11" t="s">
        <v>83</v>
      </c>
      <c r="K726" s="11" t="s">
        <v>72</v>
      </c>
      <c r="L726" s="11" t="s">
        <v>84</v>
      </c>
      <c r="M726" s="11" t="s">
        <v>4182</v>
      </c>
      <c r="N726" s="11" t="s">
        <v>86</v>
      </c>
      <c r="O726" s="11" t="s">
        <v>71</v>
      </c>
      <c r="P726" s="11" t="s">
        <v>4183</v>
      </c>
      <c r="Q726" s="13" t="s">
        <v>4184</v>
      </c>
      <c r="R726" s="14" t="str">
        <f>HYPERLINK("https://drive.google.com/file/d/1wzkhJidjMqvCUWATgJZl3EIVFgBk0zb-/view?usp=drivesdk","OFFER LETTER")</f>
        <v>OFFER LETTER</v>
      </c>
      <c r="S726" s="11" t="s">
        <v>4185</v>
      </c>
    </row>
    <row r="727" ht="22.5" customHeight="1">
      <c r="A727" s="10">
        <v>46259.42483399306</v>
      </c>
      <c r="B727" s="11" t="s">
        <v>4186</v>
      </c>
      <c r="C727" s="11" t="s">
        <v>195</v>
      </c>
      <c r="D727" s="11" t="s">
        <v>68</v>
      </c>
      <c r="E727" s="12">
        <v>46266.0</v>
      </c>
      <c r="F727" s="12">
        <v>46295.0</v>
      </c>
      <c r="G727" s="11" t="s">
        <v>4187</v>
      </c>
      <c r="H727" s="11">
        <v>9.696585134E9</v>
      </c>
      <c r="I727" s="11" t="s">
        <v>70</v>
      </c>
      <c r="J727" s="11" t="s">
        <v>71</v>
      </c>
      <c r="K727" s="11" t="s">
        <v>72</v>
      </c>
      <c r="L727" s="11" t="s">
        <v>84</v>
      </c>
      <c r="M727" s="11" t="s">
        <v>4188</v>
      </c>
      <c r="N727" s="11" t="s">
        <v>75</v>
      </c>
      <c r="O727" s="11" t="s">
        <v>71</v>
      </c>
      <c r="P727" s="11" t="s">
        <v>4189</v>
      </c>
      <c r="Q727" s="13" t="s">
        <v>4190</v>
      </c>
      <c r="R727" s="14" t="str">
        <f>HYPERLINK("https://drive.google.com/file/d/10N-MKeGF0UJHQnh7BVBScbq0I6rt5Gvx/view?usp=drivesdk","OFFER LETTER")</f>
        <v>OFFER LETTER</v>
      </c>
      <c r="S727" s="11" t="s">
        <v>4191</v>
      </c>
    </row>
    <row r="728" ht="22.5" customHeight="1">
      <c r="A728" s="10">
        <v>46259.42518723379</v>
      </c>
      <c r="B728" s="11" t="s">
        <v>4192</v>
      </c>
      <c r="C728" s="11" t="s">
        <v>195</v>
      </c>
      <c r="D728" s="11" t="s">
        <v>108</v>
      </c>
      <c r="E728" s="12">
        <v>46193.0</v>
      </c>
      <c r="F728" s="12">
        <v>46254.0</v>
      </c>
      <c r="G728" s="11" t="s">
        <v>4193</v>
      </c>
      <c r="H728" s="11">
        <v>9.692544616E9</v>
      </c>
      <c r="I728" s="11" t="s">
        <v>70</v>
      </c>
      <c r="J728" s="11" t="s">
        <v>71</v>
      </c>
      <c r="K728" s="11" t="s">
        <v>72</v>
      </c>
      <c r="L728" s="11" t="s">
        <v>84</v>
      </c>
      <c r="M728" s="11" t="s">
        <v>4194</v>
      </c>
      <c r="N728" s="11" t="s">
        <v>241</v>
      </c>
      <c r="O728" s="11" t="s">
        <v>71</v>
      </c>
      <c r="P728" s="11" t="s">
        <v>4195</v>
      </c>
      <c r="Q728" s="13" t="s">
        <v>4196</v>
      </c>
      <c r="R728" s="14" t="str">
        <f>HYPERLINK("https://drive.google.com/file/d/1hOj5pMPix1baaV-jL2RzpLhiH5Tv5hew/view?usp=drivesdk","OFFER LETTER")</f>
        <v>OFFER LETTER</v>
      </c>
      <c r="S728" s="11" t="s">
        <v>4197</v>
      </c>
    </row>
    <row r="729" ht="22.5" customHeight="1">
      <c r="A729" s="10">
        <v>46259.431076030094</v>
      </c>
      <c r="B729" s="11" t="s">
        <v>4198</v>
      </c>
      <c r="C729" s="11" t="s">
        <v>237</v>
      </c>
      <c r="D729" s="11" t="s">
        <v>68</v>
      </c>
      <c r="E729" s="12">
        <v>46259.0</v>
      </c>
      <c r="F729" s="12">
        <v>46290.0</v>
      </c>
      <c r="G729" s="11" t="s">
        <v>4199</v>
      </c>
      <c r="H729" s="11">
        <v>8.708833164E9</v>
      </c>
      <c r="I729" s="11" t="s">
        <v>82</v>
      </c>
      <c r="J729" s="11" t="s">
        <v>71</v>
      </c>
      <c r="K729" s="11" t="s">
        <v>72</v>
      </c>
      <c r="L729" s="11" t="s">
        <v>84</v>
      </c>
      <c r="M729" s="11" t="s">
        <v>4200</v>
      </c>
      <c r="N729" s="11" t="s">
        <v>86</v>
      </c>
      <c r="O729" s="11" t="s">
        <v>71</v>
      </c>
      <c r="P729" s="11" t="s">
        <v>4201</v>
      </c>
      <c r="Q729" s="13" t="s">
        <v>4202</v>
      </c>
      <c r="R729" s="14" t="str">
        <f>HYPERLINK("https://drive.google.com/file/d/1BU1zg38g4CMvWiLZraUOo67c_HHGUv5z/view?usp=drivesdk","OFFER LETTER")</f>
        <v>OFFER LETTER</v>
      </c>
      <c r="S729" s="11" t="s">
        <v>4203</v>
      </c>
    </row>
    <row r="730" ht="22.5" customHeight="1">
      <c r="A730" s="10">
        <v>46259.439175277774</v>
      </c>
      <c r="B730" s="11" t="s">
        <v>4204</v>
      </c>
      <c r="C730" s="11" t="s">
        <v>237</v>
      </c>
      <c r="D730" s="11" t="s">
        <v>68</v>
      </c>
      <c r="E730" s="12">
        <v>46259.0</v>
      </c>
      <c r="F730" s="12">
        <v>46290.0</v>
      </c>
      <c r="G730" s="11" t="s">
        <v>4205</v>
      </c>
      <c r="H730" s="11">
        <v>7.206938214E9</v>
      </c>
      <c r="I730" s="11" t="s">
        <v>82</v>
      </c>
      <c r="J730" s="11" t="s">
        <v>71</v>
      </c>
      <c r="K730" s="11" t="s">
        <v>72</v>
      </c>
      <c r="L730" s="11" t="s">
        <v>84</v>
      </c>
      <c r="M730" s="11" t="s">
        <v>4206</v>
      </c>
      <c r="N730" s="11" t="s">
        <v>86</v>
      </c>
      <c r="O730" s="11" t="s">
        <v>71</v>
      </c>
      <c r="P730" s="11" t="s">
        <v>4207</v>
      </c>
      <c r="Q730" s="13" t="s">
        <v>4208</v>
      </c>
      <c r="R730" s="14" t="str">
        <f>HYPERLINK("https://drive.google.com/file/d/14E7NXxyalni18wflNVXodaRpjRxZJVpv/view?usp=drivesdk","OFFER LETTER")</f>
        <v>OFFER LETTER</v>
      </c>
      <c r="S730" s="11" t="s">
        <v>4209</v>
      </c>
    </row>
    <row r="731" ht="22.5" customHeight="1">
      <c r="A731" s="10">
        <v>46259.4395665162</v>
      </c>
      <c r="B731" s="11" t="s">
        <v>4210</v>
      </c>
      <c r="C731" s="11" t="s">
        <v>237</v>
      </c>
      <c r="D731" s="11" t="s">
        <v>68</v>
      </c>
      <c r="E731" s="12">
        <v>46259.0</v>
      </c>
      <c r="F731" s="12">
        <v>46290.0</v>
      </c>
      <c r="G731" s="11" t="s">
        <v>4211</v>
      </c>
      <c r="H731" s="11">
        <v>9.205023941E9</v>
      </c>
      <c r="I731" s="11" t="s">
        <v>82</v>
      </c>
      <c r="J731" s="11" t="s">
        <v>71</v>
      </c>
      <c r="K731" s="11" t="s">
        <v>72</v>
      </c>
      <c r="L731" s="11" t="s">
        <v>84</v>
      </c>
      <c r="M731" s="11" t="s">
        <v>4212</v>
      </c>
      <c r="N731" s="11" t="s">
        <v>86</v>
      </c>
      <c r="O731" s="11" t="s">
        <v>71</v>
      </c>
      <c r="P731" s="11" t="s">
        <v>4213</v>
      </c>
      <c r="Q731" s="13" t="s">
        <v>4214</v>
      </c>
      <c r="R731" s="14" t="str">
        <f>HYPERLINK("https://drive.google.com/file/d/11BmunayOFI-z9i8RhJum1B9rDGHqVEvD/view?usp=drivesdk","OFFER LETTER")</f>
        <v>OFFER LETTER</v>
      </c>
      <c r="S731" s="11" t="s">
        <v>4215</v>
      </c>
    </row>
    <row r="732" ht="22.5" customHeight="1">
      <c r="A732" s="10">
        <v>46259.44212708333</v>
      </c>
      <c r="B732" s="11" t="s">
        <v>3837</v>
      </c>
      <c r="C732" s="11" t="s">
        <v>259</v>
      </c>
      <c r="D732" s="11" t="s">
        <v>68</v>
      </c>
      <c r="E732" s="12">
        <v>46260.0</v>
      </c>
      <c r="F732" s="12">
        <v>46295.0</v>
      </c>
      <c r="G732" s="11" t="s">
        <v>4216</v>
      </c>
      <c r="H732" s="11">
        <v>9.708430276E9</v>
      </c>
      <c r="I732" s="11" t="s">
        <v>82</v>
      </c>
      <c r="J732" s="11" t="s">
        <v>71</v>
      </c>
      <c r="K732" s="11" t="s">
        <v>72</v>
      </c>
      <c r="L732" s="11" t="s">
        <v>84</v>
      </c>
      <c r="M732" s="11" t="s">
        <v>4217</v>
      </c>
      <c r="N732" s="11" t="s">
        <v>75</v>
      </c>
      <c r="O732" s="11" t="s">
        <v>71</v>
      </c>
      <c r="P732" s="11" t="s">
        <v>4218</v>
      </c>
      <c r="Q732" s="13" t="s">
        <v>4219</v>
      </c>
      <c r="R732" s="14" t="str">
        <f>HYPERLINK("https://drive.google.com/file/d/1JF8Xmo0SGKLKZ4GR2nU88i6sNfNBIjgh/view?usp=drivesdk","OFFER LETTER")</f>
        <v>OFFER LETTER</v>
      </c>
      <c r="S732" s="11" t="s">
        <v>4220</v>
      </c>
    </row>
    <row r="733" ht="22.5" customHeight="1">
      <c r="A733" s="10">
        <v>46259.44674555556</v>
      </c>
      <c r="B733" s="11" t="s">
        <v>3837</v>
      </c>
      <c r="C733" s="11" t="s">
        <v>259</v>
      </c>
      <c r="D733" s="11" t="s">
        <v>68</v>
      </c>
      <c r="E733" s="12">
        <v>46266.0</v>
      </c>
      <c r="F733" s="12">
        <v>46295.0</v>
      </c>
      <c r="G733" s="11" t="s">
        <v>4216</v>
      </c>
      <c r="H733" s="11">
        <v>9.708430276E9</v>
      </c>
      <c r="I733" s="11" t="s">
        <v>82</v>
      </c>
      <c r="J733" s="11" t="s">
        <v>71</v>
      </c>
      <c r="K733" s="11" t="s">
        <v>72</v>
      </c>
      <c r="L733" s="11" t="s">
        <v>84</v>
      </c>
      <c r="M733" s="11" t="s">
        <v>4217</v>
      </c>
      <c r="N733" s="11" t="s">
        <v>75</v>
      </c>
      <c r="O733" s="11" t="s">
        <v>71</v>
      </c>
      <c r="P733" s="11" t="s">
        <v>4221</v>
      </c>
      <c r="Q733" s="13" t="s">
        <v>4222</v>
      </c>
      <c r="R733" s="14" t="str">
        <f>HYPERLINK("https://drive.google.com/file/d/1V6JrTEP6VvHr5D8gnEZiocuhqk0px8B6/view?usp=drivesdk","OFFER LETTER")</f>
        <v>OFFER LETTER</v>
      </c>
      <c r="S733" s="11" t="s">
        <v>4223</v>
      </c>
    </row>
    <row r="734" ht="22.5" customHeight="1">
      <c r="A734" s="10">
        <v>46259.452560578706</v>
      </c>
      <c r="B734" s="11" t="s">
        <v>4186</v>
      </c>
      <c r="C734" s="11" t="s">
        <v>195</v>
      </c>
      <c r="D734" s="11" t="s">
        <v>68</v>
      </c>
      <c r="E734" s="12">
        <v>46266.0</v>
      </c>
      <c r="F734" s="12">
        <v>46295.0</v>
      </c>
      <c r="G734" s="11" t="s">
        <v>4187</v>
      </c>
      <c r="H734" s="11">
        <v>9.696585134E9</v>
      </c>
      <c r="I734" s="11" t="s">
        <v>70</v>
      </c>
      <c r="J734" s="11" t="s">
        <v>71</v>
      </c>
      <c r="K734" s="11" t="s">
        <v>72</v>
      </c>
      <c r="L734" s="11" t="s">
        <v>84</v>
      </c>
      <c r="M734" s="11" t="s">
        <v>4224</v>
      </c>
      <c r="N734" s="11" t="s">
        <v>75</v>
      </c>
      <c r="O734" s="11" t="s">
        <v>71</v>
      </c>
      <c r="P734" s="11" t="s">
        <v>4225</v>
      </c>
      <c r="Q734" s="13" t="s">
        <v>4226</v>
      </c>
      <c r="R734" s="14" t="str">
        <f>HYPERLINK("https://drive.google.com/file/d/1czVE0sacuyoVhHodmBeSb5B4uj17JvXt/view?usp=drivesdk","OFFER LETTER")</f>
        <v>OFFER LETTER</v>
      </c>
      <c r="S734" s="11" t="s">
        <v>4227</v>
      </c>
    </row>
    <row r="735" ht="22.5" customHeight="1">
      <c r="A735" s="10">
        <v>46259.45920636574</v>
      </c>
      <c r="B735" s="11" t="s">
        <v>216</v>
      </c>
      <c r="C735" s="11" t="s">
        <v>173</v>
      </c>
      <c r="D735" s="11" t="s">
        <v>108</v>
      </c>
      <c r="E735" s="12">
        <v>46261.0</v>
      </c>
      <c r="F735" s="12">
        <v>46322.0</v>
      </c>
      <c r="G735" s="11" t="s">
        <v>4228</v>
      </c>
      <c r="H735" s="11">
        <v>8.867005639E9</v>
      </c>
      <c r="I735" s="11" t="s">
        <v>82</v>
      </c>
      <c r="J735" s="11" t="s">
        <v>71</v>
      </c>
      <c r="K735" s="11" t="s">
        <v>356</v>
      </c>
      <c r="L735" s="11" t="s">
        <v>84</v>
      </c>
      <c r="M735" s="11" t="s">
        <v>4229</v>
      </c>
      <c r="N735" s="11" t="s">
        <v>47</v>
      </c>
      <c r="O735" s="11" t="s">
        <v>71</v>
      </c>
      <c r="P735" s="11" t="s">
        <v>4230</v>
      </c>
      <c r="Q735" s="13" t="s">
        <v>4231</v>
      </c>
      <c r="R735" s="14" t="str">
        <f>HYPERLINK("https://drive.google.com/file/d/13CX2S0OFPvDzSJ_M_nv1ucQLKGy4F79c/view?usp=drivesdk","OFFER LETTER")</f>
        <v>OFFER LETTER</v>
      </c>
      <c r="S735" s="11" t="s">
        <v>4232</v>
      </c>
    </row>
    <row r="736" ht="22.5" customHeight="1">
      <c r="A736" s="10">
        <v>46259.467037916664</v>
      </c>
      <c r="B736" s="11" t="s">
        <v>4233</v>
      </c>
      <c r="C736" s="11" t="s">
        <v>107</v>
      </c>
      <c r="D736" s="11" t="s">
        <v>68</v>
      </c>
      <c r="E736" s="12">
        <v>46259.0</v>
      </c>
      <c r="F736" s="12">
        <v>46290.0</v>
      </c>
      <c r="G736" s="11" t="s">
        <v>4234</v>
      </c>
      <c r="H736" s="11">
        <v>6.206865276E9</v>
      </c>
      <c r="I736" s="11" t="s">
        <v>70</v>
      </c>
      <c r="J736" s="11" t="s">
        <v>71</v>
      </c>
      <c r="K736" s="11" t="s">
        <v>356</v>
      </c>
      <c r="L736" s="11" t="s">
        <v>84</v>
      </c>
      <c r="M736" s="11" t="s">
        <v>4235</v>
      </c>
      <c r="N736" s="11" t="s">
        <v>75</v>
      </c>
      <c r="O736" s="11" t="s">
        <v>71</v>
      </c>
      <c r="P736" s="11" t="s">
        <v>4236</v>
      </c>
      <c r="Q736" s="13" t="s">
        <v>4237</v>
      </c>
      <c r="R736" s="14" t="str">
        <f>HYPERLINK("https://drive.google.com/file/d/19Ef62OwZ42qAt41k9bG9a5TdwpgzNK9v/view?usp=drivesdk","OFFER LETTER")</f>
        <v>OFFER LETTER</v>
      </c>
      <c r="S736" s="11" t="s">
        <v>4238</v>
      </c>
    </row>
    <row r="737" ht="22.5" customHeight="1">
      <c r="A737" s="10">
        <v>46259.46921357639</v>
      </c>
      <c r="B737" s="11" t="s">
        <v>4239</v>
      </c>
      <c r="C737" s="11" t="s">
        <v>173</v>
      </c>
      <c r="D737" s="11" t="s">
        <v>68</v>
      </c>
      <c r="E737" s="12">
        <v>46184.0</v>
      </c>
      <c r="F737" s="12">
        <v>46218.0</v>
      </c>
      <c r="G737" s="11" t="s">
        <v>4240</v>
      </c>
      <c r="H737" s="11">
        <v>7.321820846E9</v>
      </c>
      <c r="I737" s="11" t="s">
        <v>82</v>
      </c>
      <c r="J737" s="11" t="s">
        <v>71</v>
      </c>
      <c r="K737" s="11" t="s">
        <v>72</v>
      </c>
      <c r="L737" s="11" t="s">
        <v>84</v>
      </c>
      <c r="M737" s="11" t="s">
        <v>849</v>
      </c>
      <c r="N737" s="11" t="s">
        <v>86</v>
      </c>
      <c r="O737" s="11" t="s">
        <v>71</v>
      </c>
      <c r="P737" s="11" t="s">
        <v>4241</v>
      </c>
      <c r="Q737" s="13" t="s">
        <v>4242</v>
      </c>
      <c r="R737" s="14" t="str">
        <f>HYPERLINK("https://drive.google.com/file/d/1I_X7xEfm-7AK_BsuqfLQJKt21F1RBIwZ/view?usp=drivesdk","OFFER LETTER")</f>
        <v>OFFER LETTER</v>
      </c>
      <c r="S737" s="11" t="s">
        <v>4243</v>
      </c>
    </row>
    <row r="738" ht="22.5" customHeight="1">
      <c r="A738" s="10">
        <v>46259.47306377315</v>
      </c>
      <c r="B738" s="11" t="s">
        <v>4244</v>
      </c>
      <c r="C738" s="11" t="s">
        <v>195</v>
      </c>
      <c r="D738" s="11" t="s">
        <v>68</v>
      </c>
      <c r="E738" s="12">
        <v>46171.0</v>
      </c>
      <c r="F738" s="12">
        <v>46203.0</v>
      </c>
      <c r="G738" s="11" t="s">
        <v>4245</v>
      </c>
      <c r="H738" s="17" t="s">
        <v>4246</v>
      </c>
      <c r="I738" s="11" t="s">
        <v>82</v>
      </c>
      <c r="K738" s="11" t="s">
        <v>72</v>
      </c>
      <c r="L738" s="11" t="s">
        <v>84</v>
      </c>
      <c r="M738" s="11" t="s">
        <v>4247</v>
      </c>
      <c r="N738" s="11" t="s">
        <v>4248</v>
      </c>
      <c r="O738" s="11" t="s">
        <v>71</v>
      </c>
      <c r="P738" s="11" t="s">
        <v>4249</v>
      </c>
      <c r="Q738" s="13" t="s">
        <v>4250</v>
      </c>
      <c r="R738" s="14" t="str">
        <f>HYPERLINK("https://drive.google.com/file/d/1Wtpgkz3PN96xXc9h9Y4AoMTKyV7z44OT/view?usp=drivesdk","OFFER LETTER")</f>
        <v>OFFER LETTER</v>
      </c>
      <c r="S738" s="11" t="s">
        <v>4251</v>
      </c>
    </row>
    <row r="739" ht="22.5" customHeight="1">
      <c r="A739" s="10">
        <v>46259.476565081015</v>
      </c>
      <c r="B739" s="11" t="s">
        <v>4252</v>
      </c>
      <c r="C739" s="11" t="s">
        <v>128</v>
      </c>
      <c r="D739" s="11" t="s">
        <v>108</v>
      </c>
      <c r="E739" s="12">
        <v>46193.0</v>
      </c>
      <c r="F739" s="12">
        <v>46259.0</v>
      </c>
      <c r="G739" s="11" t="s">
        <v>4253</v>
      </c>
      <c r="H739" s="11">
        <v>8.077625215E9</v>
      </c>
      <c r="I739" s="11" t="s">
        <v>82</v>
      </c>
      <c r="J739" s="11" t="s">
        <v>71</v>
      </c>
      <c r="K739" s="11" t="s">
        <v>356</v>
      </c>
      <c r="L739" s="11" t="s">
        <v>84</v>
      </c>
      <c r="M739" s="11" t="s">
        <v>4254</v>
      </c>
      <c r="N739" s="11" t="s">
        <v>75</v>
      </c>
      <c r="O739" s="11" t="s">
        <v>71</v>
      </c>
      <c r="P739" s="11" t="s">
        <v>4255</v>
      </c>
      <c r="Q739" s="13" t="s">
        <v>4256</v>
      </c>
      <c r="R739" s="14" t="str">
        <f>HYPERLINK("https://drive.google.com/file/d/10J7nqkmEeKeQwjCCvmjld_DvH539jXw0/view?usp=drivesdk","OFFER LETTER")</f>
        <v>OFFER LETTER</v>
      </c>
      <c r="S739" s="11" t="s">
        <v>4257</v>
      </c>
    </row>
    <row r="740" ht="22.5" customHeight="1">
      <c r="A740" s="10">
        <v>46259.47738137731</v>
      </c>
      <c r="B740" s="11" t="s">
        <v>4258</v>
      </c>
      <c r="C740" s="11" t="s">
        <v>173</v>
      </c>
      <c r="D740" s="11" t="s">
        <v>108</v>
      </c>
      <c r="E740" s="12">
        <v>46165.0</v>
      </c>
      <c r="F740" s="12">
        <v>46226.0</v>
      </c>
      <c r="G740" s="11" t="s">
        <v>4259</v>
      </c>
      <c r="H740" s="11">
        <v>6.397555927E9</v>
      </c>
      <c r="I740" s="11" t="s">
        <v>82</v>
      </c>
      <c r="J740" s="11" t="s">
        <v>130</v>
      </c>
      <c r="K740" s="11" t="s">
        <v>110</v>
      </c>
      <c r="L740" s="11" t="s">
        <v>84</v>
      </c>
      <c r="M740" s="11" t="s">
        <v>524</v>
      </c>
      <c r="N740" s="11" t="s">
        <v>198</v>
      </c>
      <c r="O740" s="11" t="s">
        <v>130</v>
      </c>
      <c r="P740" s="11" t="s">
        <v>4260</v>
      </c>
      <c r="Q740" s="13" t="s">
        <v>4261</v>
      </c>
      <c r="R740" s="14" t="str">
        <f>HYPERLINK("https://drive.google.com/file/d/1e7iKeg4bRXa2bKQPyfZwfI53SKEM-RHQ/view?usp=drivesdk","OFFER LETTER")</f>
        <v>OFFER LETTER</v>
      </c>
      <c r="S740" s="11" t="s">
        <v>4262</v>
      </c>
    </row>
    <row r="741" ht="22.5" customHeight="1">
      <c r="A741" s="10">
        <v>46259.48136384259</v>
      </c>
      <c r="B741" s="11" t="s">
        <v>4263</v>
      </c>
      <c r="C741" s="11" t="s">
        <v>91</v>
      </c>
      <c r="D741" s="11" t="s">
        <v>68</v>
      </c>
      <c r="E741" s="12">
        <v>46223.0</v>
      </c>
      <c r="F741" s="12">
        <v>46285.0</v>
      </c>
      <c r="G741" s="11" t="s">
        <v>4264</v>
      </c>
      <c r="H741" s="11">
        <v>9.787792089E9</v>
      </c>
      <c r="I741" s="11" t="s">
        <v>70</v>
      </c>
      <c r="J741" s="11" t="s">
        <v>71</v>
      </c>
      <c r="K741" s="11" t="s">
        <v>72</v>
      </c>
      <c r="L741" s="11" t="s">
        <v>73</v>
      </c>
      <c r="M741" s="11" t="s">
        <v>4265</v>
      </c>
      <c r="N741" s="11" t="s">
        <v>86</v>
      </c>
      <c r="O741" s="11" t="s">
        <v>71</v>
      </c>
      <c r="P741" s="11" t="s">
        <v>4266</v>
      </c>
      <c r="Q741" s="13" t="s">
        <v>4267</v>
      </c>
      <c r="R741" s="14" t="str">
        <f>HYPERLINK("https://drive.google.com/file/d/1_0DI7kfRPIPl_Ww4Gc8bN8eyFzlbcNgV/view?usp=drivesdk","OFFER LETTER")</f>
        <v>OFFER LETTER</v>
      </c>
      <c r="S741" s="11" t="s">
        <v>4268</v>
      </c>
    </row>
    <row r="742" ht="22.5" customHeight="1">
      <c r="A742" s="10">
        <v>46259.48161472222</v>
      </c>
      <c r="B742" s="11" t="s">
        <v>589</v>
      </c>
      <c r="C742" s="11" t="s">
        <v>128</v>
      </c>
      <c r="D742" s="11" t="s">
        <v>108</v>
      </c>
      <c r="E742" s="12">
        <v>46193.0</v>
      </c>
      <c r="F742" s="12">
        <v>46259.0</v>
      </c>
      <c r="G742" s="11" t="s">
        <v>4253</v>
      </c>
      <c r="H742" s="11">
        <v>8.077625215E9</v>
      </c>
      <c r="I742" s="11" t="s">
        <v>82</v>
      </c>
      <c r="J742" s="11" t="s">
        <v>71</v>
      </c>
      <c r="K742" s="11" t="s">
        <v>356</v>
      </c>
      <c r="L742" s="11" t="s">
        <v>84</v>
      </c>
      <c r="M742" s="11" t="s">
        <v>4269</v>
      </c>
      <c r="N742" s="11" t="s">
        <v>226</v>
      </c>
      <c r="O742" s="11" t="s">
        <v>71</v>
      </c>
      <c r="P742" s="11" t="s">
        <v>4270</v>
      </c>
      <c r="Q742" s="13" t="s">
        <v>4271</v>
      </c>
      <c r="R742" s="14" t="str">
        <f>HYPERLINK("https://drive.google.com/file/d/1TGRa64NWj4Cpsq3nQDxnzEma5eC79Qd2/view?usp=drivesdk","OFFER LETTER")</f>
        <v>OFFER LETTER</v>
      </c>
      <c r="S742" s="11" t="s">
        <v>4272</v>
      </c>
    </row>
    <row r="743" ht="22.5" customHeight="1">
      <c r="A743" s="10">
        <v>46259.484654722226</v>
      </c>
      <c r="B743" s="11" t="s">
        <v>4273</v>
      </c>
      <c r="C743" s="11" t="s">
        <v>107</v>
      </c>
      <c r="D743" s="11" t="s">
        <v>108</v>
      </c>
      <c r="E743" s="12">
        <v>46259.0</v>
      </c>
      <c r="F743" s="12">
        <v>46319.0</v>
      </c>
      <c r="G743" s="11" t="s">
        <v>4274</v>
      </c>
      <c r="H743" s="11">
        <v>9.97763845E9</v>
      </c>
      <c r="I743" s="11" t="s">
        <v>82</v>
      </c>
      <c r="J743" s="11" t="s">
        <v>71</v>
      </c>
      <c r="K743" s="11" t="s">
        <v>72</v>
      </c>
      <c r="L743" s="11" t="s">
        <v>131</v>
      </c>
      <c r="M743" s="11" t="s">
        <v>4275</v>
      </c>
      <c r="N743" s="11" t="s">
        <v>75</v>
      </c>
      <c r="O743" s="11" t="s">
        <v>71</v>
      </c>
      <c r="P743" s="11" t="s">
        <v>4276</v>
      </c>
      <c r="Q743" s="13" t="s">
        <v>4277</v>
      </c>
      <c r="R743" s="14" t="str">
        <f>HYPERLINK("https://drive.google.com/file/d/10jCR11oVSrFLLqm0NtG3gysMEPiIgyC3/view?usp=drivesdk","OFFER LETTER")</f>
        <v>OFFER LETTER</v>
      </c>
      <c r="S743" s="11" t="s">
        <v>4278</v>
      </c>
    </row>
    <row r="744" ht="22.5" customHeight="1">
      <c r="A744" s="10">
        <v>46259.48829016204</v>
      </c>
      <c r="B744" s="11" t="s">
        <v>1239</v>
      </c>
      <c r="C744" s="11" t="s">
        <v>298</v>
      </c>
      <c r="D744" s="11" t="s">
        <v>108</v>
      </c>
      <c r="E744" s="12">
        <v>46205.0</v>
      </c>
      <c r="F744" s="12">
        <v>46258.0</v>
      </c>
      <c r="G744" s="11" t="s">
        <v>4279</v>
      </c>
      <c r="H744" s="11">
        <v>9.548261709E9</v>
      </c>
      <c r="I744" s="11" t="s">
        <v>82</v>
      </c>
      <c r="J744" s="11" t="s">
        <v>130</v>
      </c>
      <c r="K744" s="11" t="s">
        <v>110</v>
      </c>
      <c r="L744" s="11" t="s">
        <v>84</v>
      </c>
      <c r="M744" s="11" t="s">
        <v>4280</v>
      </c>
      <c r="N744" s="11" t="s">
        <v>219</v>
      </c>
      <c r="O744" s="11" t="s">
        <v>71</v>
      </c>
      <c r="P744" s="11" t="s">
        <v>4281</v>
      </c>
      <c r="Q744" s="13" t="s">
        <v>4282</v>
      </c>
      <c r="R744" s="14" t="str">
        <f>HYPERLINK("https://drive.google.com/file/d/1rjDGbz9ri4rKmetTPPKeQg7BrnnmYH08/view?usp=drivesdk","OFFER LETTER")</f>
        <v>OFFER LETTER</v>
      </c>
      <c r="S744" s="11" t="s">
        <v>4283</v>
      </c>
    </row>
    <row r="745" ht="22.5" customHeight="1">
      <c r="A745" s="10">
        <v>46259.494739710644</v>
      </c>
      <c r="B745" s="11" t="s">
        <v>4284</v>
      </c>
      <c r="C745" s="11" t="s">
        <v>80</v>
      </c>
      <c r="D745" s="11" t="s">
        <v>68</v>
      </c>
      <c r="E745" s="12">
        <v>46259.0</v>
      </c>
      <c r="F745" s="12">
        <v>46290.0</v>
      </c>
      <c r="G745" s="11" t="s">
        <v>4285</v>
      </c>
      <c r="H745" s="11">
        <v>7.01367148E9</v>
      </c>
      <c r="I745" s="11" t="s">
        <v>82</v>
      </c>
      <c r="J745" s="11" t="s">
        <v>71</v>
      </c>
      <c r="K745" s="11" t="s">
        <v>72</v>
      </c>
      <c r="L745" s="11" t="s">
        <v>131</v>
      </c>
      <c r="M745" s="11" t="s">
        <v>4286</v>
      </c>
      <c r="N745" s="11" t="s">
        <v>86</v>
      </c>
      <c r="O745" s="11" t="s">
        <v>71</v>
      </c>
      <c r="P745" s="11" t="s">
        <v>4287</v>
      </c>
      <c r="Q745" s="13" t="s">
        <v>4288</v>
      </c>
      <c r="R745" s="14" t="str">
        <f>HYPERLINK("https://drive.google.com/file/d/12cmTOukvN9Bxx_9-VQdlJX712iaCRafX/view?usp=drivesdk","OFFER LETTER")</f>
        <v>OFFER LETTER</v>
      </c>
      <c r="S745" s="11" t="s">
        <v>4289</v>
      </c>
    </row>
    <row r="746" ht="22.5" customHeight="1">
      <c r="A746" s="10">
        <v>46259.49628584491</v>
      </c>
      <c r="B746" s="11" t="s">
        <v>4290</v>
      </c>
      <c r="C746" s="11" t="s">
        <v>173</v>
      </c>
      <c r="D746" s="11" t="s">
        <v>108</v>
      </c>
      <c r="E746" s="12">
        <v>46261.0</v>
      </c>
      <c r="F746" s="12">
        <v>46322.0</v>
      </c>
      <c r="G746" s="11" t="s">
        <v>4291</v>
      </c>
      <c r="H746" s="11">
        <v>7.619187794E9</v>
      </c>
      <c r="I746" s="11" t="s">
        <v>82</v>
      </c>
      <c r="J746" s="11" t="s">
        <v>71</v>
      </c>
      <c r="K746" s="11" t="s">
        <v>356</v>
      </c>
      <c r="L746" s="11" t="s">
        <v>84</v>
      </c>
      <c r="M746" s="11" t="s">
        <v>4292</v>
      </c>
      <c r="N746" s="11" t="s">
        <v>47</v>
      </c>
      <c r="O746" s="11" t="s">
        <v>71</v>
      </c>
      <c r="P746" s="11" t="s">
        <v>4293</v>
      </c>
      <c r="Q746" s="13" t="s">
        <v>4294</v>
      </c>
      <c r="R746" s="14" t="str">
        <f>HYPERLINK("https://drive.google.com/file/d/17PmenW4LirMe7R1RT351T8GORUavG8dq/view?usp=drivesdk","OFFER LETTER")</f>
        <v>OFFER LETTER</v>
      </c>
      <c r="S746" s="11" t="s">
        <v>4295</v>
      </c>
    </row>
    <row r="747" ht="22.5" customHeight="1">
      <c r="A747" s="10">
        <v>46259.497994687496</v>
      </c>
      <c r="B747" s="11" t="s">
        <v>4296</v>
      </c>
      <c r="C747" s="11" t="s">
        <v>128</v>
      </c>
      <c r="D747" s="11" t="s">
        <v>68</v>
      </c>
      <c r="E747" s="12">
        <v>46220.0</v>
      </c>
      <c r="F747" s="12">
        <v>46250.0</v>
      </c>
      <c r="G747" s="11" t="s">
        <v>4297</v>
      </c>
      <c r="H747" s="11">
        <v>7.470529832E9</v>
      </c>
      <c r="I747" s="11" t="s">
        <v>82</v>
      </c>
      <c r="J747" s="11" t="s">
        <v>71</v>
      </c>
      <c r="K747" s="11" t="s">
        <v>72</v>
      </c>
      <c r="L747" s="11" t="s">
        <v>73</v>
      </c>
      <c r="M747" s="11" t="s">
        <v>4298</v>
      </c>
      <c r="N747" s="11" t="s">
        <v>198</v>
      </c>
      <c r="O747" s="11" t="s">
        <v>71</v>
      </c>
      <c r="P747" s="11" t="s">
        <v>4299</v>
      </c>
      <c r="Q747" s="13" t="s">
        <v>4300</v>
      </c>
      <c r="R747" s="14" t="str">
        <f>HYPERLINK("https://drive.google.com/file/d/17anZtuuMgYqdDXIb6ydwccAFAAvD6hkZ/view?usp=drivesdk","OFFER LETTER")</f>
        <v>OFFER LETTER</v>
      </c>
      <c r="S747" s="11" t="s">
        <v>4301</v>
      </c>
    </row>
    <row r="748" ht="22.5" customHeight="1">
      <c r="A748" s="10">
        <v>46259.498278240746</v>
      </c>
      <c r="B748" s="11" t="s">
        <v>4302</v>
      </c>
      <c r="C748" s="11" t="s">
        <v>195</v>
      </c>
      <c r="D748" s="11" t="s">
        <v>108</v>
      </c>
      <c r="E748" s="12">
        <v>46262.0</v>
      </c>
      <c r="F748" s="12">
        <v>46323.0</v>
      </c>
      <c r="G748" s="11" t="s">
        <v>4303</v>
      </c>
      <c r="H748" s="11">
        <v>9.353923514E9</v>
      </c>
      <c r="I748" s="11" t="s">
        <v>82</v>
      </c>
      <c r="J748" s="11" t="s">
        <v>71</v>
      </c>
      <c r="K748" s="11" t="s">
        <v>356</v>
      </c>
      <c r="L748" s="11" t="s">
        <v>84</v>
      </c>
      <c r="M748" s="11" t="s">
        <v>4292</v>
      </c>
      <c r="N748" s="11" t="s">
        <v>155</v>
      </c>
      <c r="O748" s="11" t="s">
        <v>71</v>
      </c>
      <c r="P748" s="11" t="s">
        <v>4304</v>
      </c>
      <c r="Q748" s="13" t="s">
        <v>4305</v>
      </c>
      <c r="R748" s="14" t="str">
        <f>HYPERLINK("https://drive.google.com/file/d/1uTzbmJBROhzJWKDpjvnvoFZLkmjO8R4V/view?usp=drivesdk","OFFER LETTER")</f>
        <v>OFFER LETTER</v>
      </c>
      <c r="S748" s="11" t="s">
        <v>4306</v>
      </c>
    </row>
    <row r="749" ht="22.5" customHeight="1">
      <c r="A749" s="10">
        <v>46259.49966112268</v>
      </c>
      <c r="B749" s="11" t="s">
        <v>4284</v>
      </c>
      <c r="C749" s="11" t="s">
        <v>80</v>
      </c>
      <c r="D749" s="11" t="s">
        <v>68</v>
      </c>
      <c r="E749" s="12">
        <v>46259.0</v>
      </c>
      <c r="F749" s="12">
        <v>46290.0</v>
      </c>
      <c r="G749" s="11" t="s">
        <v>4285</v>
      </c>
      <c r="H749" s="11">
        <v>7.01367148E9</v>
      </c>
      <c r="I749" s="11" t="s">
        <v>82</v>
      </c>
      <c r="J749" s="11" t="s">
        <v>71</v>
      </c>
      <c r="K749" s="11" t="s">
        <v>72</v>
      </c>
      <c r="L749" s="11" t="s">
        <v>131</v>
      </c>
      <c r="M749" s="11" t="s">
        <v>4286</v>
      </c>
      <c r="N749" s="11" t="s">
        <v>4307</v>
      </c>
      <c r="O749" s="11" t="s">
        <v>71</v>
      </c>
      <c r="P749" s="11" t="s">
        <v>4308</v>
      </c>
      <c r="Q749" s="13" t="s">
        <v>4309</v>
      </c>
      <c r="R749" s="14" t="str">
        <f>HYPERLINK("https://drive.google.com/file/d/1En7eMiYqyra7A2z6qXjEhXo0t-ubXh3d/view?usp=drivesdk","OFFER LETTER")</f>
        <v>OFFER LETTER</v>
      </c>
      <c r="S749" s="11" t="s">
        <v>4310</v>
      </c>
    </row>
    <row r="750" ht="22.5" customHeight="1">
      <c r="A750" s="10">
        <v>46259.50166971065</v>
      </c>
      <c r="B750" s="11" t="s">
        <v>4311</v>
      </c>
      <c r="C750" s="11" t="s">
        <v>128</v>
      </c>
      <c r="D750" s="11" t="s">
        <v>108</v>
      </c>
      <c r="E750" s="12">
        <v>46205.0</v>
      </c>
      <c r="F750" s="12">
        <v>46258.0</v>
      </c>
      <c r="G750" s="11" t="s">
        <v>4312</v>
      </c>
      <c r="H750" s="11">
        <v>9.457196372E9</v>
      </c>
      <c r="I750" s="11" t="s">
        <v>82</v>
      </c>
      <c r="J750" s="11" t="s">
        <v>130</v>
      </c>
      <c r="K750" s="11" t="s">
        <v>110</v>
      </c>
      <c r="L750" s="11" t="s">
        <v>84</v>
      </c>
      <c r="M750" s="11" t="s">
        <v>4280</v>
      </c>
      <c r="N750" s="11" t="s">
        <v>198</v>
      </c>
      <c r="O750" s="11" t="s">
        <v>71</v>
      </c>
      <c r="P750" s="11" t="s">
        <v>4313</v>
      </c>
      <c r="Q750" s="13" t="s">
        <v>4314</v>
      </c>
      <c r="R750" s="14" t="str">
        <f>HYPERLINK("https://drive.google.com/file/d/1SalVbEKW0XjrjOdKhTBUVyQ_tqE2IpNL/view?usp=drivesdk","OFFER LETTER")</f>
        <v>OFFER LETTER</v>
      </c>
      <c r="S750" s="11" t="s">
        <v>4315</v>
      </c>
    </row>
    <row r="751" ht="22.5" customHeight="1">
      <c r="A751" s="10">
        <v>46259.50167055556</v>
      </c>
      <c r="B751" s="11" t="s">
        <v>4316</v>
      </c>
      <c r="C751" s="11" t="s">
        <v>107</v>
      </c>
      <c r="D751" s="11" t="s">
        <v>108</v>
      </c>
      <c r="E751" s="12">
        <v>46259.0</v>
      </c>
      <c r="F751" s="12">
        <v>46325.0</v>
      </c>
      <c r="G751" s="11" t="s">
        <v>4317</v>
      </c>
      <c r="H751" s="11">
        <v>7.483553393E9</v>
      </c>
      <c r="I751" s="11" t="s">
        <v>82</v>
      </c>
      <c r="K751" s="11" t="s">
        <v>356</v>
      </c>
      <c r="L751" s="11" t="s">
        <v>357</v>
      </c>
      <c r="M751" s="11" t="s">
        <v>4318</v>
      </c>
      <c r="N751" s="11" t="s">
        <v>86</v>
      </c>
      <c r="O751" s="11" t="s">
        <v>71</v>
      </c>
      <c r="P751" s="11" t="s">
        <v>4319</v>
      </c>
      <c r="Q751" s="13" t="s">
        <v>4320</v>
      </c>
      <c r="R751" s="14" t="str">
        <f>HYPERLINK("https://drive.google.com/file/d/1tz4TAyPfGyJ4mlMKqvCAvnnvI9I0F7XS/view?usp=drivesdk","OFFER LETTER")</f>
        <v>OFFER LETTER</v>
      </c>
      <c r="S751" s="11" t="s">
        <v>4321</v>
      </c>
    </row>
    <row r="752" ht="22.5" customHeight="1">
      <c r="A752" s="10">
        <v>46259.50403759259</v>
      </c>
      <c r="B752" s="11" t="s">
        <v>4322</v>
      </c>
      <c r="C752" s="11" t="s">
        <v>195</v>
      </c>
      <c r="D752" s="11" t="s">
        <v>108</v>
      </c>
      <c r="E752" s="12">
        <v>46266.0</v>
      </c>
      <c r="F752" s="12">
        <v>46336.0</v>
      </c>
      <c r="G752" s="11" t="s">
        <v>4323</v>
      </c>
      <c r="H752" s="11">
        <v>7.676946673E9</v>
      </c>
      <c r="I752" s="11" t="s">
        <v>82</v>
      </c>
      <c r="J752" s="11" t="s">
        <v>71</v>
      </c>
      <c r="K752" s="11" t="s">
        <v>356</v>
      </c>
      <c r="L752" s="11" t="s">
        <v>84</v>
      </c>
      <c r="M752" s="11" t="s">
        <v>4324</v>
      </c>
      <c r="N752" s="11" t="s">
        <v>3319</v>
      </c>
      <c r="O752" s="11" t="s">
        <v>71</v>
      </c>
      <c r="P752" s="11" t="s">
        <v>4325</v>
      </c>
      <c r="Q752" s="13" t="s">
        <v>4326</v>
      </c>
      <c r="R752" s="14" t="str">
        <f>HYPERLINK("https://drive.google.com/file/d/1lpAgeNtYVpCAY8Q7cy-P0SH7B8kChVoG/view?usp=drivesdk","OFFER LETTER")</f>
        <v>OFFER LETTER</v>
      </c>
      <c r="S752" s="11" t="s">
        <v>4327</v>
      </c>
    </row>
    <row r="753" ht="22.5" customHeight="1">
      <c r="A753" s="10">
        <v>46259.50419222222</v>
      </c>
      <c r="B753" s="11" t="s">
        <v>4328</v>
      </c>
      <c r="C753" s="11" t="s">
        <v>107</v>
      </c>
      <c r="D753" s="11" t="s">
        <v>68</v>
      </c>
      <c r="E753" s="12">
        <v>46259.0</v>
      </c>
      <c r="F753" s="12">
        <v>46290.0</v>
      </c>
      <c r="G753" s="11" t="s">
        <v>4329</v>
      </c>
      <c r="H753" s="11">
        <v>8.288889306E9</v>
      </c>
      <c r="I753" s="11" t="s">
        <v>70</v>
      </c>
      <c r="J753" s="11" t="s">
        <v>71</v>
      </c>
      <c r="K753" s="13" t="s">
        <v>443</v>
      </c>
      <c r="L753" s="11" t="s">
        <v>84</v>
      </c>
      <c r="M753" s="11" t="s">
        <v>4330</v>
      </c>
      <c r="N753" s="11" t="s">
        <v>86</v>
      </c>
      <c r="O753" s="11" t="s">
        <v>71</v>
      </c>
      <c r="P753" s="11" t="s">
        <v>4331</v>
      </c>
      <c r="Q753" s="13" t="s">
        <v>4332</v>
      </c>
      <c r="R753" s="14" t="str">
        <f>HYPERLINK("https://drive.google.com/file/d/1aQnd5aaCw6ildm9WHevJESAdAiVIlkeq/view?usp=drivesdk","OFFER LETTER")</f>
        <v>OFFER LETTER</v>
      </c>
      <c r="S753" s="11" t="s">
        <v>4333</v>
      </c>
    </row>
    <row r="754" ht="22.5" customHeight="1">
      <c r="A754" s="10">
        <v>46259.5069779051</v>
      </c>
      <c r="B754" s="11" t="s">
        <v>4334</v>
      </c>
      <c r="C754" s="11" t="s">
        <v>165</v>
      </c>
      <c r="D754" s="11" t="s">
        <v>68</v>
      </c>
      <c r="E754" s="12">
        <v>46259.0</v>
      </c>
      <c r="F754" s="12">
        <v>46290.0</v>
      </c>
      <c r="G754" s="11" t="s">
        <v>4335</v>
      </c>
      <c r="H754" s="11">
        <v>8.66863279E9</v>
      </c>
      <c r="I754" s="11" t="s">
        <v>70</v>
      </c>
      <c r="J754" s="11" t="s">
        <v>71</v>
      </c>
      <c r="K754" s="11" t="s">
        <v>167</v>
      </c>
      <c r="L754" s="11" t="s">
        <v>84</v>
      </c>
      <c r="M754" s="11" t="s">
        <v>4336</v>
      </c>
      <c r="N754" s="11" t="s">
        <v>86</v>
      </c>
      <c r="O754" s="11" t="s">
        <v>71</v>
      </c>
      <c r="P754" s="11" t="s">
        <v>4337</v>
      </c>
      <c r="Q754" s="13" t="s">
        <v>4338</v>
      </c>
      <c r="R754" s="14" t="str">
        <f>HYPERLINK("https://drive.google.com/file/d/1oKzlugwPKfjHpYuffwsbXPNiLf_aap6d/view?usp=drivesdk","OFFER LETTER")</f>
        <v>OFFER LETTER</v>
      </c>
      <c r="S754" s="11" t="s">
        <v>4339</v>
      </c>
    </row>
    <row r="755" ht="22.5" customHeight="1">
      <c r="A755" s="10">
        <v>46259.50755142361</v>
      </c>
      <c r="B755" s="11" t="s">
        <v>4316</v>
      </c>
      <c r="C755" s="11" t="s">
        <v>107</v>
      </c>
      <c r="D755" s="11" t="s">
        <v>108</v>
      </c>
      <c r="E755" s="12">
        <v>46259.0</v>
      </c>
      <c r="F755" s="12">
        <v>46325.0</v>
      </c>
      <c r="G755" s="11" t="s">
        <v>4317</v>
      </c>
      <c r="H755" s="11">
        <v>7.483553393E9</v>
      </c>
      <c r="I755" s="11" t="s">
        <v>82</v>
      </c>
      <c r="K755" s="11" t="s">
        <v>356</v>
      </c>
      <c r="L755" s="11" t="s">
        <v>357</v>
      </c>
      <c r="M755" s="11" t="s">
        <v>4340</v>
      </c>
      <c r="N755" s="11" t="s">
        <v>86</v>
      </c>
      <c r="O755" s="11" t="s">
        <v>71</v>
      </c>
      <c r="P755" s="11" t="s">
        <v>4341</v>
      </c>
      <c r="Q755" s="13" t="s">
        <v>4342</v>
      </c>
      <c r="R755" s="14" t="str">
        <f>HYPERLINK("https://drive.google.com/file/d/1WIjqmjKrl33cGhmu3j3pV6DjfLBlDQHL/view?usp=drivesdk","OFFER LETTER")</f>
        <v>OFFER LETTER</v>
      </c>
      <c r="S755" s="11" t="s">
        <v>4343</v>
      </c>
    </row>
    <row r="756" ht="22.5" customHeight="1">
      <c r="A756" s="10">
        <v>46259.50901807871</v>
      </c>
      <c r="B756" s="11" t="s">
        <v>4344</v>
      </c>
      <c r="C756" s="11" t="s">
        <v>173</v>
      </c>
      <c r="D756" s="11" t="s">
        <v>108</v>
      </c>
      <c r="E756" s="12">
        <v>46254.0</v>
      </c>
      <c r="F756" s="12">
        <v>46315.0</v>
      </c>
      <c r="G756" s="11" t="s">
        <v>4345</v>
      </c>
      <c r="H756" s="17" t="s">
        <v>4346</v>
      </c>
      <c r="I756" s="11" t="s">
        <v>82</v>
      </c>
      <c r="J756" s="11" t="s">
        <v>71</v>
      </c>
      <c r="K756" s="11" t="s">
        <v>110</v>
      </c>
      <c r="L756" s="11" t="s">
        <v>73</v>
      </c>
      <c r="M756" s="11" t="s">
        <v>4347</v>
      </c>
      <c r="N756" s="11" t="s">
        <v>226</v>
      </c>
      <c r="O756" s="11" t="s">
        <v>71</v>
      </c>
      <c r="P756" s="11" t="s">
        <v>4348</v>
      </c>
      <c r="Q756" s="13" t="s">
        <v>4349</v>
      </c>
      <c r="R756" s="14" t="str">
        <f>HYPERLINK("https://drive.google.com/file/d/1WLoLYi1loVEjDQpc7eiqlqfA8PseHOck/view?usp=drivesdk","OFFER LETTER")</f>
        <v>OFFER LETTER</v>
      </c>
      <c r="S756" s="11" t="s">
        <v>4350</v>
      </c>
    </row>
    <row r="757" ht="22.5" customHeight="1">
      <c r="A757" s="10">
        <v>46259.509953298606</v>
      </c>
      <c r="B757" s="11" t="s">
        <v>4351</v>
      </c>
      <c r="C757" s="11" t="s">
        <v>80</v>
      </c>
      <c r="D757" s="11" t="s">
        <v>68</v>
      </c>
      <c r="E757" s="12">
        <v>46256.0</v>
      </c>
      <c r="F757" s="12">
        <v>46287.0</v>
      </c>
      <c r="G757" s="11" t="s">
        <v>4352</v>
      </c>
      <c r="H757" s="11">
        <v>7.060364299E9</v>
      </c>
      <c r="I757" s="11" t="s">
        <v>82</v>
      </c>
      <c r="J757" s="11" t="s">
        <v>71</v>
      </c>
      <c r="K757" s="11" t="s">
        <v>72</v>
      </c>
      <c r="L757" s="11" t="s">
        <v>73</v>
      </c>
      <c r="M757" s="11" t="s">
        <v>4353</v>
      </c>
      <c r="N757" s="11" t="s">
        <v>86</v>
      </c>
      <c r="O757" s="11" t="s">
        <v>71</v>
      </c>
      <c r="P757" s="11" t="s">
        <v>4354</v>
      </c>
      <c r="Q757" s="13" t="s">
        <v>4355</v>
      </c>
      <c r="R757" s="14" t="str">
        <f>HYPERLINK("https://drive.google.com/file/d/1JjW4ht45BmJhsARD69z_Q1UvfQw9VE9I/view?usp=drivesdk","OFFER LETTER")</f>
        <v>OFFER LETTER</v>
      </c>
      <c r="S757" s="11" t="s">
        <v>4356</v>
      </c>
    </row>
    <row r="758" ht="22.5" customHeight="1">
      <c r="A758" s="10">
        <v>46259.51122018519</v>
      </c>
      <c r="B758" s="11" t="s">
        <v>4357</v>
      </c>
      <c r="C758" s="11" t="s">
        <v>173</v>
      </c>
      <c r="D758" s="11" t="s">
        <v>68</v>
      </c>
      <c r="E758" s="12">
        <v>46259.0</v>
      </c>
      <c r="F758" s="12">
        <v>46259.0</v>
      </c>
      <c r="G758" s="11" t="s">
        <v>4358</v>
      </c>
      <c r="H758" s="11">
        <v>6.369086341E9</v>
      </c>
      <c r="I758" s="11" t="s">
        <v>82</v>
      </c>
      <c r="J758" s="11" t="s">
        <v>83</v>
      </c>
      <c r="K758" s="11" t="s">
        <v>72</v>
      </c>
      <c r="L758" s="11" t="s">
        <v>84</v>
      </c>
      <c r="M758" s="11" t="s">
        <v>3797</v>
      </c>
      <c r="N758" s="11" t="s">
        <v>86</v>
      </c>
      <c r="O758" s="11" t="s">
        <v>71</v>
      </c>
      <c r="P758" s="11" t="s">
        <v>4359</v>
      </c>
      <c r="Q758" s="13" t="s">
        <v>4360</v>
      </c>
      <c r="R758" s="14" t="str">
        <f>HYPERLINK("https://drive.google.com/file/d/1428erfDWGR5bevDbZW5jCG-lglMUIo0j/view?usp=drivesdk","OFFER LETTER")</f>
        <v>OFFER LETTER</v>
      </c>
      <c r="S758" s="11" t="s">
        <v>4361</v>
      </c>
    </row>
    <row r="759" ht="22.5" customHeight="1">
      <c r="A759" s="10">
        <v>46259.51295434027</v>
      </c>
      <c r="B759" s="11" t="s">
        <v>4362</v>
      </c>
      <c r="C759" s="11" t="s">
        <v>128</v>
      </c>
      <c r="D759" s="11" t="s">
        <v>68</v>
      </c>
      <c r="E759" s="12">
        <v>46260.0</v>
      </c>
      <c r="F759" s="12">
        <v>46289.0</v>
      </c>
      <c r="G759" s="11" t="s">
        <v>4363</v>
      </c>
      <c r="H759" s="11">
        <v>8.222816851E9</v>
      </c>
      <c r="I759" s="11" t="s">
        <v>82</v>
      </c>
      <c r="J759" s="11" t="s">
        <v>71</v>
      </c>
      <c r="K759" s="11" t="s">
        <v>72</v>
      </c>
      <c r="L759" s="11" t="s">
        <v>131</v>
      </c>
      <c r="M759" s="11" t="s">
        <v>4364</v>
      </c>
      <c r="N759" s="11" t="s">
        <v>226</v>
      </c>
      <c r="O759" s="11" t="s">
        <v>71</v>
      </c>
      <c r="P759" s="11" t="s">
        <v>4365</v>
      </c>
      <c r="Q759" s="13" t="s">
        <v>4366</v>
      </c>
      <c r="R759" s="14" t="str">
        <f>HYPERLINK("https://drive.google.com/file/d/10NAkeu2dioqlex2xwNQUO_ouPdWzGvdH/view?usp=drivesdk","OFFER LETTER")</f>
        <v>OFFER LETTER</v>
      </c>
      <c r="S759" s="11" t="s">
        <v>4367</v>
      </c>
    </row>
    <row r="760" ht="22.5" customHeight="1">
      <c r="A760" s="10">
        <v>46259.516948715274</v>
      </c>
      <c r="B760" s="11" t="s">
        <v>4368</v>
      </c>
      <c r="C760" s="11" t="s">
        <v>195</v>
      </c>
      <c r="D760" s="11" t="s">
        <v>108</v>
      </c>
      <c r="E760" s="12">
        <v>46197.0</v>
      </c>
      <c r="F760" s="12">
        <v>46258.0</v>
      </c>
      <c r="G760" s="11" t="s">
        <v>4369</v>
      </c>
      <c r="H760" s="11">
        <v>9.084291221E9</v>
      </c>
      <c r="I760" s="11" t="s">
        <v>82</v>
      </c>
      <c r="J760" s="11" t="s">
        <v>130</v>
      </c>
      <c r="K760" s="11" t="s">
        <v>110</v>
      </c>
      <c r="L760" s="11" t="s">
        <v>84</v>
      </c>
      <c r="M760" s="11" t="s">
        <v>117</v>
      </c>
      <c r="N760" s="11" t="s">
        <v>198</v>
      </c>
      <c r="O760" s="11" t="s">
        <v>71</v>
      </c>
      <c r="P760" s="11" t="s">
        <v>4370</v>
      </c>
      <c r="Q760" s="13" t="s">
        <v>4371</v>
      </c>
      <c r="R760" s="14" t="str">
        <f>HYPERLINK("https://drive.google.com/file/d/1HKJL_duCGsJJyw8oK1JEKNf30CUBwT2W/view?usp=drivesdk","OFFER LETTER")</f>
        <v>OFFER LETTER</v>
      </c>
      <c r="S760" s="11" t="s">
        <v>4372</v>
      </c>
    </row>
    <row r="761" ht="22.5" customHeight="1">
      <c r="A761" s="10">
        <v>46259.517343495376</v>
      </c>
      <c r="B761" s="11" t="s">
        <v>4373</v>
      </c>
      <c r="C761" s="11" t="s">
        <v>259</v>
      </c>
      <c r="D761" s="11" t="s">
        <v>108</v>
      </c>
      <c r="E761" s="12">
        <v>46256.0</v>
      </c>
      <c r="F761" s="12">
        <v>46317.0</v>
      </c>
      <c r="G761" s="11" t="s">
        <v>3074</v>
      </c>
      <c r="H761" s="11">
        <v>9.483323084E9</v>
      </c>
      <c r="I761" s="11" t="s">
        <v>82</v>
      </c>
      <c r="J761" s="11" t="s">
        <v>71</v>
      </c>
      <c r="K761" s="11" t="s">
        <v>356</v>
      </c>
      <c r="L761" s="11" t="s">
        <v>84</v>
      </c>
      <c r="M761" s="11" t="s">
        <v>419</v>
      </c>
      <c r="N761" s="11" t="s">
        <v>3663</v>
      </c>
      <c r="O761" s="11" t="s">
        <v>71</v>
      </c>
      <c r="P761" s="11" t="s">
        <v>4374</v>
      </c>
      <c r="Q761" s="13" t="s">
        <v>4375</v>
      </c>
      <c r="R761" s="14" t="str">
        <f>HYPERLINK("https://drive.google.com/file/d/1J8jqgig3LWfJYJePm5hTWLEwdcKOEoej/view?usp=drivesdk","OFFER LETTER")</f>
        <v>OFFER LETTER</v>
      </c>
      <c r="S761" s="11" t="s">
        <v>4376</v>
      </c>
    </row>
    <row r="762" ht="22.5" customHeight="1">
      <c r="A762" s="10">
        <v>46259.51778622685</v>
      </c>
      <c r="B762" s="11" t="s">
        <v>4377</v>
      </c>
      <c r="C762" s="11" t="s">
        <v>1320</v>
      </c>
      <c r="D762" s="11" t="s">
        <v>108</v>
      </c>
      <c r="E762" s="12">
        <v>46174.0</v>
      </c>
      <c r="F762" s="12">
        <v>46235.0</v>
      </c>
      <c r="G762" s="11" t="s">
        <v>4378</v>
      </c>
      <c r="H762" s="11">
        <v>7.388922039E9</v>
      </c>
      <c r="I762" s="11" t="s">
        <v>82</v>
      </c>
      <c r="J762" s="11" t="s">
        <v>71</v>
      </c>
      <c r="K762" s="11" t="s">
        <v>72</v>
      </c>
      <c r="L762" s="11" t="s">
        <v>131</v>
      </c>
      <c r="M762" s="11" t="s">
        <v>487</v>
      </c>
      <c r="N762" s="11" t="s">
        <v>86</v>
      </c>
      <c r="O762" s="11" t="s">
        <v>71</v>
      </c>
      <c r="P762" s="11" t="s">
        <v>4379</v>
      </c>
      <c r="Q762" s="13" t="s">
        <v>4380</v>
      </c>
      <c r="R762" s="14" t="str">
        <f>HYPERLINK("https://drive.google.com/file/d/1HuoKOJjzz_cW9eKPI1UhC3VAbEV4MQkW/view?usp=drivesdk","OFFER LETTER")</f>
        <v>OFFER LETTER</v>
      </c>
      <c r="S762" s="11" t="s">
        <v>4381</v>
      </c>
    </row>
    <row r="763" ht="22.5" customHeight="1">
      <c r="A763" s="10">
        <v>46259.52007375</v>
      </c>
      <c r="B763" s="11" t="s">
        <v>4368</v>
      </c>
      <c r="C763" s="11" t="s">
        <v>195</v>
      </c>
      <c r="D763" s="11" t="s">
        <v>108</v>
      </c>
      <c r="E763" s="12">
        <v>46197.0</v>
      </c>
      <c r="F763" s="12">
        <v>46258.0</v>
      </c>
      <c r="G763" s="11" t="s">
        <v>4382</v>
      </c>
      <c r="H763" s="11">
        <v>9.084291221E9</v>
      </c>
      <c r="I763" s="11" t="s">
        <v>82</v>
      </c>
      <c r="J763" s="11" t="s">
        <v>130</v>
      </c>
      <c r="K763" s="11" t="s">
        <v>110</v>
      </c>
      <c r="L763" s="11" t="s">
        <v>84</v>
      </c>
      <c r="M763" s="11" t="s">
        <v>117</v>
      </c>
      <c r="N763" s="11" t="s">
        <v>198</v>
      </c>
      <c r="O763" s="11" t="s">
        <v>71</v>
      </c>
      <c r="P763" s="11" t="s">
        <v>4383</v>
      </c>
      <c r="Q763" s="13" t="s">
        <v>4384</v>
      </c>
      <c r="R763" s="14" t="str">
        <f>HYPERLINK("https://drive.google.com/file/d/1yoA2rZVk0eKtjbG0NiKOS6asfcQeMk8O/view?usp=drivesdk","OFFER LETTER")</f>
        <v>OFFER LETTER</v>
      </c>
      <c r="S763" s="11" t="s">
        <v>4385</v>
      </c>
    </row>
    <row r="764" ht="22.5" customHeight="1">
      <c r="A764" s="10">
        <v>46259.52284090278</v>
      </c>
      <c r="B764" s="11" t="s">
        <v>4386</v>
      </c>
      <c r="C764" s="11" t="s">
        <v>195</v>
      </c>
      <c r="D764" s="11" t="s">
        <v>108</v>
      </c>
      <c r="E764" s="12">
        <v>46266.0</v>
      </c>
      <c r="F764" s="12">
        <v>46326.0</v>
      </c>
      <c r="G764" s="11" t="s">
        <v>4387</v>
      </c>
      <c r="H764" s="11">
        <v>8.317323616E9</v>
      </c>
      <c r="I764" s="11" t="s">
        <v>82</v>
      </c>
      <c r="J764" s="11" t="s">
        <v>71</v>
      </c>
      <c r="K764" s="11" t="s">
        <v>356</v>
      </c>
      <c r="L764" s="11" t="s">
        <v>84</v>
      </c>
      <c r="M764" s="11" t="s">
        <v>3075</v>
      </c>
      <c r="N764" s="11" t="s">
        <v>86</v>
      </c>
      <c r="O764" s="11" t="s">
        <v>71</v>
      </c>
      <c r="P764" s="11" t="s">
        <v>4388</v>
      </c>
      <c r="Q764" s="13" t="s">
        <v>4389</v>
      </c>
      <c r="R764" s="14" t="str">
        <f>HYPERLINK("https://drive.google.com/file/d/14cXQMYp-DC2DYEcunP9DMSVTbZ76xdNE/view?usp=drivesdk","OFFER LETTER")</f>
        <v>OFFER LETTER</v>
      </c>
      <c r="S764" s="11" t="s">
        <v>4390</v>
      </c>
    </row>
    <row r="765" ht="22.5" customHeight="1">
      <c r="A765" s="10">
        <v>46259.52623484954</v>
      </c>
      <c r="B765" s="11" t="s">
        <v>4391</v>
      </c>
      <c r="C765" s="11" t="s">
        <v>107</v>
      </c>
      <c r="D765" s="11" t="s">
        <v>68</v>
      </c>
      <c r="E765" s="12">
        <v>46259.0</v>
      </c>
      <c r="F765" s="12">
        <v>46290.0</v>
      </c>
      <c r="G765" s="11" t="s">
        <v>4392</v>
      </c>
      <c r="H765" s="11">
        <v>7.038453164E9</v>
      </c>
      <c r="I765" s="11" t="s">
        <v>82</v>
      </c>
      <c r="J765" s="11" t="s">
        <v>71</v>
      </c>
      <c r="K765" s="11" t="s">
        <v>72</v>
      </c>
      <c r="L765" s="11" t="s">
        <v>131</v>
      </c>
      <c r="M765" s="11" t="s">
        <v>4393</v>
      </c>
      <c r="N765" s="11" t="s">
        <v>86</v>
      </c>
      <c r="O765" s="11" t="s">
        <v>71</v>
      </c>
      <c r="P765" s="11" t="s">
        <v>4394</v>
      </c>
      <c r="Q765" s="13" t="s">
        <v>4395</v>
      </c>
      <c r="R765" s="14" t="str">
        <f>HYPERLINK("https://drive.google.com/file/d/1UpY3qYW0qorePOECDNEZppk4KC2bYj61/view?usp=drivesdk","OFFER LETTER")</f>
        <v>OFFER LETTER</v>
      </c>
      <c r="S765" s="11" t="s">
        <v>4396</v>
      </c>
    </row>
    <row r="766" ht="22.5" customHeight="1">
      <c r="A766" s="10">
        <v>46259.52958133102</v>
      </c>
      <c r="B766" s="11" t="s">
        <v>4397</v>
      </c>
      <c r="C766" s="11" t="s">
        <v>237</v>
      </c>
      <c r="D766" s="11" t="s">
        <v>68</v>
      </c>
      <c r="E766" s="12">
        <v>46259.0</v>
      </c>
      <c r="F766" s="12">
        <v>46290.0</v>
      </c>
      <c r="G766" s="11" t="s">
        <v>4398</v>
      </c>
      <c r="H766" s="11">
        <v>6.307903436E9</v>
      </c>
      <c r="I766" s="11" t="s">
        <v>82</v>
      </c>
      <c r="J766" s="11" t="s">
        <v>71</v>
      </c>
      <c r="K766" s="11" t="s">
        <v>72</v>
      </c>
      <c r="L766" s="11" t="s">
        <v>84</v>
      </c>
      <c r="M766" s="11" t="s">
        <v>4399</v>
      </c>
      <c r="N766" s="11" t="s">
        <v>86</v>
      </c>
      <c r="O766" s="11" t="s">
        <v>71</v>
      </c>
      <c r="P766" s="11" t="s">
        <v>4400</v>
      </c>
      <c r="Q766" s="13" t="s">
        <v>4401</v>
      </c>
      <c r="R766" s="14" t="str">
        <f>HYPERLINK("https://drive.google.com/file/d/1DIGWDA36P6nqwxh9_ng2iKgWWi3nc_kr/view?usp=drivesdk","OFFER LETTER")</f>
        <v>OFFER LETTER</v>
      </c>
      <c r="S766" s="11" t="s">
        <v>4402</v>
      </c>
    </row>
    <row r="767" ht="22.5" customHeight="1">
      <c r="A767" s="10">
        <v>46259.53830693287</v>
      </c>
      <c r="B767" s="11" t="s">
        <v>4403</v>
      </c>
      <c r="C767" s="11" t="s">
        <v>259</v>
      </c>
      <c r="D767" s="11" t="s">
        <v>68</v>
      </c>
      <c r="E767" s="12">
        <v>46280.0</v>
      </c>
      <c r="F767" s="12">
        <v>46295.0</v>
      </c>
      <c r="G767" s="11" t="s">
        <v>4404</v>
      </c>
      <c r="H767" s="11">
        <v>7.69815311E9</v>
      </c>
      <c r="I767" s="11" t="s">
        <v>70</v>
      </c>
      <c r="J767" s="11" t="s">
        <v>71</v>
      </c>
      <c r="K767" s="11" t="s">
        <v>72</v>
      </c>
      <c r="L767" s="11" t="s">
        <v>73</v>
      </c>
      <c r="M767" s="11" t="s">
        <v>4405</v>
      </c>
      <c r="N767" s="11" t="s">
        <v>219</v>
      </c>
      <c r="O767" s="11" t="s">
        <v>71</v>
      </c>
      <c r="P767" s="11" t="s">
        <v>4406</v>
      </c>
      <c r="Q767" s="13" t="s">
        <v>4407</v>
      </c>
      <c r="R767" s="14" t="str">
        <f>HYPERLINK("https://drive.google.com/file/d/1URX1PEPQj9rOqpONb3aRqP_zFSmtrxGS/view?usp=drivesdk","OFFER LETTER")</f>
        <v>OFFER LETTER</v>
      </c>
      <c r="S767" s="11" t="s">
        <v>4408</v>
      </c>
    </row>
    <row r="768" ht="22.5" customHeight="1">
      <c r="A768" s="10">
        <v>46259.54724570602</v>
      </c>
      <c r="B768" s="11" t="s">
        <v>4409</v>
      </c>
      <c r="C768" s="11" t="s">
        <v>173</v>
      </c>
      <c r="D768" s="11" t="s">
        <v>68</v>
      </c>
      <c r="E768" s="12">
        <v>46223.0</v>
      </c>
      <c r="F768" s="12">
        <v>46237.0</v>
      </c>
      <c r="G768" s="11" t="s">
        <v>4410</v>
      </c>
      <c r="H768" s="11">
        <v>7.795477513E9</v>
      </c>
      <c r="I768" s="11" t="s">
        <v>82</v>
      </c>
      <c r="J768" s="11" t="s">
        <v>71</v>
      </c>
      <c r="K768" s="11" t="s">
        <v>110</v>
      </c>
      <c r="L768" s="11" t="s">
        <v>73</v>
      </c>
      <c r="M768" s="11" t="s">
        <v>4411</v>
      </c>
      <c r="N768" s="11" t="s">
        <v>4412</v>
      </c>
      <c r="O768" s="11" t="s">
        <v>71</v>
      </c>
      <c r="P768" s="11" t="s">
        <v>4413</v>
      </c>
      <c r="Q768" s="13" t="s">
        <v>4414</v>
      </c>
      <c r="R768" s="14" t="str">
        <f>HYPERLINK("https://drive.google.com/file/d/1ZyVIX_N5LUoudKnjZQCQkjP_eIAqkJiq/view?usp=drivesdk","OFFER LETTER")</f>
        <v>OFFER LETTER</v>
      </c>
      <c r="S768" s="11" t="s">
        <v>4415</v>
      </c>
    </row>
    <row r="769" ht="22.5" customHeight="1">
      <c r="A769" s="10">
        <v>46259.547927754626</v>
      </c>
      <c r="B769" s="11" t="s">
        <v>4416</v>
      </c>
      <c r="C769" s="11" t="s">
        <v>173</v>
      </c>
      <c r="D769" s="11" t="s">
        <v>68</v>
      </c>
      <c r="E769" s="12">
        <v>46228.0</v>
      </c>
      <c r="F769" s="12">
        <v>46259.0</v>
      </c>
      <c r="G769" s="11" t="s">
        <v>4417</v>
      </c>
      <c r="H769" s="11">
        <v>6.201744953E9</v>
      </c>
      <c r="I769" s="11" t="s">
        <v>82</v>
      </c>
      <c r="J769" s="11" t="s">
        <v>71</v>
      </c>
      <c r="K769" s="11" t="s">
        <v>72</v>
      </c>
      <c r="L769" s="11" t="s">
        <v>84</v>
      </c>
      <c r="M769" s="11" t="s">
        <v>2535</v>
      </c>
      <c r="N769" s="11" t="s">
        <v>198</v>
      </c>
      <c r="O769" s="11" t="s">
        <v>71</v>
      </c>
      <c r="P769" s="11" t="s">
        <v>4418</v>
      </c>
      <c r="Q769" s="13" t="s">
        <v>4419</v>
      </c>
      <c r="R769" s="14" t="str">
        <f>HYPERLINK("https://drive.google.com/file/d/1TMJassHeZKNa7rXQ3m6Wv5rwkPhL_xcU/view?usp=drivesdk","OFFER LETTER")</f>
        <v>OFFER LETTER</v>
      </c>
      <c r="S769" s="11" t="s">
        <v>4420</v>
      </c>
    </row>
    <row r="770" ht="22.5" customHeight="1">
      <c r="A770" s="10">
        <v>46259.55253885417</v>
      </c>
      <c r="B770" s="11" t="s">
        <v>4421</v>
      </c>
      <c r="C770" s="11" t="s">
        <v>259</v>
      </c>
      <c r="D770" s="11" t="s">
        <v>68</v>
      </c>
      <c r="E770" s="12">
        <v>46177.0</v>
      </c>
      <c r="F770" s="12">
        <v>46207.0</v>
      </c>
      <c r="G770" s="11" t="s">
        <v>4422</v>
      </c>
      <c r="H770" s="11">
        <v>7.339668482E9</v>
      </c>
      <c r="I770" s="11" t="s">
        <v>82</v>
      </c>
      <c r="J770" s="11" t="s">
        <v>71</v>
      </c>
      <c r="K770" s="11" t="s">
        <v>72</v>
      </c>
      <c r="L770" s="11" t="s">
        <v>131</v>
      </c>
      <c r="M770" s="11" t="s">
        <v>4423</v>
      </c>
      <c r="N770" s="11" t="s">
        <v>655</v>
      </c>
      <c r="O770" s="11" t="s">
        <v>71</v>
      </c>
      <c r="P770" s="11" t="s">
        <v>4424</v>
      </c>
      <c r="Q770" s="13" t="s">
        <v>4425</v>
      </c>
      <c r="R770" s="14" t="str">
        <f>HYPERLINK("https://drive.google.com/file/d/1C23NzzKRpRsyb1klQVpJunuTRBP5-xve/view?usp=drivesdk","OFFER LETTER")</f>
        <v>OFFER LETTER</v>
      </c>
      <c r="S770" s="11" t="s">
        <v>4426</v>
      </c>
    </row>
    <row r="771" ht="22.5" customHeight="1">
      <c r="A771" s="10">
        <v>46259.56690021991</v>
      </c>
      <c r="B771" s="11" t="s">
        <v>4427</v>
      </c>
      <c r="C771" s="11" t="s">
        <v>237</v>
      </c>
      <c r="D771" s="11" t="s">
        <v>68</v>
      </c>
      <c r="E771" s="12">
        <v>46223.0</v>
      </c>
      <c r="F771" s="12">
        <v>46254.0</v>
      </c>
      <c r="G771" s="11" t="s">
        <v>4428</v>
      </c>
      <c r="H771" s="11">
        <v>9.188396492E9</v>
      </c>
      <c r="I771" s="11" t="s">
        <v>82</v>
      </c>
      <c r="J771" s="11" t="s">
        <v>71</v>
      </c>
      <c r="K771" s="11" t="s">
        <v>110</v>
      </c>
      <c r="L771" s="11" t="s">
        <v>73</v>
      </c>
      <c r="M771" s="11" t="s">
        <v>4429</v>
      </c>
      <c r="N771" s="11" t="s">
        <v>86</v>
      </c>
      <c r="O771" s="11" t="s">
        <v>71</v>
      </c>
      <c r="P771" s="11" t="s">
        <v>4430</v>
      </c>
      <c r="Q771" s="13" t="s">
        <v>4431</v>
      </c>
      <c r="R771" s="14" t="str">
        <f>HYPERLINK("https://drive.google.com/file/d/1JIqbQNOcvX3Nxv_3PcPkGkWQhlj56cSr/view?usp=drivesdk","OFFER LETTER")</f>
        <v>OFFER LETTER</v>
      </c>
      <c r="S771" s="11" t="s">
        <v>4432</v>
      </c>
    </row>
    <row r="772" ht="22.5" customHeight="1">
      <c r="A772" s="10">
        <v>46259.56912127315</v>
      </c>
      <c r="B772" s="11" t="s">
        <v>4427</v>
      </c>
      <c r="C772" s="11" t="s">
        <v>237</v>
      </c>
      <c r="D772" s="11" t="s">
        <v>68</v>
      </c>
      <c r="E772" s="12">
        <v>46223.0</v>
      </c>
      <c r="F772" s="12">
        <v>46254.0</v>
      </c>
      <c r="G772" s="11" t="s">
        <v>4428</v>
      </c>
      <c r="H772" s="11">
        <v>9.188396492E9</v>
      </c>
      <c r="I772" s="11" t="s">
        <v>82</v>
      </c>
      <c r="J772" s="11" t="s">
        <v>71</v>
      </c>
      <c r="K772" s="11" t="s">
        <v>110</v>
      </c>
      <c r="L772" s="11" t="s">
        <v>73</v>
      </c>
      <c r="M772" s="11" t="s">
        <v>942</v>
      </c>
      <c r="N772" s="11" t="s">
        <v>86</v>
      </c>
      <c r="O772" s="11" t="s">
        <v>71</v>
      </c>
      <c r="P772" s="11" t="s">
        <v>4433</v>
      </c>
      <c r="Q772" s="13" t="s">
        <v>4434</v>
      </c>
      <c r="R772" s="14" t="str">
        <f>HYPERLINK("https://drive.google.com/file/d/1ZkUTtRk8_-ls2ddP3sg02kmcoXw2qF_2/view?usp=drivesdk","OFFER LETTER")</f>
        <v>OFFER LETTER</v>
      </c>
      <c r="S772" s="11" t="s">
        <v>4435</v>
      </c>
    </row>
    <row r="773" ht="22.5" customHeight="1">
      <c r="A773" s="10">
        <v>46259.56984674769</v>
      </c>
      <c r="B773" s="11" t="s">
        <v>4397</v>
      </c>
      <c r="C773" s="11" t="s">
        <v>237</v>
      </c>
      <c r="D773" s="11" t="s">
        <v>68</v>
      </c>
      <c r="E773" s="12">
        <v>46259.0</v>
      </c>
      <c r="F773" s="12">
        <v>46290.0</v>
      </c>
      <c r="G773" s="11" t="s">
        <v>4398</v>
      </c>
      <c r="H773" s="11">
        <v>6.307903436E9</v>
      </c>
      <c r="I773" s="11" t="s">
        <v>82</v>
      </c>
      <c r="J773" s="11" t="s">
        <v>71</v>
      </c>
      <c r="K773" s="11" t="s">
        <v>72</v>
      </c>
      <c r="L773" s="11" t="s">
        <v>84</v>
      </c>
      <c r="M773" s="11" t="s">
        <v>4436</v>
      </c>
      <c r="N773" s="11" t="s">
        <v>86</v>
      </c>
      <c r="O773" s="11" t="s">
        <v>263</v>
      </c>
      <c r="P773" s="11" t="s">
        <v>4437</v>
      </c>
      <c r="Q773" s="13" t="s">
        <v>4438</v>
      </c>
      <c r="R773" s="14" t="str">
        <f>HYPERLINK("https://drive.google.com/file/d/1PeyHPrPu1tjatJx16Stjjqs5pEppB4uU/view?usp=drivesdk","OFFER LETTER")</f>
        <v>OFFER LETTER</v>
      </c>
      <c r="S773" s="11" t="s">
        <v>4439</v>
      </c>
    </row>
    <row r="774" ht="22.5" customHeight="1">
      <c r="A774" s="10">
        <v>46259.572604444445</v>
      </c>
      <c r="B774" s="11" t="s">
        <v>4440</v>
      </c>
      <c r="C774" s="11" t="s">
        <v>195</v>
      </c>
      <c r="D774" s="11" t="s">
        <v>238</v>
      </c>
      <c r="E774" s="12">
        <v>46170.0</v>
      </c>
      <c r="F774" s="12">
        <v>46231.0</v>
      </c>
      <c r="G774" s="11" t="s">
        <v>4441</v>
      </c>
      <c r="H774" s="11">
        <v>9.39028935E9</v>
      </c>
      <c r="I774" s="11" t="s">
        <v>70</v>
      </c>
      <c r="J774" s="11" t="s">
        <v>71</v>
      </c>
      <c r="K774" s="11" t="s">
        <v>72</v>
      </c>
      <c r="L774" s="11" t="s">
        <v>73</v>
      </c>
      <c r="M774" s="11" t="s">
        <v>4442</v>
      </c>
      <c r="N774" s="11" t="s">
        <v>241</v>
      </c>
      <c r="O774" s="11" t="s">
        <v>71</v>
      </c>
      <c r="P774" s="11" t="s">
        <v>4443</v>
      </c>
      <c r="Q774" s="13" t="s">
        <v>4444</v>
      </c>
      <c r="R774" s="14" t="str">
        <f>HYPERLINK("https://drive.google.com/file/d/1EiPh16zq0T5CklrjuVZj40bxZcczL3bh/view?usp=drivesdk","OFFER LETTER")</f>
        <v>OFFER LETTER</v>
      </c>
      <c r="S774" s="11" t="s">
        <v>4445</v>
      </c>
    </row>
    <row r="775" ht="22.5" customHeight="1">
      <c r="A775" s="10">
        <v>46259.57275607639</v>
      </c>
      <c r="B775" s="11" t="s">
        <v>4397</v>
      </c>
      <c r="C775" s="11" t="s">
        <v>237</v>
      </c>
      <c r="D775" s="11" t="s">
        <v>68</v>
      </c>
      <c r="E775" s="12">
        <v>46259.0</v>
      </c>
      <c r="F775" s="12">
        <v>46290.0</v>
      </c>
      <c r="G775" s="11" t="s">
        <v>4398</v>
      </c>
      <c r="H775" s="11">
        <v>6.307903436E9</v>
      </c>
      <c r="I775" s="11" t="s">
        <v>82</v>
      </c>
      <c r="J775" s="11" t="s">
        <v>71</v>
      </c>
      <c r="K775" s="11" t="s">
        <v>72</v>
      </c>
      <c r="L775" s="11" t="s">
        <v>84</v>
      </c>
      <c r="M775" s="11" t="s">
        <v>4436</v>
      </c>
      <c r="N775" s="11" t="s">
        <v>86</v>
      </c>
      <c r="O775" s="11" t="s">
        <v>71</v>
      </c>
      <c r="P775" s="11" t="s">
        <v>4446</v>
      </c>
      <c r="Q775" s="13" t="s">
        <v>4447</v>
      </c>
      <c r="R775" s="14" t="str">
        <f>HYPERLINK("https://drive.google.com/file/d/1T7SliI7VZcees1KL1FpA3wzABk9E30eB/view?usp=drivesdk","OFFER LETTER")</f>
        <v>OFFER LETTER</v>
      </c>
      <c r="S775" s="11" t="s">
        <v>4448</v>
      </c>
    </row>
    <row r="776" ht="22.5" customHeight="1">
      <c r="A776" s="10">
        <v>46259.57312493055</v>
      </c>
      <c r="B776" s="11" t="s">
        <v>4449</v>
      </c>
      <c r="C776" s="11" t="s">
        <v>1320</v>
      </c>
      <c r="D776" s="11" t="s">
        <v>68</v>
      </c>
      <c r="E776" s="12">
        <v>46228.0</v>
      </c>
      <c r="F776" s="12">
        <v>46259.0</v>
      </c>
      <c r="G776" s="11" t="s">
        <v>4450</v>
      </c>
      <c r="H776" s="11">
        <v>6.299051169E9</v>
      </c>
      <c r="I776" s="11" t="s">
        <v>82</v>
      </c>
      <c r="J776" s="11" t="s">
        <v>71</v>
      </c>
      <c r="K776" s="11" t="s">
        <v>72</v>
      </c>
      <c r="L776" s="11" t="s">
        <v>84</v>
      </c>
      <c r="M776" s="11" t="s">
        <v>4451</v>
      </c>
      <c r="N776" s="11" t="s">
        <v>86</v>
      </c>
      <c r="O776" s="11" t="s">
        <v>71</v>
      </c>
      <c r="P776" s="11" t="s">
        <v>4452</v>
      </c>
      <c r="Q776" s="13" t="s">
        <v>4453</v>
      </c>
      <c r="R776" s="14" t="str">
        <f>HYPERLINK("https://drive.google.com/file/d/1Tp94l_SxPzwLN-RF07039X5534Rz8y0P/view?usp=drivesdk","OFFER LETTER")</f>
        <v>OFFER LETTER</v>
      </c>
      <c r="S776" s="11" t="s">
        <v>4454</v>
      </c>
    </row>
    <row r="777" ht="22.5" customHeight="1">
      <c r="A777" s="10">
        <v>46259.57488234954</v>
      </c>
      <c r="B777" s="11" t="s">
        <v>4455</v>
      </c>
      <c r="C777" s="11" t="s">
        <v>91</v>
      </c>
      <c r="D777" s="11" t="s">
        <v>68</v>
      </c>
      <c r="E777" s="12">
        <v>46162.0</v>
      </c>
      <c r="F777" s="12">
        <v>46194.0</v>
      </c>
      <c r="G777" s="11" t="s">
        <v>4456</v>
      </c>
      <c r="H777" s="11">
        <v>9.550706006E9</v>
      </c>
      <c r="I777" s="11" t="s">
        <v>82</v>
      </c>
      <c r="J777" s="11" t="s">
        <v>71</v>
      </c>
      <c r="K777" s="11" t="s">
        <v>72</v>
      </c>
      <c r="L777" s="11" t="s">
        <v>131</v>
      </c>
      <c r="M777" s="11" t="s">
        <v>4457</v>
      </c>
      <c r="N777" s="11" t="s">
        <v>219</v>
      </c>
      <c r="O777" s="11" t="s">
        <v>71</v>
      </c>
      <c r="P777" s="11" t="s">
        <v>4458</v>
      </c>
      <c r="Q777" s="13" t="s">
        <v>4459</v>
      </c>
      <c r="R777" s="14" t="str">
        <f>HYPERLINK("https://drive.google.com/file/d/1O_E8bhxIkJRVUeFWXcPyPQmFOZ34z3Rx/view?usp=drivesdk","OFFER LETTER")</f>
        <v>OFFER LETTER</v>
      </c>
      <c r="S777" s="11" t="s">
        <v>4460</v>
      </c>
    </row>
    <row r="778" ht="22.5" customHeight="1">
      <c r="A778" s="10">
        <v>46259.575282129634</v>
      </c>
      <c r="B778" s="11" t="s">
        <v>4397</v>
      </c>
      <c r="C778" s="11" t="s">
        <v>237</v>
      </c>
      <c r="D778" s="11" t="s">
        <v>68</v>
      </c>
      <c r="E778" s="12">
        <v>46259.0</v>
      </c>
      <c r="F778" s="12">
        <v>46290.0</v>
      </c>
      <c r="G778" s="11" t="s">
        <v>4398</v>
      </c>
      <c r="H778" s="11">
        <v>6.307903436E9</v>
      </c>
      <c r="I778" s="11" t="s">
        <v>82</v>
      </c>
      <c r="J778" s="11" t="s">
        <v>71</v>
      </c>
      <c r="K778" s="11" t="s">
        <v>72</v>
      </c>
      <c r="L778" s="11" t="s">
        <v>84</v>
      </c>
      <c r="M778" s="11" t="s">
        <v>4436</v>
      </c>
      <c r="N778" s="11" t="s">
        <v>86</v>
      </c>
      <c r="O778" s="11" t="s">
        <v>71</v>
      </c>
      <c r="P778" s="11" t="s">
        <v>4461</v>
      </c>
      <c r="Q778" s="13" t="s">
        <v>4462</v>
      </c>
      <c r="R778" s="14" t="str">
        <f>HYPERLINK("https://drive.google.com/file/d/1ZfOI_mR04dMjSMMSHV5F2QXNSmMTo959/view?usp=drivesdk","OFFER LETTER")</f>
        <v>OFFER LETTER</v>
      </c>
      <c r="S778" s="11" t="s">
        <v>4463</v>
      </c>
    </row>
    <row r="779" ht="22.5" customHeight="1">
      <c r="A779" s="10">
        <v>46259.57622393519</v>
      </c>
      <c r="B779" s="11" t="s">
        <v>4464</v>
      </c>
      <c r="C779" s="11" t="s">
        <v>67</v>
      </c>
      <c r="D779" s="11" t="s">
        <v>108</v>
      </c>
      <c r="E779" s="12">
        <v>46257.0</v>
      </c>
      <c r="F779" s="12">
        <v>46318.0</v>
      </c>
      <c r="G779" s="11" t="s">
        <v>4465</v>
      </c>
      <c r="H779" s="11">
        <v>7.061205564E9</v>
      </c>
      <c r="I779" s="11" t="s">
        <v>82</v>
      </c>
      <c r="J779" s="11" t="s">
        <v>71</v>
      </c>
      <c r="K779" s="11" t="s">
        <v>72</v>
      </c>
      <c r="L779" s="11" t="s">
        <v>357</v>
      </c>
      <c r="M779" s="11" t="s">
        <v>4466</v>
      </c>
      <c r="N779" s="11" t="s">
        <v>75</v>
      </c>
      <c r="O779" s="11" t="s">
        <v>71</v>
      </c>
      <c r="P779" s="11" t="s">
        <v>4467</v>
      </c>
      <c r="Q779" s="13" t="s">
        <v>4468</v>
      </c>
      <c r="R779" s="14" t="str">
        <f>HYPERLINK("https://drive.google.com/file/d/1qkIAqsRSGIiLr16nRGZdCH8wtqFL2K3n/view?usp=drivesdk","OFFER LETTER")</f>
        <v>OFFER LETTER</v>
      </c>
      <c r="S779" s="11" t="s">
        <v>4469</v>
      </c>
    </row>
    <row r="780" ht="22.5" customHeight="1">
      <c r="A780" s="10">
        <v>46259.57980383102</v>
      </c>
      <c r="B780" s="11" t="s">
        <v>4470</v>
      </c>
      <c r="C780" s="11" t="s">
        <v>173</v>
      </c>
      <c r="D780" s="11" t="s">
        <v>68</v>
      </c>
      <c r="E780" s="12">
        <v>46172.0</v>
      </c>
      <c r="F780" s="12">
        <v>46202.0</v>
      </c>
      <c r="G780" s="11" t="s">
        <v>4471</v>
      </c>
      <c r="H780" s="11">
        <v>6.304454308E9</v>
      </c>
      <c r="I780" s="11" t="s">
        <v>82</v>
      </c>
      <c r="J780" s="11" t="s">
        <v>71</v>
      </c>
      <c r="K780" s="11" t="s">
        <v>72</v>
      </c>
      <c r="L780" s="11" t="s">
        <v>131</v>
      </c>
      <c r="M780" s="11" t="s">
        <v>4472</v>
      </c>
      <c r="N780" s="11" t="s">
        <v>86</v>
      </c>
      <c r="O780" s="11" t="s">
        <v>71</v>
      </c>
      <c r="P780" s="11" t="s">
        <v>4473</v>
      </c>
      <c r="Q780" s="13" t="s">
        <v>4474</v>
      </c>
      <c r="R780" s="14" t="str">
        <f>HYPERLINK("https://drive.google.com/file/d/1RZZXVX5Z2Rv8hp8CwWNxNBtf-NaPclRU/view?usp=drivesdk","OFFER LETTER")</f>
        <v>OFFER LETTER</v>
      </c>
      <c r="S780" s="11" t="s">
        <v>4475</v>
      </c>
    </row>
    <row r="781" ht="22.5" customHeight="1">
      <c r="A781" s="10">
        <v>46259.581437002314</v>
      </c>
      <c r="B781" s="11" t="s">
        <v>4476</v>
      </c>
      <c r="C781" s="11" t="s">
        <v>173</v>
      </c>
      <c r="D781" s="11" t="s">
        <v>68</v>
      </c>
      <c r="E781" s="12">
        <v>46186.0</v>
      </c>
      <c r="F781" s="12">
        <v>46219.0</v>
      </c>
      <c r="G781" s="11" t="s">
        <v>4477</v>
      </c>
      <c r="H781" s="11">
        <v>9.752072287E9</v>
      </c>
      <c r="I781" s="11" t="s">
        <v>82</v>
      </c>
      <c r="J781" s="11" t="s">
        <v>71</v>
      </c>
      <c r="K781" s="11" t="s">
        <v>72</v>
      </c>
      <c r="L781" s="11" t="s">
        <v>84</v>
      </c>
      <c r="M781" s="11" t="s">
        <v>849</v>
      </c>
      <c r="N781" s="11" t="s">
        <v>86</v>
      </c>
      <c r="O781" s="11" t="s">
        <v>71</v>
      </c>
      <c r="P781" s="11" t="s">
        <v>4478</v>
      </c>
      <c r="Q781" s="13" t="s">
        <v>4479</v>
      </c>
      <c r="R781" s="14" t="str">
        <f>HYPERLINK("https://drive.google.com/file/d/1rgBFgi78BehypuczPb1o9zFdh3iL07IU/view?usp=drivesdk","OFFER LETTER")</f>
        <v>OFFER LETTER</v>
      </c>
      <c r="S781" s="11" t="s">
        <v>4480</v>
      </c>
    </row>
    <row r="782" ht="22.5" customHeight="1">
      <c r="A782" s="10">
        <v>46259.58337332176</v>
      </c>
      <c r="B782" s="11" t="s">
        <v>4481</v>
      </c>
      <c r="C782" s="11" t="s">
        <v>107</v>
      </c>
      <c r="D782" s="11" t="s">
        <v>108</v>
      </c>
      <c r="E782" s="12">
        <v>46198.0</v>
      </c>
      <c r="F782" s="12">
        <v>46259.0</v>
      </c>
      <c r="G782" s="11" t="s">
        <v>4482</v>
      </c>
      <c r="H782" s="11">
        <v>8.500726339E9</v>
      </c>
      <c r="I782" s="11" t="s">
        <v>82</v>
      </c>
      <c r="J782" s="11" t="s">
        <v>71</v>
      </c>
      <c r="K782" s="11" t="s">
        <v>72</v>
      </c>
      <c r="L782" s="11" t="s">
        <v>73</v>
      </c>
      <c r="M782" s="11" t="s">
        <v>4483</v>
      </c>
      <c r="N782" s="11" t="s">
        <v>241</v>
      </c>
      <c r="O782" s="11" t="s">
        <v>71</v>
      </c>
      <c r="P782" s="11" t="s">
        <v>4484</v>
      </c>
      <c r="Q782" s="13" t="s">
        <v>4485</v>
      </c>
      <c r="R782" s="14" t="str">
        <f>HYPERLINK("https://drive.google.com/file/d/1Zy2z6A3giTzwQhkPbUBV2IQqCOYCfvIS/view?usp=drivesdk","OFFER LETTER")</f>
        <v>OFFER LETTER</v>
      </c>
      <c r="S782" s="11" t="s">
        <v>4486</v>
      </c>
    </row>
    <row r="783" ht="22.5" customHeight="1">
      <c r="A783" s="10">
        <v>46259.58913699074</v>
      </c>
      <c r="B783" s="11" t="s">
        <v>4487</v>
      </c>
      <c r="C783" s="11" t="s">
        <v>237</v>
      </c>
      <c r="D783" s="11" t="s">
        <v>68</v>
      </c>
      <c r="E783" s="12">
        <v>46259.0</v>
      </c>
      <c r="F783" s="12">
        <v>46290.0</v>
      </c>
      <c r="G783" s="11" t="s">
        <v>4488</v>
      </c>
      <c r="H783" s="11">
        <v>8.319986064E9</v>
      </c>
      <c r="I783" s="11" t="s">
        <v>70</v>
      </c>
      <c r="J783" s="11" t="s">
        <v>71</v>
      </c>
      <c r="K783" s="11" t="s">
        <v>72</v>
      </c>
      <c r="L783" s="11" t="s">
        <v>131</v>
      </c>
      <c r="M783" s="11" t="s">
        <v>4489</v>
      </c>
      <c r="N783" s="11" t="s">
        <v>936</v>
      </c>
      <c r="O783" s="11" t="s">
        <v>263</v>
      </c>
      <c r="P783" s="11" t="s">
        <v>4490</v>
      </c>
      <c r="Q783" s="13" t="s">
        <v>4491</v>
      </c>
      <c r="R783" s="14" t="str">
        <f>HYPERLINK("https://drive.google.com/file/d/1RHSLi4MyunfxKtglgJQx-EYSqUvXKhZN/view?usp=drivesdk","OFFER LETTER")</f>
        <v>OFFER LETTER</v>
      </c>
      <c r="S783" s="11" t="s">
        <v>4492</v>
      </c>
    </row>
    <row r="784" ht="22.5" customHeight="1">
      <c r="A784" s="10">
        <v>46259.58988372685</v>
      </c>
      <c r="B784" s="11" t="s">
        <v>4493</v>
      </c>
      <c r="C784" s="11" t="s">
        <v>91</v>
      </c>
      <c r="D784" s="11" t="s">
        <v>108</v>
      </c>
      <c r="E784" s="12">
        <v>46174.0</v>
      </c>
      <c r="F784" s="12">
        <v>46234.0</v>
      </c>
      <c r="G784" s="11" t="s">
        <v>4494</v>
      </c>
      <c r="H784" s="11">
        <v>7.209998153E9</v>
      </c>
      <c r="I784" s="11" t="s">
        <v>82</v>
      </c>
      <c r="J784" s="11" t="s">
        <v>71</v>
      </c>
      <c r="K784" s="11" t="s">
        <v>72</v>
      </c>
      <c r="L784" s="11" t="s">
        <v>84</v>
      </c>
      <c r="M784" s="11" t="s">
        <v>1211</v>
      </c>
      <c r="N784" s="11" t="s">
        <v>750</v>
      </c>
      <c r="O784" s="11" t="s">
        <v>71</v>
      </c>
      <c r="P784" s="11" t="s">
        <v>4495</v>
      </c>
      <c r="Q784" s="13" t="s">
        <v>4496</v>
      </c>
      <c r="R784" s="14" t="str">
        <f>HYPERLINK("https://drive.google.com/file/d/1umPXLIQxAe2AjHPFbPuj0es2uIsnJk8A/view?usp=drivesdk","OFFER LETTER")</f>
        <v>OFFER LETTER</v>
      </c>
      <c r="S784" s="11" t="s">
        <v>4497</v>
      </c>
    </row>
    <row r="785" ht="22.5" customHeight="1">
      <c r="A785" s="10">
        <v>46259.59202751158</v>
      </c>
      <c r="B785" s="11" t="s">
        <v>4487</v>
      </c>
      <c r="C785" s="11" t="s">
        <v>237</v>
      </c>
      <c r="D785" s="11" t="s">
        <v>68</v>
      </c>
      <c r="E785" s="12">
        <v>46259.0</v>
      </c>
      <c r="F785" s="12">
        <v>46290.0</v>
      </c>
      <c r="G785" s="11" t="s">
        <v>4488</v>
      </c>
      <c r="H785" s="11">
        <v>8.319986064E9</v>
      </c>
      <c r="I785" s="11" t="s">
        <v>70</v>
      </c>
      <c r="J785" s="11" t="s">
        <v>71</v>
      </c>
      <c r="K785" s="11" t="s">
        <v>72</v>
      </c>
      <c r="L785" s="11" t="s">
        <v>131</v>
      </c>
      <c r="M785" s="11" t="s">
        <v>4498</v>
      </c>
      <c r="N785" s="11" t="s">
        <v>75</v>
      </c>
      <c r="O785" s="11" t="s">
        <v>263</v>
      </c>
      <c r="P785" s="11" t="s">
        <v>4499</v>
      </c>
      <c r="Q785" s="13" t="s">
        <v>4500</v>
      </c>
      <c r="R785" s="14" t="str">
        <f>HYPERLINK("https://drive.google.com/file/d/1ruqtHuI-9BnD5NlOBlgnErR7u5ZGlRMx/view?usp=drivesdk","OFFER LETTER")</f>
        <v>OFFER LETTER</v>
      </c>
      <c r="S785" s="11" t="s">
        <v>4501</v>
      </c>
    </row>
    <row r="786" ht="22.5" customHeight="1">
      <c r="A786" s="10">
        <v>46259.59632189815</v>
      </c>
      <c r="B786" s="11" t="s">
        <v>4409</v>
      </c>
      <c r="C786" s="11" t="s">
        <v>173</v>
      </c>
      <c r="D786" s="11" t="s">
        <v>68</v>
      </c>
      <c r="E786" s="12">
        <v>46223.0</v>
      </c>
      <c r="F786" s="12">
        <v>46237.0</v>
      </c>
      <c r="G786" s="11" t="s">
        <v>4410</v>
      </c>
      <c r="H786" s="11">
        <v>7.795477513E9</v>
      </c>
      <c r="I786" s="11" t="s">
        <v>82</v>
      </c>
      <c r="J786" s="11" t="s">
        <v>71</v>
      </c>
      <c r="K786" s="11" t="s">
        <v>110</v>
      </c>
      <c r="L786" s="11" t="s">
        <v>73</v>
      </c>
      <c r="M786" s="11" t="s">
        <v>4502</v>
      </c>
      <c r="N786" s="11" t="s">
        <v>4503</v>
      </c>
      <c r="O786" s="11" t="s">
        <v>71</v>
      </c>
      <c r="P786" s="11" t="s">
        <v>4504</v>
      </c>
      <c r="Q786" s="13" t="s">
        <v>4505</v>
      </c>
      <c r="R786" s="14" t="str">
        <f>HYPERLINK("https://drive.google.com/file/d/1Lu16bXn7o9aV7xfZ4XvAY4civoz3S7lx/view?usp=drivesdk","OFFER LETTER")</f>
        <v>OFFER LETTER</v>
      </c>
      <c r="S786" s="11" t="s">
        <v>4506</v>
      </c>
    </row>
    <row r="787" ht="22.5" customHeight="1">
      <c r="A787" s="10">
        <v>46259.59645711805</v>
      </c>
      <c r="B787" s="11" t="s">
        <v>4455</v>
      </c>
      <c r="C787" s="11" t="s">
        <v>91</v>
      </c>
      <c r="D787" s="11" t="s">
        <v>68</v>
      </c>
      <c r="E787" s="12">
        <v>46162.0</v>
      </c>
      <c r="F787" s="12">
        <v>46194.0</v>
      </c>
      <c r="G787" s="11" t="s">
        <v>4456</v>
      </c>
      <c r="H787" s="11">
        <v>9.550706006E9</v>
      </c>
      <c r="I787" s="11" t="s">
        <v>82</v>
      </c>
      <c r="J787" s="11" t="s">
        <v>71</v>
      </c>
      <c r="K787" s="11" t="s">
        <v>72</v>
      </c>
      <c r="L787" s="11" t="s">
        <v>131</v>
      </c>
      <c r="M787" s="11" t="s">
        <v>4457</v>
      </c>
      <c r="N787" s="11" t="s">
        <v>219</v>
      </c>
      <c r="O787" s="11" t="s">
        <v>71</v>
      </c>
      <c r="P787" s="11" t="s">
        <v>4507</v>
      </c>
      <c r="Q787" s="13" t="s">
        <v>4508</v>
      </c>
      <c r="R787" s="14" t="str">
        <f>HYPERLINK("https://drive.google.com/file/d/1nNTRicAXhnQyXs8ABGPKZW7nME-lJt6F/view?usp=drivesdk","OFFER LETTER")</f>
        <v>OFFER LETTER</v>
      </c>
      <c r="S787" s="11" t="s">
        <v>4506</v>
      </c>
    </row>
    <row r="788" ht="22.5" customHeight="1">
      <c r="A788" s="10">
        <v>46259.60118135417</v>
      </c>
      <c r="B788" s="11" t="s">
        <v>4509</v>
      </c>
      <c r="C788" s="11" t="s">
        <v>742</v>
      </c>
      <c r="D788" s="11" t="s">
        <v>68</v>
      </c>
      <c r="E788" s="12">
        <v>46259.0</v>
      </c>
      <c r="F788" s="12">
        <v>46289.0</v>
      </c>
      <c r="G788" s="11" t="s">
        <v>4510</v>
      </c>
      <c r="H788" s="11">
        <v>7.011365853E9</v>
      </c>
      <c r="I788" s="11" t="s">
        <v>82</v>
      </c>
      <c r="J788" s="11" t="s">
        <v>71</v>
      </c>
      <c r="K788" s="11" t="s">
        <v>72</v>
      </c>
      <c r="L788" s="11" t="s">
        <v>84</v>
      </c>
      <c r="M788" s="11" t="s">
        <v>4511</v>
      </c>
      <c r="N788" s="11" t="s">
        <v>75</v>
      </c>
      <c r="O788" s="11" t="s">
        <v>71</v>
      </c>
      <c r="P788" s="11" t="s">
        <v>4512</v>
      </c>
      <c r="Q788" s="13" t="s">
        <v>4513</v>
      </c>
      <c r="R788" s="14" t="str">
        <f>HYPERLINK("https://drive.google.com/file/d/1RCm2OyTVqHRyyXwGdMJMRj15Hbr_PjFc/view?usp=drivesdk","OFFER LETTER")</f>
        <v>OFFER LETTER</v>
      </c>
      <c r="S788" s="11" t="s">
        <v>4514</v>
      </c>
    </row>
    <row r="789" ht="22.5" customHeight="1">
      <c r="A789" s="10">
        <v>46259.60400091435</v>
      </c>
      <c r="B789" s="11" t="s">
        <v>4509</v>
      </c>
      <c r="C789" s="11" t="s">
        <v>742</v>
      </c>
      <c r="D789" s="11" t="s">
        <v>68</v>
      </c>
      <c r="E789" s="12">
        <v>46259.0</v>
      </c>
      <c r="F789" s="12">
        <v>46289.0</v>
      </c>
      <c r="G789" s="11" t="s">
        <v>4510</v>
      </c>
      <c r="H789" s="11">
        <v>7.011365853E9</v>
      </c>
      <c r="I789" s="11" t="s">
        <v>82</v>
      </c>
      <c r="J789" s="11" t="s">
        <v>71</v>
      </c>
      <c r="K789" s="11" t="s">
        <v>72</v>
      </c>
      <c r="L789" s="11" t="s">
        <v>84</v>
      </c>
      <c r="M789" s="11" t="s">
        <v>4511</v>
      </c>
      <c r="N789" s="11" t="s">
        <v>75</v>
      </c>
      <c r="O789" s="11" t="s">
        <v>71</v>
      </c>
      <c r="P789" s="11" t="s">
        <v>4515</v>
      </c>
      <c r="Q789" s="13" t="s">
        <v>4516</v>
      </c>
      <c r="R789" s="14" t="str">
        <f>HYPERLINK("https://drive.google.com/file/d/1Mil9BteL1m0bSagV9Qg1hrIsf9dfz-Ax/view?usp=drivesdk","OFFER LETTER")</f>
        <v>OFFER LETTER</v>
      </c>
      <c r="S789" s="11" t="s">
        <v>4517</v>
      </c>
    </row>
    <row r="790" ht="22.5" customHeight="1">
      <c r="A790" s="10">
        <v>46259.60412496528</v>
      </c>
      <c r="B790" s="11" t="s">
        <v>4518</v>
      </c>
      <c r="C790" s="11" t="s">
        <v>195</v>
      </c>
      <c r="D790" s="11" t="s">
        <v>68</v>
      </c>
      <c r="E790" s="12">
        <v>46259.0</v>
      </c>
      <c r="F790" s="12">
        <v>46286.0</v>
      </c>
      <c r="G790" s="11" t="s">
        <v>4519</v>
      </c>
      <c r="H790" s="11">
        <v>9.528749484E9</v>
      </c>
      <c r="I790" s="11" t="s">
        <v>82</v>
      </c>
      <c r="J790" s="11" t="s">
        <v>71</v>
      </c>
      <c r="K790" s="11" t="s">
        <v>1028</v>
      </c>
      <c r="L790" s="11" t="s">
        <v>73</v>
      </c>
      <c r="M790" s="11" t="s">
        <v>4520</v>
      </c>
      <c r="N790" s="11" t="s">
        <v>155</v>
      </c>
      <c r="O790" s="11" t="s">
        <v>71</v>
      </c>
      <c r="P790" s="11" t="s">
        <v>4521</v>
      </c>
      <c r="Q790" s="13" t="s">
        <v>4522</v>
      </c>
      <c r="R790" s="14" t="str">
        <f>HYPERLINK("https://drive.google.com/file/d/18WTSwkAaaF3pVmh5HS4u-454E9zJAfVV/view?usp=drivesdk","OFFER LETTER")</f>
        <v>OFFER LETTER</v>
      </c>
      <c r="S790" s="11" t="s">
        <v>4517</v>
      </c>
    </row>
    <row r="791" ht="22.5" customHeight="1">
      <c r="A791" s="10">
        <v>46259.60839221065</v>
      </c>
      <c r="B791" s="11" t="s">
        <v>4523</v>
      </c>
      <c r="C791" s="11" t="s">
        <v>195</v>
      </c>
      <c r="D791" s="11" t="s">
        <v>68</v>
      </c>
      <c r="E791" s="12">
        <v>46202.0</v>
      </c>
      <c r="F791" s="12">
        <v>46232.0</v>
      </c>
      <c r="G791" s="11" t="s">
        <v>4524</v>
      </c>
      <c r="H791" s="11">
        <v>7.03364018E9</v>
      </c>
      <c r="I791" s="11" t="s">
        <v>82</v>
      </c>
      <c r="J791" s="11" t="s">
        <v>71</v>
      </c>
      <c r="K791" s="11" t="s">
        <v>72</v>
      </c>
      <c r="L791" s="11" t="s">
        <v>84</v>
      </c>
      <c r="M791" s="11" t="s">
        <v>1217</v>
      </c>
      <c r="N791" s="11" t="s">
        <v>86</v>
      </c>
      <c r="O791" s="11" t="s">
        <v>71</v>
      </c>
      <c r="P791" s="11" t="s">
        <v>4525</v>
      </c>
      <c r="Q791" s="13" t="s">
        <v>4526</v>
      </c>
      <c r="R791" s="14" t="str">
        <f>HYPERLINK("https://drive.google.com/file/d/1NRO7sH1y4JisO_grMHzHqOwFMgoGdXjS/view?usp=drivesdk","OFFER LETTER")</f>
        <v>OFFER LETTER</v>
      </c>
      <c r="S791" s="11" t="s">
        <v>4527</v>
      </c>
    </row>
    <row r="792" ht="22.5" customHeight="1">
      <c r="A792" s="10">
        <v>46259.61628296296</v>
      </c>
      <c r="B792" s="11" t="s">
        <v>4487</v>
      </c>
      <c r="C792" s="11" t="s">
        <v>237</v>
      </c>
      <c r="D792" s="11" t="s">
        <v>68</v>
      </c>
      <c r="E792" s="12">
        <v>46259.0</v>
      </c>
      <c r="F792" s="12">
        <v>46290.0</v>
      </c>
      <c r="G792" s="11" t="s">
        <v>4488</v>
      </c>
      <c r="H792" s="11">
        <v>8.319986064E9</v>
      </c>
      <c r="I792" s="11" t="s">
        <v>70</v>
      </c>
      <c r="J792" s="11" t="s">
        <v>71</v>
      </c>
      <c r="K792" s="11" t="s">
        <v>72</v>
      </c>
      <c r="L792" s="11" t="s">
        <v>131</v>
      </c>
      <c r="M792" s="11" t="s">
        <v>4528</v>
      </c>
      <c r="N792" s="11" t="s">
        <v>75</v>
      </c>
      <c r="O792" s="11" t="s">
        <v>71</v>
      </c>
      <c r="P792" s="11" t="s">
        <v>4529</v>
      </c>
      <c r="Q792" s="13" t="s">
        <v>4530</v>
      </c>
      <c r="R792" s="14" t="str">
        <f>HYPERLINK("https://drive.google.com/file/d/1OaH0krypcXNAWF_g3g8zGuqVTCM_PFQc/view?usp=drivesdk","OFFER LETTER")</f>
        <v>OFFER LETTER</v>
      </c>
      <c r="S792" s="11" t="s">
        <v>4531</v>
      </c>
    </row>
    <row r="793" ht="22.5" customHeight="1">
      <c r="A793" s="10">
        <v>46259.62028833333</v>
      </c>
      <c r="B793" s="11" t="s">
        <v>4532</v>
      </c>
      <c r="C793" s="11" t="s">
        <v>173</v>
      </c>
      <c r="D793" s="11" t="s">
        <v>68</v>
      </c>
      <c r="E793" s="12">
        <v>46231.0</v>
      </c>
      <c r="F793" s="12">
        <v>46262.0</v>
      </c>
      <c r="G793" s="11" t="s">
        <v>4533</v>
      </c>
      <c r="H793" s="11">
        <v>9.953511277E9</v>
      </c>
      <c r="I793" s="11" t="s">
        <v>82</v>
      </c>
      <c r="J793" s="11" t="s">
        <v>71</v>
      </c>
      <c r="K793" s="11" t="s">
        <v>72</v>
      </c>
      <c r="L793" s="11" t="s">
        <v>73</v>
      </c>
      <c r="M793" s="11" t="s">
        <v>4534</v>
      </c>
      <c r="N793" s="11" t="s">
        <v>630</v>
      </c>
      <c r="O793" s="11" t="s">
        <v>71</v>
      </c>
      <c r="P793" s="11" t="s">
        <v>4535</v>
      </c>
      <c r="Q793" s="13" t="s">
        <v>4536</v>
      </c>
      <c r="R793" s="14" t="str">
        <f>HYPERLINK("https://drive.google.com/file/d/1_lMki0wn3cBWBH44E6H4xsDdJcWc0nR4/view?usp=drivesdk","OFFER LETTER")</f>
        <v>OFFER LETTER</v>
      </c>
      <c r="S793" s="11" t="s">
        <v>4537</v>
      </c>
    </row>
    <row r="794" ht="22.5" customHeight="1">
      <c r="A794" s="10">
        <v>46259.62611877314</v>
      </c>
      <c r="B794" s="11" t="s">
        <v>4538</v>
      </c>
      <c r="C794" s="11" t="s">
        <v>596</v>
      </c>
      <c r="D794" s="11" t="s">
        <v>68</v>
      </c>
      <c r="E794" s="12">
        <v>46211.0</v>
      </c>
      <c r="F794" s="12">
        <v>46242.0</v>
      </c>
      <c r="G794" s="11" t="s">
        <v>4539</v>
      </c>
      <c r="H794" s="11">
        <v>9.953511277E9</v>
      </c>
      <c r="I794" s="11" t="s">
        <v>70</v>
      </c>
      <c r="J794" s="11" t="s">
        <v>71</v>
      </c>
      <c r="K794" s="11" t="s">
        <v>72</v>
      </c>
      <c r="L794" s="11" t="s">
        <v>73</v>
      </c>
      <c r="M794" s="11" t="s">
        <v>4534</v>
      </c>
      <c r="N794" s="11" t="s">
        <v>86</v>
      </c>
      <c r="O794" s="11" t="s">
        <v>130</v>
      </c>
      <c r="P794" s="11" t="s">
        <v>4540</v>
      </c>
      <c r="Q794" s="13" t="s">
        <v>4541</v>
      </c>
      <c r="R794" s="14" t="str">
        <f>HYPERLINK("https://drive.google.com/file/d/1FEwZUSA7RfAP_6gEqr6ge2ABvMfQAf-U/view?usp=drivesdk","OFFER LETTER")</f>
        <v>OFFER LETTER</v>
      </c>
      <c r="S794" s="11" t="s">
        <v>4542</v>
      </c>
    </row>
    <row r="795" ht="22.5" customHeight="1">
      <c r="A795" s="10">
        <v>46259.64075122685</v>
      </c>
      <c r="B795" s="11" t="s">
        <v>4543</v>
      </c>
      <c r="C795" s="11" t="s">
        <v>4544</v>
      </c>
      <c r="D795" s="11" t="s">
        <v>108</v>
      </c>
      <c r="E795" s="12">
        <v>46209.0</v>
      </c>
      <c r="F795" s="12">
        <v>46271.0</v>
      </c>
      <c r="G795" s="11" t="s">
        <v>4545</v>
      </c>
      <c r="H795" s="11">
        <v>9.1487362E9</v>
      </c>
      <c r="I795" s="11" t="s">
        <v>82</v>
      </c>
      <c r="J795" s="11" t="s">
        <v>71</v>
      </c>
      <c r="K795" s="11" t="s">
        <v>72</v>
      </c>
      <c r="L795" s="11" t="s">
        <v>131</v>
      </c>
      <c r="M795" s="11" t="s">
        <v>4546</v>
      </c>
      <c r="N795" s="11" t="s">
        <v>75</v>
      </c>
      <c r="O795" s="11" t="s">
        <v>71</v>
      </c>
      <c r="P795" s="11" t="s">
        <v>4547</v>
      </c>
      <c r="Q795" s="13" t="s">
        <v>4548</v>
      </c>
      <c r="R795" s="14" t="str">
        <f>HYPERLINK("https://drive.google.com/file/d/1vgM5LTAReivSYHCt0qTKSvkF_gx95fXW/view?usp=drivesdk","OFFER LETTER")</f>
        <v>OFFER LETTER</v>
      </c>
      <c r="S795" s="11" t="s">
        <v>4549</v>
      </c>
    </row>
    <row r="796" ht="22.5" customHeight="1">
      <c r="A796" s="10">
        <v>46259.648442708334</v>
      </c>
      <c r="B796" s="11" t="s">
        <v>4550</v>
      </c>
      <c r="C796" s="11" t="s">
        <v>195</v>
      </c>
      <c r="D796" s="11" t="s">
        <v>238</v>
      </c>
      <c r="E796" s="12">
        <v>46174.0</v>
      </c>
      <c r="F796" s="12">
        <v>46266.0</v>
      </c>
      <c r="G796" s="11" t="s">
        <v>597</v>
      </c>
      <c r="H796" s="11">
        <v>8.309991301E9</v>
      </c>
      <c r="I796" s="11" t="s">
        <v>82</v>
      </c>
      <c r="J796" s="11" t="s">
        <v>130</v>
      </c>
      <c r="K796" s="11" t="s">
        <v>72</v>
      </c>
      <c r="L796" s="11" t="s">
        <v>131</v>
      </c>
      <c r="M796" s="11" t="s">
        <v>3625</v>
      </c>
      <c r="N796" s="11" t="s">
        <v>86</v>
      </c>
      <c r="O796" s="11" t="s">
        <v>71</v>
      </c>
      <c r="P796" s="11" t="s">
        <v>4551</v>
      </c>
      <c r="Q796" s="13" t="s">
        <v>4552</v>
      </c>
      <c r="R796" s="14" t="str">
        <f>HYPERLINK("https://drive.google.com/file/d/19TAD03KaZVKrmx7cF-LT3n05jpdKgyaX/view?usp=drivesdk","OFFER LETTER")</f>
        <v>OFFER LETTER</v>
      </c>
      <c r="S796" s="11" t="s">
        <v>4553</v>
      </c>
    </row>
    <row r="797" ht="22.5" customHeight="1">
      <c r="A797" s="10">
        <v>46259.65042535879</v>
      </c>
      <c r="B797" s="11" t="s">
        <v>4554</v>
      </c>
      <c r="C797" s="11" t="s">
        <v>80</v>
      </c>
      <c r="D797" s="11" t="s">
        <v>68</v>
      </c>
      <c r="E797" s="12">
        <v>46266.0</v>
      </c>
      <c r="F797" s="12">
        <v>46295.0</v>
      </c>
      <c r="G797" s="11" t="s">
        <v>3062</v>
      </c>
      <c r="H797" s="11">
        <v>7.022282046E9</v>
      </c>
      <c r="I797" s="11" t="s">
        <v>82</v>
      </c>
      <c r="J797" s="11" t="s">
        <v>71</v>
      </c>
      <c r="K797" s="11" t="s">
        <v>1028</v>
      </c>
      <c r="L797" s="11" t="s">
        <v>247</v>
      </c>
      <c r="M797" s="11" t="s">
        <v>4555</v>
      </c>
      <c r="N797" s="11" t="s">
        <v>75</v>
      </c>
      <c r="O797" s="11" t="s">
        <v>71</v>
      </c>
      <c r="P797" s="11" t="s">
        <v>4556</v>
      </c>
      <c r="Q797" s="13" t="s">
        <v>4557</v>
      </c>
      <c r="R797" s="14" t="str">
        <f>HYPERLINK("https://drive.google.com/file/d/1wJ6FODqBYSp9QWbvpt4BwGLRFV_zC22j/view?usp=drivesdk","OFFER LETTER")</f>
        <v>OFFER LETTER</v>
      </c>
      <c r="S797" s="11" t="s">
        <v>4558</v>
      </c>
    </row>
    <row r="798" ht="22.5" customHeight="1">
      <c r="A798" s="10">
        <v>46259.657988356485</v>
      </c>
      <c r="B798" s="11" t="s">
        <v>4559</v>
      </c>
      <c r="C798" s="11" t="s">
        <v>259</v>
      </c>
      <c r="D798" s="11" t="s">
        <v>238</v>
      </c>
      <c r="E798" s="12">
        <v>46174.0</v>
      </c>
      <c r="F798" s="12">
        <v>46266.0</v>
      </c>
      <c r="G798" s="11" t="s">
        <v>597</v>
      </c>
      <c r="H798" s="11">
        <v>8.309991301E9</v>
      </c>
      <c r="I798" s="11" t="s">
        <v>82</v>
      </c>
      <c r="J798" s="11" t="s">
        <v>130</v>
      </c>
      <c r="K798" s="11" t="s">
        <v>72</v>
      </c>
      <c r="L798" s="11" t="s">
        <v>131</v>
      </c>
      <c r="M798" s="11" t="s">
        <v>3625</v>
      </c>
      <c r="N798" s="11" t="s">
        <v>86</v>
      </c>
      <c r="O798" s="11" t="s">
        <v>71</v>
      </c>
      <c r="P798" s="11" t="s">
        <v>4560</v>
      </c>
      <c r="Q798" s="13" t="s">
        <v>4561</v>
      </c>
      <c r="R798" s="14" t="str">
        <f>HYPERLINK("https://drive.google.com/file/d/1XceOaYN58B4aa9N5tkXvJMCNTGzZi1aY/view?usp=drivesdk","OFFER LETTER")</f>
        <v>OFFER LETTER</v>
      </c>
      <c r="S798" s="11" t="s">
        <v>4562</v>
      </c>
    </row>
    <row r="799" ht="22.5" customHeight="1">
      <c r="A799" s="10">
        <v>46259.659192673615</v>
      </c>
      <c r="B799" s="11" t="s">
        <v>4563</v>
      </c>
      <c r="C799" s="11" t="s">
        <v>107</v>
      </c>
      <c r="D799" s="11" t="s">
        <v>108</v>
      </c>
      <c r="E799" s="12">
        <v>46259.0</v>
      </c>
      <c r="F799" s="12">
        <v>46320.0</v>
      </c>
      <c r="G799" s="11" t="s">
        <v>4564</v>
      </c>
      <c r="H799" s="11">
        <v>7.386672507E9</v>
      </c>
      <c r="I799" s="11" t="s">
        <v>82</v>
      </c>
      <c r="J799" s="11" t="s">
        <v>71</v>
      </c>
      <c r="K799" s="11" t="s">
        <v>72</v>
      </c>
      <c r="L799" s="11" t="s">
        <v>131</v>
      </c>
      <c r="M799" s="11" t="s">
        <v>4565</v>
      </c>
      <c r="N799" s="11" t="s">
        <v>75</v>
      </c>
      <c r="O799" s="11" t="s">
        <v>71</v>
      </c>
      <c r="P799" s="11" t="s">
        <v>4566</v>
      </c>
      <c r="Q799" s="13" t="s">
        <v>4567</v>
      </c>
      <c r="R799" s="14" t="str">
        <f>HYPERLINK("https://drive.google.com/file/d/1IouI97fvh4a4-5ne2sB_wpn5Bw7z_shM/view?usp=drivesdk","OFFER LETTER")</f>
        <v>OFFER LETTER</v>
      </c>
      <c r="S799" s="11" t="s">
        <v>4568</v>
      </c>
    </row>
    <row r="800" ht="22.5" customHeight="1">
      <c r="A800" s="10">
        <v>46259.66027045139</v>
      </c>
      <c r="B800" s="11" t="s">
        <v>4569</v>
      </c>
      <c r="C800" s="11" t="s">
        <v>91</v>
      </c>
      <c r="D800" s="11" t="s">
        <v>238</v>
      </c>
      <c r="E800" s="12">
        <v>46174.0</v>
      </c>
      <c r="F800" s="12">
        <v>46266.0</v>
      </c>
      <c r="G800" s="11" t="s">
        <v>597</v>
      </c>
      <c r="H800" s="11">
        <v>8.309991301E9</v>
      </c>
      <c r="I800" s="11" t="s">
        <v>82</v>
      </c>
      <c r="J800" s="11" t="s">
        <v>130</v>
      </c>
      <c r="K800" s="11" t="s">
        <v>72</v>
      </c>
      <c r="L800" s="11" t="s">
        <v>131</v>
      </c>
      <c r="M800" s="11" t="s">
        <v>3625</v>
      </c>
      <c r="N800" s="11" t="s">
        <v>86</v>
      </c>
      <c r="O800" s="11" t="s">
        <v>71</v>
      </c>
      <c r="P800" s="11" t="s">
        <v>4570</v>
      </c>
      <c r="Q800" s="13" t="s">
        <v>4571</v>
      </c>
      <c r="R800" s="14" t="str">
        <f>HYPERLINK("https://drive.google.com/file/d/10SuuwjARaSUnjdUWlso3wwL6Ori0fAk4/view?usp=drivesdk","OFFER LETTER")</f>
        <v>OFFER LETTER</v>
      </c>
      <c r="S800" s="11" t="s">
        <v>4572</v>
      </c>
    </row>
    <row r="801" ht="22.5" customHeight="1">
      <c r="A801" s="10">
        <v>46259.66158086805</v>
      </c>
      <c r="B801" s="11" t="s">
        <v>4563</v>
      </c>
      <c r="C801" s="11" t="s">
        <v>107</v>
      </c>
      <c r="D801" s="11" t="s">
        <v>108</v>
      </c>
      <c r="E801" s="12">
        <v>46259.0</v>
      </c>
      <c r="F801" s="12">
        <v>46320.0</v>
      </c>
      <c r="G801" s="11" t="s">
        <v>4564</v>
      </c>
      <c r="H801" s="11">
        <v>7.386672507E9</v>
      </c>
      <c r="I801" s="11" t="s">
        <v>82</v>
      </c>
      <c r="J801" s="11" t="s">
        <v>71</v>
      </c>
      <c r="K801" s="11" t="s">
        <v>72</v>
      </c>
      <c r="L801" s="11" t="s">
        <v>131</v>
      </c>
      <c r="M801" s="11" t="s">
        <v>4565</v>
      </c>
      <c r="N801" s="11" t="s">
        <v>75</v>
      </c>
      <c r="O801" s="11" t="s">
        <v>71</v>
      </c>
      <c r="P801" s="11" t="s">
        <v>4573</v>
      </c>
      <c r="Q801" s="13" t="s">
        <v>4574</v>
      </c>
      <c r="R801" s="14" t="str">
        <f>HYPERLINK("https://drive.google.com/file/d/1OP0ENNYnLQaziWPdR0U-WFZOmT1BoLOZ/view?usp=drivesdk","OFFER LETTER")</f>
        <v>OFFER LETTER</v>
      </c>
      <c r="S801" s="11" t="s">
        <v>4575</v>
      </c>
    </row>
    <row r="802" ht="22.5" customHeight="1">
      <c r="A802" s="10">
        <v>46259.6680362037</v>
      </c>
      <c r="B802" s="11" t="s">
        <v>4576</v>
      </c>
      <c r="C802" s="11" t="s">
        <v>67</v>
      </c>
      <c r="D802" s="11" t="s">
        <v>108</v>
      </c>
      <c r="E802" s="12">
        <v>46262.0</v>
      </c>
      <c r="F802" s="12">
        <v>46323.0</v>
      </c>
      <c r="G802" s="11" t="s">
        <v>4577</v>
      </c>
      <c r="H802" s="11">
        <v>8.951368819E9</v>
      </c>
      <c r="I802" s="11" t="s">
        <v>82</v>
      </c>
      <c r="J802" s="11" t="s">
        <v>71</v>
      </c>
      <c r="K802" s="11" t="s">
        <v>356</v>
      </c>
      <c r="L802" s="11" t="s">
        <v>84</v>
      </c>
      <c r="M802" s="11" t="s">
        <v>4578</v>
      </c>
      <c r="N802" s="11" t="s">
        <v>198</v>
      </c>
      <c r="O802" s="11" t="s">
        <v>71</v>
      </c>
      <c r="P802" s="11" t="s">
        <v>4579</v>
      </c>
      <c r="Q802" s="13" t="s">
        <v>4580</v>
      </c>
      <c r="R802" s="14" t="str">
        <f>HYPERLINK("https://drive.google.com/file/d/1yMkyPrT0t8a9NCaCJGuyhr1jiqmviIe8/view?usp=drivesdk","OFFER LETTER")</f>
        <v>OFFER LETTER</v>
      </c>
      <c r="S802" s="11" t="s">
        <v>4581</v>
      </c>
    </row>
    <row r="803" ht="22.5" customHeight="1">
      <c r="A803" s="10">
        <v>46259.66888846065</v>
      </c>
      <c r="B803" s="11" t="s">
        <v>4582</v>
      </c>
      <c r="C803" s="11" t="s">
        <v>173</v>
      </c>
      <c r="D803" s="11" t="s">
        <v>68</v>
      </c>
      <c r="E803" s="12">
        <v>46266.0</v>
      </c>
      <c r="F803" s="12">
        <v>46296.0</v>
      </c>
      <c r="G803" s="11" t="s">
        <v>4583</v>
      </c>
      <c r="H803" s="11">
        <v>8.669875866E9</v>
      </c>
      <c r="I803" s="11" t="s">
        <v>70</v>
      </c>
      <c r="J803" s="11" t="s">
        <v>71</v>
      </c>
      <c r="K803" s="11" t="s">
        <v>72</v>
      </c>
      <c r="L803" s="11" t="s">
        <v>247</v>
      </c>
      <c r="M803" s="11" t="s">
        <v>4584</v>
      </c>
      <c r="N803" s="11" t="s">
        <v>241</v>
      </c>
      <c r="O803" s="11" t="s">
        <v>71</v>
      </c>
      <c r="P803" s="11" t="s">
        <v>4585</v>
      </c>
      <c r="Q803" s="13" t="s">
        <v>4586</v>
      </c>
      <c r="R803" s="14" t="str">
        <f>HYPERLINK("https://drive.google.com/file/d/1oiM3pOYtA5UejpALVRWrwnlLiPXO3h07/view?usp=drivesdk","OFFER LETTER")</f>
        <v>OFFER LETTER</v>
      </c>
      <c r="S803" s="11" t="s">
        <v>4587</v>
      </c>
    </row>
    <row r="804" ht="22.5" customHeight="1">
      <c r="A804" s="10">
        <v>46259.674485254625</v>
      </c>
      <c r="B804" s="11" t="s">
        <v>4576</v>
      </c>
      <c r="C804" s="11" t="s">
        <v>67</v>
      </c>
      <c r="D804" s="11" t="s">
        <v>108</v>
      </c>
      <c r="E804" s="12">
        <v>46262.0</v>
      </c>
      <c r="F804" s="12">
        <v>46323.0</v>
      </c>
      <c r="G804" s="11" t="s">
        <v>4577</v>
      </c>
      <c r="H804" s="11">
        <v>8.951368819E9</v>
      </c>
      <c r="I804" s="11" t="s">
        <v>82</v>
      </c>
      <c r="J804" s="11" t="s">
        <v>71</v>
      </c>
      <c r="K804" s="11" t="s">
        <v>356</v>
      </c>
      <c r="L804" s="11" t="s">
        <v>84</v>
      </c>
      <c r="M804" s="11" t="s">
        <v>4588</v>
      </c>
      <c r="N804" s="11" t="s">
        <v>86</v>
      </c>
      <c r="O804" s="11" t="s">
        <v>71</v>
      </c>
      <c r="P804" s="11" t="s">
        <v>4589</v>
      </c>
      <c r="Q804" s="13" t="s">
        <v>4590</v>
      </c>
      <c r="R804" s="14" t="str">
        <f>HYPERLINK("https://drive.google.com/file/d/1cLoVxiErhjyszfXwSuH6Z5-imfu4zBxT/view?usp=drivesdk","OFFER LETTER")</f>
        <v>OFFER LETTER</v>
      </c>
      <c r="S804" s="11" t="s">
        <v>4591</v>
      </c>
    </row>
    <row r="805" ht="22.5" customHeight="1">
      <c r="A805" s="10">
        <v>46259.67595289352</v>
      </c>
      <c r="B805" s="11" t="s">
        <v>4592</v>
      </c>
      <c r="C805" s="11" t="s">
        <v>173</v>
      </c>
      <c r="D805" s="11" t="s">
        <v>108</v>
      </c>
      <c r="E805" s="12">
        <v>46261.0</v>
      </c>
      <c r="F805" s="12">
        <v>46322.0</v>
      </c>
      <c r="G805" s="11" t="s">
        <v>4593</v>
      </c>
      <c r="H805" s="11">
        <v>9.396333338E9</v>
      </c>
      <c r="I805" s="11" t="s">
        <v>82</v>
      </c>
      <c r="J805" s="11" t="s">
        <v>71</v>
      </c>
      <c r="K805" s="11" t="s">
        <v>72</v>
      </c>
      <c r="L805" s="11" t="s">
        <v>73</v>
      </c>
      <c r="M805" s="11" t="s">
        <v>4594</v>
      </c>
      <c r="N805" s="11" t="s">
        <v>75</v>
      </c>
      <c r="O805" s="11" t="s">
        <v>71</v>
      </c>
      <c r="P805" s="11" t="s">
        <v>4595</v>
      </c>
      <c r="Q805" s="13" t="s">
        <v>4596</v>
      </c>
      <c r="R805" s="14" t="str">
        <f>HYPERLINK("https://drive.google.com/file/d/1ufnNbiuHod-mA3eAins-KmjNbVtP1LbF/view?usp=drivesdk","OFFER LETTER")</f>
        <v>OFFER LETTER</v>
      </c>
      <c r="S805" s="11" t="s">
        <v>4597</v>
      </c>
    </row>
    <row r="806" ht="22.5" customHeight="1">
      <c r="A806" s="10">
        <v>46259.67681819445</v>
      </c>
      <c r="B806" s="11" t="s">
        <v>4576</v>
      </c>
      <c r="C806" s="11" t="s">
        <v>67</v>
      </c>
      <c r="D806" s="11" t="s">
        <v>108</v>
      </c>
      <c r="E806" s="12">
        <v>46262.0</v>
      </c>
      <c r="F806" s="12">
        <v>46323.0</v>
      </c>
      <c r="G806" s="11" t="s">
        <v>4577</v>
      </c>
      <c r="H806" s="11">
        <v>8.951368819E9</v>
      </c>
      <c r="I806" s="11" t="s">
        <v>82</v>
      </c>
      <c r="J806" s="11" t="s">
        <v>71</v>
      </c>
      <c r="K806" s="11" t="s">
        <v>356</v>
      </c>
      <c r="L806" s="11" t="s">
        <v>84</v>
      </c>
      <c r="M806" s="11" t="s">
        <v>4324</v>
      </c>
      <c r="N806" s="11" t="s">
        <v>198</v>
      </c>
      <c r="O806" s="11" t="s">
        <v>71</v>
      </c>
      <c r="P806" s="11" t="s">
        <v>4598</v>
      </c>
      <c r="Q806" s="13" t="s">
        <v>4599</v>
      </c>
      <c r="R806" s="14" t="str">
        <f>HYPERLINK("https://drive.google.com/file/d/1NYCNI_obcoViY4_IKrkYIyqLQCJ4apKT/view?usp=drivesdk","OFFER LETTER")</f>
        <v>OFFER LETTER</v>
      </c>
      <c r="S806" s="11" t="s">
        <v>4600</v>
      </c>
    </row>
    <row r="807" ht="22.5" customHeight="1">
      <c r="A807" s="10">
        <v>46259.67981987269</v>
      </c>
      <c r="B807" s="11" t="s">
        <v>4601</v>
      </c>
      <c r="C807" s="11" t="s">
        <v>67</v>
      </c>
      <c r="D807" s="11" t="s">
        <v>108</v>
      </c>
      <c r="E807" s="12">
        <v>46262.0</v>
      </c>
      <c r="F807" s="12">
        <v>46323.0</v>
      </c>
      <c r="G807" s="11" t="s">
        <v>4577</v>
      </c>
      <c r="H807" s="11">
        <v>8.951368819E9</v>
      </c>
      <c r="I807" s="11" t="s">
        <v>82</v>
      </c>
      <c r="J807" s="11" t="s">
        <v>71</v>
      </c>
      <c r="K807" s="11" t="s">
        <v>356</v>
      </c>
      <c r="L807" s="11" t="s">
        <v>84</v>
      </c>
      <c r="M807" s="11" t="s">
        <v>4602</v>
      </c>
      <c r="N807" s="11" t="s">
        <v>86</v>
      </c>
      <c r="O807" s="11" t="s">
        <v>71</v>
      </c>
      <c r="P807" s="11" t="s">
        <v>4603</v>
      </c>
      <c r="Q807" s="13" t="s">
        <v>4604</v>
      </c>
      <c r="R807" s="14" t="str">
        <f>HYPERLINK("https://drive.google.com/file/d/1uuSf2a8DJrkNVmaofXEl3mKI-qlRQHSU/view?usp=drivesdk","OFFER LETTER")</f>
        <v>OFFER LETTER</v>
      </c>
      <c r="S807" s="11" t="s">
        <v>4605</v>
      </c>
    </row>
    <row r="808" ht="22.5" customHeight="1">
      <c r="A808" s="10">
        <v>46259.681170428245</v>
      </c>
      <c r="B808" s="11" t="s">
        <v>4606</v>
      </c>
      <c r="C808" s="11" t="s">
        <v>195</v>
      </c>
      <c r="D808" s="11" t="s">
        <v>68</v>
      </c>
      <c r="E808" s="12">
        <v>46259.0</v>
      </c>
      <c r="F808" s="12">
        <v>46290.0</v>
      </c>
      <c r="G808" s="11" t="s">
        <v>4607</v>
      </c>
      <c r="H808" s="11">
        <v>7.975263501E9</v>
      </c>
      <c r="I808" s="11" t="s">
        <v>82</v>
      </c>
      <c r="J808" s="11" t="s">
        <v>71</v>
      </c>
      <c r="K808" s="11" t="s">
        <v>356</v>
      </c>
      <c r="L808" s="11" t="s">
        <v>84</v>
      </c>
      <c r="M808" s="11" t="s">
        <v>4608</v>
      </c>
      <c r="N808" s="11" t="s">
        <v>86</v>
      </c>
      <c r="O808" s="11" t="s">
        <v>71</v>
      </c>
      <c r="P808" s="11" t="s">
        <v>4609</v>
      </c>
      <c r="Q808" s="13" t="s">
        <v>4610</v>
      </c>
      <c r="R808" s="14" t="str">
        <f>HYPERLINK("https://drive.google.com/file/d/1yIZ396eDGt7rB1mguk8amHy-WAAgKrYN/view?usp=drivesdk","OFFER LETTER")</f>
        <v>OFFER LETTER</v>
      </c>
      <c r="S808" s="11" t="s">
        <v>4611</v>
      </c>
    </row>
    <row r="809" ht="22.5" customHeight="1">
      <c r="A809" s="10">
        <v>46259.68565738426</v>
      </c>
      <c r="B809" s="11" t="s">
        <v>4612</v>
      </c>
      <c r="C809" s="11" t="s">
        <v>259</v>
      </c>
      <c r="D809" s="11" t="s">
        <v>68</v>
      </c>
      <c r="E809" s="12">
        <v>46259.0</v>
      </c>
      <c r="F809" s="12">
        <v>46290.0</v>
      </c>
      <c r="G809" s="11" t="s">
        <v>4613</v>
      </c>
      <c r="H809" s="11">
        <v>9.729597501E9</v>
      </c>
      <c r="I809" s="11" t="s">
        <v>82</v>
      </c>
      <c r="J809" s="11" t="s">
        <v>71</v>
      </c>
      <c r="K809" s="11" t="s">
        <v>72</v>
      </c>
      <c r="L809" s="11" t="s">
        <v>73</v>
      </c>
      <c r="M809" s="11" t="s">
        <v>4614</v>
      </c>
      <c r="N809" s="11" t="s">
        <v>75</v>
      </c>
      <c r="O809" s="11" t="s">
        <v>71</v>
      </c>
      <c r="P809" s="11" t="s">
        <v>4615</v>
      </c>
      <c r="Q809" s="13" t="s">
        <v>4616</v>
      </c>
      <c r="R809" s="14" t="str">
        <f>HYPERLINK("https://drive.google.com/file/d/1i3UN8TOIAyTUINhX1QtJGwL0q9jJMFi2/view?usp=drivesdk","OFFER LETTER")</f>
        <v>OFFER LETTER</v>
      </c>
      <c r="S809" s="11" t="s">
        <v>4617</v>
      </c>
    </row>
    <row r="810" ht="22.5" customHeight="1">
      <c r="A810" s="10">
        <v>46259.6964891088</v>
      </c>
      <c r="B810" s="11" t="s">
        <v>4618</v>
      </c>
      <c r="C810" s="11" t="s">
        <v>128</v>
      </c>
      <c r="D810" s="11" t="s">
        <v>238</v>
      </c>
      <c r="E810" s="12">
        <v>46261.0</v>
      </c>
      <c r="F810" s="12">
        <v>46353.0</v>
      </c>
      <c r="G810" s="11" t="s">
        <v>4619</v>
      </c>
      <c r="H810" s="11">
        <v>9.708346459E9</v>
      </c>
      <c r="I810" s="11" t="s">
        <v>82</v>
      </c>
      <c r="J810" s="11" t="s">
        <v>71</v>
      </c>
      <c r="K810" s="11" t="s">
        <v>72</v>
      </c>
      <c r="L810" s="11" t="s">
        <v>131</v>
      </c>
      <c r="M810" s="11" t="s">
        <v>3325</v>
      </c>
      <c r="N810" s="11" t="s">
        <v>75</v>
      </c>
      <c r="O810" s="11" t="s">
        <v>71</v>
      </c>
      <c r="P810" s="11" t="s">
        <v>4620</v>
      </c>
      <c r="Q810" s="13" t="s">
        <v>4621</v>
      </c>
      <c r="R810" s="14" t="str">
        <f>HYPERLINK("https://drive.google.com/file/d/1ktSDBJ_GrWFalzaNrqIsAvWAqBcY6r9t/view?usp=drivesdk","OFFER LETTER")</f>
        <v>OFFER LETTER</v>
      </c>
      <c r="S810" s="11" t="s">
        <v>4622</v>
      </c>
    </row>
    <row r="811" ht="22.5" customHeight="1">
      <c r="A811" s="10">
        <v>46259.70778217593</v>
      </c>
      <c r="B811" s="11" t="s">
        <v>4623</v>
      </c>
      <c r="C811" s="11" t="s">
        <v>107</v>
      </c>
      <c r="D811" s="11" t="s">
        <v>108</v>
      </c>
      <c r="E811" s="12">
        <v>46189.0</v>
      </c>
      <c r="F811" s="12">
        <v>46249.0</v>
      </c>
      <c r="G811" s="11" t="s">
        <v>4624</v>
      </c>
      <c r="H811" s="11">
        <v>9.262987567E9</v>
      </c>
      <c r="I811" s="11" t="s">
        <v>82</v>
      </c>
      <c r="J811" s="11" t="s">
        <v>71</v>
      </c>
      <c r="K811" s="11" t="s">
        <v>72</v>
      </c>
      <c r="L811" s="11" t="s">
        <v>131</v>
      </c>
      <c r="M811" s="11" t="s">
        <v>4625</v>
      </c>
      <c r="N811" s="11" t="s">
        <v>86</v>
      </c>
      <c r="O811" s="11" t="s">
        <v>71</v>
      </c>
      <c r="P811" s="11" t="s">
        <v>4626</v>
      </c>
      <c r="Q811" s="13" t="s">
        <v>4627</v>
      </c>
      <c r="R811" s="14" t="str">
        <f>HYPERLINK("https://drive.google.com/file/d/1ozrKp16CXNfwcufXMI0Tr67GoNPOxnWs/view?usp=drivesdk","OFFER LETTER")</f>
        <v>OFFER LETTER</v>
      </c>
      <c r="S811" s="11" t="s">
        <v>4628</v>
      </c>
    </row>
    <row r="812" ht="22.5" customHeight="1">
      <c r="A812" s="10">
        <v>46259.721653078705</v>
      </c>
      <c r="B812" s="11" t="s">
        <v>4629</v>
      </c>
      <c r="C812" s="11" t="s">
        <v>91</v>
      </c>
      <c r="D812" s="11" t="s">
        <v>68</v>
      </c>
      <c r="E812" s="12">
        <v>46259.0</v>
      </c>
      <c r="F812" s="12">
        <v>46290.0</v>
      </c>
      <c r="G812" s="11" t="s">
        <v>4630</v>
      </c>
      <c r="H812" s="11">
        <v>6.303451282E9</v>
      </c>
      <c r="I812" s="11" t="s">
        <v>70</v>
      </c>
      <c r="J812" s="11" t="s">
        <v>71</v>
      </c>
      <c r="K812" s="11" t="s">
        <v>72</v>
      </c>
      <c r="L812" s="11" t="s">
        <v>131</v>
      </c>
      <c r="M812" s="11" t="s">
        <v>4631</v>
      </c>
      <c r="N812" s="11" t="s">
        <v>226</v>
      </c>
      <c r="O812" s="11" t="s">
        <v>71</v>
      </c>
      <c r="P812" s="11" t="s">
        <v>4632</v>
      </c>
      <c r="Q812" s="13" t="s">
        <v>4633</v>
      </c>
      <c r="R812" s="14" t="str">
        <f>HYPERLINK("https://drive.google.com/file/d/1arX-eUr13j9NGkXo2bdwrw9aj5J29pBA/view?usp=drivesdk","OFFER LETTER")</f>
        <v>OFFER LETTER</v>
      </c>
      <c r="S812" s="11" t="s">
        <v>4634</v>
      </c>
    </row>
    <row r="813" ht="22.5" customHeight="1">
      <c r="A813" s="10">
        <v>46259.72538236111</v>
      </c>
      <c r="B813" s="11" t="s">
        <v>4635</v>
      </c>
      <c r="C813" s="11" t="s">
        <v>80</v>
      </c>
      <c r="D813" s="11" t="s">
        <v>68</v>
      </c>
      <c r="E813" s="12">
        <v>46259.0</v>
      </c>
      <c r="F813" s="12">
        <v>46290.0</v>
      </c>
      <c r="G813" s="11" t="s">
        <v>4636</v>
      </c>
      <c r="H813" s="11">
        <v>9.676864852E9</v>
      </c>
      <c r="I813" s="11" t="s">
        <v>82</v>
      </c>
      <c r="J813" s="11" t="s">
        <v>71</v>
      </c>
      <c r="K813" s="11" t="s">
        <v>72</v>
      </c>
      <c r="L813" s="11" t="s">
        <v>73</v>
      </c>
      <c r="M813" s="11" t="s">
        <v>579</v>
      </c>
      <c r="N813" s="11" t="s">
        <v>75</v>
      </c>
      <c r="O813" s="11" t="s">
        <v>71</v>
      </c>
      <c r="P813" s="11" t="s">
        <v>4637</v>
      </c>
      <c r="Q813" s="13" t="s">
        <v>4638</v>
      </c>
      <c r="R813" s="14" t="str">
        <f>HYPERLINK("https://drive.google.com/file/d/1xkTRJ2G7Me7X8-IaahMKdWy8VyRYdU3U/view?usp=drivesdk","OFFER LETTER")</f>
        <v>OFFER LETTER</v>
      </c>
      <c r="S813" s="11" t="s">
        <v>4639</v>
      </c>
    </row>
    <row r="814" ht="22.5" customHeight="1">
      <c r="A814" s="10">
        <v>46259.72906903936</v>
      </c>
      <c r="B814" s="11" t="s">
        <v>4640</v>
      </c>
      <c r="C814" s="11" t="s">
        <v>195</v>
      </c>
      <c r="D814" s="11" t="s">
        <v>68</v>
      </c>
      <c r="E814" s="12">
        <v>46266.0</v>
      </c>
      <c r="F814" s="12">
        <v>46295.0</v>
      </c>
      <c r="G814" s="11" t="s">
        <v>4641</v>
      </c>
      <c r="H814" s="11">
        <v>7.385962336E9</v>
      </c>
      <c r="I814" s="11" t="s">
        <v>70</v>
      </c>
      <c r="J814" s="11" t="s">
        <v>71</v>
      </c>
      <c r="K814" s="11" t="s">
        <v>110</v>
      </c>
      <c r="L814" s="11" t="s">
        <v>247</v>
      </c>
      <c r="M814" s="11" t="s">
        <v>4642</v>
      </c>
      <c r="N814" s="11" t="s">
        <v>75</v>
      </c>
      <c r="O814" s="11" t="s">
        <v>71</v>
      </c>
      <c r="P814" s="11" t="s">
        <v>4643</v>
      </c>
      <c r="Q814" s="13" t="s">
        <v>4644</v>
      </c>
      <c r="R814" s="14" t="str">
        <f>HYPERLINK("https://drive.google.com/file/d/1HsCtY9FyNm5XTp27ZHkajBVXVghG_r0f/view?usp=drivesdk","OFFER LETTER")</f>
        <v>OFFER LETTER</v>
      </c>
      <c r="S814" s="11" t="s">
        <v>4645</v>
      </c>
    </row>
    <row r="815" ht="22.5" customHeight="1">
      <c r="A815" s="10">
        <v>46259.740326134255</v>
      </c>
      <c r="B815" s="11" t="s">
        <v>4646</v>
      </c>
      <c r="C815" s="11" t="s">
        <v>173</v>
      </c>
      <c r="D815" s="11" t="s">
        <v>68</v>
      </c>
      <c r="E815" s="12">
        <v>46259.0</v>
      </c>
      <c r="F815" s="12">
        <v>46290.0</v>
      </c>
      <c r="G815" s="11" t="s">
        <v>4647</v>
      </c>
      <c r="H815" s="11">
        <v>9.62705995E9</v>
      </c>
      <c r="I815" s="11" t="s">
        <v>82</v>
      </c>
      <c r="J815" s="11" t="s">
        <v>71</v>
      </c>
      <c r="K815" s="11" t="s">
        <v>72</v>
      </c>
      <c r="L815" s="11" t="s">
        <v>131</v>
      </c>
      <c r="M815" s="11" t="s">
        <v>778</v>
      </c>
      <c r="N815" s="11" t="s">
        <v>86</v>
      </c>
      <c r="O815" s="11" t="s">
        <v>71</v>
      </c>
      <c r="P815" s="11" t="s">
        <v>4648</v>
      </c>
      <c r="Q815" s="13" t="s">
        <v>4649</v>
      </c>
      <c r="R815" s="14" t="str">
        <f>HYPERLINK("https://drive.google.com/file/d/1RjNFuOtyh3t74EnzCe_ytzlyo1lAyQ8z/view?usp=drivesdk","OFFER LETTER")</f>
        <v>OFFER LETTER</v>
      </c>
      <c r="S815" s="11" t="s">
        <v>4650</v>
      </c>
    </row>
    <row r="816" ht="22.5" customHeight="1">
      <c r="A816" s="10">
        <v>46259.75097087963</v>
      </c>
      <c r="B816" s="11" t="s">
        <v>4651</v>
      </c>
      <c r="C816" s="11" t="s">
        <v>195</v>
      </c>
      <c r="D816" s="11" t="s">
        <v>68</v>
      </c>
      <c r="E816" s="12">
        <v>46249.0</v>
      </c>
      <c r="F816" s="12">
        <v>46280.0</v>
      </c>
      <c r="G816" s="11" t="s">
        <v>4652</v>
      </c>
      <c r="H816" s="11">
        <v>9.014774817E9</v>
      </c>
      <c r="I816" s="11" t="s">
        <v>82</v>
      </c>
      <c r="J816" s="11" t="s">
        <v>71</v>
      </c>
      <c r="K816" s="11" t="s">
        <v>72</v>
      </c>
      <c r="L816" s="11" t="s">
        <v>73</v>
      </c>
      <c r="M816" s="11" t="s">
        <v>326</v>
      </c>
      <c r="N816" s="11" t="s">
        <v>4653</v>
      </c>
      <c r="O816" s="11" t="s">
        <v>71</v>
      </c>
      <c r="P816" s="11" t="s">
        <v>4654</v>
      </c>
      <c r="Q816" s="13" t="s">
        <v>4655</v>
      </c>
      <c r="R816" s="14" t="str">
        <f>HYPERLINK("https://drive.google.com/file/d/16IHHalyOy5vK5FRWapv6uyAb9XV0UqsQ/view?usp=drivesdk","OFFER LETTER")</f>
        <v>OFFER LETTER</v>
      </c>
      <c r="S816" s="11" t="s">
        <v>4656</v>
      </c>
    </row>
    <row r="817" ht="22.5" customHeight="1">
      <c r="A817" s="10">
        <v>46259.758488101856</v>
      </c>
      <c r="B817" s="11" t="s">
        <v>4657</v>
      </c>
      <c r="C817" s="11" t="s">
        <v>107</v>
      </c>
      <c r="D817" s="11" t="s">
        <v>68</v>
      </c>
      <c r="E817" s="12">
        <v>46259.0</v>
      </c>
      <c r="F817" s="12">
        <v>46289.0</v>
      </c>
      <c r="G817" s="11" t="s">
        <v>4658</v>
      </c>
      <c r="H817" s="11">
        <v>7.385732129E9</v>
      </c>
      <c r="I817" s="11" t="s">
        <v>82</v>
      </c>
      <c r="J817" s="11" t="s">
        <v>71</v>
      </c>
      <c r="K817" s="13" t="s">
        <v>443</v>
      </c>
      <c r="L817" s="11" t="s">
        <v>73</v>
      </c>
      <c r="M817" s="11" t="s">
        <v>4659</v>
      </c>
      <c r="N817" s="11" t="s">
        <v>86</v>
      </c>
      <c r="O817" s="11" t="s">
        <v>71</v>
      </c>
      <c r="P817" s="11" t="s">
        <v>4660</v>
      </c>
      <c r="Q817" s="13" t="s">
        <v>4661</v>
      </c>
      <c r="R817" s="14" t="str">
        <f>HYPERLINK("https://drive.google.com/file/d/18VD1V8y-V2YsMCiXtL0rb-sWvSjcpyfF/view?usp=drivesdk","OFFER LETTER")</f>
        <v>OFFER LETTER</v>
      </c>
      <c r="S817" s="11" t="s">
        <v>4662</v>
      </c>
    </row>
    <row r="818" ht="22.5" customHeight="1">
      <c r="A818" s="10">
        <v>46259.76134159722</v>
      </c>
      <c r="B818" s="11" t="s">
        <v>4657</v>
      </c>
      <c r="C818" s="11" t="s">
        <v>107</v>
      </c>
      <c r="D818" s="11" t="s">
        <v>68</v>
      </c>
      <c r="E818" s="12">
        <v>46259.0</v>
      </c>
      <c r="F818" s="12">
        <v>46289.0</v>
      </c>
      <c r="G818" s="11" t="s">
        <v>4658</v>
      </c>
      <c r="H818" s="11">
        <v>7.385732129E9</v>
      </c>
      <c r="I818" s="11" t="s">
        <v>82</v>
      </c>
      <c r="J818" s="11" t="s">
        <v>71</v>
      </c>
      <c r="K818" s="13" t="s">
        <v>443</v>
      </c>
      <c r="L818" s="11" t="s">
        <v>73</v>
      </c>
      <c r="M818" s="11" t="s">
        <v>4663</v>
      </c>
      <c r="N818" s="11" t="s">
        <v>86</v>
      </c>
      <c r="O818" s="11" t="s">
        <v>71</v>
      </c>
      <c r="P818" s="11" t="s">
        <v>4664</v>
      </c>
      <c r="Q818" s="13" t="s">
        <v>4665</v>
      </c>
      <c r="R818" s="14" t="str">
        <f>HYPERLINK("https://drive.google.com/file/d/17sxF8Ugo3mPlAerq63y8a709htrKBQJV/view?usp=drivesdk","OFFER LETTER")</f>
        <v>OFFER LETTER</v>
      </c>
      <c r="S818" s="11" t="s">
        <v>4666</v>
      </c>
    </row>
    <row r="819" ht="22.5" customHeight="1">
      <c r="A819" s="10">
        <v>46259.761802650464</v>
      </c>
      <c r="B819" s="11" t="s">
        <v>4667</v>
      </c>
      <c r="C819" s="11" t="s">
        <v>298</v>
      </c>
      <c r="D819" s="11" t="s">
        <v>108</v>
      </c>
      <c r="E819" s="12">
        <v>46259.0</v>
      </c>
      <c r="F819" s="12">
        <v>46320.0</v>
      </c>
      <c r="G819" s="11" t="s">
        <v>4668</v>
      </c>
      <c r="H819" s="11">
        <v>8.331886117E9</v>
      </c>
      <c r="I819" s="11" t="s">
        <v>70</v>
      </c>
      <c r="J819" s="11" t="s">
        <v>71</v>
      </c>
      <c r="K819" s="11" t="s">
        <v>72</v>
      </c>
      <c r="L819" s="11" t="s">
        <v>73</v>
      </c>
      <c r="M819" s="11" t="s">
        <v>4669</v>
      </c>
      <c r="N819" s="11" t="s">
        <v>133</v>
      </c>
      <c r="O819" s="11" t="s">
        <v>71</v>
      </c>
      <c r="P819" s="11" t="s">
        <v>4670</v>
      </c>
      <c r="Q819" s="13" t="s">
        <v>4671</v>
      </c>
      <c r="R819" s="14" t="str">
        <f>HYPERLINK("https://drive.google.com/file/d/1fbKP3QtTe6AFZdztgmDvs2iRup5E-tYD/view?usp=drivesdk","OFFER LETTER")</f>
        <v>OFFER LETTER</v>
      </c>
      <c r="S819" s="11" t="s">
        <v>4672</v>
      </c>
    </row>
    <row r="820" ht="22.5" customHeight="1">
      <c r="A820" s="10">
        <v>46259.767028518516</v>
      </c>
      <c r="B820" s="11" t="s">
        <v>4673</v>
      </c>
      <c r="C820" s="11" t="s">
        <v>67</v>
      </c>
      <c r="D820" s="11" t="s">
        <v>108</v>
      </c>
      <c r="E820" s="12">
        <v>46266.0</v>
      </c>
      <c r="F820" s="12">
        <v>46325.0</v>
      </c>
      <c r="G820" s="11" t="s">
        <v>4674</v>
      </c>
      <c r="H820" s="11">
        <v>8.660355373E9</v>
      </c>
      <c r="I820" s="11" t="s">
        <v>70</v>
      </c>
      <c r="J820" s="11" t="s">
        <v>71</v>
      </c>
      <c r="K820" s="11" t="s">
        <v>356</v>
      </c>
      <c r="L820" s="11" t="s">
        <v>84</v>
      </c>
      <c r="M820" s="11" t="s">
        <v>4675</v>
      </c>
      <c r="N820" s="11" t="s">
        <v>86</v>
      </c>
      <c r="O820" s="11" t="s">
        <v>71</v>
      </c>
      <c r="P820" s="11" t="s">
        <v>4676</v>
      </c>
      <c r="Q820" s="13" t="s">
        <v>4677</v>
      </c>
      <c r="R820" s="14" t="str">
        <f>HYPERLINK("https://drive.google.com/file/d/1KlihtFsjOajUwC_RN0EjPw1Brrsd_ljM/view?usp=drivesdk","OFFER LETTER")</f>
        <v>OFFER LETTER</v>
      </c>
      <c r="S820" s="11" t="s">
        <v>4678</v>
      </c>
    </row>
    <row r="821" ht="22.5" customHeight="1">
      <c r="A821" s="10">
        <v>46259.780134155095</v>
      </c>
      <c r="B821" s="11" t="s">
        <v>4679</v>
      </c>
      <c r="C821" s="11" t="s">
        <v>107</v>
      </c>
      <c r="D821" s="11" t="s">
        <v>68</v>
      </c>
      <c r="E821" s="12">
        <v>46259.0</v>
      </c>
      <c r="F821" s="12">
        <v>46290.0</v>
      </c>
      <c r="G821" s="11" t="s">
        <v>4680</v>
      </c>
      <c r="H821" s="11">
        <v>9.546184833E9</v>
      </c>
      <c r="I821" s="11" t="s">
        <v>82</v>
      </c>
      <c r="J821" s="11" t="s">
        <v>71</v>
      </c>
      <c r="K821" s="11" t="s">
        <v>72</v>
      </c>
      <c r="L821" s="11" t="s">
        <v>84</v>
      </c>
      <c r="M821" s="11" t="s">
        <v>1445</v>
      </c>
      <c r="N821" s="11" t="s">
        <v>226</v>
      </c>
      <c r="O821" s="11" t="s">
        <v>71</v>
      </c>
      <c r="P821" s="11" t="s">
        <v>4681</v>
      </c>
      <c r="Q821" s="13" t="s">
        <v>4682</v>
      </c>
      <c r="R821" s="14" t="str">
        <f>HYPERLINK("https://drive.google.com/file/d/1_gAxWEJ_qOOalkYPrZnxOyzVIeL4WFfN/view?usp=drivesdk","OFFER LETTER")</f>
        <v>OFFER LETTER</v>
      </c>
      <c r="S821" s="11" t="s">
        <v>4683</v>
      </c>
    </row>
    <row r="822" ht="22.5" customHeight="1">
      <c r="A822" s="10">
        <v>46259.78534127315</v>
      </c>
      <c r="B822" s="11" t="s">
        <v>4684</v>
      </c>
      <c r="C822" s="11" t="s">
        <v>80</v>
      </c>
      <c r="D822" s="11" t="s">
        <v>108</v>
      </c>
      <c r="E822" s="12">
        <v>46247.0</v>
      </c>
      <c r="F822" s="12">
        <v>46307.0</v>
      </c>
      <c r="G822" s="11" t="s">
        <v>4685</v>
      </c>
      <c r="H822" s="11">
        <v>7.975878371E9</v>
      </c>
      <c r="I822" s="11" t="s">
        <v>82</v>
      </c>
      <c r="J822" s="11" t="s">
        <v>71</v>
      </c>
      <c r="K822" s="11" t="s">
        <v>72</v>
      </c>
      <c r="L822" s="11" t="s">
        <v>73</v>
      </c>
      <c r="M822" s="11" t="s">
        <v>4686</v>
      </c>
      <c r="N822" s="11" t="s">
        <v>86</v>
      </c>
      <c r="O822" s="11" t="s">
        <v>71</v>
      </c>
      <c r="P822" s="11" t="s">
        <v>4687</v>
      </c>
      <c r="Q822" s="13" t="s">
        <v>4688</v>
      </c>
      <c r="R822" s="14" t="str">
        <f>HYPERLINK("https://drive.google.com/file/d/1kk_2eQ4hc0vKcaVEhnR8UiXf2hasa7QU/view?usp=drivesdk","OFFER LETTER")</f>
        <v>OFFER LETTER</v>
      </c>
      <c r="S822" s="11" t="s">
        <v>4689</v>
      </c>
    </row>
    <row r="823" ht="22.5" customHeight="1">
      <c r="A823" s="10">
        <v>46259.80058458333</v>
      </c>
      <c r="B823" s="11" t="s">
        <v>4690</v>
      </c>
      <c r="C823" s="11" t="s">
        <v>128</v>
      </c>
      <c r="D823" s="11" t="s">
        <v>68</v>
      </c>
      <c r="E823" s="12">
        <v>46259.0</v>
      </c>
      <c r="F823" s="12">
        <v>46290.0</v>
      </c>
      <c r="G823" s="11" t="s">
        <v>4691</v>
      </c>
      <c r="H823" s="11">
        <v>7.019982646E9</v>
      </c>
      <c r="I823" s="11" t="s">
        <v>70</v>
      </c>
      <c r="J823" s="11" t="s">
        <v>71</v>
      </c>
      <c r="K823" s="11" t="s">
        <v>110</v>
      </c>
      <c r="L823" s="11" t="s">
        <v>84</v>
      </c>
      <c r="M823" s="11" t="s">
        <v>4692</v>
      </c>
      <c r="N823" s="11" t="s">
        <v>655</v>
      </c>
      <c r="O823" s="11" t="s">
        <v>71</v>
      </c>
      <c r="P823" s="11" t="s">
        <v>4693</v>
      </c>
      <c r="Q823" s="13" t="s">
        <v>4694</v>
      </c>
      <c r="R823" s="14" t="str">
        <f>HYPERLINK("https://drive.google.com/file/d/1W7Xr9Zr8u9HabGxX_DOAGYMvh-E9x5-T/view?usp=drivesdk","OFFER LETTER")</f>
        <v>OFFER LETTER</v>
      </c>
      <c r="S823" s="11" t="s">
        <v>4695</v>
      </c>
    </row>
    <row r="824" ht="22.5" customHeight="1">
      <c r="A824" s="10">
        <v>46259.80434210648</v>
      </c>
      <c r="B824" s="11" t="s">
        <v>4696</v>
      </c>
      <c r="C824" s="11" t="s">
        <v>128</v>
      </c>
      <c r="D824" s="11" t="s">
        <v>68</v>
      </c>
      <c r="E824" s="12">
        <v>46259.0</v>
      </c>
      <c r="F824" s="12">
        <v>46290.0</v>
      </c>
      <c r="G824" s="11" t="s">
        <v>4697</v>
      </c>
      <c r="H824" s="11">
        <v>8.660400804E9</v>
      </c>
      <c r="I824" s="11" t="s">
        <v>70</v>
      </c>
      <c r="J824" s="11" t="s">
        <v>71</v>
      </c>
      <c r="K824" s="11" t="s">
        <v>72</v>
      </c>
      <c r="L824" s="11" t="s">
        <v>84</v>
      </c>
      <c r="M824" s="11" t="s">
        <v>4698</v>
      </c>
      <c r="N824" s="11" t="s">
        <v>241</v>
      </c>
      <c r="O824" s="11" t="s">
        <v>71</v>
      </c>
      <c r="P824" s="11" t="s">
        <v>4699</v>
      </c>
      <c r="Q824" s="13" t="s">
        <v>4700</v>
      </c>
      <c r="R824" s="14" t="str">
        <f>HYPERLINK("https://drive.google.com/file/d/1Ahxhb4KlpeBBcaqXukOUtDDdf5zlJ8ip/view?usp=drivesdk","OFFER LETTER")</f>
        <v>OFFER LETTER</v>
      </c>
      <c r="S824" s="11" t="s">
        <v>4701</v>
      </c>
    </row>
    <row r="825" ht="22.5" customHeight="1">
      <c r="A825" s="10">
        <v>46259.820990636574</v>
      </c>
      <c r="B825" s="11" t="s">
        <v>4702</v>
      </c>
      <c r="C825" s="11" t="s">
        <v>80</v>
      </c>
      <c r="D825" s="11" t="s">
        <v>68</v>
      </c>
      <c r="E825" s="12">
        <v>46229.0</v>
      </c>
      <c r="F825" s="12">
        <v>46260.0</v>
      </c>
      <c r="G825" s="11" t="s">
        <v>4703</v>
      </c>
      <c r="H825" s="11">
        <v>8.125608029E9</v>
      </c>
      <c r="I825" s="11" t="s">
        <v>82</v>
      </c>
      <c r="J825" s="11" t="s">
        <v>71</v>
      </c>
      <c r="K825" s="11" t="s">
        <v>72</v>
      </c>
      <c r="L825" s="11" t="s">
        <v>73</v>
      </c>
      <c r="M825" s="11" t="s">
        <v>4704</v>
      </c>
      <c r="N825" s="11" t="s">
        <v>86</v>
      </c>
      <c r="O825" s="11" t="s">
        <v>71</v>
      </c>
      <c r="P825" s="11" t="s">
        <v>4705</v>
      </c>
      <c r="Q825" s="13" t="s">
        <v>4706</v>
      </c>
      <c r="R825" s="14" t="str">
        <f>HYPERLINK("https://drive.google.com/file/d/1rGaqMCWDPI_WZjYn4zypL86X-IU-JAIJ/view?usp=drivesdk","OFFER LETTER")</f>
        <v>OFFER LETTER</v>
      </c>
      <c r="S825" s="11" t="s">
        <v>4707</v>
      </c>
    </row>
    <row r="826" ht="22.5" customHeight="1">
      <c r="A826" s="10">
        <v>46259.83165792824</v>
      </c>
      <c r="B826" s="11" t="s">
        <v>4708</v>
      </c>
      <c r="C826" s="11" t="s">
        <v>91</v>
      </c>
      <c r="D826" s="11" t="s">
        <v>68</v>
      </c>
      <c r="E826" s="12">
        <v>46228.0</v>
      </c>
      <c r="F826" s="12">
        <v>46228.0</v>
      </c>
      <c r="G826" s="11" t="s">
        <v>4709</v>
      </c>
      <c r="H826" s="11">
        <v>8.688490315E9</v>
      </c>
      <c r="I826" s="11" t="s">
        <v>70</v>
      </c>
      <c r="J826" s="11" t="s">
        <v>71</v>
      </c>
      <c r="K826" s="11" t="s">
        <v>72</v>
      </c>
      <c r="L826" s="11" t="s">
        <v>84</v>
      </c>
      <c r="M826" s="11" t="s">
        <v>3986</v>
      </c>
      <c r="N826" s="11" t="s">
        <v>226</v>
      </c>
      <c r="O826" s="11" t="s">
        <v>71</v>
      </c>
      <c r="P826" s="11" t="s">
        <v>4710</v>
      </c>
      <c r="Q826" s="13" t="s">
        <v>4711</v>
      </c>
      <c r="R826" s="14" t="str">
        <f>HYPERLINK("https://drive.google.com/file/d/1EOO8bZFpvflyaZGhLJPSCnVX3Ky4Xbn2/view?usp=drivesdk","OFFER LETTER")</f>
        <v>OFFER LETTER</v>
      </c>
      <c r="S826" s="11" t="s">
        <v>4712</v>
      </c>
    </row>
    <row r="827" ht="22.5" customHeight="1">
      <c r="A827" s="10">
        <v>46259.83691560185</v>
      </c>
      <c r="B827" s="11" t="s">
        <v>4713</v>
      </c>
      <c r="C827" s="11" t="s">
        <v>173</v>
      </c>
      <c r="D827" s="11" t="s">
        <v>238</v>
      </c>
      <c r="E827" s="12">
        <v>46236.0</v>
      </c>
      <c r="F827" s="12">
        <v>46328.0</v>
      </c>
      <c r="G827" s="11" t="s">
        <v>4714</v>
      </c>
      <c r="H827" s="11">
        <v>8.767463186E9</v>
      </c>
      <c r="I827" s="11" t="s">
        <v>82</v>
      </c>
      <c r="J827" s="11" t="s">
        <v>83</v>
      </c>
      <c r="K827" s="11" t="s">
        <v>167</v>
      </c>
      <c r="L827" s="11" t="s">
        <v>247</v>
      </c>
      <c r="M827" s="11" t="s">
        <v>4715</v>
      </c>
      <c r="N827" s="11" t="s">
        <v>155</v>
      </c>
      <c r="O827" s="11" t="s">
        <v>71</v>
      </c>
      <c r="P827" s="11" t="s">
        <v>4716</v>
      </c>
      <c r="Q827" s="13" t="s">
        <v>4717</v>
      </c>
      <c r="R827" s="14" t="str">
        <f>HYPERLINK("https://drive.google.com/file/d/14Y0d8I5zbqIfwk-Ad1dKwyV8M3HnQedc/view?usp=drivesdk","OFFER LETTER")</f>
        <v>OFFER LETTER</v>
      </c>
      <c r="S827" s="11" t="s">
        <v>4718</v>
      </c>
    </row>
    <row r="828" ht="22.5" customHeight="1">
      <c r="A828" s="10">
        <v>46259.83816832176</v>
      </c>
      <c r="B828" s="11" t="s">
        <v>4719</v>
      </c>
      <c r="C828" s="11" t="s">
        <v>195</v>
      </c>
      <c r="D828" s="11" t="s">
        <v>68</v>
      </c>
      <c r="E828" s="12">
        <v>46259.0</v>
      </c>
      <c r="F828" s="12">
        <v>46259.0</v>
      </c>
      <c r="G828" s="11" t="s">
        <v>4720</v>
      </c>
      <c r="H828" s="11">
        <v>7.601003039E9</v>
      </c>
      <c r="I828" s="11" t="s">
        <v>82</v>
      </c>
      <c r="J828" s="11" t="s">
        <v>71</v>
      </c>
      <c r="K828" s="11" t="s">
        <v>72</v>
      </c>
      <c r="L828" s="11" t="s">
        <v>73</v>
      </c>
      <c r="M828" s="11" t="s">
        <v>2151</v>
      </c>
      <c r="N828" s="11" t="s">
        <v>4721</v>
      </c>
      <c r="O828" s="11" t="s">
        <v>71</v>
      </c>
      <c r="P828" s="11" t="s">
        <v>4722</v>
      </c>
      <c r="Q828" s="13" t="s">
        <v>4723</v>
      </c>
      <c r="R828" s="14" t="str">
        <f>HYPERLINK("https://drive.google.com/file/d/1h7PyNW8BRV_DHgtgERRZr-jHTa-5C1FC/view?usp=drivesdk","OFFER LETTER")</f>
        <v>OFFER LETTER</v>
      </c>
      <c r="S828" s="11" t="s">
        <v>4724</v>
      </c>
    </row>
    <row r="829" ht="22.5" customHeight="1">
      <c r="A829" s="10">
        <v>46259.84017740741</v>
      </c>
      <c r="B829" s="11" t="s">
        <v>4725</v>
      </c>
      <c r="C829" s="11" t="s">
        <v>67</v>
      </c>
      <c r="D829" s="11" t="s">
        <v>108</v>
      </c>
      <c r="E829" s="12">
        <v>46266.0</v>
      </c>
      <c r="F829" s="12">
        <v>46325.0</v>
      </c>
      <c r="G829" s="11" t="s">
        <v>4726</v>
      </c>
      <c r="H829" s="11">
        <v>9.156774835E9</v>
      </c>
      <c r="I829" s="11" t="s">
        <v>70</v>
      </c>
      <c r="J829" s="11" t="s">
        <v>71</v>
      </c>
      <c r="K829" s="11" t="s">
        <v>356</v>
      </c>
      <c r="L829" s="11" t="s">
        <v>84</v>
      </c>
      <c r="M829" s="11" t="s">
        <v>4727</v>
      </c>
      <c r="N829" s="11" t="s">
        <v>241</v>
      </c>
      <c r="O829" s="11" t="s">
        <v>71</v>
      </c>
      <c r="P829" s="11" t="s">
        <v>4728</v>
      </c>
      <c r="Q829" s="13" t="s">
        <v>4729</v>
      </c>
      <c r="R829" s="14" t="str">
        <f>HYPERLINK("https://drive.google.com/file/d/1PAdLvDU1A8OcBp0lmHDj9gGJn-zD2MS_/view?usp=drivesdk","OFFER LETTER")</f>
        <v>OFFER LETTER</v>
      </c>
      <c r="S829" s="11" t="s">
        <v>4730</v>
      </c>
    </row>
    <row r="830" ht="22.5" customHeight="1">
      <c r="A830" s="10">
        <v>46259.84070887732</v>
      </c>
      <c r="B830" s="11" t="s">
        <v>4731</v>
      </c>
      <c r="C830" s="11" t="s">
        <v>107</v>
      </c>
      <c r="D830" s="11" t="s">
        <v>68</v>
      </c>
      <c r="E830" s="12">
        <v>46179.0</v>
      </c>
      <c r="F830" s="12">
        <v>46209.0</v>
      </c>
      <c r="G830" s="11" t="s">
        <v>4732</v>
      </c>
      <c r="H830" s="11">
        <v>7.538833682E9</v>
      </c>
      <c r="I830" s="11" t="s">
        <v>70</v>
      </c>
      <c r="J830" s="11" t="s">
        <v>71</v>
      </c>
      <c r="K830" s="11" t="s">
        <v>110</v>
      </c>
      <c r="L830" s="11" t="s">
        <v>73</v>
      </c>
      <c r="M830" s="11" t="s">
        <v>4733</v>
      </c>
      <c r="N830" s="11" t="s">
        <v>86</v>
      </c>
      <c r="O830" s="11" t="s">
        <v>71</v>
      </c>
      <c r="P830" s="11" t="s">
        <v>4734</v>
      </c>
      <c r="Q830" s="13" t="s">
        <v>4735</v>
      </c>
      <c r="R830" s="14" t="str">
        <f>HYPERLINK("https://drive.google.com/file/d/1whRNO6gvUNEZSgBFmw3xFHvCL16RKy4Y/view?usp=drivesdk","OFFER LETTER")</f>
        <v>OFFER LETTER</v>
      </c>
      <c r="S830" s="11" t="s">
        <v>4736</v>
      </c>
    </row>
    <row r="831" ht="22.5" customHeight="1">
      <c r="A831" s="10">
        <v>46259.84304092593</v>
      </c>
      <c r="B831" s="11" t="s">
        <v>4719</v>
      </c>
      <c r="C831" s="11" t="s">
        <v>195</v>
      </c>
      <c r="D831" s="11" t="s">
        <v>68</v>
      </c>
      <c r="E831" s="12">
        <v>46259.0</v>
      </c>
      <c r="F831" s="12">
        <v>46290.0</v>
      </c>
      <c r="G831" s="11" t="s">
        <v>4720</v>
      </c>
      <c r="H831" s="11">
        <v>7.601003039E9</v>
      </c>
      <c r="I831" s="11" t="s">
        <v>82</v>
      </c>
      <c r="J831" s="11" t="s">
        <v>71</v>
      </c>
      <c r="K831" s="11" t="s">
        <v>72</v>
      </c>
      <c r="L831" s="11" t="s">
        <v>73</v>
      </c>
      <c r="M831" s="11" t="s">
        <v>2151</v>
      </c>
      <c r="N831" s="11" t="s">
        <v>226</v>
      </c>
      <c r="O831" s="11" t="s">
        <v>71</v>
      </c>
      <c r="P831" s="11" t="s">
        <v>4737</v>
      </c>
      <c r="Q831" s="13" t="s">
        <v>4738</v>
      </c>
      <c r="R831" s="14" t="str">
        <f>HYPERLINK("https://drive.google.com/file/d/1LKoO-pOwPk7bEo4BXmgeaqUcZ6iZuQHq/view?usp=drivesdk","OFFER LETTER")</f>
        <v>OFFER LETTER</v>
      </c>
      <c r="S831" s="11" t="s">
        <v>4739</v>
      </c>
    </row>
    <row r="832" ht="22.5" customHeight="1">
      <c r="A832" s="10">
        <v>46259.84465417824</v>
      </c>
      <c r="B832" s="11" t="s">
        <v>4740</v>
      </c>
      <c r="C832" s="11" t="s">
        <v>128</v>
      </c>
      <c r="D832" s="11" t="s">
        <v>68</v>
      </c>
      <c r="E832" s="12">
        <v>46259.0</v>
      </c>
      <c r="F832" s="12">
        <v>46290.0</v>
      </c>
      <c r="G832" s="11" t="s">
        <v>4741</v>
      </c>
      <c r="H832" s="17" t="s">
        <v>4742</v>
      </c>
      <c r="I832" s="11" t="s">
        <v>82</v>
      </c>
      <c r="J832" s="11" t="s">
        <v>71</v>
      </c>
      <c r="K832" s="11" t="s">
        <v>72</v>
      </c>
      <c r="L832" s="11" t="s">
        <v>84</v>
      </c>
      <c r="M832" s="11" t="s">
        <v>4743</v>
      </c>
      <c r="N832" s="11" t="s">
        <v>155</v>
      </c>
      <c r="O832" s="11" t="s">
        <v>71</v>
      </c>
      <c r="P832" s="11" t="s">
        <v>4744</v>
      </c>
      <c r="Q832" s="13" t="s">
        <v>4745</v>
      </c>
      <c r="R832" s="14" t="str">
        <f>HYPERLINK("https://drive.google.com/file/d/1K4jn63MPRtACPl3GKureS-WE_4Xsyj_3/view?usp=drivesdk","OFFER LETTER")</f>
        <v>OFFER LETTER</v>
      </c>
      <c r="S832" s="11" t="s">
        <v>4746</v>
      </c>
    </row>
    <row r="833" ht="22.5" customHeight="1">
      <c r="A833" s="10">
        <v>46259.84537623843</v>
      </c>
      <c r="B833" s="11" t="s">
        <v>4747</v>
      </c>
      <c r="C833" s="11" t="s">
        <v>80</v>
      </c>
      <c r="D833" s="11" t="s">
        <v>68</v>
      </c>
      <c r="E833" s="12">
        <v>46259.0</v>
      </c>
      <c r="F833" s="12">
        <v>46266.0</v>
      </c>
      <c r="G833" s="11" t="s">
        <v>4748</v>
      </c>
      <c r="H833" s="11">
        <v>6.369001202E9</v>
      </c>
      <c r="I833" s="11" t="s">
        <v>82</v>
      </c>
      <c r="J833" s="11" t="s">
        <v>83</v>
      </c>
      <c r="K833" s="11" t="s">
        <v>72</v>
      </c>
      <c r="L833" s="11" t="s">
        <v>84</v>
      </c>
      <c r="M833" s="11" t="s">
        <v>4749</v>
      </c>
      <c r="N833" s="11" t="s">
        <v>241</v>
      </c>
      <c r="O833" s="11" t="s">
        <v>71</v>
      </c>
      <c r="P833" s="11" t="s">
        <v>4750</v>
      </c>
      <c r="Q833" s="13" t="s">
        <v>4751</v>
      </c>
      <c r="R833" s="14" t="str">
        <f>HYPERLINK("https://drive.google.com/file/d/1KEucp2VluHtUbZkZsFg4C4OMxO_wKfvo/view?usp=drivesdk","OFFER LETTER")</f>
        <v>OFFER LETTER</v>
      </c>
      <c r="S833" s="11" t="s">
        <v>4752</v>
      </c>
    </row>
    <row r="834" ht="22.5" customHeight="1">
      <c r="A834" s="10">
        <v>46259.851169629634</v>
      </c>
      <c r="B834" s="11" t="s">
        <v>4708</v>
      </c>
      <c r="C834" s="11" t="s">
        <v>91</v>
      </c>
      <c r="D834" s="11" t="s">
        <v>68</v>
      </c>
      <c r="E834" s="12">
        <v>46228.0</v>
      </c>
      <c r="F834" s="12">
        <v>46259.0</v>
      </c>
      <c r="G834" s="11" t="s">
        <v>4709</v>
      </c>
      <c r="H834" s="11">
        <v>8.688490315E9</v>
      </c>
      <c r="I834" s="11" t="s">
        <v>70</v>
      </c>
      <c r="J834" s="11" t="s">
        <v>71</v>
      </c>
      <c r="K834" s="11" t="s">
        <v>72</v>
      </c>
      <c r="L834" s="11" t="s">
        <v>84</v>
      </c>
      <c r="M834" s="11" t="s">
        <v>4753</v>
      </c>
      <c r="N834" s="11" t="s">
        <v>226</v>
      </c>
      <c r="O834" s="11" t="s">
        <v>71</v>
      </c>
      <c r="P834" s="11" t="s">
        <v>4754</v>
      </c>
      <c r="Q834" s="13" t="s">
        <v>4755</v>
      </c>
      <c r="R834" s="14" t="str">
        <f>HYPERLINK("https://drive.google.com/file/d/1FNG3JC17LSjA-jYWY0fm1aZdIQW1ZDcJ/view?usp=drivesdk","OFFER LETTER")</f>
        <v>OFFER LETTER</v>
      </c>
      <c r="S834" s="11" t="s">
        <v>4756</v>
      </c>
    </row>
    <row r="835" ht="22.5" customHeight="1">
      <c r="A835" s="10">
        <v>46259.85364365741</v>
      </c>
      <c r="B835" s="11" t="s">
        <v>4757</v>
      </c>
      <c r="C835" s="11" t="s">
        <v>80</v>
      </c>
      <c r="D835" s="11" t="s">
        <v>68</v>
      </c>
      <c r="E835" s="12">
        <v>46259.0</v>
      </c>
      <c r="F835" s="12">
        <v>46266.0</v>
      </c>
      <c r="G835" s="11" t="s">
        <v>4748</v>
      </c>
      <c r="H835" s="11">
        <v>6.369001202E9</v>
      </c>
      <c r="I835" s="11" t="s">
        <v>82</v>
      </c>
      <c r="J835" s="11" t="s">
        <v>83</v>
      </c>
      <c r="K835" s="11" t="s">
        <v>72</v>
      </c>
      <c r="L835" s="11" t="s">
        <v>84</v>
      </c>
      <c r="M835" s="11" t="s">
        <v>4749</v>
      </c>
      <c r="N835" s="11" t="s">
        <v>241</v>
      </c>
      <c r="O835" s="11" t="s">
        <v>71</v>
      </c>
      <c r="P835" s="11" t="s">
        <v>4758</v>
      </c>
      <c r="Q835" s="13" t="s">
        <v>4759</v>
      </c>
      <c r="R835" s="14" t="str">
        <f>HYPERLINK("https://drive.google.com/file/d/1iw8opIWlMSEfY9YwJmMYd8YZVgONmz18/view?usp=drivesdk","OFFER LETTER")</f>
        <v>OFFER LETTER</v>
      </c>
      <c r="S835" s="11" t="s">
        <v>4760</v>
      </c>
    </row>
    <row r="836" ht="22.5" customHeight="1">
      <c r="A836" s="10">
        <v>46259.8631158912</v>
      </c>
      <c r="B836" s="11" t="s">
        <v>4761</v>
      </c>
      <c r="C836" s="11" t="s">
        <v>195</v>
      </c>
      <c r="D836" s="11" t="s">
        <v>68</v>
      </c>
      <c r="E836" s="12">
        <v>46191.0</v>
      </c>
      <c r="F836" s="12">
        <v>46221.0</v>
      </c>
      <c r="G836" s="11" t="s">
        <v>4762</v>
      </c>
      <c r="H836" s="11">
        <v>8.409777116E9</v>
      </c>
      <c r="I836" s="11" t="s">
        <v>82</v>
      </c>
      <c r="J836" s="11" t="s">
        <v>71</v>
      </c>
      <c r="K836" s="11" t="s">
        <v>72</v>
      </c>
      <c r="L836" s="11" t="s">
        <v>84</v>
      </c>
      <c r="M836" s="11" t="s">
        <v>1779</v>
      </c>
      <c r="N836" s="11" t="s">
        <v>86</v>
      </c>
      <c r="O836" s="11" t="s">
        <v>71</v>
      </c>
      <c r="P836" s="11" t="s">
        <v>4763</v>
      </c>
      <c r="Q836" s="13" t="s">
        <v>4764</v>
      </c>
      <c r="R836" s="14" t="str">
        <f>HYPERLINK("https://drive.google.com/file/d/1do7AncjTkFFJiqcVi4NEZEox9HUbAQct/view?usp=drivesdk","OFFER LETTER")</f>
        <v>OFFER LETTER</v>
      </c>
      <c r="S836" s="11" t="s">
        <v>4765</v>
      </c>
    </row>
    <row r="837" ht="22.5" customHeight="1">
      <c r="A837" s="10">
        <v>46259.86637631945</v>
      </c>
      <c r="B837" s="11" t="s">
        <v>2149</v>
      </c>
      <c r="C837" s="11" t="s">
        <v>107</v>
      </c>
      <c r="D837" s="11" t="s">
        <v>68</v>
      </c>
      <c r="E837" s="12">
        <v>46259.0</v>
      </c>
      <c r="F837" s="12">
        <v>46290.0</v>
      </c>
      <c r="G837" s="11" t="s">
        <v>4766</v>
      </c>
      <c r="H837" s="11">
        <v>7.351651652E9</v>
      </c>
      <c r="I837" s="11" t="s">
        <v>82</v>
      </c>
      <c r="J837" s="11" t="s">
        <v>71</v>
      </c>
      <c r="K837" s="11" t="s">
        <v>72</v>
      </c>
      <c r="L837" s="11" t="s">
        <v>131</v>
      </c>
      <c r="M837" s="11" t="s">
        <v>4767</v>
      </c>
      <c r="N837" s="11" t="s">
        <v>86</v>
      </c>
      <c r="O837" s="11" t="s">
        <v>71</v>
      </c>
      <c r="P837" s="11" t="s">
        <v>4768</v>
      </c>
      <c r="Q837" s="13" t="s">
        <v>4769</v>
      </c>
      <c r="R837" s="14" t="str">
        <f>HYPERLINK("https://drive.google.com/file/d/1U2QoIBePLM6_Tfc21Y4royvF4xM4kUTk/view?usp=drivesdk","OFFER LETTER")</f>
        <v>OFFER LETTER</v>
      </c>
      <c r="S837" s="11" t="s">
        <v>4770</v>
      </c>
    </row>
    <row r="838" ht="22.5" customHeight="1">
      <c r="A838" s="10">
        <v>46259.869713935186</v>
      </c>
      <c r="B838" s="11" t="s">
        <v>4771</v>
      </c>
      <c r="C838" s="11" t="s">
        <v>1200</v>
      </c>
      <c r="D838" s="11" t="s">
        <v>68</v>
      </c>
      <c r="E838" s="12">
        <v>46174.0</v>
      </c>
      <c r="F838" s="12">
        <v>46203.0</v>
      </c>
      <c r="G838" s="11" t="s">
        <v>4772</v>
      </c>
      <c r="H838" s="11">
        <v>7.306407343E9</v>
      </c>
      <c r="I838" s="11" t="s">
        <v>82</v>
      </c>
      <c r="J838" s="11" t="s">
        <v>71</v>
      </c>
      <c r="K838" s="11" t="s">
        <v>72</v>
      </c>
      <c r="L838" s="11" t="s">
        <v>73</v>
      </c>
      <c r="M838" s="11" t="s">
        <v>4773</v>
      </c>
      <c r="N838" s="11" t="s">
        <v>86</v>
      </c>
      <c r="O838" s="11" t="s">
        <v>71</v>
      </c>
      <c r="P838" s="11" t="s">
        <v>4774</v>
      </c>
      <c r="Q838" s="13" t="s">
        <v>4775</v>
      </c>
      <c r="R838" s="14" t="str">
        <f>HYPERLINK("https://drive.google.com/file/d/1XC4bzIt4T0Ai-jSAEAuofQvyTCvArYfL/view?usp=drivesdk","OFFER LETTER")</f>
        <v>OFFER LETTER</v>
      </c>
      <c r="S838" s="11" t="s">
        <v>4776</v>
      </c>
    </row>
    <row r="839" ht="22.5" customHeight="1">
      <c r="A839" s="10">
        <v>46259.87421311343</v>
      </c>
      <c r="B839" s="11" t="s">
        <v>4777</v>
      </c>
      <c r="C839" s="11" t="s">
        <v>195</v>
      </c>
      <c r="D839" s="11" t="s">
        <v>68</v>
      </c>
      <c r="E839" s="12">
        <v>46143.0</v>
      </c>
      <c r="F839" s="12">
        <v>46172.0</v>
      </c>
      <c r="G839" s="11" t="s">
        <v>4778</v>
      </c>
      <c r="H839" s="11">
        <v>9.525247496E9</v>
      </c>
      <c r="I839" s="11" t="s">
        <v>82</v>
      </c>
      <c r="J839" s="11" t="s">
        <v>71</v>
      </c>
      <c r="K839" s="11" t="s">
        <v>72</v>
      </c>
      <c r="L839" s="11" t="s">
        <v>84</v>
      </c>
      <c r="M839" s="11" t="s">
        <v>1779</v>
      </c>
      <c r="N839" s="11" t="s">
        <v>75</v>
      </c>
      <c r="O839" s="11" t="s">
        <v>71</v>
      </c>
      <c r="P839" s="11" t="s">
        <v>4779</v>
      </c>
      <c r="Q839" s="13" t="s">
        <v>4780</v>
      </c>
      <c r="R839" s="14" t="str">
        <f>HYPERLINK("https://drive.google.com/file/d/1nvzCInsqdM0--4JHeNOvAqZwSAfPbI8H/view?usp=drivesdk","OFFER LETTER")</f>
        <v>OFFER LETTER</v>
      </c>
      <c r="S839" s="11" t="s">
        <v>4781</v>
      </c>
    </row>
    <row r="840" ht="22.5" customHeight="1">
      <c r="A840" s="10">
        <v>46259.887017615736</v>
      </c>
      <c r="B840" s="11" t="s">
        <v>4782</v>
      </c>
      <c r="C840" s="11" t="s">
        <v>195</v>
      </c>
      <c r="D840" s="11" t="s">
        <v>68</v>
      </c>
      <c r="E840" s="12">
        <v>46259.0</v>
      </c>
      <c r="F840" s="12">
        <v>46290.0</v>
      </c>
      <c r="G840" s="11" t="s">
        <v>4783</v>
      </c>
      <c r="H840" s="11">
        <v>7.979707604E9</v>
      </c>
      <c r="I840" s="11" t="s">
        <v>82</v>
      </c>
      <c r="J840" s="11" t="s">
        <v>71</v>
      </c>
      <c r="K840" s="11" t="s">
        <v>72</v>
      </c>
      <c r="L840" s="11" t="s">
        <v>84</v>
      </c>
      <c r="M840" s="11" t="s">
        <v>886</v>
      </c>
      <c r="N840" s="11" t="s">
        <v>86</v>
      </c>
      <c r="O840" s="11" t="s">
        <v>71</v>
      </c>
      <c r="P840" s="11" t="s">
        <v>4784</v>
      </c>
      <c r="Q840" s="13" t="s">
        <v>4785</v>
      </c>
      <c r="R840" s="14" t="str">
        <f>HYPERLINK("https://drive.google.com/file/d/1jEQdnyyQadiHL8Jn4G8nHPgZ87Vcra1S/view?usp=drivesdk","OFFER LETTER")</f>
        <v>OFFER LETTER</v>
      </c>
      <c r="S840" s="11" t="s">
        <v>4786</v>
      </c>
    </row>
    <row r="841" ht="22.5" customHeight="1">
      <c r="A841" s="10">
        <v>46259.89244101851</v>
      </c>
      <c r="B841" s="11" t="s">
        <v>4787</v>
      </c>
      <c r="C841" s="11" t="s">
        <v>67</v>
      </c>
      <c r="D841" s="11" t="s">
        <v>929</v>
      </c>
      <c r="E841" s="12">
        <v>46259.0</v>
      </c>
      <c r="F841" s="12">
        <v>46443.0</v>
      </c>
      <c r="G841" s="11" t="s">
        <v>4788</v>
      </c>
      <c r="H841" s="11">
        <v>7.091082233E9</v>
      </c>
      <c r="I841" s="11" t="s">
        <v>82</v>
      </c>
      <c r="J841" s="11" t="s">
        <v>71</v>
      </c>
      <c r="K841" s="11" t="s">
        <v>356</v>
      </c>
      <c r="L841" s="11" t="s">
        <v>357</v>
      </c>
      <c r="M841" s="11" t="s">
        <v>4789</v>
      </c>
      <c r="N841" s="11" t="s">
        <v>655</v>
      </c>
      <c r="O841" s="11" t="s">
        <v>71</v>
      </c>
      <c r="P841" s="11" t="s">
        <v>4790</v>
      </c>
      <c r="Q841" s="13" t="s">
        <v>4791</v>
      </c>
      <c r="R841" s="14" t="str">
        <f>HYPERLINK("https://drive.google.com/file/d/19AxzuQ3tTVGc2t9IbHF3m_JSIBa80C_P/view?usp=drivesdk","OFFER LETTER")</f>
        <v>OFFER LETTER</v>
      </c>
      <c r="S841" s="11" t="s">
        <v>4792</v>
      </c>
    </row>
    <row r="842" ht="22.5" customHeight="1">
      <c r="A842" s="10">
        <v>46259.896461875</v>
      </c>
      <c r="B842" s="11" t="s">
        <v>4793</v>
      </c>
      <c r="C842" s="11" t="s">
        <v>298</v>
      </c>
      <c r="D842" s="11" t="s">
        <v>108</v>
      </c>
      <c r="E842" s="12">
        <v>46260.0</v>
      </c>
      <c r="F842" s="12">
        <v>46322.0</v>
      </c>
      <c r="G842" s="11" t="s">
        <v>4794</v>
      </c>
      <c r="H842" s="11">
        <v>7.396091785E9</v>
      </c>
      <c r="I842" s="11" t="s">
        <v>82</v>
      </c>
      <c r="J842" s="11" t="s">
        <v>71</v>
      </c>
      <c r="K842" s="11" t="s">
        <v>72</v>
      </c>
      <c r="L842" s="11" t="s">
        <v>73</v>
      </c>
      <c r="M842" s="11" t="s">
        <v>4795</v>
      </c>
      <c r="N842" s="11" t="s">
        <v>86</v>
      </c>
      <c r="O842" s="11" t="s">
        <v>71</v>
      </c>
      <c r="P842" s="11" t="s">
        <v>4796</v>
      </c>
      <c r="Q842" s="13" t="s">
        <v>4797</v>
      </c>
      <c r="R842" s="14" t="str">
        <f>HYPERLINK("https://drive.google.com/file/d/1yVaMCQ0-P3UAFon3QHWbAcFRKJXtzsHi/view?usp=drivesdk","OFFER LETTER")</f>
        <v>OFFER LETTER</v>
      </c>
      <c r="S842" s="11" t="s">
        <v>4798</v>
      </c>
    </row>
    <row r="843" ht="22.5" customHeight="1">
      <c r="A843" s="10">
        <v>46259.90375849537</v>
      </c>
      <c r="B843" s="11" t="s">
        <v>4799</v>
      </c>
      <c r="C843" s="11" t="s">
        <v>128</v>
      </c>
      <c r="D843" s="11" t="s">
        <v>68</v>
      </c>
      <c r="E843" s="12">
        <v>46260.0</v>
      </c>
      <c r="F843" s="12">
        <v>46291.0</v>
      </c>
      <c r="G843" s="11" t="s">
        <v>4800</v>
      </c>
      <c r="H843" s="11">
        <v>8.265081001E9</v>
      </c>
      <c r="I843" s="11" t="s">
        <v>70</v>
      </c>
      <c r="J843" s="11" t="s">
        <v>71</v>
      </c>
      <c r="K843" s="11" t="s">
        <v>72</v>
      </c>
      <c r="L843" s="11" t="s">
        <v>73</v>
      </c>
      <c r="M843" s="11" t="s">
        <v>4801</v>
      </c>
      <c r="N843" s="11" t="s">
        <v>75</v>
      </c>
      <c r="O843" s="11" t="s">
        <v>71</v>
      </c>
      <c r="P843" s="11" t="s">
        <v>4802</v>
      </c>
      <c r="Q843" s="13" t="s">
        <v>4803</v>
      </c>
      <c r="R843" s="14" t="str">
        <f>HYPERLINK("https://drive.google.com/file/d/1GCYUso88qCIc30m_RM68NVqw7KxdCowE/view?usp=drivesdk","OFFER LETTER")</f>
        <v>OFFER LETTER</v>
      </c>
      <c r="S843" s="11" t="s">
        <v>4804</v>
      </c>
    </row>
    <row r="844" ht="22.5" customHeight="1">
      <c r="A844" s="10">
        <v>46259.912686689815</v>
      </c>
      <c r="B844" s="11" t="s">
        <v>4805</v>
      </c>
      <c r="C844" s="11" t="s">
        <v>195</v>
      </c>
      <c r="D844" s="11" t="s">
        <v>108</v>
      </c>
      <c r="E844" s="12">
        <v>46259.0</v>
      </c>
      <c r="F844" s="12">
        <v>46321.0</v>
      </c>
      <c r="G844" s="11" t="s">
        <v>4806</v>
      </c>
      <c r="H844" s="11">
        <v>7.00257838E9</v>
      </c>
      <c r="I844" s="11" t="s">
        <v>82</v>
      </c>
      <c r="J844" s="11" t="s">
        <v>71</v>
      </c>
      <c r="K844" s="11" t="s">
        <v>2045</v>
      </c>
      <c r="L844" s="11" t="s">
        <v>84</v>
      </c>
      <c r="M844" s="11" t="s">
        <v>4807</v>
      </c>
      <c r="N844" s="11" t="s">
        <v>155</v>
      </c>
      <c r="O844" s="11" t="s">
        <v>71</v>
      </c>
      <c r="P844" s="11" t="s">
        <v>4808</v>
      </c>
      <c r="Q844" s="13" t="s">
        <v>4809</v>
      </c>
      <c r="R844" s="14" t="str">
        <f>HYPERLINK("https://drive.google.com/file/d/1d5hcj8k-pILkIYiTJiYrzuXiR4Aa3fAy/view?usp=drivesdk","OFFER LETTER")</f>
        <v>OFFER LETTER</v>
      </c>
      <c r="S844" s="11" t="s">
        <v>4810</v>
      </c>
    </row>
    <row r="845" ht="22.5" customHeight="1">
      <c r="A845" s="10">
        <v>46259.92117321759</v>
      </c>
      <c r="B845" s="11" t="s">
        <v>4811</v>
      </c>
      <c r="C845" s="11" t="s">
        <v>80</v>
      </c>
      <c r="D845" s="11" t="s">
        <v>68</v>
      </c>
      <c r="E845" s="12">
        <v>46259.0</v>
      </c>
      <c r="F845" s="12">
        <v>46290.0</v>
      </c>
      <c r="G845" s="11" t="s">
        <v>4812</v>
      </c>
      <c r="H845" s="11">
        <v>8.179349963E9</v>
      </c>
      <c r="I845" s="11" t="s">
        <v>70</v>
      </c>
      <c r="J845" s="11" t="s">
        <v>71</v>
      </c>
      <c r="K845" s="11" t="s">
        <v>2045</v>
      </c>
      <c r="L845" s="11" t="s">
        <v>247</v>
      </c>
      <c r="M845" s="11" t="s">
        <v>4813</v>
      </c>
      <c r="N845" s="11" t="s">
        <v>75</v>
      </c>
      <c r="O845" s="11" t="s">
        <v>71</v>
      </c>
      <c r="P845" s="11" t="s">
        <v>4814</v>
      </c>
      <c r="Q845" s="13" t="s">
        <v>4815</v>
      </c>
      <c r="R845" s="14" t="str">
        <f>HYPERLINK("https://drive.google.com/file/d/1n8mrM4Bj8mZ3d-x6vGxu-OXrsXo2XlU9/view?usp=drivesdk","OFFER LETTER")</f>
        <v>OFFER LETTER</v>
      </c>
      <c r="S845" s="11" t="s">
        <v>4816</v>
      </c>
    </row>
    <row r="846" ht="22.5" customHeight="1">
      <c r="A846" s="10">
        <v>46259.92123438657</v>
      </c>
      <c r="B846" s="11" t="s">
        <v>4817</v>
      </c>
      <c r="C846" s="11" t="s">
        <v>173</v>
      </c>
      <c r="D846" s="11" t="s">
        <v>68</v>
      </c>
      <c r="E846" s="12">
        <v>46228.0</v>
      </c>
      <c r="F846" s="12">
        <v>46259.0</v>
      </c>
      <c r="G846" s="11" t="s">
        <v>4818</v>
      </c>
      <c r="H846" s="11">
        <v>9.529495918E9</v>
      </c>
      <c r="I846" s="11" t="s">
        <v>82</v>
      </c>
      <c r="J846" s="11" t="s">
        <v>71</v>
      </c>
      <c r="K846" s="11" t="s">
        <v>72</v>
      </c>
      <c r="L846" s="11" t="s">
        <v>84</v>
      </c>
      <c r="M846" s="11" t="s">
        <v>2655</v>
      </c>
      <c r="N846" s="11" t="s">
        <v>630</v>
      </c>
      <c r="O846" s="11" t="s">
        <v>71</v>
      </c>
      <c r="P846" s="11" t="s">
        <v>4819</v>
      </c>
      <c r="Q846" s="13" t="s">
        <v>4820</v>
      </c>
      <c r="R846" s="14" t="str">
        <f>HYPERLINK("https://drive.google.com/file/d/1_0UCd3YJ0PLLkYV4j0TrpLndbUG8y6u1/view?usp=drivesdk","OFFER LETTER")</f>
        <v>OFFER LETTER</v>
      </c>
      <c r="S846" s="11" t="s">
        <v>4821</v>
      </c>
    </row>
    <row r="847" ht="22.5" customHeight="1">
      <c r="A847" s="10">
        <v>46259.925284467594</v>
      </c>
      <c r="B847" s="11" t="s">
        <v>4822</v>
      </c>
      <c r="C847" s="11" t="s">
        <v>67</v>
      </c>
      <c r="D847" s="11" t="s">
        <v>68</v>
      </c>
      <c r="E847" s="12">
        <v>46218.0</v>
      </c>
      <c r="F847" s="12">
        <v>46249.0</v>
      </c>
      <c r="G847" s="11" t="s">
        <v>4823</v>
      </c>
      <c r="H847" s="11">
        <v>9.81193626E9</v>
      </c>
      <c r="I847" s="11" t="s">
        <v>82</v>
      </c>
      <c r="J847" s="11" t="s">
        <v>71</v>
      </c>
      <c r="K847" s="11" t="s">
        <v>72</v>
      </c>
      <c r="L847" s="11" t="s">
        <v>131</v>
      </c>
      <c r="M847" s="11" t="s">
        <v>4824</v>
      </c>
      <c r="N847" s="11" t="s">
        <v>226</v>
      </c>
      <c r="O847" s="11" t="s">
        <v>71</v>
      </c>
      <c r="P847" s="11" t="s">
        <v>4825</v>
      </c>
      <c r="Q847" s="13" t="s">
        <v>4826</v>
      </c>
      <c r="R847" s="14" t="str">
        <f>HYPERLINK("https://drive.google.com/file/d/1THxhHjLjb5d9dR0c8BqI5YykmV_APOTO/view?usp=drivesdk","OFFER LETTER")</f>
        <v>OFFER LETTER</v>
      </c>
      <c r="S847" s="11" t="s">
        <v>4827</v>
      </c>
    </row>
    <row r="848" ht="22.5" customHeight="1">
      <c r="A848" s="10">
        <v>46259.926896053235</v>
      </c>
      <c r="B848" s="11" t="s">
        <v>4828</v>
      </c>
      <c r="C848" s="11" t="s">
        <v>259</v>
      </c>
      <c r="D848" s="11" t="s">
        <v>68</v>
      </c>
      <c r="E848" s="12">
        <v>46204.0</v>
      </c>
      <c r="F848" s="12">
        <v>46234.0</v>
      </c>
      <c r="G848" s="11" t="s">
        <v>4829</v>
      </c>
      <c r="H848" s="11">
        <v>7.794069841E9</v>
      </c>
      <c r="I848" s="11" t="s">
        <v>82</v>
      </c>
      <c r="J848" s="11" t="s">
        <v>71</v>
      </c>
      <c r="K848" s="11" t="s">
        <v>72</v>
      </c>
      <c r="L848" s="11" t="s">
        <v>84</v>
      </c>
      <c r="M848" s="11" t="s">
        <v>4830</v>
      </c>
      <c r="N848" s="11" t="s">
        <v>75</v>
      </c>
      <c r="O848" s="11" t="s">
        <v>71</v>
      </c>
      <c r="P848" s="11" t="s">
        <v>4831</v>
      </c>
      <c r="Q848" s="13" t="s">
        <v>4832</v>
      </c>
      <c r="R848" s="14" t="str">
        <f>HYPERLINK("https://drive.google.com/file/d/1B83U2Hd9ROMBsF9BgTereUFw1qpYav1m/view?usp=drivesdk","OFFER LETTER")</f>
        <v>OFFER LETTER</v>
      </c>
      <c r="S848" s="11" t="s">
        <v>4833</v>
      </c>
    </row>
    <row r="849" ht="22.5" customHeight="1">
      <c r="A849" s="10">
        <v>46259.93965975694</v>
      </c>
      <c r="B849" s="11" t="s">
        <v>4834</v>
      </c>
      <c r="C849" s="11" t="s">
        <v>259</v>
      </c>
      <c r="D849" s="11" t="s">
        <v>108</v>
      </c>
      <c r="E849" s="12">
        <v>46246.0</v>
      </c>
      <c r="F849" s="12">
        <v>46307.0</v>
      </c>
      <c r="G849" s="11" t="s">
        <v>4835</v>
      </c>
      <c r="H849" s="11">
        <v>7.240550577E9</v>
      </c>
      <c r="I849" s="11" t="s">
        <v>82</v>
      </c>
      <c r="J849" s="11" t="s">
        <v>71</v>
      </c>
      <c r="K849" s="11" t="s">
        <v>72</v>
      </c>
      <c r="L849" s="11" t="s">
        <v>131</v>
      </c>
      <c r="M849" s="11" t="s">
        <v>4836</v>
      </c>
      <c r="N849" s="11" t="s">
        <v>226</v>
      </c>
      <c r="O849" s="11" t="s">
        <v>71</v>
      </c>
      <c r="P849" s="11" t="s">
        <v>4837</v>
      </c>
      <c r="Q849" s="13" t="s">
        <v>4838</v>
      </c>
      <c r="R849" s="14" t="str">
        <f>HYPERLINK("https://drive.google.com/file/d/1SKNxTdWQuLA-1-mxMTJuOKYBN9fTjsKO/view?usp=drivesdk","OFFER LETTER")</f>
        <v>OFFER LETTER</v>
      </c>
      <c r="S849" s="11" t="s">
        <v>4839</v>
      </c>
    </row>
    <row r="850" ht="22.5" customHeight="1">
      <c r="A850" s="10">
        <v>46259.94299625</v>
      </c>
      <c r="B850" s="11" t="s">
        <v>4840</v>
      </c>
      <c r="C850" s="11" t="s">
        <v>259</v>
      </c>
      <c r="D850" s="11" t="s">
        <v>108</v>
      </c>
      <c r="E850" s="12" t="s">
        <v>4841</v>
      </c>
      <c r="F850" s="12">
        <v>46246.0</v>
      </c>
      <c r="G850" s="11" t="s">
        <v>4835</v>
      </c>
      <c r="H850" s="11">
        <v>7.240550577E9</v>
      </c>
      <c r="I850" s="11" t="s">
        <v>82</v>
      </c>
      <c r="J850" s="11" t="s">
        <v>71</v>
      </c>
      <c r="K850" s="11" t="s">
        <v>72</v>
      </c>
      <c r="L850" s="11" t="s">
        <v>131</v>
      </c>
      <c r="M850" s="11" t="s">
        <v>4836</v>
      </c>
      <c r="N850" s="11" t="s">
        <v>2778</v>
      </c>
      <c r="O850" s="11" t="s">
        <v>71</v>
      </c>
      <c r="P850" s="11" t="s">
        <v>4842</v>
      </c>
      <c r="Q850" s="13" t="s">
        <v>4843</v>
      </c>
      <c r="R850" s="14" t="str">
        <f>HYPERLINK("https://drive.google.com/file/d/13fz9BV1puPk7Pf7ame6Ph1cg-XGg3Elx/view?usp=drivesdk","OFFER LETTER")</f>
        <v>OFFER LETTER</v>
      </c>
      <c r="S850" s="11" t="s">
        <v>4844</v>
      </c>
    </row>
    <row r="851" ht="22.5" customHeight="1">
      <c r="A851" s="10">
        <v>46259.947738483796</v>
      </c>
      <c r="B851" s="11" t="s">
        <v>4845</v>
      </c>
      <c r="C851" s="11" t="s">
        <v>173</v>
      </c>
      <c r="D851" s="11" t="s">
        <v>68</v>
      </c>
      <c r="E851" s="12">
        <v>46228.0</v>
      </c>
      <c r="F851" s="12">
        <v>46259.0</v>
      </c>
      <c r="G851" s="11" t="s">
        <v>4846</v>
      </c>
      <c r="H851" s="17" t="s">
        <v>4847</v>
      </c>
      <c r="I851" s="11" t="s">
        <v>82</v>
      </c>
      <c r="J851" s="11" t="s">
        <v>130</v>
      </c>
      <c r="K851" s="11" t="s">
        <v>72</v>
      </c>
      <c r="L851" s="11" t="s">
        <v>84</v>
      </c>
      <c r="M851" s="11" t="s">
        <v>886</v>
      </c>
      <c r="N851" s="11" t="s">
        <v>241</v>
      </c>
      <c r="O851" s="11" t="s">
        <v>71</v>
      </c>
      <c r="P851" s="11" t="s">
        <v>4848</v>
      </c>
      <c r="Q851" s="13" t="s">
        <v>4849</v>
      </c>
      <c r="R851" s="14" t="str">
        <f>HYPERLINK("https://drive.google.com/file/d/1Xa-6wNmwCC1tYrO0vknyaJiS7Thi1WXD/view?usp=drivesdk","OFFER LETTER")</f>
        <v>OFFER LETTER</v>
      </c>
      <c r="S851" s="11" t="s">
        <v>4850</v>
      </c>
    </row>
    <row r="852" ht="22.5" customHeight="1">
      <c r="A852" s="10">
        <v>46259.94918064815</v>
      </c>
      <c r="B852" s="11" t="s">
        <v>4845</v>
      </c>
      <c r="C852" s="11" t="s">
        <v>173</v>
      </c>
      <c r="D852" s="11" t="s">
        <v>68</v>
      </c>
      <c r="E852" s="12">
        <v>46228.0</v>
      </c>
      <c r="F852" s="12">
        <v>46259.0</v>
      </c>
      <c r="G852" s="11" t="s">
        <v>4846</v>
      </c>
      <c r="H852" s="17" t="s">
        <v>4847</v>
      </c>
      <c r="I852" s="11" t="s">
        <v>82</v>
      </c>
      <c r="J852" s="11" t="s">
        <v>130</v>
      </c>
      <c r="K852" s="11" t="s">
        <v>72</v>
      </c>
      <c r="L852" s="11" t="s">
        <v>84</v>
      </c>
      <c r="M852" s="11" t="s">
        <v>886</v>
      </c>
      <c r="N852" s="11" t="s">
        <v>86</v>
      </c>
      <c r="O852" s="11" t="s">
        <v>71</v>
      </c>
      <c r="P852" s="11" t="s">
        <v>4851</v>
      </c>
      <c r="Q852" s="13" t="s">
        <v>4852</v>
      </c>
      <c r="R852" s="14" t="str">
        <f>HYPERLINK("https://drive.google.com/file/d/1k1XjLYJsVQpQoL_qDaS0vd3YZp8KsyEo/view?usp=drivesdk","OFFER LETTER")</f>
        <v>OFFER LETTER</v>
      </c>
      <c r="S852" s="11" t="s">
        <v>4853</v>
      </c>
    </row>
    <row r="853" ht="22.5" customHeight="1">
      <c r="A853" s="10">
        <v>46259.951420613426</v>
      </c>
      <c r="B853" s="11" t="s">
        <v>4854</v>
      </c>
      <c r="C853" s="11" t="s">
        <v>91</v>
      </c>
      <c r="D853" s="11" t="s">
        <v>68</v>
      </c>
      <c r="E853" s="12">
        <v>46259.0</v>
      </c>
      <c r="F853" s="12">
        <v>46290.0</v>
      </c>
      <c r="G853" s="11" t="s">
        <v>4855</v>
      </c>
      <c r="H853" s="11">
        <v>9.580053415E9</v>
      </c>
      <c r="I853" s="11" t="s">
        <v>70</v>
      </c>
      <c r="J853" s="11" t="s">
        <v>71</v>
      </c>
      <c r="K853" s="11" t="s">
        <v>72</v>
      </c>
      <c r="L853" s="11" t="s">
        <v>131</v>
      </c>
      <c r="M853" s="11" t="s">
        <v>4856</v>
      </c>
      <c r="N853" s="11" t="s">
        <v>420</v>
      </c>
      <c r="O853" s="11" t="s">
        <v>71</v>
      </c>
      <c r="P853" s="11" t="s">
        <v>4857</v>
      </c>
      <c r="Q853" s="13" t="s">
        <v>4858</v>
      </c>
      <c r="R853" s="14" t="str">
        <f>HYPERLINK("https://drive.google.com/file/d/1tdvhhGwwOK1yWfcQhR2AnQJam_3vPcau/view?usp=drivesdk","OFFER LETTER")</f>
        <v>OFFER LETTER</v>
      </c>
      <c r="S853" s="11" t="s">
        <v>4859</v>
      </c>
    </row>
    <row r="854" ht="22.5" customHeight="1">
      <c r="A854" s="10">
        <v>46259.95992981481</v>
      </c>
      <c r="B854" s="11" t="s">
        <v>4860</v>
      </c>
      <c r="C854" s="11" t="s">
        <v>80</v>
      </c>
      <c r="D854" s="11" t="s">
        <v>68</v>
      </c>
      <c r="E854" s="12">
        <v>46232.0</v>
      </c>
      <c r="F854" s="12">
        <v>46261.0</v>
      </c>
      <c r="G854" s="11" t="s">
        <v>4861</v>
      </c>
      <c r="H854" s="11">
        <v>9.699848942E9</v>
      </c>
      <c r="I854" s="11" t="s">
        <v>82</v>
      </c>
      <c r="J854" s="11" t="s">
        <v>71</v>
      </c>
      <c r="K854" s="11" t="s">
        <v>72</v>
      </c>
      <c r="L854" s="11" t="s">
        <v>131</v>
      </c>
      <c r="M854" s="11" t="s">
        <v>4862</v>
      </c>
      <c r="N854" s="11" t="s">
        <v>75</v>
      </c>
      <c r="O854" s="11" t="s">
        <v>71</v>
      </c>
      <c r="P854" s="11" t="s">
        <v>4863</v>
      </c>
      <c r="Q854" s="13" t="s">
        <v>4864</v>
      </c>
      <c r="R854" s="14" t="str">
        <f>HYPERLINK("https://drive.google.com/file/d/1vmBJ0JLgL_6XEVz32BQP_LX1zfNo2mbM/view?usp=drivesdk","OFFER LETTER")</f>
        <v>OFFER LETTER</v>
      </c>
      <c r="S854" s="11" t="s">
        <v>4865</v>
      </c>
    </row>
    <row r="855" ht="22.5" customHeight="1">
      <c r="A855" s="10">
        <v>46259.96492666667</v>
      </c>
      <c r="B855" s="11" t="s">
        <v>4866</v>
      </c>
      <c r="C855" s="11" t="s">
        <v>91</v>
      </c>
      <c r="D855" s="11" t="s">
        <v>238</v>
      </c>
      <c r="E855" s="12">
        <v>46260.0</v>
      </c>
      <c r="F855" s="12">
        <v>46352.0</v>
      </c>
      <c r="G855" s="11" t="s">
        <v>4867</v>
      </c>
      <c r="H855" s="11">
        <v>8.76255971E9</v>
      </c>
      <c r="I855" s="11" t="s">
        <v>82</v>
      </c>
      <c r="J855" s="11" t="s">
        <v>71</v>
      </c>
      <c r="K855" s="11" t="s">
        <v>72</v>
      </c>
      <c r="L855" s="11" t="s">
        <v>131</v>
      </c>
      <c r="M855" s="11" t="s">
        <v>4868</v>
      </c>
      <c r="N855" s="11" t="s">
        <v>198</v>
      </c>
      <c r="O855" s="11" t="s">
        <v>71</v>
      </c>
      <c r="P855" s="11" t="s">
        <v>4869</v>
      </c>
      <c r="Q855" s="13" t="s">
        <v>4870</v>
      </c>
      <c r="R855" s="14" t="str">
        <f>HYPERLINK("https://drive.google.com/file/d/1CG06lZwpktqULPnf3peUxD48RCzFBUgj/view?usp=drivesdk","OFFER LETTER")</f>
        <v>OFFER LETTER</v>
      </c>
      <c r="S855" s="11" t="s">
        <v>4871</v>
      </c>
    </row>
    <row r="856" ht="22.5" customHeight="1">
      <c r="A856" s="10">
        <v>46259.96546043982</v>
      </c>
      <c r="B856" s="11" t="s">
        <v>4872</v>
      </c>
      <c r="C856" s="11" t="s">
        <v>91</v>
      </c>
      <c r="D856" s="11" t="s">
        <v>238</v>
      </c>
      <c r="E856" s="12">
        <v>46260.0</v>
      </c>
      <c r="F856" s="12">
        <v>46352.0</v>
      </c>
      <c r="G856" s="11" t="s">
        <v>4873</v>
      </c>
      <c r="H856" s="11">
        <v>8.310433674E9</v>
      </c>
      <c r="I856" s="11" t="s">
        <v>82</v>
      </c>
      <c r="J856" s="11" t="s">
        <v>71</v>
      </c>
      <c r="K856" s="11" t="s">
        <v>72</v>
      </c>
      <c r="L856" s="11" t="s">
        <v>131</v>
      </c>
      <c r="M856" s="11" t="s">
        <v>4874</v>
      </c>
      <c r="N856" s="11" t="s">
        <v>75</v>
      </c>
      <c r="O856" s="11" t="s">
        <v>71</v>
      </c>
      <c r="P856" s="11" t="s">
        <v>4875</v>
      </c>
      <c r="Q856" s="13" t="s">
        <v>4876</v>
      </c>
      <c r="R856" s="14" t="str">
        <f>HYPERLINK("https://drive.google.com/file/d/1DebRXBGm1quNud6bvIgwgYIBhh1BKIW8/view?usp=drivesdk","OFFER LETTER")</f>
        <v>OFFER LETTER</v>
      </c>
      <c r="S856" s="11" t="s">
        <v>4877</v>
      </c>
    </row>
    <row r="857" ht="22.5" customHeight="1">
      <c r="A857" s="10">
        <v>46259.9832258449</v>
      </c>
      <c r="B857" s="11" t="s">
        <v>4878</v>
      </c>
      <c r="C857" s="11" t="s">
        <v>173</v>
      </c>
      <c r="D857" s="11" t="s">
        <v>68</v>
      </c>
      <c r="E857" s="12">
        <v>46238.0</v>
      </c>
      <c r="F857" s="12">
        <v>46269.0</v>
      </c>
      <c r="G857" s="11" t="s">
        <v>4879</v>
      </c>
      <c r="H857" s="11">
        <v>7.652011369E9</v>
      </c>
      <c r="I857" s="11" t="s">
        <v>82</v>
      </c>
      <c r="J857" s="11" t="s">
        <v>71</v>
      </c>
      <c r="K857" s="11" t="s">
        <v>72</v>
      </c>
      <c r="L857" s="11" t="s">
        <v>84</v>
      </c>
      <c r="M857" s="11" t="s">
        <v>4880</v>
      </c>
      <c r="N857" s="11" t="s">
        <v>86</v>
      </c>
      <c r="O857" s="11" t="s">
        <v>263</v>
      </c>
      <c r="P857" s="11" t="s">
        <v>4881</v>
      </c>
      <c r="Q857" s="13" t="s">
        <v>4882</v>
      </c>
      <c r="R857" s="14" t="str">
        <f>HYPERLINK("https://drive.google.com/file/d/1C-fWfV5OX63qPSQWKyGXDS2qb1hbOn2F/view?usp=drivesdk","OFFER LETTER")</f>
        <v>OFFER LETTER</v>
      </c>
      <c r="S857" s="11" t="s">
        <v>4883</v>
      </c>
    </row>
    <row r="858" ht="22.5" customHeight="1">
      <c r="A858" s="10">
        <v>46259.99292184028</v>
      </c>
      <c r="B858" s="11" t="s">
        <v>4878</v>
      </c>
      <c r="C858" s="11" t="s">
        <v>173</v>
      </c>
      <c r="D858" s="11" t="s">
        <v>68</v>
      </c>
      <c r="E858" s="12">
        <v>46228.0</v>
      </c>
      <c r="F858" s="12">
        <v>46259.0</v>
      </c>
      <c r="G858" s="11" t="s">
        <v>4879</v>
      </c>
      <c r="H858" s="11">
        <v>7.652011369E9</v>
      </c>
      <c r="I858" s="11" t="s">
        <v>82</v>
      </c>
      <c r="J858" s="11" t="s">
        <v>71</v>
      </c>
      <c r="K858" s="11" t="s">
        <v>72</v>
      </c>
      <c r="L858" s="11" t="s">
        <v>84</v>
      </c>
      <c r="M858" s="11" t="s">
        <v>4880</v>
      </c>
      <c r="N858" s="11" t="s">
        <v>86</v>
      </c>
      <c r="O858" s="11" t="s">
        <v>263</v>
      </c>
      <c r="P858" s="11" t="s">
        <v>4884</v>
      </c>
      <c r="Q858" s="13" t="s">
        <v>4885</v>
      </c>
      <c r="R858" s="14" t="str">
        <f>HYPERLINK("https://drive.google.com/file/d/19BWqar8CPQ7Bi5eHH18see7QovDdVtiU/view?usp=drivesdk","OFFER LETTER")</f>
        <v>OFFER LETTER</v>
      </c>
      <c r="S858" s="11" t="s">
        <v>4886</v>
      </c>
    </row>
    <row r="859" ht="22.5" customHeight="1">
      <c r="A859" s="10">
        <v>46260.00863927083</v>
      </c>
      <c r="B859" s="11" t="s">
        <v>4887</v>
      </c>
      <c r="C859" s="11" t="s">
        <v>107</v>
      </c>
      <c r="D859" s="11" t="s">
        <v>68</v>
      </c>
      <c r="E859" s="12">
        <v>45992.0</v>
      </c>
      <c r="F859" s="12">
        <v>46021.0</v>
      </c>
      <c r="G859" s="11" t="s">
        <v>4888</v>
      </c>
      <c r="H859" s="11">
        <v>7.209115044E9</v>
      </c>
      <c r="I859" s="11" t="s">
        <v>82</v>
      </c>
      <c r="J859" s="11" t="s">
        <v>71</v>
      </c>
      <c r="K859" s="11" t="s">
        <v>72</v>
      </c>
      <c r="L859" s="11" t="s">
        <v>131</v>
      </c>
      <c r="M859" s="11" t="s">
        <v>343</v>
      </c>
      <c r="N859" s="11" t="s">
        <v>86</v>
      </c>
      <c r="O859" s="11" t="s">
        <v>71</v>
      </c>
      <c r="P859" s="11" t="s">
        <v>4889</v>
      </c>
      <c r="Q859" s="13" t="s">
        <v>4890</v>
      </c>
      <c r="R859" s="14" t="str">
        <f>HYPERLINK("https://drive.google.com/file/d/11BLEtk15pvx1tKQ1xm_Ud5k55c1u9Ag2/view?usp=drivesdk","OFFER LETTER")</f>
        <v>OFFER LETTER</v>
      </c>
      <c r="S859" s="11" t="s">
        <v>4891</v>
      </c>
    </row>
    <row r="860" ht="22.5" customHeight="1">
      <c r="A860" s="10">
        <v>46260.01924934028</v>
      </c>
      <c r="B860" s="11" t="s">
        <v>3629</v>
      </c>
      <c r="C860" s="11" t="s">
        <v>128</v>
      </c>
      <c r="D860" s="11" t="s">
        <v>108</v>
      </c>
      <c r="E860" s="12">
        <v>46178.0</v>
      </c>
      <c r="F860" s="12">
        <v>46238.0</v>
      </c>
      <c r="G860" s="11" t="s">
        <v>3612</v>
      </c>
      <c r="H860" s="11">
        <v>9.59355633E9</v>
      </c>
      <c r="I860" s="11" t="s">
        <v>82</v>
      </c>
      <c r="J860" s="11" t="s">
        <v>71</v>
      </c>
      <c r="K860" s="11" t="s">
        <v>72</v>
      </c>
      <c r="L860" s="11" t="s">
        <v>84</v>
      </c>
      <c r="M860" s="11" t="s">
        <v>886</v>
      </c>
      <c r="N860" s="11" t="s">
        <v>75</v>
      </c>
      <c r="O860" s="11" t="s">
        <v>71</v>
      </c>
      <c r="P860" s="11" t="s">
        <v>4892</v>
      </c>
      <c r="Q860" s="13" t="s">
        <v>4893</v>
      </c>
      <c r="R860" s="14" t="str">
        <f>HYPERLINK("https://drive.google.com/file/d/1gVvi3VXd2zNfRlZA_Gd6ssjtP8-XE6JV/view?usp=drivesdk","OFFER LETTER")</f>
        <v>OFFER LETTER</v>
      </c>
      <c r="S860" s="11" t="s">
        <v>4894</v>
      </c>
    </row>
    <row r="861" ht="22.5" customHeight="1">
      <c r="A861" s="10">
        <v>46260.050859317125</v>
      </c>
      <c r="B861" s="11" t="s">
        <v>4895</v>
      </c>
      <c r="C861" s="11" t="s">
        <v>298</v>
      </c>
      <c r="D861" s="11" t="s">
        <v>68</v>
      </c>
      <c r="E861" s="12">
        <v>46181.0</v>
      </c>
      <c r="F861" s="12">
        <v>46211.0</v>
      </c>
      <c r="G861" s="11" t="s">
        <v>4896</v>
      </c>
      <c r="H861" s="11">
        <v>8.920791939E9</v>
      </c>
      <c r="I861" s="11" t="s">
        <v>82</v>
      </c>
      <c r="J861" s="11" t="s">
        <v>71</v>
      </c>
      <c r="K861" s="11" t="s">
        <v>72</v>
      </c>
      <c r="L861" s="11" t="s">
        <v>84</v>
      </c>
      <c r="M861" s="11" t="s">
        <v>4897</v>
      </c>
      <c r="N861" s="11" t="s">
        <v>226</v>
      </c>
      <c r="O861" s="11" t="s">
        <v>71</v>
      </c>
      <c r="P861" s="11" t="s">
        <v>4898</v>
      </c>
      <c r="Q861" s="13" t="s">
        <v>4899</v>
      </c>
      <c r="R861" s="14" t="str">
        <f>HYPERLINK("https://drive.google.com/file/d/1278YxcK4W5G_ipdFVHPtJHovhUVVg9gK/view?usp=drivesdk","OFFER LETTER")</f>
        <v>OFFER LETTER</v>
      </c>
      <c r="S861" s="11" t="s">
        <v>4900</v>
      </c>
    </row>
    <row r="862" ht="22.5" customHeight="1">
      <c r="A862" s="10">
        <v>46260.061460439814</v>
      </c>
      <c r="B862" s="11" t="s">
        <v>4901</v>
      </c>
      <c r="C862" s="11" t="s">
        <v>298</v>
      </c>
      <c r="D862" s="11" t="s">
        <v>68</v>
      </c>
      <c r="E862" s="12">
        <v>46186.0</v>
      </c>
      <c r="F862" s="12">
        <v>46217.0</v>
      </c>
      <c r="G862" s="11" t="s">
        <v>4902</v>
      </c>
      <c r="H862" s="11">
        <v>9.33448688E9</v>
      </c>
      <c r="I862" s="11" t="s">
        <v>82</v>
      </c>
      <c r="J862" s="11" t="s">
        <v>71</v>
      </c>
      <c r="K862" s="11" t="s">
        <v>72</v>
      </c>
      <c r="L862" s="11" t="s">
        <v>84</v>
      </c>
      <c r="M862" s="11" t="s">
        <v>560</v>
      </c>
      <c r="N862" s="11" t="s">
        <v>4903</v>
      </c>
      <c r="O862" s="11" t="s">
        <v>71</v>
      </c>
      <c r="P862" s="11" t="s">
        <v>4904</v>
      </c>
      <c r="Q862" s="13" t="s">
        <v>4905</v>
      </c>
      <c r="R862" s="14" t="str">
        <f>HYPERLINK("https://drive.google.com/file/d/1VCYz3go4UtVR5m3hk4hWktITMt8jYbDt/view?usp=drivesdk","OFFER LETTER")</f>
        <v>OFFER LETTER</v>
      </c>
      <c r="S862" s="11" t="s">
        <v>4906</v>
      </c>
    </row>
    <row r="863" ht="22.5" customHeight="1">
      <c r="A863" s="10">
        <v>46260.22318451389</v>
      </c>
      <c r="B863" s="11" t="s">
        <v>4907</v>
      </c>
      <c r="C863" s="11" t="s">
        <v>4544</v>
      </c>
      <c r="D863" s="11" t="s">
        <v>238</v>
      </c>
      <c r="E863" s="12">
        <v>46157.0</v>
      </c>
      <c r="F863" s="12">
        <v>46249.0</v>
      </c>
      <c r="G863" s="11" t="s">
        <v>4908</v>
      </c>
      <c r="H863" s="11">
        <v>9.695290266E9</v>
      </c>
      <c r="I863" s="11" t="s">
        <v>82</v>
      </c>
      <c r="J863" s="11" t="s">
        <v>71</v>
      </c>
      <c r="K863" s="11" t="s">
        <v>72</v>
      </c>
      <c r="L863" s="11" t="s">
        <v>131</v>
      </c>
      <c r="M863" s="11" t="s">
        <v>662</v>
      </c>
      <c r="N863" s="11" t="s">
        <v>75</v>
      </c>
      <c r="O863" s="11" t="s">
        <v>71</v>
      </c>
      <c r="P863" s="11" t="s">
        <v>4909</v>
      </c>
      <c r="Q863" s="13" t="s">
        <v>4910</v>
      </c>
      <c r="R863" s="14" t="str">
        <f>HYPERLINK("https://drive.google.com/file/d/1RKzsnXTbu3HwXFeIAH4OjtX0DBFykNVx/view?usp=drivesdk","OFFER LETTER")</f>
        <v>OFFER LETTER</v>
      </c>
      <c r="S863" s="11" t="s">
        <v>4911</v>
      </c>
    </row>
    <row r="864" ht="22.5" customHeight="1">
      <c r="A864" s="10">
        <v>46260.320296817124</v>
      </c>
      <c r="B864" s="11" t="s">
        <v>4912</v>
      </c>
      <c r="C864" s="11" t="s">
        <v>80</v>
      </c>
      <c r="D864" s="11" t="s">
        <v>68</v>
      </c>
      <c r="E864" s="12">
        <v>46235.0</v>
      </c>
      <c r="F864" s="12">
        <v>46265.0</v>
      </c>
      <c r="G864" s="11" t="s">
        <v>4913</v>
      </c>
      <c r="H864" s="17" t="s">
        <v>4914</v>
      </c>
      <c r="I864" s="11" t="s">
        <v>70</v>
      </c>
      <c r="J864" s="11" t="s">
        <v>71</v>
      </c>
      <c r="K864" s="11" t="s">
        <v>72</v>
      </c>
      <c r="L864" s="11" t="s">
        <v>73</v>
      </c>
      <c r="M864" s="11" t="s">
        <v>4915</v>
      </c>
      <c r="N864" s="11" t="s">
        <v>155</v>
      </c>
      <c r="O864" s="11" t="s">
        <v>71</v>
      </c>
      <c r="P864" s="11" t="s">
        <v>4916</v>
      </c>
      <c r="Q864" s="13" t="s">
        <v>4917</v>
      </c>
      <c r="R864" s="14" t="str">
        <f>HYPERLINK("https://drive.google.com/file/d/1FCMyxyczF-USmIX1sL8VYAng-lu8dV0r/view?usp=drivesdk","OFFER LETTER")</f>
        <v>OFFER LETTER</v>
      </c>
      <c r="S864" s="11" t="s">
        <v>4918</v>
      </c>
    </row>
    <row r="865" ht="22.5" customHeight="1">
      <c r="A865" s="10">
        <v>46260.338356712964</v>
      </c>
      <c r="B865" s="11" t="s">
        <v>4919</v>
      </c>
      <c r="C865" s="11" t="s">
        <v>173</v>
      </c>
      <c r="D865" s="11" t="s">
        <v>68</v>
      </c>
      <c r="E865" s="12">
        <v>46260.0</v>
      </c>
      <c r="F865" s="12">
        <v>46290.0</v>
      </c>
      <c r="G865" s="11" t="s">
        <v>4920</v>
      </c>
      <c r="H865" s="11">
        <v>7.036707465E9</v>
      </c>
      <c r="I865" s="11" t="s">
        <v>70</v>
      </c>
      <c r="J865" s="11" t="s">
        <v>71</v>
      </c>
      <c r="K865" s="11" t="s">
        <v>72</v>
      </c>
      <c r="L865" s="11" t="s">
        <v>73</v>
      </c>
      <c r="M865" s="11" t="s">
        <v>4921</v>
      </c>
      <c r="N865" s="11" t="s">
        <v>86</v>
      </c>
      <c r="O865" s="11" t="s">
        <v>71</v>
      </c>
      <c r="P865" s="11" t="s">
        <v>4922</v>
      </c>
      <c r="Q865" s="13" t="s">
        <v>4923</v>
      </c>
      <c r="R865" s="14" t="str">
        <f>HYPERLINK("https://drive.google.com/file/d/11B33iCr8XsHGoQq4vKR4_Qr7V-G_Lex4/view?usp=drivesdk","OFFER LETTER")</f>
        <v>OFFER LETTER</v>
      </c>
      <c r="S865" s="11" t="s">
        <v>4924</v>
      </c>
    </row>
    <row r="866" ht="22.5" customHeight="1">
      <c r="A866" s="10">
        <v>46260.3423272338</v>
      </c>
      <c r="B866" s="11" t="s">
        <v>4925</v>
      </c>
      <c r="C866" s="11" t="s">
        <v>128</v>
      </c>
      <c r="D866" s="11" t="s">
        <v>68</v>
      </c>
      <c r="E866" s="12">
        <v>46266.0</v>
      </c>
      <c r="F866" s="12">
        <v>46296.0</v>
      </c>
      <c r="G866" s="11" t="s">
        <v>2112</v>
      </c>
      <c r="H866" s="11">
        <v>7.01329042E9</v>
      </c>
      <c r="I866" s="11" t="s">
        <v>70</v>
      </c>
      <c r="J866" s="11" t="s">
        <v>71</v>
      </c>
      <c r="K866" s="11" t="s">
        <v>72</v>
      </c>
      <c r="L866" s="11" t="s">
        <v>73</v>
      </c>
      <c r="M866" s="11" t="s">
        <v>4926</v>
      </c>
      <c r="N866" s="11" t="s">
        <v>3148</v>
      </c>
      <c r="O866" s="11" t="s">
        <v>71</v>
      </c>
      <c r="P866" s="11" t="s">
        <v>4927</v>
      </c>
      <c r="Q866" s="13" t="s">
        <v>4928</v>
      </c>
      <c r="R866" s="14" t="str">
        <f>HYPERLINK("https://drive.google.com/file/d/1fz_a5G9Up0XjyFVK_tYTaJEIE80KVXek/view?usp=drivesdk","OFFER LETTER")</f>
        <v>OFFER LETTER</v>
      </c>
      <c r="S866" s="11" t="s">
        <v>4929</v>
      </c>
    </row>
    <row r="867" ht="22.5" customHeight="1">
      <c r="A867" s="10">
        <v>46260.35167023148</v>
      </c>
      <c r="B867" s="11" t="s">
        <v>4930</v>
      </c>
      <c r="C867" s="11" t="s">
        <v>128</v>
      </c>
      <c r="D867" s="11" t="s">
        <v>68</v>
      </c>
      <c r="E867" s="12">
        <v>46235.0</v>
      </c>
      <c r="F867" s="12">
        <v>46264.0</v>
      </c>
      <c r="G867" s="11" t="s">
        <v>4931</v>
      </c>
      <c r="H867" s="11">
        <v>8.766351551E9</v>
      </c>
      <c r="I867" s="11" t="s">
        <v>82</v>
      </c>
      <c r="J867" s="11" t="s">
        <v>71</v>
      </c>
      <c r="K867" s="11" t="s">
        <v>72</v>
      </c>
      <c r="L867" s="11" t="s">
        <v>84</v>
      </c>
      <c r="M867" s="11" t="s">
        <v>1217</v>
      </c>
      <c r="N867" s="11" t="s">
        <v>86</v>
      </c>
      <c r="O867" s="11" t="s">
        <v>71</v>
      </c>
      <c r="P867" s="11" t="s">
        <v>4932</v>
      </c>
      <c r="Q867" s="13" t="s">
        <v>4933</v>
      </c>
      <c r="R867" s="14" t="str">
        <f>HYPERLINK("https://drive.google.com/file/d/1tgxVb5f9CYuxAcqHboVCTS--oFJv5ZV0/view?usp=drivesdk","OFFER LETTER")</f>
        <v>OFFER LETTER</v>
      </c>
      <c r="S867" s="11" t="s">
        <v>4934</v>
      </c>
    </row>
    <row r="868" ht="22.5" customHeight="1">
      <c r="A868" s="10">
        <v>46260.37539822917</v>
      </c>
      <c r="B868" s="11" t="s">
        <v>4935</v>
      </c>
      <c r="C868" s="11" t="s">
        <v>195</v>
      </c>
      <c r="D868" s="11" t="s">
        <v>68</v>
      </c>
      <c r="E868" s="12">
        <v>46266.0</v>
      </c>
      <c r="F868" s="12">
        <v>46296.0</v>
      </c>
      <c r="G868" s="11" t="s">
        <v>4936</v>
      </c>
      <c r="H868" s="11">
        <v>8.382038761E9</v>
      </c>
      <c r="I868" s="11" t="s">
        <v>82</v>
      </c>
      <c r="J868" s="11" t="s">
        <v>71</v>
      </c>
      <c r="K868" s="11" t="s">
        <v>72</v>
      </c>
      <c r="L868" s="11" t="s">
        <v>247</v>
      </c>
      <c r="M868" s="11" t="s">
        <v>4937</v>
      </c>
      <c r="N868" s="11" t="s">
        <v>75</v>
      </c>
      <c r="O868" s="11" t="s">
        <v>71</v>
      </c>
      <c r="P868" s="11" t="s">
        <v>4938</v>
      </c>
      <c r="Q868" s="13" t="s">
        <v>4939</v>
      </c>
      <c r="R868" s="14" t="str">
        <f>HYPERLINK("https://drive.google.com/file/d/1nhRHRHUOTnFVWjoYyyIDhvymeYqWXVfb/view?usp=drivesdk","OFFER LETTER")</f>
        <v>OFFER LETTER</v>
      </c>
      <c r="S868" s="11" t="s">
        <v>4940</v>
      </c>
    </row>
    <row r="869" ht="22.5" customHeight="1">
      <c r="A869" s="10">
        <v>46260.39447666667</v>
      </c>
      <c r="B869" s="11" t="s">
        <v>4941</v>
      </c>
      <c r="C869" s="11" t="s">
        <v>195</v>
      </c>
      <c r="D869" s="11" t="s">
        <v>68</v>
      </c>
      <c r="E869" s="12">
        <v>46223.0</v>
      </c>
      <c r="F869" s="12">
        <v>46254.0</v>
      </c>
      <c r="G869" s="11" t="s">
        <v>4942</v>
      </c>
      <c r="H869" s="11">
        <v>9.315948808E9</v>
      </c>
      <c r="I869" s="11" t="s">
        <v>82</v>
      </c>
      <c r="J869" s="11" t="s">
        <v>71</v>
      </c>
      <c r="K869" s="11" t="s">
        <v>72</v>
      </c>
      <c r="L869" s="11" t="s">
        <v>84</v>
      </c>
      <c r="M869" s="11" t="s">
        <v>4943</v>
      </c>
      <c r="N869" s="11" t="s">
        <v>86</v>
      </c>
      <c r="O869" s="11" t="s">
        <v>71</v>
      </c>
      <c r="P869" s="11" t="s">
        <v>4944</v>
      </c>
      <c r="Q869" s="13" t="s">
        <v>4945</v>
      </c>
      <c r="R869" s="14" t="str">
        <f>HYPERLINK("https://drive.google.com/file/d/1hYyNNAroIQ_GXZ8tptY51qNkF84Qd5_F/view?usp=drivesdk","OFFER LETTER")</f>
        <v>OFFER LETTER</v>
      </c>
      <c r="S869" s="11" t="s">
        <v>4946</v>
      </c>
    </row>
    <row r="870" ht="22.5" customHeight="1">
      <c r="A870" s="10">
        <v>46260.407320983795</v>
      </c>
      <c r="B870" s="11" t="s">
        <v>4947</v>
      </c>
      <c r="C870" s="11" t="s">
        <v>107</v>
      </c>
      <c r="D870" s="11" t="s">
        <v>108</v>
      </c>
      <c r="E870" s="12">
        <v>46260.0</v>
      </c>
      <c r="F870" s="12">
        <v>46321.0</v>
      </c>
      <c r="G870" s="11" t="s">
        <v>4948</v>
      </c>
      <c r="H870" s="11">
        <v>7.798253205E9</v>
      </c>
      <c r="I870" s="11" t="s">
        <v>70</v>
      </c>
      <c r="J870" s="11" t="s">
        <v>71</v>
      </c>
      <c r="K870" s="11" t="s">
        <v>356</v>
      </c>
      <c r="L870" s="11" t="s">
        <v>84</v>
      </c>
      <c r="M870" s="11" t="s">
        <v>4949</v>
      </c>
      <c r="N870" s="11" t="s">
        <v>226</v>
      </c>
      <c r="O870" s="11" t="s">
        <v>71</v>
      </c>
      <c r="P870" s="11" t="s">
        <v>4950</v>
      </c>
      <c r="Q870" s="13" t="s">
        <v>4951</v>
      </c>
      <c r="R870" s="14" t="str">
        <f>HYPERLINK("https://drive.google.com/file/d/16_DGdTn6yBHPCoKT4WYg3gryKNaOcjWt/view?usp=drivesdk","OFFER LETTER")</f>
        <v>OFFER LETTER</v>
      </c>
      <c r="S870" s="11" t="s">
        <v>4952</v>
      </c>
    </row>
    <row r="871" ht="22.5" customHeight="1">
      <c r="A871" s="10">
        <v>46260.41023637731</v>
      </c>
      <c r="B871" s="11" t="s">
        <v>4953</v>
      </c>
      <c r="C871" s="11" t="s">
        <v>259</v>
      </c>
      <c r="D871" s="11" t="s">
        <v>68</v>
      </c>
      <c r="E871" s="12">
        <v>46225.0</v>
      </c>
      <c r="F871" s="12">
        <v>46260.0</v>
      </c>
      <c r="G871" s="11" t="s">
        <v>4954</v>
      </c>
      <c r="H871" s="11">
        <v>7.667471398E9</v>
      </c>
      <c r="I871" s="11" t="s">
        <v>82</v>
      </c>
      <c r="J871" s="11" t="s">
        <v>71</v>
      </c>
      <c r="K871" s="11" t="s">
        <v>72</v>
      </c>
      <c r="L871" s="11" t="s">
        <v>73</v>
      </c>
      <c r="M871" s="11" t="s">
        <v>4955</v>
      </c>
      <c r="N871" s="11" t="s">
        <v>86</v>
      </c>
      <c r="O871" s="11" t="s">
        <v>71</v>
      </c>
      <c r="P871" s="11" t="s">
        <v>4956</v>
      </c>
      <c r="Q871" s="13" t="s">
        <v>4957</v>
      </c>
      <c r="R871" s="14" t="str">
        <f>HYPERLINK("https://drive.google.com/file/d/1o_Okvhs6Y2fchcauB9HSYJKL4PS96RaN/view?usp=drivesdk","OFFER LETTER")</f>
        <v>OFFER LETTER</v>
      </c>
      <c r="S871" s="11" t="s">
        <v>4958</v>
      </c>
    </row>
    <row r="872" ht="22.5" customHeight="1">
      <c r="A872" s="10">
        <v>46260.43110079861</v>
      </c>
      <c r="B872" s="11" t="s">
        <v>4959</v>
      </c>
      <c r="C872" s="11" t="s">
        <v>195</v>
      </c>
      <c r="D872" s="11" t="s">
        <v>68</v>
      </c>
      <c r="E872" s="12">
        <v>46223.0</v>
      </c>
      <c r="F872" s="12">
        <v>46254.0</v>
      </c>
      <c r="G872" s="11" t="s">
        <v>4960</v>
      </c>
      <c r="H872" s="11">
        <v>9.959213031E9</v>
      </c>
      <c r="I872" s="11" t="s">
        <v>82</v>
      </c>
      <c r="J872" s="11" t="s">
        <v>71</v>
      </c>
      <c r="K872" s="11" t="s">
        <v>72</v>
      </c>
      <c r="L872" s="11" t="s">
        <v>131</v>
      </c>
      <c r="M872" s="11" t="s">
        <v>4961</v>
      </c>
      <c r="N872" s="11" t="s">
        <v>226</v>
      </c>
      <c r="O872" s="11" t="s">
        <v>71</v>
      </c>
      <c r="P872" s="11" t="s">
        <v>4962</v>
      </c>
      <c r="Q872" s="13" t="s">
        <v>4963</v>
      </c>
      <c r="R872" s="14" t="str">
        <f>HYPERLINK("https://drive.google.com/file/d/1Tc3r6nHJ6Dv88WPJloZ3dG8IVSCyADy9/view?usp=drivesdk","OFFER LETTER")</f>
        <v>OFFER LETTER</v>
      </c>
      <c r="S872" s="11" t="s">
        <v>4964</v>
      </c>
    </row>
    <row r="873" ht="22.5" customHeight="1">
      <c r="A873" s="10">
        <v>46260.43497731481</v>
      </c>
      <c r="B873" s="11" t="s">
        <v>4965</v>
      </c>
      <c r="C873" s="11" t="s">
        <v>173</v>
      </c>
      <c r="D873" s="11" t="s">
        <v>68</v>
      </c>
      <c r="E873" s="12">
        <v>46260.0</v>
      </c>
      <c r="F873" s="12">
        <v>46291.0</v>
      </c>
      <c r="G873" s="11" t="s">
        <v>4966</v>
      </c>
      <c r="H873" s="11">
        <v>8.328168452E9</v>
      </c>
      <c r="I873" s="11" t="s">
        <v>70</v>
      </c>
      <c r="J873" s="11" t="s">
        <v>71</v>
      </c>
      <c r="K873" s="11" t="s">
        <v>72</v>
      </c>
      <c r="L873" s="11" t="s">
        <v>73</v>
      </c>
      <c r="M873" s="11" t="s">
        <v>2113</v>
      </c>
      <c r="N873" s="11" t="s">
        <v>86</v>
      </c>
      <c r="O873" s="11" t="s">
        <v>71</v>
      </c>
      <c r="P873" s="11" t="s">
        <v>4967</v>
      </c>
      <c r="Q873" s="13" t="s">
        <v>4968</v>
      </c>
      <c r="R873" s="14" t="str">
        <f>HYPERLINK("https://drive.google.com/file/d/1WbwlFgJDiZyAvKOVhdrn8NDw1ohSRU82/view?usp=drivesdk","OFFER LETTER")</f>
        <v>OFFER LETTER</v>
      </c>
      <c r="S873" s="11" t="s">
        <v>4969</v>
      </c>
    </row>
    <row r="874" ht="22.5" customHeight="1">
      <c r="A874" s="10">
        <v>46260.43831697917</v>
      </c>
      <c r="B874" s="11" t="s">
        <v>4970</v>
      </c>
      <c r="C874" s="11" t="s">
        <v>237</v>
      </c>
      <c r="D874" s="11" t="s">
        <v>68</v>
      </c>
      <c r="E874" s="12">
        <v>46260.0</v>
      </c>
      <c r="F874" s="12">
        <v>46277.0</v>
      </c>
      <c r="G874" s="11" t="s">
        <v>4971</v>
      </c>
      <c r="H874" s="11">
        <v>9.55006526E9</v>
      </c>
      <c r="I874" s="11" t="s">
        <v>82</v>
      </c>
      <c r="J874" s="11" t="s">
        <v>71</v>
      </c>
      <c r="K874" s="11" t="s">
        <v>72</v>
      </c>
      <c r="L874" s="11" t="s">
        <v>73</v>
      </c>
      <c r="M874" s="11" t="s">
        <v>4972</v>
      </c>
      <c r="N874" s="11" t="s">
        <v>1641</v>
      </c>
      <c r="O874" s="11" t="s">
        <v>71</v>
      </c>
      <c r="P874" s="11" t="s">
        <v>4973</v>
      </c>
      <c r="Q874" s="13" t="s">
        <v>4974</v>
      </c>
      <c r="R874" s="14" t="str">
        <f>HYPERLINK("https://drive.google.com/file/d/1c6amt094s7UuP73B3L-UutpGm0T-bevC/view?usp=drivesdk","OFFER LETTER")</f>
        <v>OFFER LETTER</v>
      </c>
      <c r="S874" s="11" t="s">
        <v>4975</v>
      </c>
    </row>
    <row r="875" ht="22.5" customHeight="1">
      <c r="A875" s="10">
        <v>46260.43946673611</v>
      </c>
      <c r="B875" s="11" t="s">
        <v>4976</v>
      </c>
      <c r="C875" s="11" t="s">
        <v>195</v>
      </c>
      <c r="D875" s="11" t="s">
        <v>68</v>
      </c>
      <c r="E875" s="12">
        <v>46265.0</v>
      </c>
      <c r="F875" s="12">
        <v>46295.0</v>
      </c>
      <c r="G875" s="11" t="s">
        <v>4977</v>
      </c>
      <c r="H875" s="11">
        <v>9.918944054E9</v>
      </c>
      <c r="I875" s="11" t="s">
        <v>70</v>
      </c>
      <c r="J875" s="11" t="s">
        <v>71</v>
      </c>
      <c r="K875" s="11" t="s">
        <v>72</v>
      </c>
      <c r="L875" s="11" t="s">
        <v>84</v>
      </c>
      <c r="M875" s="11" t="s">
        <v>4978</v>
      </c>
      <c r="N875" s="11" t="s">
        <v>75</v>
      </c>
      <c r="O875" s="11" t="s">
        <v>71</v>
      </c>
      <c r="P875" s="11" t="s">
        <v>4979</v>
      </c>
      <c r="Q875" s="13" t="s">
        <v>4980</v>
      </c>
      <c r="R875" s="14" t="str">
        <f>HYPERLINK("https://drive.google.com/file/d/1m2cmh98ZzWWkpjKsNsCMaRcAiZZw1k-7/view?usp=drivesdk","OFFER LETTER")</f>
        <v>OFFER LETTER</v>
      </c>
      <c r="S875" s="11" t="s">
        <v>4981</v>
      </c>
    </row>
    <row r="876" ht="22.5" customHeight="1">
      <c r="A876" s="10">
        <v>46260.44789653935</v>
      </c>
      <c r="B876" s="11" t="s">
        <v>4640</v>
      </c>
      <c r="C876" s="11" t="s">
        <v>195</v>
      </c>
      <c r="D876" s="11" t="s">
        <v>68</v>
      </c>
      <c r="E876" s="12">
        <v>46266.0</v>
      </c>
      <c r="F876" s="12">
        <v>46295.0</v>
      </c>
      <c r="G876" s="11" t="s">
        <v>4641</v>
      </c>
      <c r="H876" s="11">
        <v>7.385962336E9</v>
      </c>
      <c r="I876" s="11" t="s">
        <v>70</v>
      </c>
      <c r="J876" s="11" t="s">
        <v>71</v>
      </c>
      <c r="K876" s="11" t="s">
        <v>110</v>
      </c>
      <c r="L876" s="11" t="s">
        <v>247</v>
      </c>
      <c r="M876" s="11" t="s">
        <v>4982</v>
      </c>
      <c r="N876" s="11" t="s">
        <v>86</v>
      </c>
      <c r="O876" s="11" t="s">
        <v>71</v>
      </c>
      <c r="P876" s="11" t="s">
        <v>4983</v>
      </c>
      <c r="Q876" s="13" t="s">
        <v>4984</v>
      </c>
      <c r="R876" s="14" t="str">
        <f>HYPERLINK("https://drive.google.com/file/d/18rckEj0cBXxCcTyP6UkD2DdyPX3fzJ2n/view?usp=drivesdk","OFFER LETTER")</f>
        <v>OFFER LETTER</v>
      </c>
      <c r="S876" s="11" t="s">
        <v>4985</v>
      </c>
    </row>
    <row r="877" ht="22.5" customHeight="1">
      <c r="A877" s="10">
        <v>46260.45448842592</v>
      </c>
      <c r="B877" s="11" t="s">
        <v>4986</v>
      </c>
      <c r="C877" s="11" t="s">
        <v>80</v>
      </c>
      <c r="D877" s="11" t="s">
        <v>68</v>
      </c>
      <c r="E877" s="12">
        <v>46229.0</v>
      </c>
      <c r="F877" s="12">
        <v>46260.0</v>
      </c>
      <c r="G877" s="11" t="s">
        <v>4987</v>
      </c>
      <c r="H877" s="11">
        <v>9.561961773E9</v>
      </c>
      <c r="I877" s="11" t="s">
        <v>82</v>
      </c>
      <c r="J877" s="11" t="s">
        <v>71</v>
      </c>
      <c r="K877" s="11" t="s">
        <v>72</v>
      </c>
      <c r="L877" s="11" t="s">
        <v>131</v>
      </c>
      <c r="M877" s="11" t="s">
        <v>4988</v>
      </c>
      <c r="N877" s="11" t="s">
        <v>86</v>
      </c>
      <c r="O877" s="11" t="s">
        <v>71</v>
      </c>
      <c r="P877" s="11" t="s">
        <v>4989</v>
      </c>
      <c r="Q877" s="13" t="s">
        <v>4990</v>
      </c>
      <c r="R877" s="14" t="str">
        <f>HYPERLINK("https://drive.google.com/file/d/10VNvuCwPeQ4c-jfSjXq4MZF74B-R3V2M/view?usp=drivesdk","OFFER LETTER")</f>
        <v>OFFER LETTER</v>
      </c>
      <c r="S877" s="11" t="s">
        <v>4991</v>
      </c>
    </row>
    <row r="878" ht="22.5" customHeight="1">
      <c r="A878" s="10">
        <v>46260.45486081019</v>
      </c>
      <c r="B878" s="11" t="s">
        <v>4992</v>
      </c>
      <c r="C878" s="11" t="s">
        <v>107</v>
      </c>
      <c r="D878" s="11" t="s">
        <v>108</v>
      </c>
      <c r="E878" s="12">
        <v>46218.0</v>
      </c>
      <c r="F878" s="12">
        <v>46280.0</v>
      </c>
      <c r="G878" s="11" t="s">
        <v>1222</v>
      </c>
      <c r="H878" s="11">
        <v>9.935291771E9</v>
      </c>
      <c r="I878" s="11" t="s">
        <v>82</v>
      </c>
      <c r="J878" s="11" t="s">
        <v>71</v>
      </c>
      <c r="K878" s="11" t="s">
        <v>167</v>
      </c>
      <c r="L878" s="11" t="s">
        <v>73</v>
      </c>
      <c r="M878" s="11" t="s">
        <v>4993</v>
      </c>
      <c r="N878" s="11" t="s">
        <v>86</v>
      </c>
      <c r="O878" s="11" t="s">
        <v>71</v>
      </c>
      <c r="P878" s="11" t="s">
        <v>4994</v>
      </c>
      <c r="Q878" s="13" t="s">
        <v>4995</v>
      </c>
      <c r="R878" s="14" t="str">
        <f>HYPERLINK("https://drive.google.com/file/d/1nv0MSRNRH5T7j9Hc5B3dLAqkP_3LqKej/view?usp=drivesdk","OFFER LETTER")</f>
        <v>OFFER LETTER</v>
      </c>
      <c r="S878" s="11" t="s">
        <v>4996</v>
      </c>
    </row>
    <row r="879" ht="22.5" customHeight="1">
      <c r="A879" s="10">
        <v>46260.456685439814</v>
      </c>
      <c r="B879" s="11" t="s">
        <v>4997</v>
      </c>
      <c r="C879" s="11" t="s">
        <v>259</v>
      </c>
      <c r="D879" s="11" t="s">
        <v>68</v>
      </c>
      <c r="E879" s="12">
        <v>46259.0</v>
      </c>
      <c r="F879" s="12">
        <v>46265.0</v>
      </c>
      <c r="G879" s="11" t="s">
        <v>4211</v>
      </c>
      <c r="H879" s="11">
        <v>9.205023941E9</v>
      </c>
      <c r="I879" s="11" t="s">
        <v>82</v>
      </c>
      <c r="J879" s="11" t="s">
        <v>71</v>
      </c>
      <c r="K879" s="11" t="s">
        <v>72</v>
      </c>
      <c r="L879" s="11" t="s">
        <v>84</v>
      </c>
      <c r="M879" s="11" t="s">
        <v>4212</v>
      </c>
      <c r="N879" s="11" t="s">
        <v>86</v>
      </c>
      <c r="O879" s="11" t="s">
        <v>71</v>
      </c>
      <c r="P879" s="11" t="s">
        <v>4998</v>
      </c>
      <c r="Q879" s="13" t="s">
        <v>4999</v>
      </c>
      <c r="R879" s="14" t="str">
        <f>HYPERLINK("https://drive.google.com/file/d/1zBX8MFSP9iO7fcd-4Ezch-uWQyR1yUKG/view?usp=drivesdk","OFFER LETTER")</f>
        <v>OFFER LETTER</v>
      </c>
      <c r="S879" s="11" t="s">
        <v>5000</v>
      </c>
    </row>
    <row r="880" ht="22.5" customHeight="1">
      <c r="A880" s="10">
        <v>46260.46978423611</v>
      </c>
      <c r="B880" s="11" t="s">
        <v>5001</v>
      </c>
      <c r="C880" s="11" t="s">
        <v>417</v>
      </c>
      <c r="D880" s="11" t="s">
        <v>68</v>
      </c>
      <c r="E880" s="12">
        <v>46259.0</v>
      </c>
      <c r="F880" s="12">
        <v>46290.0</v>
      </c>
      <c r="G880" s="11" t="s">
        <v>5002</v>
      </c>
      <c r="H880" s="11">
        <v>9.319474501E9</v>
      </c>
      <c r="I880" s="11" t="s">
        <v>82</v>
      </c>
      <c r="J880" s="11" t="s">
        <v>71</v>
      </c>
      <c r="K880" s="11" t="s">
        <v>72</v>
      </c>
      <c r="L880" s="11" t="s">
        <v>131</v>
      </c>
      <c r="M880" s="11" t="s">
        <v>5003</v>
      </c>
      <c r="N880" s="11" t="s">
        <v>75</v>
      </c>
      <c r="O880" s="11" t="s">
        <v>71</v>
      </c>
      <c r="P880" s="11" t="s">
        <v>5004</v>
      </c>
      <c r="Q880" s="13" t="s">
        <v>5005</v>
      </c>
      <c r="R880" s="14" t="str">
        <f>HYPERLINK("https://drive.google.com/file/d/1bqHLQFECIpR3gl601znMdfbEBRpzCwuX/view?usp=drivesdk","OFFER LETTER")</f>
        <v>OFFER LETTER</v>
      </c>
      <c r="S880" s="11" t="s">
        <v>5006</v>
      </c>
    </row>
    <row r="881" ht="22.5" customHeight="1">
      <c r="A881" s="10">
        <v>46260.47325621528</v>
      </c>
      <c r="B881" s="11" t="s">
        <v>5001</v>
      </c>
      <c r="C881" s="11" t="s">
        <v>417</v>
      </c>
      <c r="D881" s="11" t="s">
        <v>68</v>
      </c>
      <c r="E881" s="12">
        <v>46259.0</v>
      </c>
      <c r="F881" s="12">
        <v>46290.0</v>
      </c>
      <c r="G881" s="11" t="s">
        <v>5002</v>
      </c>
      <c r="H881" s="11">
        <v>9.319474501E9</v>
      </c>
      <c r="I881" s="11" t="s">
        <v>82</v>
      </c>
      <c r="J881" s="11" t="s">
        <v>71</v>
      </c>
      <c r="K881" s="11" t="s">
        <v>72</v>
      </c>
      <c r="L881" s="11" t="s">
        <v>131</v>
      </c>
      <c r="M881" s="11" t="s">
        <v>5003</v>
      </c>
      <c r="N881" s="11" t="s">
        <v>241</v>
      </c>
      <c r="O881" s="11" t="s">
        <v>71</v>
      </c>
      <c r="P881" s="11" t="s">
        <v>5007</v>
      </c>
      <c r="Q881" s="13" t="s">
        <v>5008</v>
      </c>
      <c r="R881" s="14" t="str">
        <f>HYPERLINK("https://drive.google.com/file/d/1Q6aOy491vtQUirhu1WYP49H4Fuc5Z4d_/view?usp=drivesdk","OFFER LETTER")</f>
        <v>OFFER LETTER</v>
      </c>
      <c r="S881" s="11" t="s">
        <v>5009</v>
      </c>
    </row>
    <row r="882" ht="22.5" customHeight="1">
      <c r="A882" s="10">
        <v>46260.475874375</v>
      </c>
      <c r="B882" s="11" t="s">
        <v>5010</v>
      </c>
      <c r="C882" s="11" t="s">
        <v>107</v>
      </c>
      <c r="D882" s="11" t="s">
        <v>68</v>
      </c>
      <c r="E882" s="12">
        <v>46249.0</v>
      </c>
      <c r="F882" s="12">
        <v>46280.0</v>
      </c>
      <c r="G882" s="11" t="s">
        <v>5011</v>
      </c>
      <c r="H882" s="11">
        <v>9.022341771E9</v>
      </c>
      <c r="I882" s="11" t="s">
        <v>70</v>
      </c>
      <c r="J882" s="11" t="s">
        <v>71</v>
      </c>
      <c r="K882" s="11" t="s">
        <v>72</v>
      </c>
      <c r="L882" s="11" t="s">
        <v>247</v>
      </c>
      <c r="M882" s="11" t="s">
        <v>5012</v>
      </c>
      <c r="N882" s="11" t="s">
        <v>1641</v>
      </c>
      <c r="O882" s="11" t="s">
        <v>71</v>
      </c>
      <c r="P882" s="11" t="s">
        <v>5013</v>
      </c>
      <c r="Q882" s="13" t="s">
        <v>5014</v>
      </c>
      <c r="R882" s="14" t="str">
        <f>HYPERLINK("https://drive.google.com/file/d/1vJRPl5_CDnh-aKoKHvzlAWk1ZU2D1PiA/view?usp=drivesdk","OFFER LETTER")</f>
        <v>OFFER LETTER</v>
      </c>
      <c r="S882" s="11" t="s">
        <v>5015</v>
      </c>
    </row>
    <row r="883" ht="22.5" customHeight="1">
      <c r="A883" s="10">
        <v>46260.47687408565</v>
      </c>
      <c r="B883" s="11" t="s">
        <v>5016</v>
      </c>
      <c r="C883" s="11" t="s">
        <v>195</v>
      </c>
      <c r="D883" s="11" t="s">
        <v>108</v>
      </c>
      <c r="E883" s="12">
        <v>46199.0</v>
      </c>
      <c r="F883" s="12">
        <v>46260.0</v>
      </c>
      <c r="G883" s="11" t="s">
        <v>5017</v>
      </c>
      <c r="H883" s="11">
        <v>7.008082084E9</v>
      </c>
      <c r="I883" s="11" t="s">
        <v>82</v>
      </c>
      <c r="J883" s="11" t="s">
        <v>71</v>
      </c>
      <c r="K883" s="11" t="s">
        <v>72</v>
      </c>
      <c r="L883" s="11" t="s">
        <v>73</v>
      </c>
      <c r="M883" s="11" t="s">
        <v>5018</v>
      </c>
      <c r="N883" s="11" t="s">
        <v>86</v>
      </c>
      <c r="O883" s="11" t="s">
        <v>71</v>
      </c>
      <c r="P883" s="11" t="s">
        <v>5019</v>
      </c>
      <c r="Q883" s="13" t="s">
        <v>5020</v>
      </c>
      <c r="R883" s="14" t="str">
        <f>HYPERLINK("https://drive.google.com/file/d/1fxJaN9NZV1l0ZOcbnZanAFjsBCxIC69n/view?usp=drivesdk","OFFER LETTER")</f>
        <v>OFFER LETTER</v>
      </c>
      <c r="S883" s="11" t="s">
        <v>5021</v>
      </c>
    </row>
    <row r="884" ht="22.5" customHeight="1">
      <c r="A884" s="10">
        <v>46260.491458703706</v>
      </c>
      <c r="B884" s="11" t="s">
        <v>5022</v>
      </c>
      <c r="C884" s="11" t="s">
        <v>237</v>
      </c>
      <c r="D884" s="11" t="s">
        <v>68</v>
      </c>
      <c r="E884" s="12">
        <v>46260.0</v>
      </c>
      <c r="F884" s="12">
        <v>46291.0</v>
      </c>
      <c r="G884" s="11" t="s">
        <v>5023</v>
      </c>
      <c r="H884" s="11">
        <v>6.202999407E9</v>
      </c>
      <c r="I884" s="11" t="s">
        <v>82</v>
      </c>
      <c r="J884" s="11" t="s">
        <v>71</v>
      </c>
      <c r="K884" s="11" t="s">
        <v>72</v>
      </c>
      <c r="L884" s="11" t="s">
        <v>73</v>
      </c>
      <c r="M884" s="11" t="s">
        <v>5024</v>
      </c>
      <c r="N884" s="11" t="s">
        <v>86</v>
      </c>
      <c r="O884" s="11" t="s">
        <v>71</v>
      </c>
      <c r="P884" s="11" t="s">
        <v>5025</v>
      </c>
      <c r="Q884" s="13" t="s">
        <v>5026</v>
      </c>
      <c r="R884" s="14" t="str">
        <f>HYPERLINK("https://drive.google.com/file/d/1TP33aW7jNTM5kwEqx4u4ygsBMLAC_ZzV/view?usp=drivesdk","OFFER LETTER")</f>
        <v>OFFER LETTER</v>
      </c>
      <c r="S884" s="11" t="s">
        <v>5027</v>
      </c>
    </row>
    <row r="885" ht="22.5" customHeight="1">
      <c r="A885" s="10">
        <v>46260.50337484953</v>
      </c>
      <c r="B885" s="11" t="s">
        <v>5028</v>
      </c>
      <c r="C885" s="11" t="s">
        <v>128</v>
      </c>
      <c r="D885" s="11" t="s">
        <v>108</v>
      </c>
      <c r="E885" s="12">
        <v>46260.0</v>
      </c>
      <c r="F885" s="12">
        <v>46321.0</v>
      </c>
      <c r="G885" s="11" t="s">
        <v>5029</v>
      </c>
      <c r="H885" s="11">
        <v>6.366714665E9</v>
      </c>
      <c r="I885" s="11" t="s">
        <v>70</v>
      </c>
      <c r="J885" s="11" t="s">
        <v>71</v>
      </c>
      <c r="K885" s="11" t="s">
        <v>110</v>
      </c>
      <c r="L885" s="11" t="s">
        <v>73</v>
      </c>
      <c r="M885" s="11" t="s">
        <v>5030</v>
      </c>
      <c r="N885" s="11" t="s">
        <v>86</v>
      </c>
      <c r="O885" s="11" t="s">
        <v>71</v>
      </c>
      <c r="P885" s="11" t="s">
        <v>5031</v>
      </c>
      <c r="Q885" s="13" t="s">
        <v>5032</v>
      </c>
      <c r="R885" s="14" t="str">
        <f>HYPERLINK("https://drive.google.com/file/d/1-eCvSL4XnjNCuhSuewwwo4cNK5Wdgwx7/view?usp=drivesdk","OFFER LETTER")</f>
        <v>OFFER LETTER</v>
      </c>
      <c r="S885" s="11" t="s">
        <v>5033</v>
      </c>
    </row>
    <row r="886" ht="22.5" customHeight="1">
      <c r="A886" s="10">
        <v>46260.50800476852</v>
      </c>
      <c r="B886" s="11" t="s">
        <v>5034</v>
      </c>
      <c r="C886" s="11" t="s">
        <v>128</v>
      </c>
      <c r="D886" s="11" t="s">
        <v>68</v>
      </c>
      <c r="E886" s="12">
        <v>46260.0</v>
      </c>
      <c r="F886" s="12">
        <v>46291.0</v>
      </c>
      <c r="G886" s="11" t="s">
        <v>5035</v>
      </c>
      <c r="H886" s="11">
        <v>9.704927858E9</v>
      </c>
      <c r="I886" s="11" t="s">
        <v>82</v>
      </c>
      <c r="J886" s="11" t="s">
        <v>71</v>
      </c>
      <c r="K886" s="11" t="s">
        <v>72</v>
      </c>
      <c r="L886" s="11" t="s">
        <v>131</v>
      </c>
      <c r="M886" s="11" t="s">
        <v>5036</v>
      </c>
      <c r="N886" s="11" t="s">
        <v>86</v>
      </c>
      <c r="O886" s="11" t="s">
        <v>71</v>
      </c>
      <c r="P886" s="11" t="s">
        <v>5037</v>
      </c>
      <c r="Q886" s="13" t="s">
        <v>5038</v>
      </c>
      <c r="R886" s="14" t="str">
        <f>HYPERLINK("https://drive.google.com/file/d/1XCSc2y3d9WSS1HTsA1x-Vwp9It8FcfN-/view?usp=drivesdk","OFFER LETTER")</f>
        <v>OFFER LETTER</v>
      </c>
      <c r="S886" s="11" t="s">
        <v>5039</v>
      </c>
    </row>
    <row r="887" ht="22.5" customHeight="1">
      <c r="A887" s="10">
        <v>46260.508204513884</v>
      </c>
      <c r="B887" s="11" t="s">
        <v>5040</v>
      </c>
      <c r="C887" s="11" t="s">
        <v>107</v>
      </c>
      <c r="D887" s="11" t="s">
        <v>238</v>
      </c>
      <c r="E887" s="12">
        <v>46166.0</v>
      </c>
      <c r="F887" s="12">
        <v>46257.0</v>
      </c>
      <c r="G887" s="11" t="s">
        <v>5041</v>
      </c>
      <c r="H887" s="11">
        <v>6.392569471E9</v>
      </c>
      <c r="I887" s="11" t="s">
        <v>82</v>
      </c>
      <c r="J887" s="11" t="s">
        <v>71</v>
      </c>
      <c r="K887" s="11" t="s">
        <v>167</v>
      </c>
      <c r="L887" s="11" t="s">
        <v>73</v>
      </c>
      <c r="M887" s="11" t="s">
        <v>5042</v>
      </c>
      <c r="N887" s="11" t="s">
        <v>226</v>
      </c>
      <c r="O887" s="11" t="s">
        <v>71</v>
      </c>
      <c r="P887" s="11" t="s">
        <v>5043</v>
      </c>
      <c r="Q887" s="13" t="s">
        <v>5044</v>
      </c>
      <c r="R887" s="14" t="str">
        <f>HYPERLINK("https://drive.google.com/file/d/1q5zMKXxCnf67ybGd-x-6mhDEa_7X8eEi/view?usp=drivesdk","OFFER LETTER")</f>
        <v>OFFER LETTER</v>
      </c>
      <c r="S887" s="11" t="s">
        <v>5045</v>
      </c>
    </row>
    <row r="888" ht="22.5" customHeight="1">
      <c r="A888" s="10">
        <v>46260.52885113426</v>
      </c>
      <c r="B888" s="11" t="s">
        <v>5046</v>
      </c>
      <c r="C888" s="11" t="s">
        <v>195</v>
      </c>
      <c r="D888" s="11" t="s">
        <v>68</v>
      </c>
      <c r="E888" s="12">
        <v>46260.0</v>
      </c>
      <c r="F888" s="12">
        <v>46292.0</v>
      </c>
      <c r="G888" s="11" t="s">
        <v>5047</v>
      </c>
      <c r="H888" s="11">
        <v>7.659033108E9</v>
      </c>
      <c r="I888" s="11" t="s">
        <v>82</v>
      </c>
      <c r="J888" s="11" t="s">
        <v>71</v>
      </c>
      <c r="K888" s="11" t="s">
        <v>72</v>
      </c>
      <c r="L888" s="11" t="s">
        <v>131</v>
      </c>
      <c r="M888" s="11" t="s">
        <v>636</v>
      </c>
      <c r="N888" s="11" t="s">
        <v>86</v>
      </c>
      <c r="O888" s="11" t="s">
        <v>71</v>
      </c>
      <c r="P888" s="11" t="s">
        <v>5048</v>
      </c>
      <c r="Q888" s="13" t="s">
        <v>5049</v>
      </c>
      <c r="R888" s="14" t="str">
        <f>HYPERLINK("https://drive.google.com/file/d/13KBP8_aDxTBeipD_NiuJB1VlV-l23Iub/view?usp=drivesdk","OFFER LETTER")</f>
        <v>OFFER LETTER</v>
      </c>
      <c r="S888" s="11" t="s">
        <v>5050</v>
      </c>
    </row>
    <row r="889" ht="22.5" customHeight="1">
      <c r="A889" s="10">
        <v>46260.545728599536</v>
      </c>
      <c r="B889" s="11" t="s">
        <v>5051</v>
      </c>
      <c r="C889" s="11" t="s">
        <v>91</v>
      </c>
      <c r="D889" s="11" t="s">
        <v>68</v>
      </c>
      <c r="E889" s="12">
        <v>46260.0</v>
      </c>
      <c r="F889" s="12">
        <v>46291.0</v>
      </c>
      <c r="G889" s="11" t="s">
        <v>5052</v>
      </c>
      <c r="H889" s="11">
        <v>9.701746364E9</v>
      </c>
      <c r="I889" s="11" t="s">
        <v>82</v>
      </c>
      <c r="J889" s="11" t="s">
        <v>71</v>
      </c>
      <c r="K889" s="11" t="s">
        <v>72</v>
      </c>
      <c r="L889" s="11" t="s">
        <v>84</v>
      </c>
      <c r="M889" s="11" t="s">
        <v>5053</v>
      </c>
      <c r="N889" s="11" t="s">
        <v>75</v>
      </c>
      <c r="O889" s="11" t="s">
        <v>71</v>
      </c>
      <c r="P889" s="11" t="s">
        <v>5054</v>
      </c>
      <c r="Q889" s="13" t="s">
        <v>5055</v>
      </c>
      <c r="R889" s="14" t="str">
        <f>HYPERLINK("https://drive.google.com/file/d/1lofarULcAzZW73DGhYnMg2LHZ05wtWOL/view?usp=drivesdk","OFFER LETTER")</f>
        <v>OFFER LETTER</v>
      </c>
      <c r="S889" s="11" t="s">
        <v>5056</v>
      </c>
    </row>
    <row r="890" ht="22.5" customHeight="1">
      <c r="A890" s="10">
        <v>46260.54639847222</v>
      </c>
      <c r="B890" s="11" t="s">
        <v>5057</v>
      </c>
      <c r="C890" s="11" t="s">
        <v>173</v>
      </c>
      <c r="D890" s="11" t="s">
        <v>68</v>
      </c>
      <c r="E890" s="12">
        <v>46223.0</v>
      </c>
      <c r="F890" s="12">
        <v>46254.0</v>
      </c>
      <c r="G890" s="11" t="s">
        <v>5058</v>
      </c>
      <c r="H890" s="11">
        <v>9.080783259E9</v>
      </c>
      <c r="I890" s="11" t="s">
        <v>82</v>
      </c>
      <c r="J890" s="11" t="s">
        <v>71</v>
      </c>
      <c r="K890" s="11" t="s">
        <v>72</v>
      </c>
      <c r="L890" s="11" t="s">
        <v>84</v>
      </c>
      <c r="M890" s="11" t="s">
        <v>2989</v>
      </c>
      <c r="N890" s="11" t="s">
        <v>86</v>
      </c>
      <c r="O890" s="11" t="s">
        <v>71</v>
      </c>
      <c r="P890" s="11" t="s">
        <v>5059</v>
      </c>
      <c r="Q890" s="13" t="s">
        <v>5060</v>
      </c>
      <c r="R890" s="14" t="str">
        <f>HYPERLINK("https://drive.google.com/file/d/10MZ94baUPd81cE5IjwMQYwoRgDc5Fw89/view?usp=drivesdk","OFFER LETTER")</f>
        <v>OFFER LETTER</v>
      </c>
      <c r="S890" s="11" t="s">
        <v>5061</v>
      </c>
    </row>
    <row r="891" ht="22.5" customHeight="1">
      <c r="A891" s="10">
        <v>46260.548575277775</v>
      </c>
      <c r="B891" s="11" t="s">
        <v>5062</v>
      </c>
      <c r="C891" s="11" t="s">
        <v>128</v>
      </c>
      <c r="D891" s="11" t="s">
        <v>68</v>
      </c>
      <c r="E891" s="12">
        <v>46225.0</v>
      </c>
      <c r="F891" s="12">
        <v>46257.0</v>
      </c>
      <c r="G891" s="11" t="s">
        <v>5063</v>
      </c>
      <c r="H891" s="11">
        <v>7.906502727E9</v>
      </c>
      <c r="I891" s="11" t="s">
        <v>82</v>
      </c>
      <c r="J891" s="11" t="s">
        <v>71</v>
      </c>
      <c r="K891" s="11" t="s">
        <v>72</v>
      </c>
      <c r="L891" s="11" t="s">
        <v>84</v>
      </c>
      <c r="M891" s="11" t="s">
        <v>1211</v>
      </c>
      <c r="N891" s="11" t="s">
        <v>655</v>
      </c>
      <c r="O891" s="11" t="s">
        <v>71</v>
      </c>
      <c r="P891" s="11" t="s">
        <v>5064</v>
      </c>
      <c r="Q891" s="13" t="s">
        <v>5065</v>
      </c>
      <c r="R891" s="14" t="str">
        <f>HYPERLINK("https://drive.google.com/file/d/1bFzqWUd_bT2DAvVV28Fko83-4IuF4hR9/view?usp=drivesdk","OFFER LETTER")</f>
        <v>OFFER LETTER</v>
      </c>
      <c r="S891" s="11" t="s">
        <v>5066</v>
      </c>
    </row>
    <row r="892" ht="22.5" customHeight="1">
      <c r="A892" s="10">
        <v>46260.55084925926</v>
      </c>
      <c r="B892" s="11" t="s">
        <v>5067</v>
      </c>
      <c r="C892" s="11" t="s">
        <v>237</v>
      </c>
      <c r="D892" s="11" t="s">
        <v>68</v>
      </c>
      <c r="E892" s="12">
        <v>46260.0</v>
      </c>
      <c r="F892" s="12">
        <v>46260.0</v>
      </c>
      <c r="G892" s="11" t="s">
        <v>5068</v>
      </c>
      <c r="H892" s="11">
        <v>6.394249167E9</v>
      </c>
      <c r="I892" s="11" t="s">
        <v>82</v>
      </c>
      <c r="J892" s="11" t="s">
        <v>71</v>
      </c>
      <c r="K892" s="11" t="s">
        <v>72</v>
      </c>
      <c r="L892" s="11" t="s">
        <v>131</v>
      </c>
      <c r="M892" s="11" t="s">
        <v>5069</v>
      </c>
      <c r="N892" s="11" t="s">
        <v>198</v>
      </c>
      <c r="O892" s="11" t="s">
        <v>263</v>
      </c>
      <c r="P892" s="11" t="s">
        <v>5070</v>
      </c>
      <c r="Q892" s="13" t="s">
        <v>5071</v>
      </c>
      <c r="R892" s="14" t="str">
        <f>HYPERLINK("https://drive.google.com/file/d/1uX5keQs7x-mQ4z3kldNBuEPSOWXH4Be4/view?usp=drivesdk","OFFER LETTER")</f>
        <v>OFFER LETTER</v>
      </c>
      <c r="S892" s="11" t="s">
        <v>5072</v>
      </c>
    </row>
    <row r="893" ht="22.5" customHeight="1">
      <c r="A893" s="10">
        <v>46260.56942731481</v>
      </c>
      <c r="B893" s="11" t="s">
        <v>5073</v>
      </c>
      <c r="C893" s="11" t="s">
        <v>67</v>
      </c>
      <c r="D893" s="11" t="s">
        <v>108</v>
      </c>
      <c r="E893" s="12">
        <v>46144.0</v>
      </c>
      <c r="F893" s="12">
        <v>46206.0</v>
      </c>
      <c r="G893" s="11" t="s">
        <v>5074</v>
      </c>
      <c r="H893" s="11">
        <v>7.993957381E9</v>
      </c>
      <c r="I893" s="11" t="s">
        <v>70</v>
      </c>
      <c r="J893" s="11" t="s">
        <v>71</v>
      </c>
      <c r="K893" s="11" t="s">
        <v>72</v>
      </c>
      <c r="L893" s="11" t="s">
        <v>84</v>
      </c>
      <c r="M893" s="11" t="s">
        <v>5075</v>
      </c>
      <c r="N893" s="11" t="s">
        <v>5076</v>
      </c>
      <c r="O893" s="11" t="s">
        <v>71</v>
      </c>
      <c r="P893" s="11" t="s">
        <v>5077</v>
      </c>
      <c r="Q893" s="13" t="s">
        <v>5078</v>
      </c>
      <c r="R893" s="14" t="str">
        <f>HYPERLINK("https://drive.google.com/file/d/1KjBxdYkM4BGB3-WNMA77gFlPSc7f1GP6/view?usp=drivesdk","OFFER LETTER")</f>
        <v>OFFER LETTER</v>
      </c>
      <c r="S893" s="11" t="s">
        <v>5079</v>
      </c>
    </row>
    <row r="894" ht="22.5" customHeight="1">
      <c r="A894" s="10">
        <v>46260.57934182871</v>
      </c>
      <c r="B894" s="11" t="s">
        <v>5080</v>
      </c>
      <c r="C894" s="11" t="s">
        <v>195</v>
      </c>
      <c r="D894" s="11" t="s">
        <v>68</v>
      </c>
      <c r="E894" s="12">
        <v>46226.0</v>
      </c>
      <c r="F894" s="12">
        <v>46260.0</v>
      </c>
      <c r="G894" s="11" t="s">
        <v>5081</v>
      </c>
      <c r="H894" s="11">
        <v>7.078882008E9</v>
      </c>
      <c r="I894" s="11" t="s">
        <v>82</v>
      </c>
      <c r="J894" s="11" t="s">
        <v>83</v>
      </c>
      <c r="K894" s="11" t="s">
        <v>72</v>
      </c>
      <c r="L894" s="11" t="s">
        <v>131</v>
      </c>
      <c r="M894" s="11" t="s">
        <v>5082</v>
      </c>
      <c r="N894" s="11" t="s">
        <v>198</v>
      </c>
      <c r="O894" s="11" t="s">
        <v>71</v>
      </c>
      <c r="P894" s="11" t="s">
        <v>5083</v>
      </c>
      <c r="Q894" s="13" t="s">
        <v>5084</v>
      </c>
      <c r="R894" s="14" t="str">
        <f>HYPERLINK("https://drive.google.com/file/d/1DW-JlD2zhkMjcjf2PA3o3TZ72g6Iukr3/view?usp=drivesdk","OFFER LETTER")</f>
        <v>OFFER LETTER</v>
      </c>
      <c r="S894" s="11" t="s">
        <v>5085</v>
      </c>
    </row>
    <row r="895" ht="22.5" customHeight="1">
      <c r="A895" s="10">
        <v>46260.57938956018</v>
      </c>
      <c r="B895" s="11" t="s">
        <v>5086</v>
      </c>
      <c r="C895" s="11" t="s">
        <v>195</v>
      </c>
      <c r="D895" s="11" t="s">
        <v>68</v>
      </c>
      <c r="E895" s="12">
        <v>46227.0</v>
      </c>
      <c r="F895" s="12">
        <v>46259.0</v>
      </c>
      <c r="G895" s="11" t="s">
        <v>5087</v>
      </c>
      <c r="H895" s="11">
        <v>7.06100294E9</v>
      </c>
      <c r="I895" s="11" t="s">
        <v>82</v>
      </c>
      <c r="J895" s="11" t="s">
        <v>83</v>
      </c>
      <c r="K895" s="11" t="s">
        <v>72</v>
      </c>
      <c r="L895" s="11" t="s">
        <v>84</v>
      </c>
      <c r="M895" s="11" t="s">
        <v>5088</v>
      </c>
      <c r="N895" s="11" t="s">
        <v>86</v>
      </c>
      <c r="O895" s="11" t="s">
        <v>71</v>
      </c>
      <c r="P895" s="11" t="s">
        <v>5089</v>
      </c>
      <c r="Q895" s="13" t="s">
        <v>5090</v>
      </c>
      <c r="R895" s="14" t="str">
        <f>HYPERLINK("https://drive.google.com/file/d/15z5D6cJB1dSdmPthUDIznmDuD9bGS8c4/view?usp=drivesdk","OFFER LETTER")</f>
        <v>OFFER LETTER</v>
      </c>
      <c r="S895" s="11" t="s">
        <v>5091</v>
      </c>
    </row>
    <row r="896" ht="22.5" customHeight="1">
      <c r="A896" s="10">
        <v>46260.580561689814</v>
      </c>
      <c r="B896" s="11" t="s">
        <v>5092</v>
      </c>
      <c r="C896" s="11" t="s">
        <v>1320</v>
      </c>
      <c r="D896" s="11" t="s">
        <v>68</v>
      </c>
      <c r="E896" s="12">
        <v>46244.0</v>
      </c>
      <c r="F896" s="12">
        <v>46275.0</v>
      </c>
      <c r="G896" s="11" t="s">
        <v>5093</v>
      </c>
      <c r="H896" s="11">
        <v>9.359614144E9</v>
      </c>
      <c r="I896" s="11" t="s">
        <v>70</v>
      </c>
      <c r="J896" s="11" t="s">
        <v>130</v>
      </c>
      <c r="K896" s="11" t="s">
        <v>72</v>
      </c>
      <c r="L896" s="11" t="s">
        <v>247</v>
      </c>
      <c r="M896" s="11" t="s">
        <v>5094</v>
      </c>
      <c r="N896" s="11" t="s">
        <v>241</v>
      </c>
      <c r="O896" s="11" t="s">
        <v>71</v>
      </c>
      <c r="P896" s="11" t="s">
        <v>5095</v>
      </c>
      <c r="Q896" s="13" t="s">
        <v>5096</v>
      </c>
      <c r="R896" s="14" t="str">
        <f>HYPERLINK("https://drive.google.com/file/d/1PI9fZi7FRZsc7S5e1_MMJ4Vpj3IDH0M0/view?usp=drivesdk","OFFER LETTER")</f>
        <v>OFFER LETTER</v>
      </c>
      <c r="S896" s="11" t="s">
        <v>5097</v>
      </c>
    </row>
    <row r="897" ht="22.5" customHeight="1">
      <c r="A897" s="10">
        <v>46260.587772847226</v>
      </c>
      <c r="B897" s="11" t="s">
        <v>5098</v>
      </c>
      <c r="C897" s="11" t="s">
        <v>195</v>
      </c>
      <c r="D897" s="11" t="s">
        <v>108</v>
      </c>
      <c r="E897" s="12">
        <v>46200.0</v>
      </c>
      <c r="F897" s="12">
        <v>46260.0</v>
      </c>
      <c r="G897" s="11" t="s">
        <v>5099</v>
      </c>
      <c r="H897" s="11">
        <v>8.530239836E9</v>
      </c>
      <c r="I897" s="11" t="s">
        <v>70</v>
      </c>
      <c r="J897" s="11" t="s">
        <v>71</v>
      </c>
      <c r="K897" s="11" t="s">
        <v>356</v>
      </c>
      <c r="L897" s="11" t="s">
        <v>84</v>
      </c>
      <c r="M897" s="11" t="s">
        <v>5100</v>
      </c>
      <c r="N897" s="11" t="s">
        <v>1872</v>
      </c>
      <c r="O897" s="11" t="s">
        <v>71</v>
      </c>
      <c r="P897" s="11" t="s">
        <v>5101</v>
      </c>
      <c r="Q897" s="13" t="s">
        <v>5102</v>
      </c>
      <c r="R897" s="14" t="str">
        <f>HYPERLINK("https://drive.google.com/file/d/1PVmmpFKn7Iik2Y0ESfolkN_JGIUxuRA5/view?usp=drivesdk","OFFER LETTER")</f>
        <v>OFFER LETTER</v>
      </c>
      <c r="S897" s="11" t="s">
        <v>5103</v>
      </c>
    </row>
    <row r="898" ht="22.5" customHeight="1">
      <c r="A898" s="10">
        <v>46260.59561164352</v>
      </c>
      <c r="B898" s="11" t="s">
        <v>5104</v>
      </c>
      <c r="C898" s="11" t="s">
        <v>80</v>
      </c>
      <c r="D898" s="11" t="s">
        <v>68</v>
      </c>
      <c r="E898" s="12">
        <v>46245.0</v>
      </c>
      <c r="F898" s="12">
        <v>46276.0</v>
      </c>
      <c r="G898" s="11" t="s">
        <v>5105</v>
      </c>
      <c r="H898" s="11">
        <v>9.322522063E9</v>
      </c>
      <c r="I898" s="11" t="s">
        <v>70</v>
      </c>
      <c r="J898" s="11" t="s">
        <v>71</v>
      </c>
      <c r="K898" s="11" t="s">
        <v>72</v>
      </c>
      <c r="L898" s="11" t="s">
        <v>131</v>
      </c>
      <c r="M898" s="11" t="s">
        <v>5106</v>
      </c>
      <c r="N898" s="11" t="s">
        <v>86</v>
      </c>
      <c r="O898" s="11" t="s">
        <v>71</v>
      </c>
      <c r="P898" s="11" t="s">
        <v>5107</v>
      </c>
      <c r="Q898" s="13" t="s">
        <v>5108</v>
      </c>
      <c r="R898" s="14" t="str">
        <f>HYPERLINK("https://drive.google.com/file/d/1vK24NFXkAEK0bu_9NdAn5bBK9QOXWC3-/view?usp=drivesdk","OFFER LETTER")</f>
        <v>OFFER LETTER</v>
      </c>
      <c r="S898" s="11" t="s">
        <v>5109</v>
      </c>
    </row>
    <row r="899" ht="22.5" customHeight="1">
      <c r="A899" s="10">
        <v>46260.5959390162</v>
      </c>
      <c r="B899" s="11" t="s">
        <v>5110</v>
      </c>
      <c r="C899" s="11" t="s">
        <v>80</v>
      </c>
      <c r="D899" s="11" t="s">
        <v>68</v>
      </c>
      <c r="E899" s="12">
        <v>46245.0</v>
      </c>
      <c r="F899" s="12">
        <v>46276.0</v>
      </c>
      <c r="G899" s="11" t="s">
        <v>5111</v>
      </c>
      <c r="H899" s="11">
        <v>8.010276436E9</v>
      </c>
      <c r="I899" s="11" t="s">
        <v>70</v>
      </c>
      <c r="J899" s="11" t="s">
        <v>71</v>
      </c>
      <c r="K899" s="11" t="s">
        <v>72</v>
      </c>
      <c r="L899" s="11" t="s">
        <v>131</v>
      </c>
      <c r="M899" s="11" t="s">
        <v>5112</v>
      </c>
      <c r="N899" s="11" t="s">
        <v>86</v>
      </c>
      <c r="O899" s="11" t="s">
        <v>71</v>
      </c>
      <c r="P899" s="11" t="s">
        <v>5113</v>
      </c>
      <c r="Q899" s="13" t="s">
        <v>5114</v>
      </c>
      <c r="R899" s="14" t="str">
        <f>HYPERLINK("https://drive.google.com/file/d/1N-bXiqQLCzyrPueTyKg_hfVZEcbIp5dS/view?usp=drivesdk","OFFER LETTER")</f>
        <v>OFFER LETTER</v>
      </c>
      <c r="S899" s="11" t="s">
        <v>5115</v>
      </c>
    </row>
    <row r="900" ht="22.5" customHeight="1">
      <c r="A900" s="10">
        <v>46260.602088252315</v>
      </c>
      <c r="B900" s="11" t="s">
        <v>5116</v>
      </c>
      <c r="C900" s="11" t="s">
        <v>195</v>
      </c>
      <c r="D900" s="11" t="s">
        <v>68</v>
      </c>
      <c r="E900" s="12">
        <v>46168.0</v>
      </c>
      <c r="F900" s="12">
        <v>46199.0</v>
      </c>
      <c r="G900" s="11" t="s">
        <v>5117</v>
      </c>
      <c r="H900" s="11">
        <v>7.498696987E9</v>
      </c>
      <c r="I900" s="11" t="s">
        <v>70</v>
      </c>
      <c r="J900" s="11" t="s">
        <v>71</v>
      </c>
      <c r="K900" s="11" t="s">
        <v>72</v>
      </c>
      <c r="L900" s="11" t="s">
        <v>73</v>
      </c>
      <c r="M900" s="11" t="s">
        <v>5118</v>
      </c>
      <c r="N900" s="11" t="s">
        <v>155</v>
      </c>
      <c r="O900" s="11" t="s">
        <v>71</v>
      </c>
      <c r="P900" s="11" t="s">
        <v>5119</v>
      </c>
      <c r="Q900" s="13" t="s">
        <v>5120</v>
      </c>
      <c r="R900" s="14" t="str">
        <f>HYPERLINK("https://drive.google.com/file/d/1Pz6daYsXFFB3N4f7GtBP-lBhIWXPSb9x/view?usp=drivesdk","OFFER LETTER")</f>
        <v>OFFER LETTER</v>
      </c>
      <c r="S900" s="11" t="s">
        <v>5121</v>
      </c>
    </row>
    <row r="901" ht="22.5" customHeight="1">
      <c r="A901" s="10">
        <v>46260.61076231481</v>
      </c>
      <c r="B901" s="11" t="s">
        <v>5122</v>
      </c>
      <c r="C901" s="11" t="s">
        <v>195</v>
      </c>
      <c r="D901" s="11" t="s">
        <v>68</v>
      </c>
      <c r="E901" s="12">
        <v>46204.0</v>
      </c>
      <c r="F901" s="12">
        <v>46235.0</v>
      </c>
      <c r="G901" s="11" t="s">
        <v>5123</v>
      </c>
      <c r="H901" s="11">
        <v>7.070094051E9</v>
      </c>
      <c r="I901" s="11" t="s">
        <v>82</v>
      </c>
      <c r="J901" s="11" t="s">
        <v>71</v>
      </c>
      <c r="K901" s="11" t="s">
        <v>72</v>
      </c>
      <c r="L901" s="11" t="s">
        <v>84</v>
      </c>
      <c r="M901" s="11" t="s">
        <v>5124</v>
      </c>
      <c r="N901" s="11" t="s">
        <v>86</v>
      </c>
      <c r="O901" s="11" t="s">
        <v>71</v>
      </c>
      <c r="P901" s="11" t="s">
        <v>5125</v>
      </c>
      <c r="Q901" s="13" t="s">
        <v>5126</v>
      </c>
      <c r="R901" s="14" t="str">
        <f>HYPERLINK("https://drive.google.com/file/d/113KylLtbnruCxp6M4T1D7WagZsNHF68Q/view?usp=drivesdk","OFFER LETTER")</f>
        <v>OFFER LETTER</v>
      </c>
      <c r="S901" s="11" t="s">
        <v>5127</v>
      </c>
    </row>
    <row r="902" ht="22.5" customHeight="1">
      <c r="A902" s="10">
        <v>46260.614591377314</v>
      </c>
      <c r="B902" s="11" t="s">
        <v>5128</v>
      </c>
      <c r="C902" s="11" t="s">
        <v>173</v>
      </c>
      <c r="D902" s="11" t="s">
        <v>68</v>
      </c>
      <c r="E902" s="12">
        <v>46260.0</v>
      </c>
      <c r="F902" s="12">
        <v>46291.0</v>
      </c>
      <c r="G902" s="11" t="s">
        <v>5129</v>
      </c>
      <c r="H902" s="11">
        <v>8.328517513E9</v>
      </c>
      <c r="I902" s="11" t="s">
        <v>70</v>
      </c>
      <c r="J902" s="11" t="s">
        <v>130</v>
      </c>
      <c r="K902" s="11" t="s">
        <v>72</v>
      </c>
      <c r="L902" s="11" t="s">
        <v>131</v>
      </c>
      <c r="M902" s="11" t="s">
        <v>5130</v>
      </c>
      <c r="N902" s="11" t="s">
        <v>86</v>
      </c>
      <c r="O902" s="11" t="s">
        <v>71</v>
      </c>
      <c r="P902" s="11" t="s">
        <v>5131</v>
      </c>
      <c r="Q902" s="13" t="s">
        <v>5132</v>
      </c>
      <c r="R902" s="14" t="str">
        <f>HYPERLINK("https://drive.google.com/file/d/1S35QSIXVyJ4TvycREA5rGCHGhQ0MlRv8/view?usp=drivesdk","OFFER LETTER")</f>
        <v>OFFER LETTER</v>
      </c>
      <c r="S902" s="11" t="s">
        <v>5133</v>
      </c>
    </row>
    <row r="903" ht="22.5" customHeight="1">
      <c r="A903" s="10">
        <v>46260.615458182874</v>
      </c>
      <c r="B903" s="11" t="s">
        <v>5122</v>
      </c>
      <c r="C903" s="11" t="s">
        <v>195</v>
      </c>
      <c r="D903" s="11" t="s">
        <v>68</v>
      </c>
      <c r="E903" s="12">
        <v>46204.0</v>
      </c>
      <c r="F903" s="12">
        <v>46235.0</v>
      </c>
      <c r="G903" s="11" t="s">
        <v>5123</v>
      </c>
      <c r="H903" s="11">
        <v>7.070094051E9</v>
      </c>
      <c r="I903" s="11" t="s">
        <v>82</v>
      </c>
      <c r="J903" s="11" t="s">
        <v>71</v>
      </c>
      <c r="K903" s="11" t="s">
        <v>72</v>
      </c>
      <c r="L903" s="11" t="s">
        <v>84</v>
      </c>
      <c r="M903" s="11" t="s">
        <v>5124</v>
      </c>
      <c r="N903" s="11" t="s">
        <v>86</v>
      </c>
      <c r="O903" s="11" t="s">
        <v>71</v>
      </c>
      <c r="P903" s="11" t="s">
        <v>5134</v>
      </c>
      <c r="Q903" s="13" t="s">
        <v>5135</v>
      </c>
      <c r="R903" s="14" t="str">
        <f>HYPERLINK("https://drive.google.com/file/d/1FMjiMMV224JXGuVgYFSc3mHStedDY-Tc/view?usp=drivesdk","OFFER LETTER")</f>
        <v>OFFER LETTER</v>
      </c>
      <c r="S903" s="11" t="s">
        <v>5136</v>
      </c>
    </row>
    <row r="904" ht="22.5" customHeight="1">
      <c r="A904" s="10">
        <v>46260.61850834491</v>
      </c>
      <c r="B904" s="11" t="s">
        <v>5137</v>
      </c>
      <c r="C904" s="11" t="s">
        <v>128</v>
      </c>
      <c r="D904" s="11" t="s">
        <v>68</v>
      </c>
      <c r="E904" s="12">
        <v>46211.0</v>
      </c>
      <c r="F904" s="12">
        <v>46243.0</v>
      </c>
      <c r="G904" s="11" t="s">
        <v>5138</v>
      </c>
      <c r="H904" s="11">
        <v>8.886227874E9</v>
      </c>
      <c r="I904" s="11" t="s">
        <v>70</v>
      </c>
      <c r="J904" s="11" t="s">
        <v>71</v>
      </c>
      <c r="K904" s="11" t="s">
        <v>72</v>
      </c>
      <c r="L904" s="11" t="s">
        <v>131</v>
      </c>
      <c r="M904" s="11" t="s">
        <v>3625</v>
      </c>
      <c r="N904" s="11" t="s">
        <v>86</v>
      </c>
      <c r="O904" s="11" t="s">
        <v>71</v>
      </c>
      <c r="P904" s="11" t="s">
        <v>5139</v>
      </c>
      <c r="Q904" s="13" t="s">
        <v>5140</v>
      </c>
      <c r="R904" s="14" t="str">
        <f>HYPERLINK("https://drive.google.com/file/d/1odu8uY3qEQRfGMPiokfKs8mgFO7rXXLK/view?usp=drivesdk","OFFER LETTER")</f>
        <v>OFFER LETTER</v>
      </c>
      <c r="S904" s="11" t="s">
        <v>5141</v>
      </c>
    </row>
    <row r="905" ht="22.5" customHeight="1">
      <c r="A905" s="10">
        <v>46260.62066395833</v>
      </c>
      <c r="B905" s="11" t="s">
        <v>5142</v>
      </c>
      <c r="C905" s="11" t="s">
        <v>91</v>
      </c>
      <c r="D905" s="11" t="s">
        <v>108</v>
      </c>
      <c r="E905" s="12">
        <v>46198.0</v>
      </c>
      <c r="F905" s="12">
        <v>46259.0</v>
      </c>
      <c r="G905" s="11" t="s">
        <v>5143</v>
      </c>
      <c r="H905" s="11">
        <v>7.895659273E9</v>
      </c>
      <c r="I905" s="11" t="s">
        <v>82</v>
      </c>
      <c r="J905" s="11" t="s">
        <v>71</v>
      </c>
      <c r="K905" s="11" t="s">
        <v>72</v>
      </c>
      <c r="L905" s="11" t="s">
        <v>131</v>
      </c>
      <c r="M905" s="11" t="s">
        <v>493</v>
      </c>
      <c r="N905" s="11" t="s">
        <v>155</v>
      </c>
      <c r="O905" s="11" t="s">
        <v>71</v>
      </c>
      <c r="P905" s="11" t="s">
        <v>5144</v>
      </c>
      <c r="Q905" s="13" t="s">
        <v>5145</v>
      </c>
      <c r="R905" s="14" t="str">
        <f>HYPERLINK("https://drive.google.com/file/d/19rqqzPrqUXCY_fgU-F6RFRme-6uUx33C/view?usp=drivesdk","OFFER LETTER")</f>
        <v>OFFER LETTER</v>
      </c>
      <c r="S905" s="11" t="s">
        <v>5146</v>
      </c>
    </row>
    <row r="906" ht="22.5" customHeight="1">
      <c r="A906" s="10">
        <v>46260.62107436343</v>
      </c>
      <c r="B906" s="11" t="s">
        <v>5062</v>
      </c>
      <c r="C906" s="11" t="s">
        <v>128</v>
      </c>
      <c r="D906" s="11" t="s">
        <v>68</v>
      </c>
      <c r="E906" s="12">
        <v>46223.0</v>
      </c>
      <c r="F906" s="12">
        <v>46254.0</v>
      </c>
      <c r="G906" s="11" t="s">
        <v>5063</v>
      </c>
      <c r="H906" s="11">
        <v>7.906502727E9</v>
      </c>
      <c r="I906" s="11" t="s">
        <v>82</v>
      </c>
      <c r="J906" s="11" t="s">
        <v>71</v>
      </c>
      <c r="K906" s="11" t="s">
        <v>72</v>
      </c>
      <c r="L906" s="11" t="s">
        <v>84</v>
      </c>
      <c r="M906" s="11" t="s">
        <v>1211</v>
      </c>
      <c r="N906" s="11" t="s">
        <v>5147</v>
      </c>
      <c r="O906" s="11" t="s">
        <v>263</v>
      </c>
      <c r="P906" s="11" t="s">
        <v>5148</v>
      </c>
      <c r="Q906" s="13" t="s">
        <v>5149</v>
      </c>
      <c r="R906" s="14" t="str">
        <f>HYPERLINK("https://drive.google.com/file/d/1f8gBspxfx9llCr6rGxXoXyHzcHU0V2AA/view?usp=drivesdk","OFFER LETTER")</f>
        <v>OFFER LETTER</v>
      </c>
      <c r="S906" s="11" t="s">
        <v>5150</v>
      </c>
    </row>
    <row r="907" ht="22.5" customHeight="1">
      <c r="A907" s="10">
        <v>46260.621136574075</v>
      </c>
      <c r="B907" s="11" t="s">
        <v>5151</v>
      </c>
      <c r="C907" s="11" t="s">
        <v>80</v>
      </c>
      <c r="D907" s="11" t="s">
        <v>68</v>
      </c>
      <c r="E907" s="12">
        <v>46260.0</v>
      </c>
      <c r="F907" s="12">
        <v>46291.0</v>
      </c>
      <c r="G907" s="11" t="s">
        <v>5152</v>
      </c>
      <c r="H907" s="11">
        <v>9.629314353E9</v>
      </c>
      <c r="I907" s="11" t="s">
        <v>82</v>
      </c>
      <c r="J907" s="11" t="s">
        <v>71</v>
      </c>
      <c r="K907" s="11" t="s">
        <v>72</v>
      </c>
      <c r="L907" s="11" t="s">
        <v>84</v>
      </c>
      <c r="M907" s="11" t="s">
        <v>1279</v>
      </c>
      <c r="N907" s="11" t="s">
        <v>198</v>
      </c>
      <c r="O907" s="11" t="s">
        <v>71</v>
      </c>
      <c r="P907" s="11" t="s">
        <v>5153</v>
      </c>
      <c r="Q907" s="13" t="s">
        <v>5154</v>
      </c>
      <c r="R907" s="14" t="str">
        <f>HYPERLINK("https://drive.google.com/file/d/14llfwU_MMBW4J2qDqcQXjc8_1Dq46sXN/view?usp=drivesdk","OFFER LETTER")</f>
        <v>OFFER LETTER</v>
      </c>
      <c r="S907" s="11" t="s">
        <v>5155</v>
      </c>
    </row>
    <row r="908" ht="22.5" customHeight="1">
      <c r="A908" s="10">
        <v>46260.63047314815</v>
      </c>
      <c r="B908" s="11" t="s">
        <v>5156</v>
      </c>
      <c r="C908" s="11" t="s">
        <v>128</v>
      </c>
      <c r="D908" s="11" t="s">
        <v>68</v>
      </c>
      <c r="E908" s="12">
        <v>46228.0</v>
      </c>
      <c r="F908" s="12">
        <v>46265.0</v>
      </c>
      <c r="G908" s="11" t="s">
        <v>5157</v>
      </c>
      <c r="H908" s="11">
        <v>8.539899798E9</v>
      </c>
      <c r="I908" s="11" t="s">
        <v>82</v>
      </c>
      <c r="J908" s="11" t="s">
        <v>71</v>
      </c>
      <c r="K908" s="11" t="s">
        <v>72</v>
      </c>
      <c r="L908" s="11" t="s">
        <v>73</v>
      </c>
      <c r="M908" s="11" t="s">
        <v>5158</v>
      </c>
      <c r="N908" s="11" t="s">
        <v>75</v>
      </c>
      <c r="O908" s="11" t="s">
        <v>71</v>
      </c>
      <c r="P908" s="11" t="s">
        <v>5159</v>
      </c>
      <c r="Q908" s="13" t="s">
        <v>5160</v>
      </c>
      <c r="R908" s="14" t="str">
        <f>HYPERLINK("https://drive.google.com/file/d/1r1Os5XLBZ8g4KU0WnIjOjJqiipMOiDGi/view?usp=drivesdk","OFFER LETTER")</f>
        <v>OFFER LETTER</v>
      </c>
      <c r="S908" s="11" t="s">
        <v>5161</v>
      </c>
    </row>
    <row r="909" ht="22.5" customHeight="1">
      <c r="A909" s="10">
        <v>46260.63492211806</v>
      </c>
      <c r="B909" s="11" t="s">
        <v>3457</v>
      </c>
      <c r="C909" s="11" t="s">
        <v>1200</v>
      </c>
      <c r="D909" s="11" t="s">
        <v>108</v>
      </c>
      <c r="E909" s="12">
        <v>46260.0</v>
      </c>
      <c r="F909" s="12">
        <v>46321.0</v>
      </c>
      <c r="G909" s="11" t="s">
        <v>3458</v>
      </c>
      <c r="H909" s="11">
        <v>7.509345094E9</v>
      </c>
      <c r="I909" s="11" t="s">
        <v>82</v>
      </c>
      <c r="J909" s="11" t="s">
        <v>71</v>
      </c>
      <c r="K909" s="11" t="s">
        <v>167</v>
      </c>
      <c r="L909" s="11" t="s">
        <v>357</v>
      </c>
      <c r="M909" s="11" t="s">
        <v>5162</v>
      </c>
      <c r="N909" s="11" t="s">
        <v>241</v>
      </c>
      <c r="O909" s="11" t="s">
        <v>71</v>
      </c>
      <c r="P909" s="11" t="s">
        <v>5163</v>
      </c>
      <c r="Q909" s="13" t="s">
        <v>5164</v>
      </c>
      <c r="R909" s="14" t="str">
        <f>HYPERLINK("https://drive.google.com/file/d/1RsmPFiEE3-9Xv2SPBcstm3QeckE85aNX/view?usp=drivesdk","OFFER LETTER")</f>
        <v>OFFER LETTER</v>
      </c>
      <c r="S909" s="11" t="s">
        <v>5165</v>
      </c>
    </row>
    <row r="910" ht="22.5" customHeight="1">
      <c r="A910" s="10">
        <v>46260.63988379629</v>
      </c>
      <c r="B910" s="11" t="s">
        <v>5166</v>
      </c>
      <c r="C910" s="11" t="s">
        <v>80</v>
      </c>
      <c r="D910" s="11" t="s">
        <v>68</v>
      </c>
      <c r="E910" s="12">
        <v>46264.0</v>
      </c>
      <c r="F910" s="12">
        <v>46295.0</v>
      </c>
      <c r="G910" s="11" t="s">
        <v>3179</v>
      </c>
      <c r="H910" s="11">
        <v>6.309802949E9</v>
      </c>
      <c r="I910" s="11" t="s">
        <v>82</v>
      </c>
      <c r="J910" s="11" t="s">
        <v>71</v>
      </c>
      <c r="K910" s="11" t="s">
        <v>72</v>
      </c>
      <c r="L910" s="11" t="s">
        <v>73</v>
      </c>
      <c r="M910" s="11" t="s">
        <v>3180</v>
      </c>
      <c r="N910" s="11" t="s">
        <v>86</v>
      </c>
      <c r="O910" s="11" t="s">
        <v>71</v>
      </c>
      <c r="P910" s="11" t="s">
        <v>5167</v>
      </c>
      <c r="Q910" s="13" t="s">
        <v>5168</v>
      </c>
      <c r="R910" s="14" t="str">
        <f>HYPERLINK("https://drive.google.com/file/d/1NuRBY8ZazeoVcTiwtuqYndT7cBfK7dBh/view?usp=drivesdk","OFFER LETTER")</f>
        <v>OFFER LETTER</v>
      </c>
      <c r="S910" s="11" t="s">
        <v>5169</v>
      </c>
    </row>
    <row r="911" ht="22.5" customHeight="1">
      <c r="A911" s="10">
        <v>46260.650558078705</v>
      </c>
      <c r="B911" s="11" t="s">
        <v>5170</v>
      </c>
      <c r="C911" s="11" t="s">
        <v>259</v>
      </c>
      <c r="D911" s="11" t="s">
        <v>108</v>
      </c>
      <c r="E911" s="12">
        <v>46175.0</v>
      </c>
      <c r="F911" s="12">
        <v>46237.0</v>
      </c>
      <c r="G911" s="11" t="s">
        <v>5171</v>
      </c>
      <c r="H911" s="11">
        <v>9.999782634E9</v>
      </c>
      <c r="I911" s="11" t="s">
        <v>82</v>
      </c>
      <c r="J911" s="11" t="s">
        <v>71</v>
      </c>
      <c r="K911" s="11" t="s">
        <v>72</v>
      </c>
      <c r="L911" s="11" t="s">
        <v>131</v>
      </c>
      <c r="M911" s="11" t="s">
        <v>5172</v>
      </c>
      <c r="N911" s="11" t="s">
        <v>198</v>
      </c>
      <c r="O911" s="11" t="s">
        <v>71</v>
      </c>
      <c r="P911" s="11" t="s">
        <v>5173</v>
      </c>
      <c r="Q911" s="13" t="s">
        <v>5174</v>
      </c>
      <c r="R911" s="14" t="str">
        <f>HYPERLINK("https://drive.google.com/file/d/1Yuo0bwT2Dq-mZeTeCxLu5cKXppZtBdnn/view?usp=drivesdk","OFFER LETTER")</f>
        <v>OFFER LETTER</v>
      </c>
      <c r="S911" s="11" t="s">
        <v>5175</v>
      </c>
    </row>
    <row r="912" ht="22.5" customHeight="1">
      <c r="A912" s="10">
        <v>46260.6507416088</v>
      </c>
      <c r="B912" s="11" t="s">
        <v>5176</v>
      </c>
      <c r="C912" s="11" t="s">
        <v>195</v>
      </c>
      <c r="D912" s="11" t="s">
        <v>108</v>
      </c>
      <c r="E912" s="12">
        <v>46189.0</v>
      </c>
      <c r="F912" s="12">
        <v>46250.0</v>
      </c>
      <c r="G912" s="11" t="s">
        <v>5177</v>
      </c>
      <c r="H912" s="11">
        <v>8.512893309E9</v>
      </c>
      <c r="I912" s="11" t="s">
        <v>82</v>
      </c>
      <c r="J912" s="11" t="s">
        <v>71</v>
      </c>
      <c r="K912" s="11" t="s">
        <v>72</v>
      </c>
      <c r="L912" s="11" t="s">
        <v>84</v>
      </c>
      <c r="M912" s="11" t="s">
        <v>5178</v>
      </c>
      <c r="N912" s="11" t="s">
        <v>420</v>
      </c>
      <c r="O912" s="11" t="s">
        <v>71</v>
      </c>
      <c r="P912" s="11" t="s">
        <v>5179</v>
      </c>
      <c r="Q912" s="13" t="s">
        <v>5180</v>
      </c>
      <c r="R912" s="14" t="str">
        <f>HYPERLINK("https://drive.google.com/file/d/1RThdfmY1gGkvqPcvvWD_rRQZTnphjzze/view?usp=drivesdk","OFFER LETTER")</f>
        <v>OFFER LETTER</v>
      </c>
      <c r="S912" s="11" t="s">
        <v>5181</v>
      </c>
    </row>
    <row r="913" ht="22.5" customHeight="1">
      <c r="A913" s="10">
        <v>46260.65286947916</v>
      </c>
      <c r="B913" s="11" t="s">
        <v>4069</v>
      </c>
      <c r="C913" s="11" t="s">
        <v>1320</v>
      </c>
      <c r="D913" s="11" t="s">
        <v>108</v>
      </c>
      <c r="E913" s="12">
        <v>46206.0</v>
      </c>
      <c r="F913" s="12">
        <v>46268.0</v>
      </c>
      <c r="G913" s="11" t="s">
        <v>5182</v>
      </c>
      <c r="H913" s="11">
        <v>8.789780843E9</v>
      </c>
      <c r="I913" s="11" t="s">
        <v>82</v>
      </c>
      <c r="J913" s="11" t="s">
        <v>71</v>
      </c>
      <c r="K913" s="11" t="s">
        <v>72</v>
      </c>
      <c r="L913" s="11" t="s">
        <v>73</v>
      </c>
      <c r="M913" s="11" t="s">
        <v>1118</v>
      </c>
      <c r="N913" s="11" t="s">
        <v>86</v>
      </c>
      <c r="O913" s="11" t="s">
        <v>71</v>
      </c>
      <c r="P913" s="11" t="s">
        <v>5183</v>
      </c>
      <c r="Q913" s="13" t="s">
        <v>5184</v>
      </c>
      <c r="R913" s="14" t="str">
        <f>HYPERLINK("https://drive.google.com/file/d/1-Ae5TDEQ7BeR69QrxtSCRI81csC5MpJL/view?usp=drivesdk","OFFER LETTER")</f>
        <v>OFFER LETTER</v>
      </c>
      <c r="S913" s="11" t="s">
        <v>5185</v>
      </c>
    </row>
    <row r="914" ht="22.5" customHeight="1">
      <c r="A914" s="10">
        <v>46260.65570091435</v>
      </c>
      <c r="B914" s="11" t="s">
        <v>5186</v>
      </c>
      <c r="C914" s="11" t="s">
        <v>91</v>
      </c>
      <c r="D914" s="11" t="s">
        <v>238</v>
      </c>
      <c r="E914" s="12">
        <v>46260.0</v>
      </c>
      <c r="F914" s="12">
        <v>46352.0</v>
      </c>
      <c r="G914" s="11" t="s">
        <v>5187</v>
      </c>
      <c r="H914" s="11">
        <v>9.209613114E9</v>
      </c>
      <c r="I914" s="11" t="s">
        <v>82</v>
      </c>
      <c r="J914" s="11" t="s">
        <v>71</v>
      </c>
      <c r="K914" s="11" t="s">
        <v>110</v>
      </c>
      <c r="L914" s="11" t="s">
        <v>73</v>
      </c>
      <c r="M914" s="11" t="s">
        <v>5188</v>
      </c>
      <c r="N914" s="11" t="s">
        <v>241</v>
      </c>
      <c r="O914" s="11" t="s">
        <v>71</v>
      </c>
      <c r="P914" s="11" t="s">
        <v>5189</v>
      </c>
      <c r="Q914" s="13" t="s">
        <v>5190</v>
      </c>
      <c r="R914" s="14" t="str">
        <f>HYPERLINK("https://drive.google.com/file/d/1vwR3Y-HQWymFhZfskfHxpjzSak49a-JT/view?usp=drivesdk","OFFER LETTER")</f>
        <v>OFFER LETTER</v>
      </c>
      <c r="S914" s="11" t="s">
        <v>5191</v>
      </c>
    </row>
    <row r="915" ht="22.5" customHeight="1">
      <c r="A915" s="10">
        <v>46260.65863827546</v>
      </c>
      <c r="B915" s="11" t="s">
        <v>5192</v>
      </c>
      <c r="C915" s="11" t="s">
        <v>259</v>
      </c>
      <c r="D915" s="11" t="s">
        <v>108</v>
      </c>
      <c r="E915" s="12">
        <v>46174.0</v>
      </c>
      <c r="F915" s="12">
        <v>46234.0</v>
      </c>
      <c r="G915" s="11" t="s">
        <v>5193</v>
      </c>
      <c r="H915" s="11">
        <v>9.999963542E9</v>
      </c>
      <c r="I915" s="11" t="s">
        <v>82</v>
      </c>
      <c r="J915" s="11" t="s">
        <v>71</v>
      </c>
      <c r="K915" s="11" t="s">
        <v>72</v>
      </c>
      <c r="L915" s="11" t="s">
        <v>131</v>
      </c>
      <c r="M915" s="11" t="s">
        <v>5194</v>
      </c>
      <c r="N915" s="11" t="s">
        <v>198</v>
      </c>
      <c r="O915" s="11" t="s">
        <v>71</v>
      </c>
      <c r="P915" s="11" t="s">
        <v>5195</v>
      </c>
      <c r="Q915" s="13" t="s">
        <v>5196</v>
      </c>
      <c r="R915" s="14" t="str">
        <f>HYPERLINK("https://drive.google.com/file/d/1oFt_EO2rpAIaQzJl4XWHBQsYa-g5YbtP/view?usp=drivesdk","OFFER LETTER")</f>
        <v>OFFER LETTER</v>
      </c>
      <c r="S915" s="11" t="s">
        <v>5197</v>
      </c>
    </row>
    <row r="916" ht="22.5" customHeight="1">
      <c r="A916" s="10">
        <v>46260.66079543981</v>
      </c>
      <c r="B916" s="11" t="s">
        <v>5198</v>
      </c>
      <c r="C916" s="11" t="s">
        <v>195</v>
      </c>
      <c r="D916" s="11" t="s">
        <v>108</v>
      </c>
      <c r="E916" s="12">
        <v>46266.0</v>
      </c>
      <c r="F916" s="12">
        <v>46329.0</v>
      </c>
      <c r="G916" s="11" t="s">
        <v>5199</v>
      </c>
      <c r="H916" s="11">
        <v>8.778427915E9</v>
      </c>
      <c r="I916" s="11" t="s">
        <v>82</v>
      </c>
      <c r="J916" s="11" t="s">
        <v>71</v>
      </c>
      <c r="K916" s="11" t="s">
        <v>356</v>
      </c>
      <c r="L916" s="11" t="s">
        <v>84</v>
      </c>
      <c r="M916" s="11" t="s">
        <v>3075</v>
      </c>
      <c r="N916" s="11" t="s">
        <v>630</v>
      </c>
      <c r="O916" s="11" t="s">
        <v>71</v>
      </c>
      <c r="P916" s="11" t="s">
        <v>5200</v>
      </c>
      <c r="Q916" s="13" t="s">
        <v>5201</v>
      </c>
      <c r="R916" s="14" t="str">
        <f>HYPERLINK("https://drive.google.com/file/d/1HLNGukKdC63r_97eNKq_SBTkjri3NmUO/view?usp=drivesdk","OFFER LETTER")</f>
        <v>OFFER LETTER</v>
      </c>
      <c r="S916" s="11" t="s">
        <v>5202</v>
      </c>
    </row>
    <row r="917" ht="22.5" customHeight="1">
      <c r="A917" s="10">
        <v>46260.69200599537</v>
      </c>
      <c r="B917" s="11" t="s">
        <v>5203</v>
      </c>
      <c r="C917" s="11" t="s">
        <v>195</v>
      </c>
      <c r="D917" s="11" t="s">
        <v>68</v>
      </c>
      <c r="E917" s="12">
        <v>46236.0</v>
      </c>
      <c r="F917" s="12">
        <v>46267.0</v>
      </c>
      <c r="G917" s="11" t="s">
        <v>5204</v>
      </c>
      <c r="H917" s="17" t="s">
        <v>5205</v>
      </c>
      <c r="I917" s="11" t="s">
        <v>82</v>
      </c>
      <c r="J917" s="11" t="s">
        <v>83</v>
      </c>
      <c r="K917" s="11" t="s">
        <v>72</v>
      </c>
      <c r="L917" s="11" t="s">
        <v>131</v>
      </c>
      <c r="M917" s="11" t="s">
        <v>5206</v>
      </c>
      <c r="N917" s="11" t="s">
        <v>86</v>
      </c>
      <c r="O917" s="11" t="s">
        <v>263</v>
      </c>
      <c r="P917" s="11" t="s">
        <v>5207</v>
      </c>
      <c r="Q917" s="13" t="s">
        <v>5208</v>
      </c>
      <c r="R917" s="14" t="str">
        <f>HYPERLINK("https://drive.google.com/file/d/1vRVVQdEH-MMAO8Rjx4hbfzRpNMh2e60Y/view?usp=drivesdk","OFFER LETTER")</f>
        <v>OFFER LETTER</v>
      </c>
      <c r="S917" s="11" t="s">
        <v>5209</v>
      </c>
    </row>
    <row r="918" ht="22.5" customHeight="1">
      <c r="A918" s="10">
        <v>46260.697905231485</v>
      </c>
      <c r="B918" s="11" t="s">
        <v>5137</v>
      </c>
      <c r="C918" s="11" t="s">
        <v>173</v>
      </c>
      <c r="D918" s="11" t="s">
        <v>68</v>
      </c>
      <c r="E918" s="12">
        <v>46211.0</v>
      </c>
      <c r="F918" s="12">
        <v>46243.0</v>
      </c>
      <c r="G918" s="11" t="s">
        <v>5138</v>
      </c>
      <c r="H918" s="11">
        <v>8.886227874E9</v>
      </c>
      <c r="I918" s="11" t="s">
        <v>70</v>
      </c>
      <c r="J918" s="11" t="s">
        <v>71</v>
      </c>
      <c r="K918" s="11" t="s">
        <v>72</v>
      </c>
      <c r="L918" s="11" t="s">
        <v>131</v>
      </c>
      <c r="M918" s="11" t="s">
        <v>3625</v>
      </c>
      <c r="N918" s="11" t="s">
        <v>86</v>
      </c>
      <c r="O918" s="11" t="s">
        <v>71</v>
      </c>
      <c r="P918" s="11" t="s">
        <v>5210</v>
      </c>
      <c r="Q918" s="13" t="s">
        <v>5211</v>
      </c>
      <c r="R918" s="14" t="str">
        <f>HYPERLINK("https://drive.google.com/file/d/116KF163kIg9i3OgLXT-m_7B1euFjRc_g/view?usp=drivesdk","OFFER LETTER")</f>
        <v>OFFER LETTER</v>
      </c>
      <c r="S918" s="11" t="s">
        <v>5212</v>
      </c>
    </row>
    <row r="919" ht="22.5" customHeight="1">
      <c r="A919" s="10">
        <v>46260.69903103009</v>
      </c>
      <c r="B919" s="11" t="s">
        <v>5213</v>
      </c>
      <c r="C919" s="11" t="s">
        <v>173</v>
      </c>
      <c r="D919" s="11" t="s">
        <v>68</v>
      </c>
      <c r="E919" s="12">
        <v>46204.0</v>
      </c>
      <c r="F919" s="12">
        <v>46234.0</v>
      </c>
      <c r="G919" s="11" t="s">
        <v>5214</v>
      </c>
      <c r="H919" s="11">
        <v>9.326770512E9</v>
      </c>
      <c r="I919" s="11" t="s">
        <v>70</v>
      </c>
      <c r="J919" s="11" t="s">
        <v>71</v>
      </c>
      <c r="K919" s="11" t="s">
        <v>72</v>
      </c>
      <c r="L919" s="11" t="s">
        <v>131</v>
      </c>
      <c r="M919" s="11" t="s">
        <v>5215</v>
      </c>
      <c r="N919" s="11" t="s">
        <v>226</v>
      </c>
      <c r="O919" s="11" t="s">
        <v>71</v>
      </c>
      <c r="P919" s="11" t="s">
        <v>5216</v>
      </c>
      <c r="Q919" s="13" t="s">
        <v>5217</v>
      </c>
      <c r="R919" s="14" t="str">
        <f>HYPERLINK("https://drive.google.com/file/d/1Y3J1fDbdsMjKKfMIwx9SDsoRI-uTjX73/view?usp=drivesdk","OFFER LETTER")</f>
        <v>OFFER LETTER</v>
      </c>
      <c r="S919" s="11" t="s">
        <v>5218</v>
      </c>
    </row>
    <row r="920" ht="22.5" customHeight="1">
      <c r="A920" s="10">
        <v>46260.71016069445</v>
      </c>
      <c r="B920" s="11" t="s">
        <v>5219</v>
      </c>
      <c r="C920" s="11" t="s">
        <v>195</v>
      </c>
      <c r="D920" s="11" t="s">
        <v>108</v>
      </c>
      <c r="E920" s="12">
        <v>46146.0</v>
      </c>
      <c r="F920" s="12">
        <v>46201.0</v>
      </c>
      <c r="G920" s="11" t="s">
        <v>5220</v>
      </c>
      <c r="H920" s="11">
        <v>7.382517329E9</v>
      </c>
      <c r="I920" s="11" t="s">
        <v>70</v>
      </c>
      <c r="J920" s="11" t="s">
        <v>71</v>
      </c>
      <c r="K920" s="11" t="s">
        <v>72</v>
      </c>
      <c r="L920" s="11" t="s">
        <v>73</v>
      </c>
      <c r="M920" s="11" t="s">
        <v>5221</v>
      </c>
      <c r="N920" s="11" t="s">
        <v>75</v>
      </c>
      <c r="O920" s="11" t="s">
        <v>71</v>
      </c>
      <c r="P920" s="11" t="s">
        <v>5222</v>
      </c>
      <c r="Q920" s="13" t="s">
        <v>5223</v>
      </c>
      <c r="R920" s="14" t="str">
        <f>HYPERLINK("https://drive.google.com/file/d/1q1kj8Yfb9ecozZ9UZe3_QpaDZsitJVAj/view?usp=drivesdk","OFFER LETTER")</f>
        <v>OFFER LETTER</v>
      </c>
      <c r="S920" s="11" t="s">
        <v>5224</v>
      </c>
    </row>
    <row r="921" ht="22.5" customHeight="1">
      <c r="A921" s="10">
        <v>46260.71366907407</v>
      </c>
      <c r="B921" s="11" t="s">
        <v>5225</v>
      </c>
      <c r="C921" s="11" t="s">
        <v>195</v>
      </c>
      <c r="D921" s="11" t="s">
        <v>68</v>
      </c>
      <c r="E921" s="12">
        <v>46260.0</v>
      </c>
      <c r="F921" s="12">
        <v>46291.0</v>
      </c>
      <c r="G921" s="11" t="s">
        <v>5226</v>
      </c>
      <c r="H921" s="11">
        <v>9.955401341E9</v>
      </c>
      <c r="I921" s="11" t="s">
        <v>82</v>
      </c>
      <c r="J921" s="11" t="s">
        <v>71</v>
      </c>
      <c r="K921" s="13" t="s">
        <v>443</v>
      </c>
      <c r="L921" s="11" t="s">
        <v>84</v>
      </c>
      <c r="M921" s="11" t="s">
        <v>5227</v>
      </c>
      <c r="N921" s="11" t="s">
        <v>75</v>
      </c>
      <c r="O921" s="11" t="s">
        <v>71</v>
      </c>
      <c r="P921" s="11" t="s">
        <v>5228</v>
      </c>
      <c r="Q921" s="13" t="s">
        <v>5229</v>
      </c>
      <c r="R921" s="14" t="str">
        <f>HYPERLINK("https://drive.google.com/file/d/1Y5JB75HwBL0K97groEaulQPdv7oiPiLD/view?usp=drivesdk","OFFER LETTER")</f>
        <v>OFFER LETTER</v>
      </c>
      <c r="S921" s="11" t="s">
        <v>5230</v>
      </c>
    </row>
    <row r="922" ht="22.5" customHeight="1">
      <c r="A922" s="10">
        <v>46260.72133730324</v>
      </c>
      <c r="B922" s="11" t="s">
        <v>5231</v>
      </c>
      <c r="C922" s="11" t="s">
        <v>195</v>
      </c>
      <c r="D922" s="11" t="s">
        <v>68</v>
      </c>
      <c r="E922" s="12">
        <v>46260.0</v>
      </c>
      <c r="F922" s="12">
        <v>46291.0</v>
      </c>
      <c r="G922" s="11" t="s">
        <v>5232</v>
      </c>
      <c r="H922" s="11">
        <v>9.955401341E9</v>
      </c>
      <c r="I922" s="11" t="s">
        <v>82</v>
      </c>
      <c r="J922" s="11" t="s">
        <v>71</v>
      </c>
      <c r="K922" s="13" t="s">
        <v>443</v>
      </c>
      <c r="L922" s="11" t="s">
        <v>84</v>
      </c>
      <c r="M922" s="11" t="s">
        <v>5233</v>
      </c>
      <c r="N922" s="11" t="s">
        <v>241</v>
      </c>
      <c r="O922" s="11" t="s">
        <v>71</v>
      </c>
      <c r="P922" s="11" t="s">
        <v>5234</v>
      </c>
      <c r="Q922" s="13" t="s">
        <v>5235</v>
      </c>
      <c r="R922" s="14" t="str">
        <f>HYPERLINK("https://drive.google.com/file/d/1IMACt_CfXAia3By-RGn_uKVon-8imZKt/view?usp=drivesdk","OFFER LETTER")</f>
        <v>OFFER LETTER</v>
      </c>
      <c r="S922" s="11" t="s">
        <v>5236</v>
      </c>
    </row>
    <row r="923" ht="22.5" customHeight="1">
      <c r="A923" s="10">
        <v>46260.72448186342</v>
      </c>
      <c r="B923" s="11" t="s">
        <v>5237</v>
      </c>
      <c r="C923" s="11" t="s">
        <v>91</v>
      </c>
      <c r="D923" s="11" t="s">
        <v>68</v>
      </c>
      <c r="E923" s="12">
        <v>46203.0</v>
      </c>
      <c r="F923" s="12">
        <v>46265.0</v>
      </c>
      <c r="G923" s="11" t="s">
        <v>5238</v>
      </c>
      <c r="H923" s="11">
        <v>9.566473258E9</v>
      </c>
      <c r="I923" s="11" t="s">
        <v>70</v>
      </c>
      <c r="J923" s="11" t="s">
        <v>83</v>
      </c>
      <c r="K923" s="11" t="s">
        <v>72</v>
      </c>
      <c r="L923" s="11" t="s">
        <v>73</v>
      </c>
      <c r="M923" s="11" t="s">
        <v>5239</v>
      </c>
      <c r="N923" s="11" t="s">
        <v>86</v>
      </c>
      <c r="O923" s="11" t="s">
        <v>71</v>
      </c>
      <c r="P923" s="11" t="s">
        <v>5240</v>
      </c>
      <c r="Q923" s="13" t="s">
        <v>5241</v>
      </c>
      <c r="R923" s="14" t="str">
        <f>HYPERLINK("https://drive.google.com/file/d/1y_7cYaz1dZG1-95wBmrQAOx0bHHvBByS/view?usp=drivesdk","OFFER LETTER")</f>
        <v>OFFER LETTER</v>
      </c>
      <c r="S923" s="11" t="s">
        <v>5242</v>
      </c>
    </row>
    <row r="924" ht="22.5" customHeight="1">
      <c r="A924" s="10">
        <v>46260.725238217594</v>
      </c>
      <c r="B924" s="11" t="s">
        <v>5243</v>
      </c>
      <c r="C924" s="11" t="s">
        <v>91</v>
      </c>
      <c r="D924" s="11" t="s">
        <v>929</v>
      </c>
      <c r="E924" s="12">
        <v>46260.0</v>
      </c>
      <c r="F924" s="12">
        <v>46444.0</v>
      </c>
      <c r="G924" s="11" t="s">
        <v>5244</v>
      </c>
      <c r="H924" s="11">
        <v>8.901294831E9</v>
      </c>
      <c r="I924" s="11" t="s">
        <v>82</v>
      </c>
      <c r="J924" s="11" t="s">
        <v>71</v>
      </c>
      <c r="K924" s="11" t="s">
        <v>110</v>
      </c>
      <c r="L924" s="11" t="s">
        <v>247</v>
      </c>
      <c r="M924" s="11" t="s">
        <v>5245</v>
      </c>
      <c r="N924" s="11" t="s">
        <v>1170</v>
      </c>
      <c r="O924" s="11" t="s">
        <v>71</v>
      </c>
      <c r="P924" s="11" t="s">
        <v>5246</v>
      </c>
      <c r="Q924" s="13" t="s">
        <v>5247</v>
      </c>
      <c r="R924" s="14" t="str">
        <f>HYPERLINK("https://drive.google.com/file/d/1uZms4d5UOeTHJvoe_n4nFjuJpGyieouc/view?usp=drivesdk","OFFER LETTER")</f>
        <v>OFFER LETTER</v>
      </c>
      <c r="S924" s="11" t="s">
        <v>5248</v>
      </c>
    </row>
    <row r="925" ht="22.5" customHeight="1">
      <c r="A925" s="10">
        <v>46260.73555619213</v>
      </c>
      <c r="B925" s="11" t="s">
        <v>5249</v>
      </c>
      <c r="C925" s="11" t="s">
        <v>107</v>
      </c>
      <c r="D925" s="11" t="s">
        <v>108</v>
      </c>
      <c r="E925" s="12">
        <v>46193.0</v>
      </c>
      <c r="F925" s="12">
        <v>46254.0</v>
      </c>
      <c r="G925" s="11" t="s">
        <v>5250</v>
      </c>
      <c r="H925" s="11">
        <v>7.975684681E9</v>
      </c>
      <c r="I925" s="11" t="s">
        <v>82</v>
      </c>
      <c r="J925" s="11" t="s">
        <v>71</v>
      </c>
      <c r="K925" s="11" t="s">
        <v>110</v>
      </c>
      <c r="L925" s="11" t="s">
        <v>73</v>
      </c>
      <c r="M925" s="11" t="s">
        <v>5251</v>
      </c>
      <c r="N925" s="11" t="s">
        <v>86</v>
      </c>
      <c r="O925" s="11" t="s">
        <v>71</v>
      </c>
      <c r="P925" s="11" t="s">
        <v>5252</v>
      </c>
      <c r="Q925" s="13" t="s">
        <v>5253</v>
      </c>
      <c r="R925" s="14" t="str">
        <f>HYPERLINK("https://drive.google.com/file/d/1TKgBCsk9nbkIkbNSARvFqD_ut6vSkvmm/view?usp=drivesdk","OFFER LETTER")</f>
        <v>OFFER LETTER</v>
      </c>
      <c r="S925" s="11" t="s">
        <v>5254</v>
      </c>
    </row>
    <row r="926" ht="22.5" customHeight="1">
      <c r="A926" s="10">
        <v>46260.75261952546</v>
      </c>
      <c r="B926" s="11" t="s">
        <v>5255</v>
      </c>
      <c r="C926" s="11" t="s">
        <v>173</v>
      </c>
      <c r="D926" s="11" t="s">
        <v>68</v>
      </c>
      <c r="E926" s="12">
        <v>46261.0</v>
      </c>
      <c r="F926" s="12">
        <v>46292.0</v>
      </c>
      <c r="G926" s="11" t="s">
        <v>1216</v>
      </c>
      <c r="H926" s="11">
        <v>9.630070066E9</v>
      </c>
      <c r="I926" s="11" t="s">
        <v>82</v>
      </c>
      <c r="J926" s="11" t="s">
        <v>83</v>
      </c>
      <c r="K926" s="11" t="s">
        <v>72</v>
      </c>
      <c r="L926" s="11" t="s">
        <v>84</v>
      </c>
      <c r="M926" s="11" t="s">
        <v>2021</v>
      </c>
      <c r="N926" s="11" t="s">
        <v>75</v>
      </c>
      <c r="O926" s="11" t="s">
        <v>71</v>
      </c>
      <c r="P926" s="11" t="s">
        <v>5256</v>
      </c>
      <c r="Q926" s="13" t="s">
        <v>5257</v>
      </c>
      <c r="R926" s="14" t="str">
        <f>HYPERLINK("https://drive.google.com/file/d/1TlYJe7M56u8x3tUX4CY2LG8ADiNY2NaS/view?usp=drivesdk","OFFER LETTER")</f>
        <v>OFFER LETTER</v>
      </c>
      <c r="S926" s="11" t="s">
        <v>5258</v>
      </c>
    </row>
    <row r="927" ht="22.5" customHeight="1">
      <c r="A927" s="10">
        <v>46260.76274150463</v>
      </c>
      <c r="B927" s="11" t="s">
        <v>5259</v>
      </c>
      <c r="C927" s="11" t="s">
        <v>173</v>
      </c>
      <c r="D927" s="11" t="s">
        <v>68</v>
      </c>
      <c r="E927" s="12">
        <v>45989.0</v>
      </c>
      <c r="F927" s="12">
        <v>46019.0</v>
      </c>
      <c r="G927" s="11" t="s">
        <v>5260</v>
      </c>
      <c r="H927" s="11">
        <v>8.302107372E9</v>
      </c>
      <c r="I927" s="11" t="s">
        <v>82</v>
      </c>
      <c r="J927" s="11" t="s">
        <v>71</v>
      </c>
      <c r="K927" s="11" t="s">
        <v>72</v>
      </c>
      <c r="L927" s="11" t="s">
        <v>131</v>
      </c>
      <c r="M927" s="11" t="s">
        <v>5261</v>
      </c>
      <c r="N927" s="11" t="s">
        <v>75</v>
      </c>
      <c r="O927" s="11" t="s">
        <v>71</v>
      </c>
      <c r="P927" s="11" t="s">
        <v>5262</v>
      </c>
      <c r="Q927" s="13" t="s">
        <v>5263</v>
      </c>
      <c r="R927" s="14" t="str">
        <f>HYPERLINK("https://drive.google.com/file/d/1zZ96HTVfZIj528kKmDY94QBpaF-oqhnL/view?usp=drivesdk","OFFER LETTER")</f>
        <v>OFFER LETTER</v>
      </c>
      <c r="S927" s="11" t="s">
        <v>5264</v>
      </c>
    </row>
    <row r="928" ht="22.5" customHeight="1">
      <c r="A928" s="10">
        <v>46260.76963145833</v>
      </c>
      <c r="B928" s="11" t="s">
        <v>5265</v>
      </c>
      <c r="C928" s="11" t="s">
        <v>107</v>
      </c>
      <c r="D928" s="11" t="s">
        <v>68</v>
      </c>
      <c r="E928" s="12">
        <v>46162.0</v>
      </c>
      <c r="F928" s="12">
        <v>46195.0</v>
      </c>
      <c r="G928" s="11" t="s">
        <v>5266</v>
      </c>
      <c r="H928" s="11">
        <v>9.776627698E9</v>
      </c>
      <c r="I928" s="11" t="s">
        <v>82</v>
      </c>
      <c r="K928" s="13" t="s">
        <v>443</v>
      </c>
      <c r="L928" s="11" t="s">
        <v>84</v>
      </c>
      <c r="M928" s="11" t="s">
        <v>5267</v>
      </c>
      <c r="N928" s="11" t="s">
        <v>86</v>
      </c>
      <c r="O928" s="11" t="s">
        <v>71</v>
      </c>
      <c r="P928" s="11" t="s">
        <v>5268</v>
      </c>
      <c r="Q928" s="13" t="s">
        <v>5269</v>
      </c>
      <c r="R928" s="14" t="str">
        <f>HYPERLINK("https://drive.google.com/file/d/1UmG2Zm9D0A3_z7DNxbWVJsn3_5Jx2IuO/view?usp=drivesdk","OFFER LETTER")</f>
        <v>OFFER LETTER</v>
      </c>
      <c r="S928" s="11" t="s">
        <v>5270</v>
      </c>
    </row>
    <row r="929" ht="22.5" customHeight="1">
      <c r="A929" s="10">
        <v>46260.785623171294</v>
      </c>
      <c r="B929" s="11" t="s">
        <v>5271</v>
      </c>
      <c r="C929" s="11" t="s">
        <v>80</v>
      </c>
      <c r="D929" s="11" t="s">
        <v>68</v>
      </c>
      <c r="E929" s="12">
        <v>46260.0</v>
      </c>
      <c r="F929" s="12">
        <v>46291.0</v>
      </c>
      <c r="G929" s="11" t="s">
        <v>5272</v>
      </c>
      <c r="H929" s="11">
        <v>9.154229193E9</v>
      </c>
      <c r="I929" s="11" t="s">
        <v>82</v>
      </c>
      <c r="K929" s="11" t="s">
        <v>72</v>
      </c>
      <c r="L929" s="11" t="s">
        <v>73</v>
      </c>
      <c r="M929" s="11" t="s">
        <v>5273</v>
      </c>
      <c r="N929" s="11" t="s">
        <v>86</v>
      </c>
      <c r="O929" s="11" t="s">
        <v>71</v>
      </c>
      <c r="P929" s="11" t="s">
        <v>5274</v>
      </c>
      <c r="Q929" s="13" t="s">
        <v>5275</v>
      </c>
      <c r="R929" s="14" t="str">
        <f>HYPERLINK("https://drive.google.com/file/d/12nzitjTb8D5-3dsVHTLE8HOAfJDLpd5_/view?usp=drivesdk","OFFER LETTER")</f>
        <v>OFFER LETTER</v>
      </c>
      <c r="S929" s="11" t="s">
        <v>5276</v>
      </c>
    </row>
    <row r="930" ht="22.5" customHeight="1">
      <c r="A930" s="10">
        <v>46260.78629962963</v>
      </c>
      <c r="B930" s="11" t="s">
        <v>5277</v>
      </c>
      <c r="C930" s="11" t="s">
        <v>173</v>
      </c>
      <c r="D930" s="11" t="s">
        <v>68</v>
      </c>
      <c r="E930" s="12">
        <v>46206.0</v>
      </c>
      <c r="F930" s="12">
        <v>46237.0</v>
      </c>
      <c r="G930" s="11" t="s">
        <v>1348</v>
      </c>
      <c r="H930" s="11">
        <v>8.948188916E9</v>
      </c>
      <c r="I930" s="11" t="s">
        <v>82</v>
      </c>
      <c r="K930" s="11" t="s">
        <v>72</v>
      </c>
      <c r="L930" s="11" t="s">
        <v>84</v>
      </c>
      <c r="M930" s="11" t="s">
        <v>849</v>
      </c>
      <c r="N930" s="11" t="s">
        <v>5278</v>
      </c>
      <c r="O930" s="11" t="s">
        <v>71</v>
      </c>
      <c r="P930" s="11" t="s">
        <v>5279</v>
      </c>
      <c r="Q930" s="13" t="s">
        <v>5280</v>
      </c>
      <c r="R930" s="14" t="str">
        <f>HYPERLINK("https://drive.google.com/file/d/1SSINg63yFml2y9ZX02JrmQ0s9W0IiX1v/view?usp=drivesdk","OFFER LETTER")</f>
        <v>OFFER LETTER</v>
      </c>
      <c r="S930" s="11" t="s">
        <v>5281</v>
      </c>
    </row>
    <row r="931" ht="22.5" customHeight="1">
      <c r="A931" s="10">
        <v>46260.78662396991</v>
      </c>
      <c r="B931" s="11" t="s">
        <v>5282</v>
      </c>
      <c r="C931" s="11" t="s">
        <v>195</v>
      </c>
      <c r="D931" s="11" t="s">
        <v>68</v>
      </c>
      <c r="E931" s="12">
        <v>46260.0</v>
      </c>
      <c r="F931" s="12">
        <v>46291.0</v>
      </c>
      <c r="G931" s="11" t="s">
        <v>5283</v>
      </c>
      <c r="H931" s="11">
        <v>8.454992947E9</v>
      </c>
      <c r="I931" s="11" t="s">
        <v>70</v>
      </c>
      <c r="J931" s="11" t="s">
        <v>71</v>
      </c>
      <c r="K931" s="13" t="s">
        <v>443</v>
      </c>
      <c r="L931" s="11" t="s">
        <v>73</v>
      </c>
      <c r="M931" s="11" t="s">
        <v>5284</v>
      </c>
      <c r="N931" s="11" t="s">
        <v>86</v>
      </c>
      <c r="O931" s="11" t="s">
        <v>71</v>
      </c>
      <c r="P931" s="11" t="s">
        <v>5285</v>
      </c>
      <c r="Q931" s="13" t="s">
        <v>5286</v>
      </c>
      <c r="R931" s="14" t="str">
        <f>HYPERLINK("https://drive.google.com/file/d/1JgLqXm3q-SY7WNrLIv_e2ZGz86W2PWHI/view?usp=drivesdk","OFFER LETTER")</f>
        <v>OFFER LETTER</v>
      </c>
      <c r="S931" s="11" t="s">
        <v>5287</v>
      </c>
    </row>
    <row r="932" ht="22.5" customHeight="1">
      <c r="A932" s="10">
        <v>46260.79610065972</v>
      </c>
      <c r="B932" s="11" t="s">
        <v>3788</v>
      </c>
      <c r="C932" s="11" t="s">
        <v>298</v>
      </c>
      <c r="D932" s="11" t="s">
        <v>68</v>
      </c>
      <c r="E932" s="12">
        <v>46258.0</v>
      </c>
      <c r="F932" s="12">
        <v>46289.0</v>
      </c>
      <c r="G932" s="11" t="s">
        <v>3789</v>
      </c>
      <c r="H932" s="11">
        <v>8.767448823E9</v>
      </c>
      <c r="I932" s="11" t="s">
        <v>3790</v>
      </c>
      <c r="J932" s="11" t="s">
        <v>71</v>
      </c>
      <c r="K932" s="11" t="s">
        <v>72</v>
      </c>
      <c r="L932" s="11" t="s">
        <v>84</v>
      </c>
      <c r="M932" s="11" t="s">
        <v>3791</v>
      </c>
      <c r="N932" s="11" t="s">
        <v>241</v>
      </c>
      <c r="O932" s="11" t="s">
        <v>71</v>
      </c>
      <c r="P932" s="11" t="s">
        <v>5288</v>
      </c>
      <c r="Q932" s="13" t="s">
        <v>5289</v>
      </c>
      <c r="R932" s="14" t="str">
        <f>HYPERLINK("https://drive.google.com/file/d/1y8_PrQ-DiDvXp_AETLqaUI5WJtBkRWf2/view?usp=drivesdk","OFFER LETTER")</f>
        <v>OFFER LETTER</v>
      </c>
      <c r="S932" s="11" t="s">
        <v>5290</v>
      </c>
    </row>
    <row r="933" ht="22.5" customHeight="1">
      <c r="A933" s="10">
        <v>46260.80058703704</v>
      </c>
      <c r="B933" s="11" t="s">
        <v>5277</v>
      </c>
      <c r="C933" s="11" t="s">
        <v>298</v>
      </c>
      <c r="D933" s="11" t="s">
        <v>68</v>
      </c>
      <c r="E933" s="12">
        <v>46205.0</v>
      </c>
      <c r="F933" s="12">
        <v>46236.0</v>
      </c>
      <c r="G933" s="11" t="s">
        <v>1348</v>
      </c>
      <c r="H933" s="11">
        <v>8.948188916E9</v>
      </c>
      <c r="I933" s="11" t="s">
        <v>82</v>
      </c>
      <c r="K933" s="11" t="s">
        <v>72</v>
      </c>
      <c r="L933" s="11" t="s">
        <v>84</v>
      </c>
      <c r="M933" s="11" t="s">
        <v>849</v>
      </c>
      <c r="N933" s="11" t="s">
        <v>219</v>
      </c>
      <c r="O933" s="11" t="s">
        <v>71</v>
      </c>
      <c r="P933" s="11" t="s">
        <v>5291</v>
      </c>
      <c r="Q933" s="13" t="s">
        <v>5292</v>
      </c>
      <c r="R933" s="14" t="str">
        <f>HYPERLINK("https://drive.google.com/file/d/1O-QJLLDw1h1pOI4HhF9SjCiuFQOiRqOK/view?usp=drivesdk","OFFER LETTER")</f>
        <v>OFFER LETTER</v>
      </c>
      <c r="S933" s="11" t="s">
        <v>5293</v>
      </c>
    </row>
    <row r="934" ht="22.5" customHeight="1">
      <c r="A934" s="10">
        <v>46260.80213660879</v>
      </c>
      <c r="B934" s="11" t="s">
        <v>5294</v>
      </c>
      <c r="C934" s="11" t="s">
        <v>195</v>
      </c>
      <c r="D934" s="11" t="s">
        <v>68</v>
      </c>
      <c r="E934" s="12">
        <v>46204.0</v>
      </c>
      <c r="F934" s="12">
        <v>46233.0</v>
      </c>
      <c r="G934" s="11" t="s">
        <v>5295</v>
      </c>
      <c r="H934" s="11">
        <v>9.14227675E9</v>
      </c>
      <c r="I934" s="11" t="s">
        <v>82</v>
      </c>
      <c r="J934" s="11" t="s">
        <v>71</v>
      </c>
      <c r="K934" s="11" t="s">
        <v>72</v>
      </c>
      <c r="L934" s="11" t="s">
        <v>84</v>
      </c>
      <c r="M934" s="11" t="s">
        <v>5296</v>
      </c>
      <c r="N934" s="11" t="s">
        <v>86</v>
      </c>
      <c r="O934" s="11" t="s">
        <v>263</v>
      </c>
      <c r="P934" s="11" t="s">
        <v>5297</v>
      </c>
      <c r="Q934" s="13" t="s">
        <v>5298</v>
      </c>
      <c r="R934" s="14" t="str">
        <f>HYPERLINK("https://drive.google.com/file/d/1NdA34u8J_cnOeLttfVf_uoZIvoGKq9fA/view?usp=drivesdk","OFFER LETTER")</f>
        <v>OFFER LETTER</v>
      </c>
      <c r="S934" s="11" t="s">
        <v>5299</v>
      </c>
    </row>
    <row r="935" ht="22.5" customHeight="1">
      <c r="A935" s="10">
        <v>46260.80914773148</v>
      </c>
      <c r="B935" s="11" t="s">
        <v>5300</v>
      </c>
      <c r="C935" s="11" t="s">
        <v>128</v>
      </c>
      <c r="D935" s="11" t="s">
        <v>68</v>
      </c>
      <c r="E935" s="12">
        <v>46225.0</v>
      </c>
      <c r="F935" s="12">
        <v>46258.0</v>
      </c>
      <c r="G935" s="11" t="s">
        <v>5063</v>
      </c>
      <c r="H935" s="11">
        <v>7.906502727E9</v>
      </c>
      <c r="I935" s="11" t="s">
        <v>82</v>
      </c>
      <c r="J935" s="11" t="s">
        <v>71</v>
      </c>
      <c r="K935" s="11" t="s">
        <v>72</v>
      </c>
      <c r="L935" s="11" t="s">
        <v>84</v>
      </c>
      <c r="M935" s="11" t="s">
        <v>1211</v>
      </c>
      <c r="N935" s="11" t="s">
        <v>2736</v>
      </c>
      <c r="O935" s="11" t="s">
        <v>263</v>
      </c>
      <c r="P935" s="11" t="s">
        <v>5301</v>
      </c>
      <c r="Q935" s="13" t="s">
        <v>5302</v>
      </c>
      <c r="R935" s="14" t="str">
        <f>HYPERLINK("https://drive.google.com/file/d/1nH0dvB_TX_0OvgQgZ4xCR5WU_FFe8mUS/view?usp=drivesdk","OFFER LETTER")</f>
        <v>OFFER LETTER</v>
      </c>
      <c r="S935" s="11" t="s">
        <v>5303</v>
      </c>
    </row>
    <row r="936" ht="22.5" customHeight="1">
      <c r="A936" s="10">
        <v>46260.8121487037</v>
      </c>
      <c r="B936" s="11" t="s">
        <v>5304</v>
      </c>
      <c r="C936" s="11" t="s">
        <v>128</v>
      </c>
      <c r="D936" s="11" t="s">
        <v>68</v>
      </c>
      <c r="E936" s="12">
        <v>46224.0</v>
      </c>
      <c r="F936" s="12">
        <v>46256.0</v>
      </c>
      <c r="G936" s="11" t="s">
        <v>5305</v>
      </c>
      <c r="H936" s="11">
        <v>7.906502727E9</v>
      </c>
      <c r="I936" s="11" t="s">
        <v>82</v>
      </c>
      <c r="J936" s="11" t="s">
        <v>71</v>
      </c>
      <c r="K936" s="11" t="s">
        <v>72</v>
      </c>
      <c r="L936" s="11" t="s">
        <v>84</v>
      </c>
      <c r="M936" s="11" t="s">
        <v>1211</v>
      </c>
      <c r="N936" s="11" t="s">
        <v>420</v>
      </c>
      <c r="O936" s="11" t="s">
        <v>263</v>
      </c>
      <c r="P936" s="11" t="s">
        <v>5306</v>
      </c>
      <c r="Q936" s="13" t="s">
        <v>5307</v>
      </c>
      <c r="R936" s="14" t="str">
        <f>HYPERLINK("https://drive.google.com/file/d/10Qd2WSZEzdM8WLmFExzsQhD-8ExfLsMN/view?usp=drivesdk","OFFER LETTER")</f>
        <v>OFFER LETTER</v>
      </c>
      <c r="S936" s="11" t="s">
        <v>5308</v>
      </c>
    </row>
    <row r="937" ht="22.5" customHeight="1">
      <c r="A937" s="10">
        <v>46260.81662408565</v>
      </c>
      <c r="B937" s="11" t="s">
        <v>5309</v>
      </c>
      <c r="C937" s="11" t="s">
        <v>742</v>
      </c>
      <c r="D937" s="11" t="s">
        <v>68</v>
      </c>
      <c r="E937" s="12">
        <v>46260.0</v>
      </c>
      <c r="F937" s="12">
        <v>46291.0</v>
      </c>
      <c r="G937" s="11" t="s">
        <v>5310</v>
      </c>
      <c r="H937" s="11">
        <v>8.360127029E9</v>
      </c>
      <c r="I937" s="11" t="s">
        <v>82</v>
      </c>
      <c r="J937" s="11" t="s">
        <v>71</v>
      </c>
      <c r="K937" s="13" t="s">
        <v>443</v>
      </c>
      <c r="L937" s="11" t="s">
        <v>84</v>
      </c>
      <c r="M937" s="11" t="s">
        <v>5311</v>
      </c>
      <c r="N937" s="11" t="s">
        <v>198</v>
      </c>
      <c r="O937" s="11" t="s">
        <v>71</v>
      </c>
      <c r="P937" s="11" t="s">
        <v>5312</v>
      </c>
      <c r="Q937" s="13" t="s">
        <v>5313</v>
      </c>
      <c r="R937" s="14" t="str">
        <f>HYPERLINK("https://drive.google.com/file/d/1SQIP7k8cQ-iwsoEQhFONKyP0Jb-8Scwd/view?usp=drivesdk","OFFER LETTER")</f>
        <v>OFFER LETTER</v>
      </c>
      <c r="S937" s="11" t="s">
        <v>5314</v>
      </c>
    </row>
    <row r="938" ht="22.5" customHeight="1">
      <c r="A938" s="10">
        <v>46260.81803091435</v>
      </c>
      <c r="B938" s="11" t="s">
        <v>5315</v>
      </c>
      <c r="C938" s="11" t="s">
        <v>195</v>
      </c>
      <c r="D938" s="11" t="s">
        <v>68</v>
      </c>
      <c r="E938" s="12">
        <v>46261.0</v>
      </c>
      <c r="F938" s="12">
        <v>46292.0</v>
      </c>
      <c r="G938" s="11" t="s">
        <v>5316</v>
      </c>
      <c r="H938" s="11">
        <v>9.368242459E9</v>
      </c>
      <c r="I938" s="11" t="s">
        <v>82</v>
      </c>
      <c r="J938" s="11" t="s">
        <v>71</v>
      </c>
      <c r="K938" s="11" t="s">
        <v>72</v>
      </c>
      <c r="L938" s="11" t="s">
        <v>131</v>
      </c>
      <c r="M938" s="11" t="s">
        <v>5317</v>
      </c>
      <c r="N938" s="11" t="s">
        <v>226</v>
      </c>
      <c r="O938" s="11" t="s">
        <v>71</v>
      </c>
      <c r="P938" s="11" t="s">
        <v>5318</v>
      </c>
      <c r="Q938" s="13" t="s">
        <v>5319</v>
      </c>
      <c r="R938" s="14" t="str">
        <f>HYPERLINK("https://drive.google.com/file/d/1yF6IYX-pqh_F1ODYKSlxLgfbDJxRmO8Y/view?usp=drivesdk","OFFER LETTER")</f>
        <v>OFFER LETTER</v>
      </c>
      <c r="S938" s="11" t="s">
        <v>5320</v>
      </c>
    </row>
    <row r="939" ht="22.5" customHeight="1">
      <c r="A939" s="10">
        <v>46260.818861736116</v>
      </c>
      <c r="B939" s="11" t="s">
        <v>5321</v>
      </c>
      <c r="C939" s="11" t="s">
        <v>128</v>
      </c>
      <c r="D939" s="11" t="s">
        <v>68</v>
      </c>
      <c r="E939" s="12">
        <v>46231.0</v>
      </c>
      <c r="F939" s="12">
        <v>46262.0</v>
      </c>
      <c r="G939" s="11" t="s">
        <v>5322</v>
      </c>
      <c r="H939" s="11">
        <v>7.98261375E9</v>
      </c>
      <c r="I939" s="11" t="s">
        <v>82</v>
      </c>
      <c r="J939" s="11" t="s">
        <v>71</v>
      </c>
      <c r="K939" s="11" t="s">
        <v>72</v>
      </c>
      <c r="L939" s="11" t="s">
        <v>73</v>
      </c>
      <c r="M939" s="11" t="s">
        <v>560</v>
      </c>
      <c r="N939" s="11" t="s">
        <v>155</v>
      </c>
      <c r="O939" s="11" t="s">
        <v>71</v>
      </c>
      <c r="P939" s="11" t="s">
        <v>5323</v>
      </c>
      <c r="Q939" s="13" t="s">
        <v>5324</v>
      </c>
      <c r="R939" s="14" t="str">
        <f>HYPERLINK("https://drive.google.com/file/d/1EauVhetTHyoNAhHnND0qCKc9ZMPalsux/view?usp=drivesdk","OFFER LETTER")</f>
        <v>OFFER LETTER</v>
      </c>
      <c r="S939" s="11" t="s">
        <v>5325</v>
      </c>
    </row>
    <row r="940" ht="22.5" customHeight="1">
      <c r="A940" s="10">
        <v>46260.824384594904</v>
      </c>
      <c r="B940" s="11" t="s">
        <v>5326</v>
      </c>
      <c r="C940" s="11" t="s">
        <v>195</v>
      </c>
      <c r="D940" s="11" t="s">
        <v>68</v>
      </c>
      <c r="E940" s="12">
        <v>46228.0</v>
      </c>
      <c r="F940" s="12">
        <v>46259.0</v>
      </c>
      <c r="G940" s="11" t="s">
        <v>5327</v>
      </c>
      <c r="H940" s="11">
        <v>9.791529264E9</v>
      </c>
      <c r="I940" s="11" t="s">
        <v>82</v>
      </c>
      <c r="J940" s="11" t="s">
        <v>71</v>
      </c>
      <c r="K940" s="11" t="s">
        <v>72</v>
      </c>
      <c r="L940" s="11" t="s">
        <v>73</v>
      </c>
      <c r="M940" s="11" t="s">
        <v>3376</v>
      </c>
      <c r="N940" s="11" t="s">
        <v>75</v>
      </c>
      <c r="O940" s="11" t="s">
        <v>71</v>
      </c>
      <c r="P940" s="11" t="s">
        <v>5328</v>
      </c>
      <c r="Q940" s="13" t="s">
        <v>5329</v>
      </c>
      <c r="R940" s="14" t="str">
        <f>HYPERLINK("https://drive.google.com/file/d/1C8-KXIZfNTeurlCfgP6R1NB8PadE324o/view?usp=drivesdk","OFFER LETTER")</f>
        <v>OFFER LETTER</v>
      </c>
      <c r="S940" s="11" t="s">
        <v>5330</v>
      </c>
    </row>
    <row r="941" ht="22.5" customHeight="1">
      <c r="A941" s="10">
        <v>46260.82597842593</v>
      </c>
      <c r="B941" s="11" t="s">
        <v>5331</v>
      </c>
      <c r="C941" s="11" t="s">
        <v>128</v>
      </c>
      <c r="D941" s="11" t="s">
        <v>68</v>
      </c>
      <c r="E941" s="12">
        <v>46260.0</v>
      </c>
      <c r="F941" s="12">
        <v>46291.0</v>
      </c>
      <c r="G941" s="11" t="s">
        <v>5332</v>
      </c>
      <c r="H941" s="11">
        <v>6.304815243E9</v>
      </c>
      <c r="I941" s="11" t="s">
        <v>70</v>
      </c>
      <c r="J941" s="11" t="s">
        <v>71</v>
      </c>
      <c r="K941" s="11" t="s">
        <v>110</v>
      </c>
      <c r="L941" s="11" t="s">
        <v>247</v>
      </c>
      <c r="M941" s="11" t="s">
        <v>5333</v>
      </c>
      <c r="N941" s="11" t="s">
        <v>241</v>
      </c>
      <c r="O941" s="11" t="s">
        <v>71</v>
      </c>
      <c r="P941" s="11" t="s">
        <v>5334</v>
      </c>
      <c r="Q941" s="13" t="s">
        <v>5335</v>
      </c>
      <c r="R941" s="14" t="str">
        <f>HYPERLINK("https://drive.google.com/file/d/1Al73qP8dWW0CZnPBeBF74x6NI8xv3LIT/view?usp=drivesdk","OFFER LETTER")</f>
        <v>OFFER LETTER</v>
      </c>
      <c r="S941" s="11" t="s">
        <v>5336</v>
      </c>
    </row>
    <row r="942" ht="22.5" customHeight="1">
      <c r="A942" s="10">
        <v>46260.82658550926</v>
      </c>
      <c r="B942" s="11" t="s">
        <v>5337</v>
      </c>
      <c r="C942" s="11" t="s">
        <v>237</v>
      </c>
      <c r="D942" s="11" t="s">
        <v>68</v>
      </c>
      <c r="E942" s="12">
        <v>46249.0</v>
      </c>
      <c r="F942" s="12">
        <v>46280.0</v>
      </c>
      <c r="G942" s="11" t="s">
        <v>5338</v>
      </c>
      <c r="H942" s="11">
        <v>9.984842874E9</v>
      </c>
      <c r="I942" s="11" t="s">
        <v>82</v>
      </c>
      <c r="J942" s="11" t="s">
        <v>71</v>
      </c>
      <c r="K942" s="11" t="s">
        <v>72</v>
      </c>
      <c r="L942" s="11" t="s">
        <v>131</v>
      </c>
      <c r="M942" s="11" t="s">
        <v>5339</v>
      </c>
      <c r="N942" s="11" t="s">
        <v>2778</v>
      </c>
      <c r="O942" s="11" t="s">
        <v>71</v>
      </c>
      <c r="P942" s="11" t="s">
        <v>5340</v>
      </c>
      <c r="Q942" s="13" t="s">
        <v>5341</v>
      </c>
      <c r="R942" s="14" t="str">
        <f>HYPERLINK("https://drive.google.com/file/d/1ylxBYTDFPW5y7uHJ_56SJiBtCLt3Xd3-/view?usp=drivesdk","OFFER LETTER")</f>
        <v>OFFER LETTER</v>
      </c>
      <c r="S942" s="11" t="s">
        <v>5342</v>
      </c>
    </row>
    <row r="943" ht="22.5" customHeight="1">
      <c r="A943" s="10">
        <v>46260.82738585648</v>
      </c>
      <c r="B943" s="11" t="s">
        <v>5343</v>
      </c>
      <c r="C943" s="11" t="s">
        <v>107</v>
      </c>
      <c r="D943" s="11" t="s">
        <v>68</v>
      </c>
      <c r="E943" s="12">
        <v>46261.0</v>
      </c>
      <c r="F943" s="12">
        <v>46292.0</v>
      </c>
      <c r="G943" s="11" t="s">
        <v>5344</v>
      </c>
      <c r="H943" s="11">
        <v>9.380458667E9</v>
      </c>
      <c r="I943" s="11" t="s">
        <v>70</v>
      </c>
      <c r="J943" s="11" t="s">
        <v>71</v>
      </c>
      <c r="K943" s="11" t="s">
        <v>72</v>
      </c>
      <c r="L943" s="11" t="s">
        <v>131</v>
      </c>
      <c r="M943" s="11" t="s">
        <v>5345</v>
      </c>
      <c r="N943" s="11" t="s">
        <v>75</v>
      </c>
      <c r="O943" s="11" t="s">
        <v>71</v>
      </c>
      <c r="P943" s="11" t="s">
        <v>5346</v>
      </c>
      <c r="Q943" s="13" t="s">
        <v>5347</v>
      </c>
      <c r="R943" s="14" t="str">
        <f>HYPERLINK("https://drive.google.com/file/d/1AWQWPjwnZXimwQk0vL0cGveMGdOHLMZe/view?usp=drivesdk","OFFER LETTER")</f>
        <v>OFFER LETTER</v>
      </c>
      <c r="S943" s="11" t="s">
        <v>5348</v>
      </c>
    </row>
    <row r="944" ht="22.5" customHeight="1">
      <c r="A944" s="10">
        <v>46260.830369143514</v>
      </c>
      <c r="B944" s="11" t="s">
        <v>5331</v>
      </c>
      <c r="C944" s="11" t="s">
        <v>128</v>
      </c>
      <c r="D944" s="11" t="s">
        <v>68</v>
      </c>
      <c r="E944" s="12">
        <v>46260.0</v>
      </c>
      <c r="F944" s="12">
        <v>46291.0</v>
      </c>
      <c r="G944" s="11" t="s">
        <v>5332</v>
      </c>
      <c r="H944" s="11">
        <v>6.304815243E9</v>
      </c>
      <c r="I944" s="11" t="s">
        <v>70</v>
      </c>
      <c r="J944" s="11" t="s">
        <v>71</v>
      </c>
      <c r="K944" s="11" t="s">
        <v>110</v>
      </c>
      <c r="L944" s="11" t="s">
        <v>247</v>
      </c>
      <c r="M944" s="11" t="s">
        <v>5333</v>
      </c>
      <c r="N944" s="11" t="s">
        <v>241</v>
      </c>
      <c r="O944" s="11" t="s">
        <v>71</v>
      </c>
      <c r="P944" s="11" t="s">
        <v>5349</v>
      </c>
      <c r="Q944" s="13" t="s">
        <v>5350</v>
      </c>
      <c r="R944" s="14" t="str">
        <f>HYPERLINK("https://drive.google.com/file/d/1eS51r_R6wWzUQ-atIzRPi8GHzzbUCSZN/view?usp=drivesdk","OFFER LETTER")</f>
        <v>OFFER LETTER</v>
      </c>
      <c r="S944" s="11" t="s">
        <v>5351</v>
      </c>
    </row>
    <row r="945" ht="22.5" customHeight="1">
      <c r="A945" s="10">
        <v>46260.832365208335</v>
      </c>
      <c r="B945" s="11" t="s">
        <v>5331</v>
      </c>
      <c r="C945" s="11" t="s">
        <v>128</v>
      </c>
      <c r="D945" s="11" t="s">
        <v>68</v>
      </c>
      <c r="E945" s="12">
        <v>46260.0</v>
      </c>
      <c r="F945" s="12">
        <v>46291.0</v>
      </c>
      <c r="G945" s="11" t="s">
        <v>5332</v>
      </c>
      <c r="H945" s="11">
        <v>6.304816243E9</v>
      </c>
      <c r="I945" s="11" t="s">
        <v>70</v>
      </c>
      <c r="J945" s="11" t="s">
        <v>71</v>
      </c>
      <c r="K945" s="11" t="s">
        <v>110</v>
      </c>
      <c r="L945" s="11" t="s">
        <v>247</v>
      </c>
      <c r="M945" s="11" t="s">
        <v>5333</v>
      </c>
      <c r="N945" s="11" t="s">
        <v>241</v>
      </c>
      <c r="O945" s="11" t="s">
        <v>71</v>
      </c>
      <c r="P945" s="11" t="s">
        <v>5352</v>
      </c>
      <c r="Q945" s="13" t="s">
        <v>5353</v>
      </c>
      <c r="R945" s="14" t="str">
        <f>HYPERLINK("https://drive.google.com/file/d/1tZ5jUgaUKPxXwg94ivyv-rvJK-fU-qCy/view?usp=drivesdk","OFFER LETTER")</f>
        <v>OFFER LETTER</v>
      </c>
      <c r="S945" s="11" t="s">
        <v>5354</v>
      </c>
    </row>
    <row r="946" ht="22.5" customHeight="1">
      <c r="A946" s="10">
        <v>46260.83261302083</v>
      </c>
      <c r="B946" s="11" t="s">
        <v>5355</v>
      </c>
      <c r="C946" s="11" t="s">
        <v>237</v>
      </c>
      <c r="D946" s="11" t="s">
        <v>68</v>
      </c>
      <c r="E946" s="12">
        <v>46240.0</v>
      </c>
      <c r="F946" s="12">
        <v>46271.0</v>
      </c>
      <c r="G946" s="11" t="s">
        <v>5356</v>
      </c>
      <c r="H946" s="11">
        <v>7.975849656E9</v>
      </c>
      <c r="I946" s="11" t="s">
        <v>82</v>
      </c>
      <c r="J946" s="11" t="s">
        <v>71</v>
      </c>
      <c r="K946" s="11" t="s">
        <v>110</v>
      </c>
      <c r="L946" s="11" t="s">
        <v>84</v>
      </c>
      <c r="M946" s="11" t="s">
        <v>5357</v>
      </c>
      <c r="N946" s="11" t="s">
        <v>1533</v>
      </c>
      <c r="O946" s="11" t="s">
        <v>71</v>
      </c>
      <c r="P946" s="11" t="s">
        <v>5358</v>
      </c>
      <c r="Q946" s="13" t="s">
        <v>5359</v>
      </c>
      <c r="R946" s="14" t="str">
        <f>HYPERLINK("https://drive.google.com/file/d/1KsXhIFv_jC3jZUE6_KEmA14PyTC4ern3/view?usp=drivesdk","OFFER LETTER")</f>
        <v>OFFER LETTER</v>
      </c>
      <c r="S946" s="11" t="s">
        <v>5360</v>
      </c>
    </row>
    <row r="947" ht="22.5" customHeight="1">
      <c r="A947" s="10">
        <v>46260.83508045139</v>
      </c>
      <c r="B947" s="11" t="s">
        <v>5355</v>
      </c>
      <c r="C947" s="11" t="s">
        <v>237</v>
      </c>
      <c r="D947" s="11" t="s">
        <v>68</v>
      </c>
      <c r="E947" s="12">
        <v>46209.0</v>
      </c>
      <c r="F947" s="12">
        <v>46240.0</v>
      </c>
      <c r="G947" s="11" t="s">
        <v>5356</v>
      </c>
      <c r="H947" s="11">
        <v>7.975849656E9</v>
      </c>
      <c r="I947" s="11" t="s">
        <v>82</v>
      </c>
      <c r="J947" s="11" t="s">
        <v>71</v>
      </c>
      <c r="K947" s="11" t="s">
        <v>110</v>
      </c>
      <c r="L947" s="11" t="s">
        <v>84</v>
      </c>
      <c r="M947" s="11" t="s">
        <v>5357</v>
      </c>
      <c r="N947" s="11" t="s">
        <v>75</v>
      </c>
      <c r="O947" s="11" t="s">
        <v>71</v>
      </c>
      <c r="P947" s="11" t="s">
        <v>5361</v>
      </c>
      <c r="Q947" s="13" t="s">
        <v>5362</v>
      </c>
      <c r="R947" s="14" t="str">
        <f>HYPERLINK("https://drive.google.com/file/d/1wygrkrGzHAFNxHr3PLNAW-GXMfkPb0iy/view?usp=drivesdk","OFFER LETTER")</f>
        <v>OFFER LETTER</v>
      </c>
      <c r="S947" s="11" t="s">
        <v>5363</v>
      </c>
    </row>
    <row r="948" ht="22.5" customHeight="1">
      <c r="A948" s="10">
        <v>46260.83943136574</v>
      </c>
      <c r="B948" s="11" t="s">
        <v>5364</v>
      </c>
      <c r="C948" s="11" t="s">
        <v>128</v>
      </c>
      <c r="D948" s="11" t="s">
        <v>68</v>
      </c>
      <c r="E948" s="12">
        <v>46258.0</v>
      </c>
      <c r="F948" s="12">
        <v>46289.0</v>
      </c>
      <c r="G948" s="11" t="s">
        <v>5365</v>
      </c>
      <c r="H948" s="11">
        <v>9.975712372E9</v>
      </c>
      <c r="I948" s="11" t="s">
        <v>70</v>
      </c>
      <c r="J948" s="11" t="s">
        <v>71</v>
      </c>
      <c r="K948" s="11" t="s">
        <v>110</v>
      </c>
      <c r="L948" s="11" t="s">
        <v>73</v>
      </c>
      <c r="M948" s="11" t="s">
        <v>3579</v>
      </c>
      <c r="N948" s="11" t="s">
        <v>241</v>
      </c>
      <c r="O948" s="11" t="s">
        <v>71</v>
      </c>
      <c r="P948" s="11" t="s">
        <v>5366</v>
      </c>
      <c r="Q948" s="13" t="s">
        <v>5367</v>
      </c>
      <c r="R948" s="14" t="str">
        <f>HYPERLINK("https://drive.google.com/file/d/1Aw0HRY6oAGmde2s4UEymiAFXpbnLo7Dd/view?usp=drivesdk","OFFER LETTER")</f>
        <v>OFFER LETTER</v>
      </c>
      <c r="S948" s="11" t="s">
        <v>5368</v>
      </c>
    </row>
    <row r="949" ht="22.5" customHeight="1">
      <c r="A949" s="10">
        <v>46260.83997850695</v>
      </c>
      <c r="B949" s="11" t="s">
        <v>5369</v>
      </c>
      <c r="C949" s="11" t="s">
        <v>128</v>
      </c>
      <c r="D949" s="11" t="s">
        <v>68</v>
      </c>
      <c r="E949" s="12">
        <v>46260.0</v>
      </c>
      <c r="F949" s="12">
        <v>46291.0</v>
      </c>
      <c r="G949" s="11" t="s">
        <v>5332</v>
      </c>
      <c r="H949" s="11">
        <v>6.304815243E9</v>
      </c>
      <c r="I949" s="11" t="s">
        <v>70</v>
      </c>
      <c r="J949" s="11" t="s">
        <v>71</v>
      </c>
      <c r="K949" s="11" t="s">
        <v>110</v>
      </c>
      <c r="L949" s="11" t="s">
        <v>247</v>
      </c>
      <c r="M949" s="11" t="s">
        <v>5333</v>
      </c>
      <c r="N949" s="11" t="s">
        <v>241</v>
      </c>
      <c r="O949" s="11" t="s">
        <v>130</v>
      </c>
      <c r="P949" s="11" t="s">
        <v>5370</v>
      </c>
      <c r="Q949" s="13" t="s">
        <v>5371</v>
      </c>
      <c r="R949" s="14" t="str">
        <f>HYPERLINK("https://drive.google.com/file/d/1Syl-HimJtwrhuKM_-gH7N7WMAEC_GqAA/view?usp=drivesdk","OFFER LETTER")</f>
        <v>OFFER LETTER</v>
      </c>
      <c r="S949" s="11" t="s">
        <v>5372</v>
      </c>
    </row>
    <row r="950" ht="22.5" customHeight="1">
      <c r="A950" s="10">
        <v>46260.85335556713</v>
      </c>
      <c r="B950" s="11" t="s">
        <v>5373</v>
      </c>
      <c r="C950" s="11" t="s">
        <v>91</v>
      </c>
      <c r="D950" s="11" t="s">
        <v>68</v>
      </c>
      <c r="E950" s="12">
        <v>46260.0</v>
      </c>
      <c r="F950" s="12">
        <v>46291.0</v>
      </c>
      <c r="G950" s="11" t="s">
        <v>5374</v>
      </c>
      <c r="H950" s="11">
        <v>7.032936983E9</v>
      </c>
      <c r="I950" s="11" t="s">
        <v>70</v>
      </c>
      <c r="J950" s="11" t="s">
        <v>71</v>
      </c>
      <c r="K950" s="11" t="s">
        <v>72</v>
      </c>
      <c r="L950" s="11" t="s">
        <v>131</v>
      </c>
      <c r="M950" s="11" t="s">
        <v>5375</v>
      </c>
      <c r="N950" s="11" t="s">
        <v>241</v>
      </c>
      <c r="O950" s="11" t="s">
        <v>71</v>
      </c>
      <c r="P950" s="11" t="s">
        <v>5376</v>
      </c>
      <c r="Q950" s="13" t="s">
        <v>5377</v>
      </c>
      <c r="R950" s="14" t="str">
        <f>HYPERLINK("https://drive.google.com/file/d/15dJgk3Y2-VnlSEMxA7aQJ9VQGKHOFZ9I/view?usp=drivesdk","OFFER LETTER")</f>
        <v>OFFER LETTER</v>
      </c>
      <c r="S950" s="11" t="s">
        <v>5378</v>
      </c>
    </row>
    <row r="951" ht="22.5" customHeight="1">
      <c r="A951" s="10">
        <v>46260.85676054398</v>
      </c>
      <c r="B951" s="11" t="s">
        <v>5379</v>
      </c>
      <c r="C951" s="11" t="s">
        <v>1320</v>
      </c>
      <c r="D951" s="11" t="s">
        <v>68</v>
      </c>
      <c r="E951" s="12">
        <v>46218.0</v>
      </c>
      <c r="F951" s="12">
        <v>46249.0</v>
      </c>
      <c r="G951" s="11" t="s">
        <v>5380</v>
      </c>
      <c r="H951" s="11">
        <v>9.391534956E9</v>
      </c>
      <c r="I951" s="11" t="s">
        <v>82</v>
      </c>
      <c r="J951" s="11" t="s">
        <v>71</v>
      </c>
      <c r="K951" s="11" t="s">
        <v>72</v>
      </c>
      <c r="L951" s="11" t="s">
        <v>131</v>
      </c>
      <c r="M951" s="11" t="s">
        <v>5381</v>
      </c>
      <c r="N951" s="11" t="s">
        <v>226</v>
      </c>
      <c r="O951" s="11" t="s">
        <v>71</v>
      </c>
      <c r="P951" s="11" t="s">
        <v>5382</v>
      </c>
      <c r="Q951" s="13" t="s">
        <v>5383</v>
      </c>
      <c r="R951" s="14" t="str">
        <f>HYPERLINK("https://drive.google.com/file/d/11DX53L-qdi207xE9O1Ek04Qf1Kwg8Xvq/view?usp=drivesdk","OFFER LETTER")</f>
        <v>OFFER LETTER</v>
      </c>
      <c r="S951" s="11" t="s">
        <v>5384</v>
      </c>
    </row>
    <row r="952" ht="22.5" customHeight="1">
      <c r="A952" s="10">
        <v>46260.859778935184</v>
      </c>
      <c r="B952" s="11" t="s">
        <v>5385</v>
      </c>
      <c r="C952" s="11" t="s">
        <v>173</v>
      </c>
      <c r="D952" s="11" t="s">
        <v>68</v>
      </c>
      <c r="E952" s="12">
        <v>46193.0</v>
      </c>
      <c r="F952" s="12">
        <v>46254.0</v>
      </c>
      <c r="G952" s="11" t="s">
        <v>5386</v>
      </c>
      <c r="H952" s="11">
        <v>7.467845891E9</v>
      </c>
      <c r="I952" s="11" t="s">
        <v>82</v>
      </c>
      <c r="J952" s="11" t="s">
        <v>71</v>
      </c>
      <c r="K952" s="11" t="s">
        <v>72</v>
      </c>
      <c r="L952" s="11" t="s">
        <v>131</v>
      </c>
      <c r="M952" s="11" t="s">
        <v>493</v>
      </c>
      <c r="N952" s="11" t="s">
        <v>86</v>
      </c>
      <c r="O952" s="11" t="s">
        <v>71</v>
      </c>
      <c r="P952" s="11" t="s">
        <v>5387</v>
      </c>
      <c r="Q952" s="13" t="s">
        <v>5388</v>
      </c>
      <c r="R952" s="14" t="str">
        <f>HYPERLINK("https://drive.google.com/file/d/1eqn1ZZ6GvFz2vxNj_kraUxfTwk2cgpwg/view?usp=drivesdk","OFFER LETTER")</f>
        <v>OFFER LETTER</v>
      </c>
      <c r="S952" s="11" t="s">
        <v>5389</v>
      </c>
    </row>
    <row r="953" ht="22.5" customHeight="1">
      <c r="A953" s="10">
        <v>46260.8639441088</v>
      </c>
      <c r="B953" s="11" t="s">
        <v>5385</v>
      </c>
      <c r="C953" s="11" t="s">
        <v>173</v>
      </c>
      <c r="D953" s="11" t="s">
        <v>68</v>
      </c>
      <c r="E953" s="12">
        <v>46223.0</v>
      </c>
      <c r="F953" s="12">
        <v>46254.0</v>
      </c>
      <c r="G953" s="11" t="s">
        <v>5386</v>
      </c>
      <c r="H953" s="11">
        <v>7.467845891E9</v>
      </c>
      <c r="I953" s="11" t="s">
        <v>82</v>
      </c>
      <c r="J953" s="11" t="s">
        <v>71</v>
      </c>
      <c r="K953" s="11" t="s">
        <v>72</v>
      </c>
      <c r="L953" s="11" t="s">
        <v>131</v>
      </c>
      <c r="M953" s="11" t="s">
        <v>493</v>
      </c>
      <c r="N953" s="11" t="s">
        <v>86</v>
      </c>
      <c r="O953" s="11" t="s">
        <v>71</v>
      </c>
      <c r="P953" s="11" t="s">
        <v>5390</v>
      </c>
      <c r="Q953" s="13" t="s">
        <v>5391</v>
      </c>
      <c r="R953" s="14" t="str">
        <f>HYPERLINK("https://drive.google.com/file/d/1lT23iCXEDpSAZbV3i9FPYWJ9CL0PUrqf/view?usp=drivesdk","OFFER LETTER")</f>
        <v>OFFER LETTER</v>
      </c>
      <c r="S953" s="11" t="s">
        <v>5392</v>
      </c>
    </row>
    <row r="954" ht="22.5" customHeight="1">
      <c r="A954" s="10">
        <v>46260.87149738426</v>
      </c>
      <c r="B954" s="11" t="s">
        <v>5393</v>
      </c>
      <c r="C954" s="11" t="s">
        <v>195</v>
      </c>
      <c r="D954" s="11" t="s">
        <v>68</v>
      </c>
      <c r="E954" s="12">
        <v>45803.0</v>
      </c>
      <c r="F954" s="12">
        <v>45834.0</v>
      </c>
      <c r="G954" s="11" t="s">
        <v>5394</v>
      </c>
      <c r="H954" s="11">
        <v>9.676913196E9</v>
      </c>
      <c r="I954" s="11" t="s">
        <v>70</v>
      </c>
      <c r="J954" s="11" t="s">
        <v>83</v>
      </c>
      <c r="K954" s="11" t="s">
        <v>72</v>
      </c>
      <c r="L954" s="11" t="s">
        <v>131</v>
      </c>
      <c r="M954" s="11" t="s">
        <v>5395</v>
      </c>
      <c r="N954" s="11" t="s">
        <v>86</v>
      </c>
      <c r="O954" s="11" t="s">
        <v>71</v>
      </c>
      <c r="P954" s="11" t="s">
        <v>5396</v>
      </c>
      <c r="Q954" s="13" t="s">
        <v>5397</v>
      </c>
      <c r="R954" s="14" t="str">
        <f>HYPERLINK("https://drive.google.com/file/d/17mhGVChH32qEb-P7F6A1lOujLAY1Jl9i/view?usp=drivesdk","OFFER LETTER")</f>
        <v>OFFER LETTER</v>
      </c>
      <c r="S954" s="11" t="s">
        <v>5398</v>
      </c>
    </row>
    <row r="955" ht="22.5" customHeight="1">
      <c r="A955" s="10">
        <v>46260.873923946754</v>
      </c>
      <c r="B955" s="11" t="s">
        <v>5399</v>
      </c>
      <c r="C955" s="11" t="s">
        <v>173</v>
      </c>
      <c r="D955" s="11" t="s">
        <v>68</v>
      </c>
      <c r="E955" s="12">
        <v>46223.0</v>
      </c>
      <c r="F955" s="12">
        <v>46254.0</v>
      </c>
      <c r="G955" s="11" t="s">
        <v>5400</v>
      </c>
      <c r="H955" s="11">
        <v>7.983181735E9</v>
      </c>
      <c r="I955" s="11" t="s">
        <v>82</v>
      </c>
      <c r="J955" s="11" t="s">
        <v>71</v>
      </c>
      <c r="K955" s="11" t="s">
        <v>72</v>
      </c>
      <c r="L955" s="11" t="s">
        <v>131</v>
      </c>
      <c r="M955" s="11" t="s">
        <v>5401</v>
      </c>
      <c r="N955" s="11" t="s">
        <v>86</v>
      </c>
      <c r="O955" s="11" t="s">
        <v>71</v>
      </c>
      <c r="P955" s="11" t="s">
        <v>5402</v>
      </c>
      <c r="Q955" s="13" t="s">
        <v>5403</v>
      </c>
      <c r="R955" s="14" t="str">
        <f>HYPERLINK("https://drive.google.com/file/d/15ABEr4cX8V_zpadjmSZlyrLk1NogbUsb/view?usp=drivesdk","OFFER LETTER")</f>
        <v>OFFER LETTER</v>
      </c>
      <c r="S955" s="11" t="s">
        <v>5404</v>
      </c>
    </row>
    <row r="956" ht="22.5" customHeight="1">
      <c r="A956" s="10">
        <v>46260.880385</v>
      </c>
      <c r="B956" s="11" t="s">
        <v>5405</v>
      </c>
      <c r="C956" s="11" t="s">
        <v>80</v>
      </c>
      <c r="D956" s="11" t="s">
        <v>68</v>
      </c>
      <c r="E956" s="12">
        <v>46240.0</v>
      </c>
      <c r="F956" s="12">
        <v>46270.0</v>
      </c>
      <c r="G956" s="11" t="s">
        <v>5406</v>
      </c>
      <c r="H956" s="11" t="s">
        <v>5407</v>
      </c>
      <c r="I956" s="11" t="s">
        <v>82</v>
      </c>
      <c r="J956" s="11" t="s">
        <v>71</v>
      </c>
      <c r="K956" s="11" t="s">
        <v>72</v>
      </c>
      <c r="L956" s="11" t="s">
        <v>84</v>
      </c>
      <c r="M956" s="11" t="s">
        <v>5408</v>
      </c>
      <c r="N956" s="11" t="s">
        <v>86</v>
      </c>
      <c r="O956" s="11" t="s">
        <v>71</v>
      </c>
      <c r="P956" s="11" t="s">
        <v>5409</v>
      </c>
      <c r="Q956" s="13" t="s">
        <v>5410</v>
      </c>
      <c r="R956" s="14" t="str">
        <f>HYPERLINK("https://drive.google.com/file/d/1qV9F8KwmhwreFJ2ZiiSKEwImY35NK0Yx/view?usp=drivesdk","OFFER LETTER")</f>
        <v>OFFER LETTER</v>
      </c>
      <c r="S956" s="11" t="s">
        <v>5411</v>
      </c>
    </row>
    <row r="957" ht="22.5" customHeight="1">
      <c r="A957" s="10">
        <v>46260.88265888889</v>
      </c>
      <c r="B957" s="11" t="s">
        <v>5412</v>
      </c>
      <c r="C957" s="11" t="s">
        <v>195</v>
      </c>
      <c r="D957" s="11" t="s">
        <v>68</v>
      </c>
      <c r="E957" s="12">
        <v>46260.0</v>
      </c>
      <c r="F957" s="12">
        <v>46258.0</v>
      </c>
      <c r="G957" s="11" t="s">
        <v>5413</v>
      </c>
      <c r="H957" s="11">
        <v>9.597887395E9</v>
      </c>
      <c r="I957" s="11" t="s">
        <v>82</v>
      </c>
      <c r="J957" s="11" t="s">
        <v>71</v>
      </c>
      <c r="K957" s="11" t="s">
        <v>72</v>
      </c>
      <c r="L957" s="11" t="s">
        <v>73</v>
      </c>
      <c r="M957" s="11" t="s">
        <v>5414</v>
      </c>
      <c r="N957" s="11" t="s">
        <v>226</v>
      </c>
      <c r="O957" s="11" t="s">
        <v>71</v>
      </c>
      <c r="P957" s="11" t="s">
        <v>5415</v>
      </c>
      <c r="Q957" s="13" t="s">
        <v>5416</v>
      </c>
      <c r="R957" s="14" t="str">
        <f>HYPERLINK("https://drive.google.com/file/d/1RraK5HzRp0JGV7CZef9vEvG17RdfBs_B/view?usp=drivesdk","OFFER LETTER")</f>
        <v>OFFER LETTER</v>
      </c>
      <c r="S957" s="11" t="s">
        <v>5417</v>
      </c>
    </row>
    <row r="958" ht="22.5" customHeight="1">
      <c r="A958" s="10">
        <v>46260.88360569444</v>
      </c>
      <c r="B958" s="11" t="s">
        <v>5418</v>
      </c>
      <c r="C958" s="11" t="s">
        <v>195</v>
      </c>
      <c r="D958" s="11" t="s">
        <v>68</v>
      </c>
      <c r="E958" s="12">
        <v>46260.0</v>
      </c>
      <c r="F958" s="12">
        <v>46290.0</v>
      </c>
      <c r="G958" s="11" t="s">
        <v>5419</v>
      </c>
      <c r="H958" s="11">
        <v>9.350159085E9</v>
      </c>
      <c r="I958" s="11" t="s">
        <v>82</v>
      </c>
      <c r="J958" s="11" t="s">
        <v>71</v>
      </c>
      <c r="K958" s="11" t="s">
        <v>72</v>
      </c>
      <c r="L958" s="11" t="s">
        <v>73</v>
      </c>
      <c r="M958" s="11" t="s">
        <v>5420</v>
      </c>
      <c r="N958" s="11" t="s">
        <v>198</v>
      </c>
      <c r="O958" s="11" t="s">
        <v>71</v>
      </c>
      <c r="P958" s="11" t="s">
        <v>5421</v>
      </c>
      <c r="Q958" s="13" t="s">
        <v>5422</v>
      </c>
      <c r="R958" s="14" t="str">
        <f>HYPERLINK("https://drive.google.com/file/d/1rzIGU2-A_DvJy-UuEh3q462mbGjCii0t/view?usp=drivesdk","OFFER LETTER")</f>
        <v>OFFER LETTER</v>
      </c>
      <c r="S958" s="11" t="s">
        <v>5423</v>
      </c>
    </row>
    <row r="959" ht="22.5" customHeight="1">
      <c r="A959" s="10">
        <v>46260.88713732639</v>
      </c>
      <c r="B959" s="11" t="s">
        <v>5424</v>
      </c>
      <c r="C959" s="11" t="s">
        <v>173</v>
      </c>
      <c r="D959" s="11" t="s">
        <v>68</v>
      </c>
      <c r="E959" s="12">
        <v>46228.0</v>
      </c>
      <c r="F959" s="12">
        <v>46259.0</v>
      </c>
      <c r="G959" s="11" t="s">
        <v>5425</v>
      </c>
      <c r="H959" s="11">
        <v>8.368016227E9</v>
      </c>
      <c r="I959" s="11" t="s">
        <v>70</v>
      </c>
      <c r="J959" s="11" t="s">
        <v>83</v>
      </c>
      <c r="K959" s="11" t="s">
        <v>72</v>
      </c>
      <c r="L959" s="11" t="s">
        <v>84</v>
      </c>
      <c r="M959" s="11" t="s">
        <v>886</v>
      </c>
      <c r="N959" s="11" t="s">
        <v>86</v>
      </c>
      <c r="O959" s="11" t="s">
        <v>71</v>
      </c>
      <c r="P959" s="11" t="s">
        <v>5426</v>
      </c>
      <c r="Q959" s="13" t="s">
        <v>5427</v>
      </c>
      <c r="R959" s="14" t="str">
        <f>HYPERLINK("https://drive.google.com/file/d/10ENUcyPmqRCXwqzhxIYiiwLqudXisO5C/view?usp=drivesdk","OFFER LETTER")</f>
        <v>OFFER LETTER</v>
      </c>
      <c r="S959" s="11" t="s">
        <v>5428</v>
      </c>
    </row>
    <row r="960" ht="22.5" customHeight="1">
      <c r="A960" s="10">
        <v>46260.88771318287</v>
      </c>
      <c r="B960" s="11" t="s">
        <v>5429</v>
      </c>
      <c r="C960" s="11" t="s">
        <v>5430</v>
      </c>
      <c r="D960" s="11" t="s">
        <v>68</v>
      </c>
      <c r="E960" s="12">
        <v>46260.0</v>
      </c>
      <c r="F960" s="12">
        <v>46291.0</v>
      </c>
      <c r="G960" s="11" t="s">
        <v>5431</v>
      </c>
      <c r="H960" s="11">
        <v>8.309448278E9</v>
      </c>
      <c r="I960" s="11" t="s">
        <v>82</v>
      </c>
      <c r="J960" s="11" t="s">
        <v>83</v>
      </c>
      <c r="K960" s="11" t="s">
        <v>72</v>
      </c>
      <c r="L960" s="11" t="s">
        <v>73</v>
      </c>
      <c r="M960" s="11" t="s">
        <v>5432</v>
      </c>
      <c r="N960" s="11" t="s">
        <v>86</v>
      </c>
      <c r="O960" s="11" t="s">
        <v>71</v>
      </c>
      <c r="P960" s="11" t="s">
        <v>5433</v>
      </c>
      <c r="Q960" s="13" t="s">
        <v>5434</v>
      </c>
      <c r="R960" s="14" t="str">
        <f>HYPERLINK("https://drive.google.com/file/d/1lwNZ_SCqit3wFRr26O-fiHFoT8roBCzE/view?usp=drivesdk","OFFER LETTER")</f>
        <v>OFFER LETTER</v>
      </c>
      <c r="S960" s="11" t="s">
        <v>5435</v>
      </c>
    </row>
    <row r="961" ht="22.5" customHeight="1">
      <c r="A961" s="10">
        <v>46260.8895212037</v>
      </c>
      <c r="B961" s="11" t="s">
        <v>5436</v>
      </c>
      <c r="C961" s="11" t="s">
        <v>195</v>
      </c>
      <c r="D961" s="11" t="s">
        <v>68</v>
      </c>
      <c r="E961" s="12">
        <v>46232.0</v>
      </c>
      <c r="F961" s="12">
        <v>46263.0</v>
      </c>
      <c r="G961" s="11" t="s">
        <v>5437</v>
      </c>
      <c r="H961" s="11">
        <v>6.374790591E9</v>
      </c>
      <c r="I961" s="11" t="s">
        <v>82</v>
      </c>
      <c r="K961" s="11" t="s">
        <v>72</v>
      </c>
      <c r="L961" s="11" t="s">
        <v>131</v>
      </c>
      <c r="M961" s="11" t="s">
        <v>5438</v>
      </c>
      <c r="N961" s="11" t="s">
        <v>198</v>
      </c>
      <c r="O961" s="11" t="s">
        <v>71</v>
      </c>
      <c r="P961" s="11" t="s">
        <v>5439</v>
      </c>
      <c r="Q961" s="13" t="s">
        <v>5440</v>
      </c>
      <c r="R961" s="14" t="str">
        <f>HYPERLINK("https://drive.google.com/file/d/1EEYJtzHLFcZ7IWif_5SSU-pJJZTpf_Eh/view?usp=drivesdk","OFFER LETTER")</f>
        <v>OFFER LETTER</v>
      </c>
      <c r="S961" s="11" t="s">
        <v>5441</v>
      </c>
    </row>
    <row r="962" ht="22.5" customHeight="1">
      <c r="A962" s="10">
        <v>46260.89208657407</v>
      </c>
      <c r="B962" s="11" t="s">
        <v>5442</v>
      </c>
      <c r="C962" s="11" t="s">
        <v>5430</v>
      </c>
      <c r="D962" s="11" t="s">
        <v>68</v>
      </c>
      <c r="E962" s="12">
        <v>46260.0</v>
      </c>
      <c r="F962" s="12">
        <v>46291.0</v>
      </c>
      <c r="G962" s="11" t="s">
        <v>5431</v>
      </c>
      <c r="H962" s="11">
        <v>8.309448278E9</v>
      </c>
      <c r="I962" s="11" t="s">
        <v>82</v>
      </c>
      <c r="J962" s="11" t="s">
        <v>83</v>
      </c>
      <c r="K962" s="11" t="s">
        <v>72</v>
      </c>
      <c r="L962" s="11" t="s">
        <v>73</v>
      </c>
      <c r="M962" s="11" t="s">
        <v>5432</v>
      </c>
      <c r="N962" s="11" t="s">
        <v>86</v>
      </c>
      <c r="O962" s="11" t="s">
        <v>71</v>
      </c>
      <c r="P962" s="11" t="s">
        <v>5443</v>
      </c>
      <c r="Q962" s="13" t="s">
        <v>5444</v>
      </c>
      <c r="R962" s="14" t="str">
        <f>HYPERLINK("https://drive.google.com/file/d/15qSXycrJBkIuUHNGZSx0dQC1JxSfAwff/view?usp=drivesdk","OFFER LETTER")</f>
        <v>OFFER LETTER</v>
      </c>
      <c r="S962" s="11" t="s">
        <v>5445</v>
      </c>
    </row>
    <row r="963" ht="22.5" customHeight="1">
      <c r="A963" s="10">
        <v>46260.89958</v>
      </c>
      <c r="B963" s="11" t="s">
        <v>5446</v>
      </c>
      <c r="C963" s="11" t="s">
        <v>2591</v>
      </c>
      <c r="D963" s="11" t="s">
        <v>108</v>
      </c>
      <c r="E963" s="12">
        <v>45778.0</v>
      </c>
      <c r="F963" s="12">
        <v>45838.0</v>
      </c>
      <c r="G963" s="11" t="s">
        <v>5447</v>
      </c>
      <c r="H963" s="11">
        <v>9.248877888E9</v>
      </c>
      <c r="I963" s="11" t="s">
        <v>82</v>
      </c>
      <c r="J963" s="11" t="s">
        <v>71</v>
      </c>
      <c r="K963" s="11" t="s">
        <v>72</v>
      </c>
      <c r="L963" s="11" t="s">
        <v>131</v>
      </c>
      <c r="M963" s="11" t="s">
        <v>4961</v>
      </c>
      <c r="N963" s="11" t="s">
        <v>75</v>
      </c>
      <c r="O963" s="11" t="s">
        <v>71</v>
      </c>
      <c r="P963" s="11" t="s">
        <v>5448</v>
      </c>
      <c r="Q963" s="13" t="s">
        <v>5449</v>
      </c>
      <c r="R963" s="14" t="str">
        <f>HYPERLINK("https://drive.google.com/file/d/1CjQIEnDDcDvhTD58qHHYEmXbMllbyQIv/view?usp=drivesdk","OFFER LETTER")</f>
        <v>OFFER LETTER</v>
      </c>
      <c r="S963" s="11" t="s">
        <v>5450</v>
      </c>
    </row>
    <row r="964" ht="22.5" customHeight="1">
      <c r="A964" s="10">
        <v>46260.907607534726</v>
      </c>
      <c r="B964" s="11" t="s">
        <v>5451</v>
      </c>
      <c r="C964" s="11" t="s">
        <v>128</v>
      </c>
      <c r="D964" s="11" t="s">
        <v>68</v>
      </c>
      <c r="E964" s="12">
        <v>46238.0</v>
      </c>
      <c r="F964" s="12">
        <v>46269.0</v>
      </c>
      <c r="G964" s="11" t="s">
        <v>5452</v>
      </c>
      <c r="H964" s="11">
        <v>9.944952606E9</v>
      </c>
      <c r="I964" s="11" t="s">
        <v>82</v>
      </c>
      <c r="J964" s="11" t="s">
        <v>71</v>
      </c>
      <c r="K964" s="11" t="s">
        <v>72</v>
      </c>
      <c r="L964" s="11" t="s">
        <v>84</v>
      </c>
      <c r="M964" s="11" t="s">
        <v>5453</v>
      </c>
      <c r="N964" s="11" t="s">
        <v>86</v>
      </c>
      <c r="O964" s="11" t="s">
        <v>71</v>
      </c>
      <c r="P964" s="11" t="s">
        <v>5454</v>
      </c>
      <c r="Q964" s="13" t="s">
        <v>5455</v>
      </c>
      <c r="R964" s="14" t="str">
        <f>HYPERLINK("https://drive.google.com/file/d/1vjgLMLtVzPXV7sLsAJKn3xeah_HXvyZq/view?usp=drivesdk","OFFER LETTER")</f>
        <v>OFFER LETTER</v>
      </c>
      <c r="S964" s="11" t="s">
        <v>5456</v>
      </c>
    </row>
    <row r="965" ht="22.5" customHeight="1">
      <c r="A965" s="10">
        <v>46260.90951194444</v>
      </c>
      <c r="B965" s="11" t="s">
        <v>5451</v>
      </c>
      <c r="C965" s="11" t="s">
        <v>128</v>
      </c>
      <c r="D965" s="11" t="s">
        <v>68</v>
      </c>
      <c r="E965" s="12">
        <v>46238.0</v>
      </c>
      <c r="F965" s="12">
        <v>46269.0</v>
      </c>
      <c r="G965" s="11" t="s">
        <v>5452</v>
      </c>
      <c r="H965" s="11">
        <v>9.944952606E9</v>
      </c>
      <c r="I965" s="11" t="s">
        <v>82</v>
      </c>
      <c r="J965" s="11" t="s">
        <v>71</v>
      </c>
      <c r="K965" s="11" t="s">
        <v>72</v>
      </c>
      <c r="L965" s="11" t="s">
        <v>84</v>
      </c>
      <c r="M965" s="11" t="s">
        <v>5453</v>
      </c>
      <c r="N965" s="11" t="s">
        <v>86</v>
      </c>
      <c r="O965" s="11" t="s">
        <v>71</v>
      </c>
      <c r="P965" s="11" t="s">
        <v>5457</v>
      </c>
      <c r="Q965" s="13" t="s">
        <v>5458</v>
      </c>
      <c r="R965" s="14" t="str">
        <f>HYPERLINK("https://drive.google.com/file/d/1AWo-kHmGO0HM5Mfn0nFbx2mQg9g-rBkS/view?usp=drivesdk","OFFER LETTER")</f>
        <v>OFFER LETTER</v>
      </c>
      <c r="S965" s="11" t="s">
        <v>5459</v>
      </c>
    </row>
    <row r="966" ht="22.5" customHeight="1">
      <c r="A966" s="10">
        <v>46260.92022140046</v>
      </c>
      <c r="B966" s="11" t="s">
        <v>5460</v>
      </c>
      <c r="C966" s="11" t="s">
        <v>195</v>
      </c>
      <c r="D966" s="11" t="s">
        <v>68</v>
      </c>
      <c r="E966" s="12">
        <v>46189.0</v>
      </c>
      <c r="F966" s="12">
        <v>46219.0</v>
      </c>
      <c r="G966" s="11" t="s">
        <v>5461</v>
      </c>
      <c r="H966" s="11">
        <v>9.997173838E9</v>
      </c>
      <c r="I966" s="11" t="s">
        <v>82</v>
      </c>
      <c r="J966" s="11" t="s">
        <v>130</v>
      </c>
      <c r="K966" s="11" t="s">
        <v>72</v>
      </c>
      <c r="L966" s="11" t="s">
        <v>131</v>
      </c>
      <c r="M966" s="11" t="s">
        <v>2729</v>
      </c>
      <c r="N966" s="11" t="s">
        <v>5462</v>
      </c>
      <c r="O966" s="11" t="s">
        <v>71</v>
      </c>
      <c r="P966" s="11" t="s">
        <v>5463</v>
      </c>
      <c r="Q966" s="13" t="s">
        <v>5464</v>
      </c>
      <c r="R966" s="14" t="str">
        <f>HYPERLINK("https://drive.google.com/file/d/1MREjB6PkBnRamzO-hY26aKKOIYj89JMv/view?usp=drivesdk","OFFER LETTER")</f>
        <v>OFFER LETTER</v>
      </c>
      <c r="S966" s="11" t="s">
        <v>5465</v>
      </c>
    </row>
    <row r="967" ht="22.5" customHeight="1">
      <c r="A967" s="10">
        <v>46260.92532484954</v>
      </c>
      <c r="B967" s="11" t="s">
        <v>5466</v>
      </c>
      <c r="C967" s="11" t="s">
        <v>195</v>
      </c>
      <c r="D967" s="11" t="s">
        <v>68</v>
      </c>
      <c r="E967" s="12">
        <v>46212.0</v>
      </c>
      <c r="F967" s="12">
        <v>46242.0</v>
      </c>
      <c r="G967" s="11" t="s">
        <v>5467</v>
      </c>
      <c r="H967" s="11">
        <v>8.700908604E9</v>
      </c>
      <c r="I967" s="11" t="s">
        <v>82</v>
      </c>
      <c r="J967" s="11" t="s">
        <v>71</v>
      </c>
      <c r="K967" s="11" t="s">
        <v>72</v>
      </c>
      <c r="L967" s="11" t="s">
        <v>84</v>
      </c>
      <c r="M967" s="11" t="s">
        <v>2021</v>
      </c>
      <c r="N967" s="11" t="s">
        <v>86</v>
      </c>
      <c r="O967" s="11" t="s">
        <v>71</v>
      </c>
      <c r="P967" s="11" t="s">
        <v>5468</v>
      </c>
      <c r="Q967" s="13" t="s">
        <v>5469</v>
      </c>
      <c r="R967" s="14" t="str">
        <f>HYPERLINK("https://drive.google.com/file/d/1uQLawUyvIpG1gQfbeJggr7FTJusZ4U7Q/view?usp=drivesdk","OFFER LETTER")</f>
        <v>OFFER LETTER</v>
      </c>
      <c r="S967" s="11" t="s">
        <v>5470</v>
      </c>
    </row>
    <row r="968" ht="22.5" customHeight="1">
      <c r="A968" s="10">
        <v>46260.925549548614</v>
      </c>
      <c r="B968" s="11" t="s">
        <v>5471</v>
      </c>
      <c r="C968" s="11" t="s">
        <v>195</v>
      </c>
      <c r="D968" s="11" t="s">
        <v>68</v>
      </c>
      <c r="E968" s="12">
        <v>46260.0</v>
      </c>
      <c r="F968" s="12">
        <v>46291.0</v>
      </c>
      <c r="G968" s="11" t="s">
        <v>5472</v>
      </c>
      <c r="H968" s="11">
        <v>6.3820767E9</v>
      </c>
      <c r="I968" s="11" t="s">
        <v>82</v>
      </c>
      <c r="K968" s="13" t="s">
        <v>443</v>
      </c>
      <c r="L968" s="11" t="s">
        <v>73</v>
      </c>
      <c r="M968" s="11" t="s">
        <v>5473</v>
      </c>
      <c r="N968" s="11" t="s">
        <v>241</v>
      </c>
      <c r="O968" s="11" t="s">
        <v>263</v>
      </c>
      <c r="P968" s="11" t="s">
        <v>5474</v>
      </c>
      <c r="Q968" s="13" t="s">
        <v>5475</v>
      </c>
      <c r="R968" s="14" t="str">
        <f>HYPERLINK("https://drive.google.com/file/d/13ToWdYgXTFBM3lOvyEgS7BYxUoSvl6gh/view?usp=drivesdk","OFFER LETTER")</f>
        <v>OFFER LETTER</v>
      </c>
      <c r="S968" s="11" t="s">
        <v>5476</v>
      </c>
    </row>
    <row r="969" ht="22.5" customHeight="1">
      <c r="A969" s="10">
        <v>46260.93571480324</v>
      </c>
      <c r="B969" s="11" t="s">
        <v>5477</v>
      </c>
      <c r="C969" s="11" t="s">
        <v>173</v>
      </c>
      <c r="D969" s="11" t="s">
        <v>68</v>
      </c>
      <c r="E969" s="12">
        <v>46266.0</v>
      </c>
      <c r="F969" s="12">
        <v>46295.0</v>
      </c>
      <c r="G969" s="11" t="s">
        <v>5478</v>
      </c>
      <c r="H969" s="11">
        <v>9.758020425E9</v>
      </c>
      <c r="I969" s="11" t="s">
        <v>82</v>
      </c>
      <c r="J969" s="11" t="s">
        <v>83</v>
      </c>
      <c r="K969" s="11" t="s">
        <v>72</v>
      </c>
      <c r="L969" s="11" t="s">
        <v>131</v>
      </c>
      <c r="M969" s="11" t="s">
        <v>5479</v>
      </c>
      <c r="N969" s="11" t="s">
        <v>86</v>
      </c>
      <c r="O969" s="11" t="s">
        <v>71</v>
      </c>
      <c r="P969" s="11" t="s">
        <v>5480</v>
      </c>
      <c r="Q969" s="13" t="s">
        <v>5481</v>
      </c>
      <c r="R969" s="14" t="str">
        <f>HYPERLINK("https://drive.google.com/file/d/1BVLAG3cy5Wl3KzF1wWmLXmbEW71b2NTK/view?usp=drivesdk","OFFER LETTER")</f>
        <v>OFFER LETTER</v>
      </c>
      <c r="S969" s="11" t="s">
        <v>5482</v>
      </c>
    </row>
    <row r="970" ht="22.5" customHeight="1">
      <c r="A970" s="10">
        <v>46260.936316273146</v>
      </c>
      <c r="B970" s="11" t="s">
        <v>5483</v>
      </c>
      <c r="C970" s="11" t="s">
        <v>298</v>
      </c>
      <c r="D970" s="11" t="s">
        <v>68</v>
      </c>
      <c r="E970" s="12">
        <v>46260.0</v>
      </c>
      <c r="F970" s="12">
        <v>46291.0</v>
      </c>
      <c r="G970" s="11" t="s">
        <v>5484</v>
      </c>
      <c r="H970" s="11">
        <v>9.112721781E9</v>
      </c>
      <c r="I970" s="11" t="s">
        <v>82</v>
      </c>
      <c r="J970" s="11" t="s">
        <v>71</v>
      </c>
      <c r="K970" s="11" t="s">
        <v>72</v>
      </c>
      <c r="L970" s="11" t="s">
        <v>73</v>
      </c>
      <c r="M970" s="11" t="s">
        <v>5485</v>
      </c>
      <c r="N970" s="11" t="s">
        <v>868</v>
      </c>
      <c r="O970" s="11" t="s">
        <v>71</v>
      </c>
      <c r="P970" s="11" t="s">
        <v>5486</v>
      </c>
      <c r="Q970" s="13" t="s">
        <v>5487</v>
      </c>
      <c r="R970" s="14" t="str">
        <f>HYPERLINK("https://drive.google.com/file/d/1y_5KGH0_hMCgQQWv7tfEU8mnUIa9y5lz/view?usp=drivesdk","OFFER LETTER")</f>
        <v>OFFER LETTER</v>
      </c>
      <c r="S970" s="11" t="s">
        <v>5488</v>
      </c>
    </row>
    <row r="971" ht="22.5" customHeight="1">
      <c r="A971" s="10">
        <v>46260.9544996412</v>
      </c>
      <c r="B971" s="11" t="s">
        <v>5489</v>
      </c>
      <c r="C971" s="11" t="s">
        <v>128</v>
      </c>
      <c r="D971" s="11" t="s">
        <v>68</v>
      </c>
      <c r="E971" s="12">
        <v>46218.0</v>
      </c>
      <c r="F971" s="12">
        <v>46249.0</v>
      </c>
      <c r="G971" s="11" t="s">
        <v>5490</v>
      </c>
      <c r="H971" s="11">
        <v>8.807379097E9</v>
      </c>
      <c r="I971" s="11" t="s">
        <v>82</v>
      </c>
      <c r="J971" s="11" t="s">
        <v>130</v>
      </c>
      <c r="K971" s="11" t="s">
        <v>72</v>
      </c>
      <c r="L971" s="11" t="s">
        <v>84</v>
      </c>
      <c r="M971" s="11" t="s">
        <v>3607</v>
      </c>
      <c r="N971" s="11" t="s">
        <v>86</v>
      </c>
      <c r="O971" s="11" t="s">
        <v>71</v>
      </c>
      <c r="P971" s="11" t="s">
        <v>5491</v>
      </c>
      <c r="Q971" s="13" t="s">
        <v>5492</v>
      </c>
      <c r="R971" s="14" t="str">
        <f>HYPERLINK("https://drive.google.com/file/d/1I0rDgnUeMwlE6hdri-lL8QYwyMQV0diE/view?usp=drivesdk","OFFER LETTER")</f>
        <v>OFFER LETTER</v>
      </c>
      <c r="S971" s="11" t="s">
        <v>5493</v>
      </c>
    </row>
    <row r="972" ht="22.5" customHeight="1">
      <c r="A972" s="10">
        <v>46260.97974886574</v>
      </c>
      <c r="B972" s="11" t="s">
        <v>5494</v>
      </c>
      <c r="C972" s="11" t="s">
        <v>128</v>
      </c>
      <c r="D972" s="11" t="s">
        <v>68</v>
      </c>
      <c r="E972" s="12">
        <v>46146.0</v>
      </c>
      <c r="F972" s="12">
        <v>46177.0</v>
      </c>
      <c r="G972" s="11" t="s">
        <v>5495</v>
      </c>
      <c r="H972" s="11">
        <v>9.297826998E9</v>
      </c>
      <c r="I972" s="11" t="s">
        <v>82</v>
      </c>
      <c r="J972" s="11" t="s">
        <v>71</v>
      </c>
      <c r="K972" s="11" t="s">
        <v>72</v>
      </c>
      <c r="L972" s="11" t="s">
        <v>357</v>
      </c>
      <c r="M972" s="11" t="s">
        <v>886</v>
      </c>
      <c r="N972" s="11" t="s">
        <v>3833</v>
      </c>
      <c r="O972" s="11" t="s">
        <v>71</v>
      </c>
      <c r="P972" s="11" t="s">
        <v>5496</v>
      </c>
      <c r="Q972" s="13" t="s">
        <v>5497</v>
      </c>
      <c r="R972" s="14" t="str">
        <f>HYPERLINK("https://drive.google.com/file/d/10MYbNJGw4hHtW5yJ1Szm3cmnakGifcXN/view?usp=drivesdk","OFFER LETTER")</f>
        <v>OFFER LETTER</v>
      </c>
      <c r="S972" s="11" t="s">
        <v>5498</v>
      </c>
    </row>
    <row r="973" ht="22.5" customHeight="1">
      <c r="A973" s="10">
        <v>46260.992034490744</v>
      </c>
      <c r="B973" s="11" t="s">
        <v>5499</v>
      </c>
      <c r="C973" s="11" t="s">
        <v>195</v>
      </c>
      <c r="D973" s="11" t="s">
        <v>68</v>
      </c>
      <c r="E973" s="12">
        <v>46218.0</v>
      </c>
      <c r="F973" s="12">
        <v>46249.0</v>
      </c>
      <c r="G973" s="11" t="s">
        <v>5500</v>
      </c>
      <c r="H973" s="11">
        <v>9.927188846E9</v>
      </c>
      <c r="I973" s="11" t="s">
        <v>82</v>
      </c>
      <c r="J973" s="11" t="s">
        <v>71</v>
      </c>
      <c r="K973" s="11" t="s">
        <v>72</v>
      </c>
      <c r="L973" s="11" t="s">
        <v>84</v>
      </c>
      <c r="M973" s="11" t="s">
        <v>5501</v>
      </c>
      <c r="N973" s="11" t="s">
        <v>5502</v>
      </c>
      <c r="O973" s="11" t="s">
        <v>71</v>
      </c>
      <c r="P973" s="11" t="s">
        <v>5503</v>
      </c>
      <c r="Q973" s="13" t="s">
        <v>5504</v>
      </c>
      <c r="R973" s="14" t="str">
        <f>HYPERLINK("https://drive.google.com/file/d/11Bpx6-aATFpgypjJvtuVqxyaFz8NJJwk/view?usp=drivesdk","OFFER LETTER")</f>
        <v>OFFER LETTER</v>
      </c>
      <c r="S973" s="11" t="s">
        <v>5505</v>
      </c>
    </row>
    <row r="974" ht="22.5" customHeight="1">
      <c r="A974" s="10">
        <v>46260.99590620371</v>
      </c>
      <c r="B974" s="11" t="s">
        <v>5506</v>
      </c>
      <c r="C974" s="11" t="s">
        <v>354</v>
      </c>
      <c r="D974" s="11" t="s">
        <v>108</v>
      </c>
      <c r="E974" s="12">
        <v>46183.0</v>
      </c>
      <c r="F974" s="12">
        <v>46244.0</v>
      </c>
      <c r="G974" s="11" t="s">
        <v>5507</v>
      </c>
      <c r="H974" s="11">
        <v>7.818087468E9</v>
      </c>
      <c r="I974" s="11" t="s">
        <v>82</v>
      </c>
      <c r="J974" s="11" t="s">
        <v>71</v>
      </c>
      <c r="K974" s="11" t="s">
        <v>72</v>
      </c>
      <c r="L974" s="11" t="s">
        <v>73</v>
      </c>
      <c r="M974" s="11" t="s">
        <v>5508</v>
      </c>
      <c r="N974" s="11" t="s">
        <v>198</v>
      </c>
      <c r="O974" s="11" t="s">
        <v>263</v>
      </c>
      <c r="P974" s="11" t="s">
        <v>5509</v>
      </c>
      <c r="Q974" s="13" t="s">
        <v>5510</v>
      </c>
      <c r="R974" s="14" t="str">
        <f>HYPERLINK("https://drive.google.com/file/d/1Ou3nwWrQbCk_wn3liwpr4kC6hf5ewLkL/view?usp=drivesdk","OFFER LETTER")</f>
        <v>OFFER LETTER</v>
      </c>
      <c r="S974" s="11" t="s">
        <v>5511</v>
      </c>
    </row>
    <row r="975" ht="22.5" customHeight="1">
      <c r="A975" s="10">
        <v>46261.00689729166</v>
      </c>
      <c r="B975" s="11" t="s">
        <v>3966</v>
      </c>
      <c r="C975" s="11" t="s">
        <v>195</v>
      </c>
      <c r="D975" s="11" t="s">
        <v>68</v>
      </c>
      <c r="E975" s="12">
        <v>46257.0</v>
      </c>
      <c r="F975" s="12">
        <v>46288.0</v>
      </c>
      <c r="G975" s="11" t="s">
        <v>3967</v>
      </c>
      <c r="H975" s="11">
        <v>8.755812048E9</v>
      </c>
      <c r="I975" s="11" t="s">
        <v>82</v>
      </c>
      <c r="J975" s="11" t="s">
        <v>71</v>
      </c>
      <c r="K975" s="11" t="s">
        <v>72</v>
      </c>
      <c r="L975" s="11" t="s">
        <v>247</v>
      </c>
      <c r="M975" s="11" t="s">
        <v>5512</v>
      </c>
      <c r="N975" s="11" t="s">
        <v>75</v>
      </c>
      <c r="O975" s="11" t="s">
        <v>71</v>
      </c>
      <c r="P975" s="11" t="s">
        <v>5513</v>
      </c>
      <c r="Q975" s="13" t="s">
        <v>5514</v>
      </c>
      <c r="R975" s="14" t="str">
        <f>HYPERLINK("https://drive.google.com/file/d/1DwGeBfyU52u6ojIn15ZGadrgXRkD3rB9/view?usp=drivesdk","OFFER LETTER")</f>
        <v>OFFER LETTER</v>
      </c>
      <c r="S975" s="11" t="s">
        <v>5515</v>
      </c>
    </row>
    <row r="976" ht="22.5" customHeight="1">
      <c r="A976" s="10">
        <v>46261.01054819445</v>
      </c>
      <c r="B976" s="11" t="s">
        <v>5516</v>
      </c>
      <c r="C976" s="11" t="s">
        <v>107</v>
      </c>
      <c r="D976" s="11" t="s">
        <v>68</v>
      </c>
      <c r="E976" s="12">
        <v>46261.0</v>
      </c>
      <c r="F976" s="12">
        <v>46261.0</v>
      </c>
      <c r="G976" s="11" t="s">
        <v>5517</v>
      </c>
      <c r="H976" s="11">
        <v>7.610444846E9</v>
      </c>
      <c r="I976" s="11" t="s">
        <v>82</v>
      </c>
      <c r="J976" s="11" t="s">
        <v>71</v>
      </c>
      <c r="K976" s="11" t="s">
        <v>72</v>
      </c>
      <c r="L976" s="11" t="s">
        <v>247</v>
      </c>
      <c r="M976" s="11" t="s">
        <v>5518</v>
      </c>
      <c r="N976" s="11" t="s">
        <v>226</v>
      </c>
      <c r="O976" s="11" t="s">
        <v>130</v>
      </c>
      <c r="P976" s="11" t="s">
        <v>5519</v>
      </c>
      <c r="Q976" s="13" t="s">
        <v>5520</v>
      </c>
      <c r="R976" s="14" t="str">
        <f>HYPERLINK("https://drive.google.com/file/d/1xwjimXWw_bMendfv6D3EtpTVwdKfp5qX/view?usp=drivesdk","OFFER LETTER")</f>
        <v>OFFER LETTER</v>
      </c>
      <c r="S976" s="11" t="s">
        <v>5521</v>
      </c>
    </row>
    <row r="977" ht="22.5" customHeight="1">
      <c r="A977" s="10">
        <v>46261.020211006944</v>
      </c>
      <c r="B977" s="11" t="s">
        <v>5522</v>
      </c>
      <c r="C977" s="11" t="s">
        <v>237</v>
      </c>
      <c r="D977" s="11" t="s">
        <v>68</v>
      </c>
      <c r="E977" s="12">
        <v>46261.0</v>
      </c>
      <c r="F977" s="12">
        <v>46292.0</v>
      </c>
      <c r="G977" s="11" t="s">
        <v>5523</v>
      </c>
      <c r="H977" s="11">
        <v>6.203376246E9</v>
      </c>
      <c r="I977" s="11" t="s">
        <v>82</v>
      </c>
      <c r="J977" s="11" t="s">
        <v>71</v>
      </c>
      <c r="K977" s="11" t="s">
        <v>72</v>
      </c>
      <c r="L977" s="11" t="s">
        <v>131</v>
      </c>
      <c r="M977" s="11" t="s">
        <v>275</v>
      </c>
      <c r="N977" s="11" t="s">
        <v>75</v>
      </c>
      <c r="O977" s="11" t="s">
        <v>71</v>
      </c>
      <c r="P977" s="11" t="s">
        <v>5524</v>
      </c>
      <c r="Q977" s="13" t="s">
        <v>5525</v>
      </c>
      <c r="R977" s="14" t="str">
        <f>HYPERLINK("https://drive.google.com/file/d/1tEUJsx6Tq9EFWcmTdkEp7TmgW2DXRcVQ/view?usp=drivesdk","OFFER LETTER")</f>
        <v>OFFER LETTER</v>
      </c>
      <c r="S977" s="11" t="s">
        <v>5526</v>
      </c>
    </row>
    <row r="978" ht="22.5" customHeight="1">
      <c r="A978" s="10">
        <v>46261.128203333334</v>
      </c>
      <c r="B978" s="11" t="s">
        <v>5527</v>
      </c>
      <c r="C978" s="11" t="s">
        <v>128</v>
      </c>
      <c r="D978" s="11" t="s">
        <v>238</v>
      </c>
      <c r="E978" s="12">
        <v>46237.0</v>
      </c>
      <c r="F978" s="12">
        <v>46326.0</v>
      </c>
      <c r="G978" s="11" t="s">
        <v>5528</v>
      </c>
      <c r="H978" s="11">
        <v>8.101498339E9</v>
      </c>
      <c r="I978" s="11" t="s">
        <v>82</v>
      </c>
      <c r="J978" s="11" t="s">
        <v>83</v>
      </c>
      <c r="K978" s="13" t="s">
        <v>443</v>
      </c>
      <c r="L978" s="11" t="s">
        <v>131</v>
      </c>
      <c r="M978" s="11" t="s">
        <v>5529</v>
      </c>
      <c r="N978" s="11" t="s">
        <v>86</v>
      </c>
      <c r="O978" s="11" t="s">
        <v>71</v>
      </c>
      <c r="P978" s="11" t="s">
        <v>5530</v>
      </c>
      <c r="Q978" s="13" t="s">
        <v>5531</v>
      </c>
      <c r="R978" s="14" t="str">
        <f>HYPERLINK("https://drive.google.com/file/d/1pqWHZv7xY3M2gHTDl5JG0ICuGoyc7fPe/view?usp=drivesdk","OFFER LETTER")</f>
        <v>OFFER LETTER</v>
      </c>
      <c r="S978" s="11" t="s">
        <v>5532</v>
      </c>
    </row>
    <row r="979" ht="22.5" customHeight="1">
      <c r="A979" s="10">
        <v>46261.23574398148</v>
      </c>
      <c r="B979" s="11" t="s">
        <v>5533</v>
      </c>
      <c r="C979" s="11" t="s">
        <v>107</v>
      </c>
      <c r="D979" s="11" t="s">
        <v>68</v>
      </c>
      <c r="E979" s="12">
        <v>46223.0</v>
      </c>
      <c r="F979" s="12">
        <v>46254.0</v>
      </c>
      <c r="G979" s="11" t="s">
        <v>2162</v>
      </c>
      <c r="H979" s="11">
        <v>7.378987158E9</v>
      </c>
      <c r="I979" s="11" t="s">
        <v>82</v>
      </c>
      <c r="J979" s="11" t="s">
        <v>71</v>
      </c>
      <c r="K979" s="11" t="s">
        <v>72</v>
      </c>
      <c r="L979" s="11" t="s">
        <v>73</v>
      </c>
      <c r="M979" s="11" t="s">
        <v>5534</v>
      </c>
      <c r="N979" s="11" t="s">
        <v>86</v>
      </c>
      <c r="O979" s="11" t="s">
        <v>71</v>
      </c>
      <c r="P979" s="11" t="s">
        <v>5535</v>
      </c>
      <c r="Q979" s="13" t="s">
        <v>5536</v>
      </c>
      <c r="R979" s="14" t="str">
        <f>HYPERLINK("https://drive.google.com/file/d/1n9tNSmqA1CryGzNEevO1ELApnLcOvlUg/view?usp=drivesdk","OFFER LETTER")</f>
        <v>OFFER LETTER</v>
      </c>
      <c r="S979" s="11" t="s">
        <v>5537</v>
      </c>
    </row>
    <row r="980" ht="22.5" customHeight="1">
      <c r="A980" s="10">
        <v>46261.30323048611</v>
      </c>
      <c r="B980" s="11" t="s">
        <v>5538</v>
      </c>
      <c r="C980" s="11" t="s">
        <v>80</v>
      </c>
      <c r="D980" s="11" t="s">
        <v>68</v>
      </c>
      <c r="E980" s="12">
        <v>46235.0</v>
      </c>
      <c r="F980" s="12">
        <v>46256.0</v>
      </c>
      <c r="G980" s="11" t="s">
        <v>5539</v>
      </c>
      <c r="H980" s="11">
        <v>9.8843295E9</v>
      </c>
      <c r="I980" s="11" t="s">
        <v>82</v>
      </c>
      <c r="J980" s="11" t="s">
        <v>71</v>
      </c>
      <c r="K980" s="11" t="s">
        <v>72</v>
      </c>
      <c r="L980" s="11" t="s">
        <v>84</v>
      </c>
      <c r="M980" s="11" t="s">
        <v>5453</v>
      </c>
      <c r="N980" s="11" t="s">
        <v>655</v>
      </c>
      <c r="O980" s="11" t="s">
        <v>71</v>
      </c>
      <c r="P980" s="11" t="s">
        <v>5540</v>
      </c>
      <c r="Q980" s="13" t="s">
        <v>5541</v>
      </c>
      <c r="R980" s="14" t="str">
        <f>HYPERLINK("https://drive.google.com/file/d/1D4M3L4pSJCxAVZjGkBYKzu_txUfoRPTx/view?usp=drivesdk","OFFER LETTER")</f>
        <v>OFFER LETTER</v>
      </c>
      <c r="S980" s="11" t="s">
        <v>5542</v>
      </c>
    </row>
    <row r="981" ht="22.5" customHeight="1">
      <c r="A981" s="10">
        <v>46261.371168819445</v>
      </c>
      <c r="B981" s="11" t="s">
        <v>5543</v>
      </c>
      <c r="C981" s="11" t="s">
        <v>298</v>
      </c>
      <c r="D981" s="11" t="s">
        <v>68</v>
      </c>
      <c r="E981" s="12">
        <v>46204.0</v>
      </c>
      <c r="F981" s="12">
        <v>46234.0</v>
      </c>
      <c r="G981" s="11" t="s">
        <v>5544</v>
      </c>
      <c r="H981" s="11">
        <v>9.572486237E9</v>
      </c>
      <c r="I981" s="11" t="s">
        <v>70</v>
      </c>
      <c r="J981" s="11" t="s">
        <v>71</v>
      </c>
      <c r="K981" s="11" t="s">
        <v>72</v>
      </c>
      <c r="L981" s="11" t="s">
        <v>131</v>
      </c>
      <c r="M981" s="11" t="s">
        <v>560</v>
      </c>
      <c r="N981" s="11" t="s">
        <v>75</v>
      </c>
      <c r="O981" s="11" t="s">
        <v>71</v>
      </c>
      <c r="P981" s="11" t="s">
        <v>5545</v>
      </c>
      <c r="Q981" s="13" t="s">
        <v>5546</v>
      </c>
      <c r="R981" s="14" t="str">
        <f>HYPERLINK("https://drive.google.com/file/d/19k1WF2n3aJmjhToclM1CixsEN8G7w1Bk/view?usp=drivesdk","OFFER LETTER")</f>
        <v>OFFER LETTER</v>
      </c>
      <c r="S981" s="11" t="s">
        <v>5547</v>
      </c>
    </row>
    <row r="982" ht="22.5" customHeight="1">
      <c r="A982" s="10">
        <v>46261.37519421296</v>
      </c>
      <c r="B982" s="11" t="s">
        <v>5548</v>
      </c>
      <c r="C982" s="11" t="s">
        <v>259</v>
      </c>
      <c r="D982" s="11" t="s">
        <v>108</v>
      </c>
      <c r="E982" s="12">
        <v>46200.0</v>
      </c>
      <c r="F982" s="12">
        <v>46261.0</v>
      </c>
      <c r="G982" s="11" t="s">
        <v>5549</v>
      </c>
      <c r="H982" s="11">
        <v>9.702847516E9</v>
      </c>
      <c r="I982" s="11" t="s">
        <v>82</v>
      </c>
      <c r="K982" s="11" t="s">
        <v>72</v>
      </c>
      <c r="L982" s="11" t="s">
        <v>73</v>
      </c>
      <c r="M982" s="11" t="s">
        <v>5550</v>
      </c>
      <c r="N982" s="11" t="s">
        <v>219</v>
      </c>
      <c r="O982" s="11" t="s">
        <v>71</v>
      </c>
      <c r="P982" s="11" t="s">
        <v>5551</v>
      </c>
      <c r="Q982" s="13" t="s">
        <v>5552</v>
      </c>
      <c r="R982" s="14" t="str">
        <f>HYPERLINK("https://drive.google.com/file/d/1ewKwdj9Bsgo3Plbixj_yPyxrUwYTn3RM/view?usp=drivesdk","OFFER LETTER")</f>
        <v>OFFER LETTER</v>
      </c>
      <c r="S982" s="11" t="s">
        <v>5553</v>
      </c>
    </row>
    <row r="983" ht="22.5" customHeight="1">
      <c r="A983" s="10">
        <v>46261.38152195602</v>
      </c>
      <c r="B983" s="11" t="s">
        <v>5554</v>
      </c>
      <c r="C983" s="11" t="s">
        <v>107</v>
      </c>
      <c r="D983" s="11" t="s">
        <v>68</v>
      </c>
      <c r="E983" s="12">
        <v>46266.0</v>
      </c>
      <c r="F983" s="12">
        <v>46296.0</v>
      </c>
      <c r="G983" s="11" t="s">
        <v>5555</v>
      </c>
      <c r="H983" s="11">
        <v>9.742533457E9</v>
      </c>
      <c r="I983" s="11" t="s">
        <v>82</v>
      </c>
      <c r="J983" s="11" t="s">
        <v>71</v>
      </c>
      <c r="K983" s="11" t="s">
        <v>72</v>
      </c>
      <c r="L983" s="11" t="s">
        <v>131</v>
      </c>
      <c r="M983" s="11" t="s">
        <v>5556</v>
      </c>
      <c r="N983" s="11" t="s">
        <v>936</v>
      </c>
      <c r="O983" s="11" t="s">
        <v>71</v>
      </c>
      <c r="P983" s="11" t="s">
        <v>5557</v>
      </c>
      <c r="Q983" s="13" t="s">
        <v>5558</v>
      </c>
      <c r="R983" s="14" t="str">
        <f>HYPERLINK("https://drive.google.com/file/d/1qWoL0BuuzAhWHCVJBQV6xinob0Te5Tz0/view?usp=drivesdk","OFFER LETTER")</f>
        <v>OFFER LETTER</v>
      </c>
      <c r="S983" s="11" t="s">
        <v>5559</v>
      </c>
    </row>
    <row r="984" ht="22.5" customHeight="1">
      <c r="A984" s="10">
        <v>46261.3869257176</v>
      </c>
      <c r="B984" s="11" t="s">
        <v>5560</v>
      </c>
      <c r="C984" s="11" t="s">
        <v>173</v>
      </c>
      <c r="D984" s="11" t="s">
        <v>68</v>
      </c>
      <c r="E984" s="12">
        <v>46183.0</v>
      </c>
      <c r="F984" s="12">
        <v>46213.0</v>
      </c>
      <c r="G984" s="11" t="s">
        <v>5561</v>
      </c>
      <c r="H984" s="11">
        <v>8.950487282E9</v>
      </c>
      <c r="I984" s="11" t="s">
        <v>82</v>
      </c>
      <c r="J984" s="11" t="s">
        <v>130</v>
      </c>
      <c r="K984" s="11" t="s">
        <v>72</v>
      </c>
      <c r="L984" s="11" t="s">
        <v>131</v>
      </c>
      <c r="M984" s="11" t="s">
        <v>5562</v>
      </c>
      <c r="N984" s="11" t="s">
        <v>75</v>
      </c>
      <c r="O984" s="11" t="s">
        <v>71</v>
      </c>
      <c r="P984" s="11" t="s">
        <v>5563</v>
      </c>
      <c r="Q984" s="13" t="s">
        <v>5564</v>
      </c>
      <c r="R984" s="14" t="str">
        <f>HYPERLINK("https://drive.google.com/file/d/1gtk33TxdF6XwV1c9IDQIA4NgZP8pms1X/view?usp=drivesdk","OFFER LETTER")</f>
        <v>OFFER LETTER</v>
      </c>
      <c r="S984" s="11" t="s">
        <v>5565</v>
      </c>
    </row>
    <row r="985" ht="22.5" customHeight="1">
      <c r="A985" s="10">
        <v>46261.39699601852</v>
      </c>
      <c r="B985" s="11" t="s">
        <v>5566</v>
      </c>
      <c r="C985" s="11" t="s">
        <v>128</v>
      </c>
      <c r="D985" s="11" t="s">
        <v>68</v>
      </c>
      <c r="E985" s="12">
        <v>46228.0</v>
      </c>
      <c r="F985" s="12">
        <v>46259.0</v>
      </c>
      <c r="G985" s="11" t="s">
        <v>5567</v>
      </c>
      <c r="H985" s="11">
        <v>6.385412609E9</v>
      </c>
      <c r="I985" s="11" t="s">
        <v>82</v>
      </c>
      <c r="J985" s="11" t="s">
        <v>71</v>
      </c>
      <c r="K985" s="11" t="s">
        <v>72</v>
      </c>
      <c r="L985" s="11" t="s">
        <v>73</v>
      </c>
      <c r="M985" s="11" t="s">
        <v>5568</v>
      </c>
      <c r="N985" s="11" t="s">
        <v>198</v>
      </c>
      <c r="O985" s="11" t="s">
        <v>71</v>
      </c>
      <c r="P985" s="11" t="s">
        <v>5569</v>
      </c>
      <c r="Q985" s="13" t="s">
        <v>5570</v>
      </c>
      <c r="R985" s="14" t="str">
        <f>HYPERLINK("https://drive.google.com/file/d/1CsZxz-q0MMf0xDMbi4whkF6GPWFgqzR7/view?usp=drivesdk","OFFER LETTER")</f>
        <v>OFFER LETTER</v>
      </c>
      <c r="S985" s="11" t="s">
        <v>5571</v>
      </c>
    </row>
    <row r="986" ht="22.5" customHeight="1">
      <c r="A986" s="10">
        <v>46261.399147881944</v>
      </c>
      <c r="B986" s="11" t="s">
        <v>5572</v>
      </c>
      <c r="C986" s="11" t="s">
        <v>195</v>
      </c>
      <c r="D986" s="11" t="s">
        <v>68</v>
      </c>
      <c r="E986" s="12">
        <v>46259.0</v>
      </c>
      <c r="F986" s="12">
        <v>46290.0</v>
      </c>
      <c r="G986" s="11" t="s">
        <v>5573</v>
      </c>
      <c r="H986" s="11">
        <v>9.731296098E9</v>
      </c>
      <c r="I986" s="11" t="s">
        <v>82</v>
      </c>
      <c r="J986" s="11" t="s">
        <v>83</v>
      </c>
      <c r="K986" s="11" t="s">
        <v>356</v>
      </c>
      <c r="L986" s="11" t="s">
        <v>84</v>
      </c>
      <c r="M986" s="11" t="s">
        <v>5574</v>
      </c>
      <c r="N986" s="11" t="s">
        <v>75</v>
      </c>
      <c r="O986" s="11" t="s">
        <v>71</v>
      </c>
      <c r="P986" s="11" t="s">
        <v>5575</v>
      </c>
      <c r="Q986" s="13" t="s">
        <v>5576</v>
      </c>
      <c r="R986" s="14" t="str">
        <f>HYPERLINK("https://drive.google.com/file/d/1BByF_Ab_8tXG7Jb_AJlNhMXYtgz9WUVt/view?usp=drivesdk","OFFER LETTER")</f>
        <v>OFFER LETTER</v>
      </c>
      <c r="S986" s="11" t="s">
        <v>5577</v>
      </c>
    </row>
    <row r="987" ht="22.5" customHeight="1">
      <c r="A987" s="10">
        <v>46261.407112569446</v>
      </c>
      <c r="B987" s="11" t="s">
        <v>4409</v>
      </c>
      <c r="C987" s="11" t="s">
        <v>173</v>
      </c>
      <c r="D987" s="11" t="s">
        <v>68</v>
      </c>
      <c r="E987" s="12">
        <v>46223.0</v>
      </c>
      <c r="F987" s="12">
        <v>46237.0</v>
      </c>
      <c r="G987" s="11" t="s">
        <v>4410</v>
      </c>
      <c r="H987" s="11">
        <v>7.795477513E9</v>
      </c>
      <c r="I987" s="11" t="s">
        <v>82</v>
      </c>
      <c r="J987" s="11" t="s">
        <v>71</v>
      </c>
      <c r="K987" s="11" t="s">
        <v>110</v>
      </c>
      <c r="L987" s="11" t="s">
        <v>73</v>
      </c>
      <c r="M987" s="11" t="s">
        <v>5578</v>
      </c>
      <c r="N987" s="11" t="s">
        <v>86</v>
      </c>
      <c r="O987" s="11" t="s">
        <v>71</v>
      </c>
      <c r="P987" s="11" t="s">
        <v>5579</v>
      </c>
      <c r="Q987" s="13" t="s">
        <v>5580</v>
      </c>
      <c r="R987" s="14" t="str">
        <f>HYPERLINK("https://drive.google.com/file/d/1q9ay-ATXRsIZfu1Rpd3PV3P81j15fxL8/view?usp=drivesdk","OFFER LETTER")</f>
        <v>OFFER LETTER</v>
      </c>
      <c r="S987" s="11" t="s">
        <v>5581</v>
      </c>
    </row>
    <row r="988" ht="22.5" customHeight="1">
      <c r="A988" s="10">
        <v>46261.41424085648</v>
      </c>
      <c r="B988" s="11" t="s">
        <v>5582</v>
      </c>
      <c r="C988" s="11" t="s">
        <v>128</v>
      </c>
      <c r="D988" s="11" t="s">
        <v>108</v>
      </c>
      <c r="E988" s="12">
        <v>46190.0</v>
      </c>
      <c r="F988" s="12">
        <v>46261.0</v>
      </c>
      <c r="G988" s="11" t="s">
        <v>4253</v>
      </c>
      <c r="H988" s="11">
        <v>7.060459014E9</v>
      </c>
      <c r="I988" s="11" t="s">
        <v>82</v>
      </c>
      <c r="J988" s="11" t="s">
        <v>71</v>
      </c>
      <c r="K988" s="11" t="s">
        <v>356</v>
      </c>
      <c r="L988" s="11" t="s">
        <v>84</v>
      </c>
      <c r="M988" s="11" t="s">
        <v>394</v>
      </c>
      <c r="N988" s="11" t="s">
        <v>75</v>
      </c>
      <c r="O988" s="11" t="s">
        <v>71</v>
      </c>
      <c r="P988" s="11" t="s">
        <v>5583</v>
      </c>
      <c r="Q988" s="13" t="s">
        <v>5584</v>
      </c>
      <c r="R988" s="14" t="str">
        <f>HYPERLINK("https://drive.google.com/file/d/1fsF-OSHNZKsy9DwO86Xr0icU2tR1WVKF/view?usp=drivesdk","OFFER LETTER")</f>
        <v>OFFER LETTER</v>
      </c>
      <c r="S988" s="11" t="s">
        <v>5585</v>
      </c>
    </row>
    <row r="989" ht="22.5" customHeight="1">
      <c r="A989" s="10">
        <v>46261.42711746528</v>
      </c>
      <c r="B989" s="11" t="s">
        <v>5586</v>
      </c>
      <c r="C989" s="11" t="s">
        <v>173</v>
      </c>
      <c r="D989" s="11" t="s">
        <v>68</v>
      </c>
      <c r="E989" s="12">
        <v>46179.0</v>
      </c>
      <c r="F989" s="12">
        <v>46209.0</v>
      </c>
      <c r="G989" s="11" t="s">
        <v>5587</v>
      </c>
      <c r="H989" s="11">
        <v>7.520383167E9</v>
      </c>
      <c r="I989" s="11" t="s">
        <v>82</v>
      </c>
      <c r="J989" s="11" t="s">
        <v>71</v>
      </c>
      <c r="K989" s="11" t="s">
        <v>72</v>
      </c>
      <c r="L989" s="11" t="s">
        <v>84</v>
      </c>
      <c r="M989" s="11" t="s">
        <v>1217</v>
      </c>
      <c r="N989" s="11" t="s">
        <v>86</v>
      </c>
      <c r="O989" s="11" t="s">
        <v>71</v>
      </c>
      <c r="P989" s="11" t="s">
        <v>5588</v>
      </c>
      <c r="Q989" s="13" t="s">
        <v>5589</v>
      </c>
      <c r="R989" s="14" t="str">
        <f>HYPERLINK("https://drive.google.com/file/d/1w6xDhDEfDVjyaWwJHhxbUVcrCiQpkISc/view?usp=drivesdk","OFFER LETTER")</f>
        <v>OFFER LETTER</v>
      </c>
      <c r="S989" s="11" t="s">
        <v>5590</v>
      </c>
    </row>
    <row r="990" ht="22.5" customHeight="1">
      <c r="A990" s="10">
        <v>46261.43006201389</v>
      </c>
      <c r="B990" s="11" t="s">
        <v>5591</v>
      </c>
      <c r="C990" s="11" t="s">
        <v>91</v>
      </c>
      <c r="D990" s="11" t="s">
        <v>238</v>
      </c>
      <c r="E990" s="12">
        <v>46266.0</v>
      </c>
      <c r="F990" s="12">
        <v>46357.0</v>
      </c>
      <c r="G990" s="11" t="s">
        <v>5592</v>
      </c>
      <c r="H990" s="11">
        <v>7.631088592E9</v>
      </c>
      <c r="I990" s="11" t="s">
        <v>82</v>
      </c>
      <c r="J990" s="11" t="s">
        <v>71</v>
      </c>
      <c r="K990" s="11" t="s">
        <v>72</v>
      </c>
      <c r="L990" s="11" t="s">
        <v>131</v>
      </c>
      <c r="M990" s="11" t="s">
        <v>5593</v>
      </c>
      <c r="N990" s="11" t="s">
        <v>86</v>
      </c>
      <c r="O990" s="11" t="s">
        <v>71</v>
      </c>
      <c r="P990" s="11" t="s">
        <v>5594</v>
      </c>
      <c r="Q990" s="13" t="s">
        <v>5595</v>
      </c>
      <c r="R990" s="14" t="str">
        <f>HYPERLINK("https://drive.google.com/file/d/1GlZl9UhgFrwGrWij8aOnCkWf7I6-8A1M/view?usp=drivesdk","OFFER LETTER")</f>
        <v>OFFER LETTER</v>
      </c>
      <c r="S990" s="11" t="s">
        <v>5596</v>
      </c>
    </row>
    <row r="991" ht="22.5" customHeight="1">
      <c r="A991" s="10">
        <v>46261.43597333333</v>
      </c>
      <c r="B991" s="11" t="s">
        <v>5597</v>
      </c>
      <c r="C991" s="11" t="s">
        <v>91</v>
      </c>
      <c r="D991" s="11" t="s">
        <v>238</v>
      </c>
      <c r="E991" s="12">
        <v>46266.0</v>
      </c>
      <c r="F991" s="12">
        <v>46357.0</v>
      </c>
      <c r="G991" s="11" t="s">
        <v>5598</v>
      </c>
      <c r="H991" s="11">
        <v>7.631088592E9</v>
      </c>
      <c r="I991" s="11" t="s">
        <v>82</v>
      </c>
      <c r="J991" s="11" t="s">
        <v>71</v>
      </c>
      <c r="K991" s="11" t="s">
        <v>72</v>
      </c>
      <c r="L991" s="11" t="s">
        <v>131</v>
      </c>
      <c r="M991" s="11" t="s">
        <v>5599</v>
      </c>
      <c r="N991" s="11" t="s">
        <v>86</v>
      </c>
      <c r="O991" s="11" t="s">
        <v>71</v>
      </c>
      <c r="P991" s="11" t="s">
        <v>5600</v>
      </c>
      <c r="Q991" s="13" t="s">
        <v>5601</v>
      </c>
      <c r="R991" s="14" t="str">
        <f>HYPERLINK("https://drive.google.com/file/d/1n2qoXSU22GOG7zIJWF8CFg17F-PL79qj/view?usp=drivesdk","OFFER LETTER")</f>
        <v>OFFER LETTER</v>
      </c>
      <c r="S991" s="11" t="s">
        <v>5602</v>
      </c>
    </row>
    <row r="992" ht="22.5" customHeight="1">
      <c r="A992" s="10">
        <v>46261.4421915162</v>
      </c>
      <c r="B992" s="11" t="s">
        <v>5603</v>
      </c>
      <c r="C992" s="11" t="s">
        <v>91</v>
      </c>
      <c r="D992" s="11" t="s">
        <v>68</v>
      </c>
      <c r="E992" s="12">
        <v>46261.0</v>
      </c>
      <c r="F992" s="12">
        <v>46292.0</v>
      </c>
      <c r="G992" s="11" t="s">
        <v>5604</v>
      </c>
      <c r="H992" s="11">
        <v>6.363534508E9</v>
      </c>
      <c r="I992" s="11" t="s">
        <v>82</v>
      </c>
      <c r="J992" s="11" t="s">
        <v>71</v>
      </c>
      <c r="K992" s="11" t="s">
        <v>356</v>
      </c>
      <c r="L992" s="11" t="s">
        <v>84</v>
      </c>
      <c r="M992" s="11" t="s">
        <v>5605</v>
      </c>
      <c r="N992" s="11" t="s">
        <v>86</v>
      </c>
      <c r="O992" s="11" t="s">
        <v>71</v>
      </c>
      <c r="P992" s="11" t="s">
        <v>5606</v>
      </c>
      <c r="Q992" s="13" t="s">
        <v>5607</v>
      </c>
      <c r="R992" s="14" t="str">
        <f>HYPERLINK("https://drive.google.com/file/d/1is-kVUQYl_LsXiyquWfYIGRQf9ZROLfv/view?usp=drivesdk","OFFER LETTER")</f>
        <v>OFFER LETTER</v>
      </c>
      <c r="S992" s="11" t="s">
        <v>5608</v>
      </c>
    </row>
    <row r="993" ht="22.5" customHeight="1">
      <c r="A993" s="10">
        <v>46261.44371305556</v>
      </c>
      <c r="B993" s="11" t="s">
        <v>1443</v>
      </c>
      <c r="C993" s="11" t="s">
        <v>67</v>
      </c>
      <c r="D993" s="11" t="s">
        <v>68</v>
      </c>
      <c r="E993" s="12">
        <v>46224.0</v>
      </c>
      <c r="F993" s="12">
        <v>46256.0</v>
      </c>
      <c r="G993" s="11" t="s">
        <v>1444</v>
      </c>
      <c r="H993" s="11">
        <v>8.863879393E9</v>
      </c>
      <c r="I993" s="11" t="s">
        <v>82</v>
      </c>
      <c r="K993" s="11" t="s">
        <v>72</v>
      </c>
      <c r="L993" s="11" t="s">
        <v>73</v>
      </c>
      <c r="M993" s="11" t="s">
        <v>1445</v>
      </c>
      <c r="N993" s="11" t="s">
        <v>86</v>
      </c>
      <c r="O993" s="11" t="s">
        <v>71</v>
      </c>
      <c r="P993" s="11" t="s">
        <v>5609</v>
      </c>
      <c r="Q993" s="13" t="s">
        <v>5610</v>
      </c>
      <c r="R993" s="14" t="str">
        <f>HYPERLINK("https://drive.google.com/file/d/1cIbas8hqAfrhQvgSEvUUrAijZoYY60R8/view?usp=drivesdk","OFFER LETTER")</f>
        <v>OFFER LETTER</v>
      </c>
      <c r="S993" s="11" t="s">
        <v>5611</v>
      </c>
    </row>
    <row r="994" ht="22.5" customHeight="1">
      <c r="A994" s="10">
        <v>46261.445293171295</v>
      </c>
      <c r="B994" s="11" t="s">
        <v>5612</v>
      </c>
      <c r="C994" s="11" t="s">
        <v>259</v>
      </c>
      <c r="D994" s="11" t="s">
        <v>68</v>
      </c>
      <c r="E994" s="12">
        <v>46176.0</v>
      </c>
      <c r="F994" s="12">
        <v>46206.0</v>
      </c>
      <c r="G994" s="11" t="s">
        <v>5613</v>
      </c>
      <c r="H994" s="11">
        <v>9.968204905E9</v>
      </c>
      <c r="I994" s="11" t="s">
        <v>82</v>
      </c>
      <c r="J994" s="11" t="s">
        <v>71</v>
      </c>
      <c r="K994" s="11" t="s">
        <v>72</v>
      </c>
      <c r="L994" s="11" t="s">
        <v>84</v>
      </c>
      <c r="M994" s="11" t="s">
        <v>2535</v>
      </c>
      <c r="N994" s="11" t="s">
        <v>86</v>
      </c>
      <c r="O994" s="11" t="s">
        <v>71</v>
      </c>
      <c r="P994" s="11" t="s">
        <v>5614</v>
      </c>
      <c r="Q994" s="13" t="s">
        <v>5615</v>
      </c>
      <c r="R994" s="14" t="str">
        <f>HYPERLINK("https://drive.google.com/file/d/1ZeHn7qcFVjkq2m1-zMOhYlHr6Yx-nAH_/view?usp=drivesdk","OFFER LETTER")</f>
        <v>OFFER LETTER</v>
      </c>
      <c r="S994" s="11" t="s">
        <v>5616</v>
      </c>
    </row>
    <row r="995" ht="22.5" customHeight="1">
      <c r="A995" s="10">
        <v>46261.449577962965</v>
      </c>
      <c r="B995" s="11" t="s">
        <v>5617</v>
      </c>
      <c r="C995" s="11" t="s">
        <v>195</v>
      </c>
      <c r="D995" s="11" t="s">
        <v>68</v>
      </c>
      <c r="E995" s="12">
        <v>46198.0</v>
      </c>
      <c r="F995" s="12">
        <v>46228.0</v>
      </c>
      <c r="G995" s="11" t="s">
        <v>5618</v>
      </c>
      <c r="H995" s="11">
        <v>6.264575696E9</v>
      </c>
      <c r="I995" s="11" t="s">
        <v>82</v>
      </c>
      <c r="J995" s="11" t="s">
        <v>71</v>
      </c>
      <c r="K995" s="11" t="s">
        <v>72</v>
      </c>
      <c r="L995" s="11" t="s">
        <v>84</v>
      </c>
      <c r="M995" s="11" t="s">
        <v>2021</v>
      </c>
      <c r="N995" s="11" t="s">
        <v>86</v>
      </c>
      <c r="O995" s="11" t="s">
        <v>71</v>
      </c>
      <c r="P995" s="11" t="s">
        <v>5619</v>
      </c>
      <c r="Q995" s="13" t="s">
        <v>5620</v>
      </c>
      <c r="R995" s="14" t="str">
        <f>HYPERLINK("https://drive.google.com/file/d/1Yc2MgdATcTTHD6cW7s6LexHnZpjjX8R6/view?usp=drivesdk","OFFER LETTER")</f>
        <v>OFFER LETTER</v>
      </c>
      <c r="S995" s="11" t="s">
        <v>5621</v>
      </c>
    </row>
    <row r="996" ht="22.5" customHeight="1">
      <c r="A996" s="10">
        <v>46261.451109201385</v>
      </c>
      <c r="B996" s="11" t="s">
        <v>5622</v>
      </c>
      <c r="C996" s="11" t="s">
        <v>173</v>
      </c>
      <c r="D996" s="11" t="s">
        <v>68</v>
      </c>
      <c r="E996" s="12">
        <v>46251.0</v>
      </c>
      <c r="F996" s="12">
        <v>46281.0</v>
      </c>
      <c r="G996" s="11" t="s">
        <v>5623</v>
      </c>
      <c r="H996" s="11">
        <v>9.973604843E9</v>
      </c>
      <c r="I996" s="11" t="s">
        <v>82</v>
      </c>
      <c r="J996" s="11" t="s">
        <v>71</v>
      </c>
      <c r="K996" s="11" t="s">
        <v>110</v>
      </c>
      <c r="L996" s="11" t="s">
        <v>84</v>
      </c>
      <c r="M996" s="11" t="s">
        <v>111</v>
      </c>
      <c r="N996" s="11" t="s">
        <v>75</v>
      </c>
      <c r="O996" s="11" t="s">
        <v>71</v>
      </c>
      <c r="P996" s="11" t="s">
        <v>5624</v>
      </c>
      <c r="Q996" s="13" t="s">
        <v>5625</v>
      </c>
      <c r="R996" s="14" t="str">
        <f>HYPERLINK("https://drive.google.com/file/d/1IDzghbMJ55cMJw3MZDdEZ9KwVUhorxfe/view?usp=drivesdk","OFFER LETTER")</f>
        <v>OFFER LETTER</v>
      </c>
      <c r="S996" s="11" t="s">
        <v>5626</v>
      </c>
    </row>
    <row r="997" ht="22.5" customHeight="1">
      <c r="A997" s="10">
        <v>46261.45222766204</v>
      </c>
      <c r="B997" s="11" t="s">
        <v>5627</v>
      </c>
      <c r="C997" s="11" t="s">
        <v>173</v>
      </c>
      <c r="D997" s="11" t="s">
        <v>68</v>
      </c>
      <c r="E997" s="12">
        <v>46224.0</v>
      </c>
      <c r="F997" s="12">
        <v>46256.0</v>
      </c>
      <c r="G997" s="11" t="s">
        <v>5628</v>
      </c>
      <c r="H997" s="11">
        <v>9.83837098E9</v>
      </c>
      <c r="I997" s="11" t="s">
        <v>82</v>
      </c>
      <c r="J997" s="11" t="s">
        <v>71</v>
      </c>
      <c r="K997" s="11" t="s">
        <v>72</v>
      </c>
      <c r="L997" s="11" t="s">
        <v>84</v>
      </c>
      <c r="M997" s="11" t="s">
        <v>1322</v>
      </c>
      <c r="N997" s="11" t="s">
        <v>86</v>
      </c>
      <c r="O997" s="11" t="s">
        <v>71</v>
      </c>
      <c r="P997" s="11" t="s">
        <v>5629</v>
      </c>
      <c r="Q997" s="13" t="s">
        <v>5630</v>
      </c>
      <c r="R997" s="14" t="str">
        <f>HYPERLINK("https://drive.google.com/file/d/1Ah-npvc67wTmGmkGLjUbc00CfQXQxszl/view?usp=drivesdk","OFFER LETTER")</f>
        <v>OFFER LETTER</v>
      </c>
      <c r="S997" s="11" t="s">
        <v>5631</v>
      </c>
    </row>
    <row r="998" ht="22.5" customHeight="1">
      <c r="A998" s="10">
        <v>46261.4636521412</v>
      </c>
      <c r="B998" s="11" t="s">
        <v>5632</v>
      </c>
      <c r="C998" s="11" t="s">
        <v>173</v>
      </c>
      <c r="D998" s="11" t="s">
        <v>68</v>
      </c>
      <c r="E998" s="12">
        <v>46190.0</v>
      </c>
      <c r="F998" s="12">
        <v>46221.0</v>
      </c>
      <c r="G998" s="11" t="s">
        <v>5633</v>
      </c>
      <c r="H998" s="17" t="s">
        <v>5634</v>
      </c>
      <c r="I998" s="11" t="s">
        <v>82</v>
      </c>
      <c r="J998" s="11" t="s">
        <v>71</v>
      </c>
      <c r="K998" s="11" t="s">
        <v>72</v>
      </c>
      <c r="L998" s="11" t="s">
        <v>73</v>
      </c>
      <c r="M998" s="11" t="s">
        <v>1118</v>
      </c>
      <c r="N998" s="11" t="s">
        <v>155</v>
      </c>
      <c r="O998" s="11" t="s">
        <v>71</v>
      </c>
      <c r="P998" s="11" t="s">
        <v>5635</v>
      </c>
      <c r="Q998" s="13" t="s">
        <v>5636</v>
      </c>
      <c r="R998" s="14" t="str">
        <f>HYPERLINK("https://drive.google.com/file/d/1zrsPLLIbE-aZ2-1qtEDnGOfSmP0Hjhqg/view?usp=drivesdk","OFFER LETTER")</f>
        <v>OFFER LETTER</v>
      </c>
      <c r="S998" s="11" t="s">
        <v>5637</v>
      </c>
    </row>
    <row r="999" ht="22.5" customHeight="1">
      <c r="A999" s="10">
        <v>46261.46400818287</v>
      </c>
      <c r="B999" s="11" t="s">
        <v>5638</v>
      </c>
      <c r="C999" s="11" t="s">
        <v>128</v>
      </c>
      <c r="D999" s="11" t="s">
        <v>68</v>
      </c>
      <c r="E999" s="12">
        <v>46251.0</v>
      </c>
      <c r="F999" s="12">
        <v>46264.0</v>
      </c>
      <c r="G999" s="11" t="s">
        <v>5639</v>
      </c>
      <c r="H999" s="11">
        <v>8.317382373E9</v>
      </c>
      <c r="I999" s="11" t="s">
        <v>82</v>
      </c>
      <c r="J999" s="11" t="s">
        <v>71</v>
      </c>
      <c r="K999" s="11" t="s">
        <v>110</v>
      </c>
      <c r="L999" s="11" t="s">
        <v>73</v>
      </c>
      <c r="M999" s="11" t="s">
        <v>5640</v>
      </c>
      <c r="N999" s="11" t="s">
        <v>86</v>
      </c>
      <c r="O999" s="11" t="s">
        <v>71</v>
      </c>
      <c r="P999" s="11" t="s">
        <v>5641</v>
      </c>
      <c r="Q999" s="13" t="s">
        <v>5642</v>
      </c>
      <c r="R999" s="14" t="str">
        <f>HYPERLINK("https://drive.google.com/file/d/1qqGZOPXuIquHKykb3Nc15o_KXCiYQlx4/view?usp=drivesdk","OFFER LETTER")</f>
        <v>OFFER LETTER</v>
      </c>
      <c r="S999" s="11" t="s">
        <v>5643</v>
      </c>
    </row>
    <row r="1000" ht="22.5" customHeight="1">
      <c r="A1000" s="10">
        <v>46261.46758884259</v>
      </c>
      <c r="B1000" s="11" t="s">
        <v>5644</v>
      </c>
      <c r="C1000" s="11" t="s">
        <v>128</v>
      </c>
      <c r="D1000" s="11" t="s">
        <v>68</v>
      </c>
      <c r="E1000" s="12">
        <v>46266.0</v>
      </c>
      <c r="F1000" s="12">
        <v>46295.0</v>
      </c>
      <c r="G1000" s="11" t="s">
        <v>5645</v>
      </c>
      <c r="H1000" s="11">
        <v>9.69904168E9</v>
      </c>
      <c r="I1000" s="11" t="s">
        <v>70</v>
      </c>
      <c r="J1000" s="11" t="s">
        <v>71</v>
      </c>
      <c r="K1000" s="11" t="s">
        <v>72</v>
      </c>
      <c r="L1000" s="11" t="s">
        <v>73</v>
      </c>
      <c r="M1000" s="11" t="s">
        <v>5646</v>
      </c>
      <c r="N1000" s="11" t="s">
        <v>630</v>
      </c>
      <c r="O1000" s="11" t="s">
        <v>71</v>
      </c>
      <c r="P1000" s="11" t="s">
        <v>5647</v>
      </c>
      <c r="Q1000" s="13" t="s">
        <v>5648</v>
      </c>
      <c r="R1000" s="14" t="str">
        <f>HYPERLINK("https://drive.google.com/file/d/1zn9PEwmzltYLF9pYuKIP3m2X0y1dK3ug/view?usp=drivesdk","OFFER LETTER")</f>
        <v>OFFER LETTER</v>
      </c>
      <c r="S1000" s="11" t="s">
        <v>5649</v>
      </c>
    </row>
    <row r="1001" ht="22.5" customHeight="1">
      <c r="A1001" s="10">
        <v>46261.468754814814</v>
      </c>
      <c r="B1001" s="11" t="s">
        <v>5650</v>
      </c>
      <c r="C1001" s="11" t="s">
        <v>128</v>
      </c>
      <c r="D1001" s="11" t="s">
        <v>68</v>
      </c>
      <c r="E1001" s="12">
        <v>46251.0</v>
      </c>
      <c r="F1001" s="12">
        <v>46264.0</v>
      </c>
      <c r="G1001" s="11" t="s">
        <v>5651</v>
      </c>
      <c r="H1001" s="11">
        <v>8.792465335E9</v>
      </c>
      <c r="I1001" s="11" t="s">
        <v>82</v>
      </c>
      <c r="J1001" s="11" t="s">
        <v>71</v>
      </c>
      <c r="K1001" s="11" t="s">
        <v>110</v>
      </c>
      <c r="L1001" s="11" t="s">
        <v>73</v>
      </c>
      <c r="M1001" s="11" t="s">
        <v>5652</v>
      </c>
      <c r="N1001" s="11" t="s">
        <v>86</v>
      </c>
      <c r="O1001" s="11" t="s">
        <v>71</v>
      </c>
      <c r="P1001" s="11" t="s">
        <v>5653</v>
      </c>
      <c r="Q1001" s="13" t="s">
        <v>5654</v>
      </c>
      <c r="R1001" s="14" t="str">
        <f>HYPERLINK("https://drive.google.com/file/d/15g35ZlZMJ8e7nA4VSCPvy3kPODJzvYWd/view?usp=drivesdk","OFFER LETTER")</f>
        <v>OFFER LETTER</v>
      </c>
      <c r="S1001" s="11" t="s">
        <v>5655</v>
      </c>
    </row>
    <row r="1002" ht="22.5" customHeight="1">
      <c r="A1002" s="10">
        <v>46261.471843287036</v>
      </c>
      <c r="B1002" s="11" t="s">
        <v>5656</v>
      </c>
      <c r="C1002" s="11" t="s">
        <v>259</v>
      </c>
      <c r="D1002" s="11" t="s">
        <v>238</v>
      </c>
      <c r="E1002" s="12" t="s">
        <v>5657</v>
      </c>
      <c r="F1002" s="12">
        <v>46292.0</v>
      </c>
      <c r="G1002" s="11" t="s">
        <v>5658</v>
      </c>
      <c r="H1002" s="11">
        <v>7.338693803E9</v>
      </c>
      <c r="I1002" s="11" t="s">
        <v>82</v>
      </c>
      <c r="J1002" s="11" t="s">
        <v>71</v>
      </c>
      <c r="K1002" s="11" t="s">
        <v>72</v>
      </c>
      <c r="L1002" s="11" t="s">
        <v>131</v>
      </c>
      <c r="M1002" s="11" t="s">
        <v>5659</v>
      </c>
      <c r="N1002" s="11" t="s">
        <v>75</v>
      </c>
      <c r="O1002" s="11" t="s">
        <v>71</v>
      </c>
      <c r="P1002" s="11" t="s">
        <v>5660</v>
      </c>
      <c r="Q1002" s="13" t="s">
        <v>5661</v>
      </c>
      <c r="R1002" s="14" t="str">
        <f>HYPERLINK("https://drive.google.com/file/d/1OYgWlxzkT6ty9h6slOjKVr1kir2BVSuy/view?usp=drivesdk","OFFER LETTER")</f>
        <v>OFFER LETTER</v>
      </c>
      <c r="S1002" s="11" t="s">
        <v>5662</v>
      </c>
    </row>
    <row r="1003" ht="22.5" customHeight="1">
      <c r="A1003" s="10">
        <v>46261.474238807874</v>
      </c>
      <c r="B1003" s="11" t="s">
        <v>5663</v>
      </c>
      <c r="C1003" s="11" t="s">
        <v>107</v>
      </c>
      <c r="D1003" s="11" t="s">
        <v>68</v>
      </c>
      <c r="E1003" s="12">
        <v>46223.0</v>
      </c>
      <c r="F1003" s="12">
        <v>46254.0</v>
      </c>
      <c r="G1003" s="11" t="s">
        <v>5664</v>
      </c>
      <c r="H1003" s="11" t="s">
        <v>5665</v>
      </c>
      <c r="I1003" s="11" t="s">
        <v>82</v>
      </c>
      <c r="J1003" s="11" t="s">
        <v>71</v>
      </c>
      <c r="K1003" s="11" t="s">
        <v>72</v>
      </c>
      <c r="L1003" s="11" t="s">
        <v>84</v>
      </c>
      <c r="M1003" s="11" t="s">
        <v>886</v>
      </c>
      <c r="N1003" s="11" t="s">
        <v>2574</v>
      </c>
      <c r="O1003" s="11" t="s">
        <v>71</v>
      </c>
      <c r="P1003" s="11" t="s">
        <v>5666</v>
      </c>
      <c r="Q1003" s="13" t="s">
        <v>5667</v>
      </c>
      <c r="R1003" s="14" t="str">
        <f>HYPERLINK("https://drive.google.com/file/d/1ZpUMqPKPb0qoZHQAElg79hgXuGNr9HWH/view?usp=drivesdk","OFFER LETTER")</f>
        <v>OFFER LETTER</v>
      </c>
      <c r="S1003" s="11" t="s">
        <v>5668</v>
      </c>
    </row>
    <row r="1004" ht="22.5" customHeight="1">
      <c r="A1004" s="10">
        <v>46261.47632059028</v>
      </c>
      <c r="B1004" s="11" t="s">
        <v>5669</v>
      </c>
      <c r="C1004" s="11" t="s">
        <v>107</v>
      </c>
      <c r="D1004" s="11" t="s">
        <v>68</v>
      </c>
      <c r="E1004" s="12">
        <v>46251.0</v>
      </c>
      <c r="F1004" s="12">
        <v>46282.0</v>
      </c>
      <c r="G1004" s="11" t="s">
        <v>5670</v>
      </c>
      <c r="H1004" s="11">
        <v>9.215018664E9</v>
      </c>
      <c r="I1004" s="11" t="s">
        <v>70</v>
      </c>
      <c r="J1004" s="11" t="s">
        <v>71</v>
      </c>
      <c r="K1004" s="11" t="s">
        <v>110</v>
      </c>
      <c r="L1004" s="11" t="s">
        <v>84</v>
      </c>
      <c r="M1004" s="11" t="s">
        <v>5671</v>
      </c>
      <c r="N1004" s="11" t="s">
        <v>155</v>
      </c>
      <c r="O1004" s="11" t="s">
        <v>71</v>
      </c>
      <c r="P1004" s="11" t="s">
        <v>5672</v>
      </c>
      <c r="Q1004" s="13" t="s">
        <v>5673</v>
      </c>
      <c r="R1004" s="14" t="str">
        <f>HYPERLINK("https://drive.google.com/file/d/1AE8I6WAIcCPmQ_0natCXgKwN2LCp5Z3F/view?usp=drivesdk","OFFER LETTER")</f>
        <v>OFFER LETTER</v>
      </c>
      <c r="S1004" s="11" t="s">
        <v>5674</v>
      </c>
    </row>
    <row r="1005" ht="22.5" customHeight="1">
      <c r="A1005" s="10">
        <v>46261.47847041667</v>
      </c>
      <c r="B1005" s="11" t="s">
        <v>5675</v>
      </c>
      <c r="C1005" s="11" t="s">
        <v>173</v>
      </c>
      <c r="D1005" s="11" t="s">
        <v>68</v>
      </c>
      <c r="E1005" s="12">
        <v>46261.0</v>
      </c>
      <c r="F1005" s="12">
        <v>46292.0</v>
      </c>
      <c r="G1005" s="11" t="s">
        <v>5676</v>
      </c>
      <c r="H1005" s="11">
        <v>7.355521042E9</v>
      </c>
      <c r="I1005" s="11" t="s">
        <v>82</v>
      </c>
      <c r="J1005" s="11" t="s">
        <v>71</v>
      </c>
      <c r="K1005" s="11" t="s">
        <v>72</v>
      </c>
      <c r="L1005" s="11" t="s">
        <v>84</v>
      </c>
      <c r="M1005" s="11" t="s">
        <v>5677</v>
      </c>
      <c r="N1005" s="11" t="s">
        <v>86</v>
      </c>
      <c r="O1005" s="11" t="s">
        <v>71</v>
      </c>
      <c r="P1005" s="11" t="s">
        <v>5678</v>
      </c>
      <c r="Q1005" s="13" t="s">
        <v>5679</v>
      </c>
      <c r="R1005" s="14" t="str">
        <f>HYPERLINK("https://drive.google.com/file/d/1ne6v8ppZT1qRCY76lX23fBGRmRfLnUI7/view?usp=drivesdk","OFFER LETTER")</f>
        <v>OFFER LETTER</v>
      </c>
      <c r="S1005" s="11" t="s">
        <v>5680</v>
      </c>
    </row>
    <row r="1006" ht="22.5" customHeight="1">
      <c r="A1006" s="10">
        <v>46261.48394740741</v>
      </c>
      <c r="B1006" s="11" t="s">
        <v>5681</v>
      </c>
      <c r="C1006" s="11" t="s">
        <v>107</v>
      </c>
      <c r="D1006" s="11" t="s">
        <v>108</v>
      </c>
      <c r="E1006" s="12">
        <v>46261.0</v>
      </c>
      <c r="F1006" s="12">
        <v>46322.0</v>
      </c>
      <c r="G1006" s="11" t="s">
        <v>5682</v>
      </c>
      <c r="H1006" s="17" t="s">
        <v>5683</v>
      </c>
      <c r="I1006" s="11" t="s">
        <v>82</v>
      </c>
      <c r="J1006" s="11" t="s">
        <v>71</v>
      </c>
      <c r="K1006" s="11" t="s">
        <v>110</v>
      </c>
      <c r="L1006" s="11" t="s">
        <v>73</v>
      </c>
      <c r="M1006" s="11" t="s">
        <v>5684</v>
      </c>
      <c r="N1006" s="11" t="s">
        <v>86</v>
      </c>
      <c r="O1006" s="11" t="s">
        <v>71</v>
      </c>
      <c r="P1006" s="11" t="s">
        <v>5685</v>
      </c>
      <c r="Q1006" s="13" t="s">
        <v>5686</v>
      </c>
      <c r="R1006" s="14" t="str">
        <f>HYPERLINK("https://drive.google.com/file/d/1Hw3ifoCDnfSkL9hNS1UfQQgE6UV8l3J2/view?usp=drivesdk","OFFER LETTER")</f>
        <v>OFFER LETTER</v>
      </c>
      <c r="S1006" s="11" t="s">
        <v>5687</v>
      </c>
    </row>
    <row r="1007" ht="22.5" customHeight="1">
      <c r="A1007" s="10">
        <v>46261.485732002315</v>
      </c>
      <c r="B1007" s="11" t="s">
        <v>5688</v>
      </c>
      <c r="C1007" s="11" t="s">
        <v>173</v>
      </c>
      <c r="D1007" s="11" t="s">
        <v>68</v>
      </c>
      <c r="E1007" s="12">
        <v>46174.0</v>
      </c>
      <c r="F1007" s="12">
        <v>46204.0</v>
      </c>
      <c r="G1007" s="11" t="s">
        <v>5689</v>
      </c>
      <c r="H1007" s="11">
        <v>6.393452382E9</v>
      </c>
      <c r="I1007" s="11" t="s">
        <v>82</v>
      </c>
      <c r="J1007" s="11" t="s">
        <v>71</v>
      </c>
      <c r="K1007" s="11" t="s">
        <v>72</v>
      </c>
      <c r="L1007" s="11" t="s">
        <v>73</v>
      </c>
      <c r="M1007" s="11" t="s">
        <v>1118</v>
      </c>
      <c r="N1007" s="11" t="s">
        <v>655</v>
      </c>
      <c r="O1007" s="11" t="s">
        <v>71</v>
      </c>
      <c r="P1007" s="11" t="s">
        <v>5690</v>
      </c>
      <c r="Q1007" s="13" t="s">
        <v>5691</v>
      </c>
      <c r="R1007" s="14" t="str">
        <f>HYPERLINK("https://drive.google.com/file/d/1nJceadWwwFfOdlIUnnobqCa9W7h9jm6e/view?usp=drivesdk","OFFER LETTER")</f>
        <v>OFFER LETTER</v>
      </c>
      <c r="S1007" s="11" t="s">
        <v>5692</v>
      </c>
    </row>
    <row r="1008" ht="22.5" customHeight="1">
      <c r="A1008" s="10">
        <v>46261.49022961805</v>
      </c>
      <c r="B1008" s="11" t="s">
        <v>5693</v>
      </c>
      <c r="C1008" s="11" t="s">
        <v>173</v>
      </c>
      <c r="D1008" s="11" t="s">
        <v>68</v>
      </c>
      <c r="E1008" s="12">
        <v>46174.0</v>
      </c>
      <c r="F1008" s="12">
        <v>46204.0</v>
      </c>
      <c r="G1008" s="11" t="s">
        <v>5689</v>
      </c>
      <c r="H1008" s="11">
        <v>6.393452382E9</v>
      </c>
      <c r="I1008" s="11" t="s">
        <v>82</v>
      </c>
      <c r="J1008" s="11" t="s">
        <v>71</v>
      </c>
      <c r="K1008" s="11" t="s">
        <v>72</v>
      </c>
      <c r="L1008" s="11" t="s">
        <v>73</v>
      </c>
      <c r="M1008" s="11" t="s">
        <v>1135</v>
      </c>
      <c r="N1008" s="11" t="s">
        <v>2736</v>
      </c>
      <c r="O1008" s="11" t="s">
        <v>71</v>
      </c>
      <c r="P1008" s="11" t="s">
        <v>5694</v>
      </c>
      <c r="Q1008" s="13" t="s">
        <v>5695</v>
      </c>
      <c r="R1008" s="14" t="str">
        <f>HYPERLINK("https://drive.google.com/file/d/1mQuaFaXLSnoJGwsJ0FzlIb9Em-aevTJ9/view?usp=drivesdk","OFFER LETTER")</f>
        <v>OFFER LETTER</v>
      </c>
      <c r="S1008" s="11" t="s">
        <v>5696</v>
      </c>
    </row>
    <row r="1009" ht="22.5" customHeight="1">
      <c r="A1009" s="10">
        <v>46261.49385186343</v>
      </c>
      <c r="B1009" s="11" t="s">
        <v>5697</v>
      </c>
      <c r="C1009" s="11" t="s">
        <v>195</v>
      </c>
      <c r="D1009" s="11" t="s">
        <v>68</v>
      </c>
      <c r="E1009" s="12">
        <v>46230.0</v>
      </c>
      <c r="F1009" s="12">
        <v>46261.0</v>
      </c>
      <c r="G1009" s="11" t="s">
        <v>5698</v>
      </c>
      <c r="H1009" s="11">
        <v>9.555226429E9</v>
      </c>
      <c r="I1009" s="11" t="s">
        <v>82</v>
      </c>
      <c r="J1009" s="11" t="s">
        <v>71</v>
      </c>
      <c r="K1009" s="11" t="s">
        <v>72</v>
      </c>
      <c r="L1009" s="11" t="s">
        <v>84</v>
      </c>
      <c r="M1009" s="11" t="s">
        <v>849</v>
      </c>
      <c r="N1009" s="11" t="s">
        <v>86</v>
      </c>
      <c r="O1009" s="11" t="s">
        <v>71</v>
      </c>
      <c r="P1009" s="11" t="s">
        <v>5699</v>
      </c>
      <c r="Q1009" s="13" t="s">
        <v>5700</v>
      </c>
      <c r="R1009" s="14" t="str">
        <f>HYPERLINK("https://drive.google.com/file/d/1MkrsOtT6Tte0j3hkKvI9hRASa_qtXbbH/view?usp=drivesdk","OFFER LETTER")</f>
        <v>OFFER LETTER</v>
      </c>
      <c r="S1009" s="11" t="s">
        <v>5701</v>
      </c>
    </row>
    <row r="1010" ht="22.5" customHeight="1">
      <c r="A1010" s="10">
        <v>46261.49450753472</v>
      </c>
      <c r="B1010" s="11" t="s">
        <v>5702</v>
      </c>
      <c r="C1010" s="11" t="s">
        <v>107</v>
      </c>
      <c r="D1010" s="11" t="s">
        <v>68</v>
      </c>
      <c r="E1010" s="12">
        <v>46261.0</v>
      </c>
      <c r="F1010" s="12">
        <v>46292.0</v>
      </c>
      <c r="G1010" s="11" t="s">
        <v>5703</v>
      </c>
      <c r="H1010" s="11">
        <v>6.299060922E9</v>
      </c>
      <c r="I1010" s="11" t="s">
        <v>82</v>
      </c>
      <c r="J1010" s="11" t="s">
        <v>71</v>
      </c>
      <c r="K1010" s="11" t="s">
        <v>72</v>
      </c>
      <c r="L1010" s="11" t="s">
        <v>73</v>
      </c>
      <c r="M1010" s="11" t="s">
        <v>5704</v>
      </c>
      <c r="N1010" s="11" t="s">
        <v>86</v>
      </c>
      <c r="O1010" s="11" t="s">
        <v>71</v>
      </c>
      <c r="P1010" s="11" t="s">
        <v>5705</v>
      </c>
      <c r="Q1010" s="13" t="s">
        <v>5706</v>
      </c>
      <c r="R1010" s="14" t="str">
        <f>HYPERLINK("https://drive.google.com/file/d/1a3AYXuEamo9Br8ebYVClbj3FGBD0FmtS/view?usp=drivesdk","OFFER LETTER")</f>
        <v>OFFER LETTER</v>
      </c>
      <c r="S1010" s="11" t="s">
        <v>5707</v>
      </c>
    </row>
    <row r="1011" ht="22.5" customHeight="1">
      <c r="A1011" s="10">
        <v>46261.50226108797</v>
      </c>
      <c r="B1011" s="11" t="s">
        <v>5708</v>
      </c>
      <c r="C1011" s="11" t="s">
        <v>195</v>
      </c>
      <c r="D1011" s="11" t="s">
        <v>68</v>
      </c>
      <c r="E1011" s="12">
        <v>46261.0</v>
      </c>
      <c r="F1011" s="12">
        <v>46292.0</v>
      </c>
      <c r="G1011" s="11" t="s">
        <v>5709</v>
      </c>
      <c r="H1011" s="11">
        <v>6.386494553E9</v>
      </c>
      <c r="I1011" s="11" t="s">
        <v>82</v>
      </c>
      <c r="J1011" s="11" t="s">
        <v>71</v>
      </c>
      <c r="K1011" s="11" t="s">
        <v>356</v>
      </c>
      <c r="L1011" s="11" t="s">
        <v>84</v>
      </c>
      <c r="M1011" s="11" t="s">
        <v>5710</v>
      </c>
      <c r="N1011" s="11" t="s">
        <v>86</v>
      </c>
      <c r="O1011" s="11" t="s">
        <v>71</v>
      </c>
      <c r="P1011" s="11" t="s">
        <v>5711</v>
      </c>
      <c r="Q1011" s="13" t="s">
        <v>5712</v>
      </c>
      <c r="R1011" s="14" t="str">
        <f>HYPERLINK("https://drive.google.com/file/d/1bMukRQYuTPhYKpSkJ7Lmfggh9R87kneE/view?usp=drivesdk","OFFER LETTER")</f>
        <v>OFFER LETTER</v>
      </c>
      <c r="S1011" s="11" t="s">
        <v>5713</v>
      </c>
    </row>
    <row r="1012" ht="22.5" customHeight="1">
      <c r="A1012" s="10">
        <v>46261.503735879625</v>
      </c>
      <c r="B1012" s="11" t="s">
        <v>5714</v>
      </c>
      <c r="C1012" s="11" t="s">
        <v>195</v>
      </c>
      <c r="D1012" s="11" t="s">
        <v>68</v>
      </c>
      <c r="E1012" s="12">
        <v>46261.0</v>
      </c>
      <c r="F1012" s="12">
        <v>46292.0</v>
      </c>
      <c r="G1012" s="11" t="s">
        <v>5715</v>
      </c>
      <c r="H1012" s="11">
        <v>9.914886263E9</v>
      </c>
      <c r="I1012" s="11" t="s">
        <v>70</v>
      </c>
      <c r="J1012" s="11" t="s">
        <v>71</v>
      </c>
      <c r="K1012" s="13" t="s">
        <v>443</v>
      </c>
      <c r="L1012" s="11" t="s">
        <v>73</v>
      </c>
      <c r="M1012" s="11" t="s">
        <v>5716</v>
      </c>
      <c r="N1012" s="11" t="s">
        <v>198</v>
      </c>
      <c r="O1012" s="11" t="s">
        <v>263</v>
      </c>
      <c r="P1012" s="11" t="s">
        <v>5717</v>
      </c>
      <c r="Q1012" s="13" t="s">
        <v>5718</v>
      </c>
      <c r="R1012" s="14" t="str">
        <f>HYPERLINK("https://drive.google.com/file/d/1f6n6FBStLpR4KDeUtCiIA8f-rUHKy3s8/view?usp=drivesdk","OFFER LETTER")</f>
        <v>OFFER LETTER</v>
      </c>
      <c r="S1012" s="11" t="s">
        <v>5719</v>
      </c>
    </row>
    <row r="1013" ht="22.5" customHeight="1">
      <c r="A1013" s="10">
        <v>46261.512783541664</v>
      </c>
      <c r="B1013" s="11" t="s">
        <v>5720</v>
      </c>
      <c r="C1013" s="11" t="s">
        <v>128</v>
      </c>
      <c r="D1013" s="11" t="s">
        <v>68</v>
      </c>
      <c r="E1013" s="12">
        <v>46252.0</v>
      </c>
      <c r="F1013" s="12">
        <v>46265.0</v>
      </c>
      <c r="G1013" s="11" t="s">
        <v>5651</v>
      </c>
      <c r="H1013" s="11">
        <v>8.792465335E9</v>
      </c>
      <c r="I1013" s="11" t="s">
        <v>82</v>
      </c>
      <c r="J1013" s="11" t="s">
        <v>71</v>
      </c>
      <c r="K1013" s="11" t="s">
        <v>110</v>
      </c>
      <c r="L1013" s="11" t="s">
        <v>73</v>
      </c>
      <c r="M1013" s="11" t="s">
        <v>5640</v>
      </c>
      <c r="N1013" s="11" t="s">
        <v>86</v>
      </c>
      <c r="O1013" s="11" t="s">
        <v>71</v>
      </c>
      <c r="P1013" s="11" t="s">
        <v>5721</v>
      </c>
      <c r="Q1013" s="13" t="s">
        <v>5722</v>
      </c>
      <c r="R1013" s="14" t="str">
        <f>HYPERLINK("https://drive.google.com/file/d/1AYIt27dyw0dODcbmHvphKIk0Dynf7-i1/view?usp=drivesdk","OFFER LETTER")</f>
        <v>OFFER LETTER</v>
      </c>
      <c r="S1013" s="11" t="s">
        <v>5723</v>
      </c>
    </row>
    <row r="1014" ht="22.5" customHeight="1">
      <c r="A1014" s="10">
        <v>46261.51569373843</v>
      </c>
      <c r="B1014" s="11" t="s">
        <v>5724</v>
      </c>
      <c r="C1014" s="11" t="s">
        <v>128</v>
      </c>
      <c r="D1014" s="11" t="s">
        <v>68</v>
      </c>
      <c r="E1014" s="12">
        <v>46251.0</v>
      </c>
      <c r="F1014" s="12">
        <v>46264.0</v>
      </c>
      <c r="G1014" s="11" t="s">
        <v>5651</v>
      </c>
      <c r="H1014" s="11">
        <v>8.792465335E9</v>
      </c>
      <c r="I1014" s="11" t="s">
        <v>82</v>
      </c>
      <c r="J1014" s="11" t="s">
        <v>71</v>
      </c>
      <c r="K1014" s="11" t="s">
        <v>110</v>
      </c>
      <c r="L1014" s="11" t="s">
        <v>73</v>
      </c>
      <c r="M1014" s="11" t="s">
        <v>5640</v>
      </c>
      <c r="N1014" s="11" t="s">
        <v>47</v>
      </c>
      <c r="O1014" s="11" t="s">
        <v>71</v>
      </c>
      <c r="P1014" s="11" t="s">
        <v>5725</v>
      </c>
      <c r="Q1014" s="13" t="s">
        <v>5726</v>
      </c>
      <c r="R1014" s="14" t="str">
        <f>HYPERLINK("https://drive.google.com/file/d/1v4psLIAbElIWpazX_UtusHeALSAhZlNq/view?usp=drivesdk","OFFER LETTER")</f>
        <v>OFFER LETTER</v>
      </c>
      <c r="S1014" s="11" t="s">
        <v>5727</v>
      </c>
    </row>
    <row r="1015" ht="22.5" customHeight="1">
      <c r="A1015" s="10">
        <v>46261.51577559028</v>
      </c>
      <c r="B1015" s="11" t="s">
        <v>5137</v>
      </c>
      <c r="C1015" s="11" t="s">
        <v>195</v>
      </c>
      <c r="D1015" s="11" t="s">
        <v>68</v>
      </c>
      <c r="E1015" s="12">
        <v>46210.0</v>
      </c>
      <c r="F1015" s="12">
        <v>46241.0</v>
      </c>
      <c r="G1015" s="11" t="s">
        <v>5138</v>
      </c>
      <c r="H1015" s="11">
        <v>8.886227874E9</v>
      </c>
      <c r="I1015" s="11" t="s">
        <v>70</v>
      </c>
      <c r="J1015" s="11" t="s">
        <v>71</v>
      </c>
      <c r="K1015" s="11" t="s">
        <v>72</v>
      </c>
      <c r="L1015" s="11" t="s">
        <v>131</v>
      </c>
      <c r="M1015" s="11" t="s">
        <v>3625</v>
      </c>
      <c r="N1015" s="11" t="s">
        <v>86</v>
      </c>
      <c r="O1015" s="11" t="s">
        <v>71</v>
      </c>
      <c r="P1015" s="11" t="s">
        <v>5728</v>
      </c>
      <c r="Q1015" s="13" t="s">
        <v>5729</v>
      </c>
      <c r="R1015" s="14" t="str">
        <f>HYPERLINK("https://drive.google.com/file/d/1uWvO8NEr5L6XnYJ4cGZlBAXC_uvP3iCt/view?usp=drivesdk","OFFER LETTER")</f>
        <v>OFFER LETTER</v>
      </c>
      <c r="S1015" s="11" t="s">
        <v>5730</v>
      </c>
    </row>
    <row r="1016" ht="22.5" customHeight="1">
      <c r="A1016" s="10">
        <v>46261.53289864583</v>
      </c>
      <c r="B1016" s="11" t="s">
        <v>5731</v>
      </c>
      <c r="C1016" s="11" t="s">
        <v>195</v>
      </c>
      <c r="D1016" s="11" t="s">
        <v>68</v>
      </c>
      <c r="E1016" s="12">
        <v>46204.0</v>
      </c>
      <c r="F1016" s="12">
        <v>46233.0</v>
      </c>
      <c r="G1016" s="11" t="s">
        <v>5732</v>
      </c>
      <c r="H1016" s="11">
        <v>6.205202185E9</v>
      </c>
      <c r="I1016" s="11" t="s">
        <v>82</v>
      </c>
      <c r="J1016" s="11" t="s">
        <v>71</v>
      </c>
      <c r="K1016" s="11" t="s">
        <v>72</v>
      </c>
      <c r="L1016" s="11" t="s">
        <v>84</v>
      </c>
      <c r="M1016" s="11" t="s">
        <v>2535</v>
      </c>
      <c r="N1016" s="11" t="s">
        <v>75</v>
      </c>
      <c r="O1016" s="11" t="s">
        <v>71</v>
      </c>
      <c r="P1016" s="11" t="s">
        <v>5733</v>
      </c>
      <c r="Q1016" s="13" t="s">
        <v>5734</v>
      </c>
      <c r="R1016" s="14" t="str">
        <f>HYPERLINK("https://drive.google.com/file/d/1Uq2V6mK3jzICA-7PDAm-uLMjue1mmh0H/view?usp=drivesdk","OFFER LETTER")</f>
        <v>OFFER LETTER</v>
      </c>
      <c r="S1016" s="11" t="s">
        <v>5735</v>
      </c>
    </row>
    <row r="1017" ht="22.5" customHeight="1">
      <c r="A1017" s="10">
        <v>46261.53302018519</v>
      </c>
      <c r="B1017" s="11" t="s">
        <v>5736</v>
      </c>
      <c r="C1017" s="11" t="s">
        <v>128</v>
      </c>
      <c r="D1017" s="11" t="s">
        <v>68</v>
      </c>
      <c r="E1017" s="12">
        <v>46251.0</v>
      </c>
      <c r="F1017" s="12">
        <v>46264.0</v>
      </c>
      <c r="G1017" s="11" t="s">
        <v>5639</v>
      </c>
      <c r="H1017" s="11">
        <v>8.317382373E9</v>
      </c>
      <c r="I1017" s="11" t="s">
        <v>82</v>
      </c>
      <c r="J1017" s="11" t="s">
        <v>71</v>
      </c>
      <c r="K1017" s="11" t="s">
        <v>110</v>
      </c>
      <c r="L1017" s="11" t="s">
        <v>73</v>
      </c>
      <c r="M1017" s="11" t="s">
        <v>5640</v>
      </c>
      <c r="N1017" s="11" t="s">
        <v>86</v>
      </c>
      <c r="O1017" s="11" t="s">
        <v>71</v>
      </c>
      <c r="P1017" s="11" t="s">
        <v>5737</v>
      </c>
      <c r="Q1017" s="13" t="s">
        <v>5738</v>
      </c>
      <c r="R1017" s="14" t="str">
        <f>HYPERLINK("https://drive.google.com/file/d/1WrVcg7W51fNDZDDbUp1eLfHLzW3Jb36u/view?usp=drivesdk","OFFER LETTER")</f>
        <v>OFFER LETTER</v>
      </c>
      <c r="S1017" s="11" t="s">
        <v>5739</v>
      </c>
    </row>
    <row r="1018" ht="22.5" customHeight="1">
      <c r="A1018" s="10">
        <v>46261.53357912037</v>
      </c>
      <c r="B1018" s="11" t="s">
        <v>5740</v>
      </c>
      <c r="C1018" s="11" t="s">
        <v>195</v>
      </c>
      <c r="D1018" s="11" t="s">
        <v>68</v>
      </c>
      <c r="E1018" s="12">
        <v>46174.0</v>
      </c>
      <c r="F1018" s="12">
        <v>46204.0</v>
      </c>
      <c r="G1018" s="11" t="s">
        <v>5741</v>
      </c>
      <c r="H1018" s="11">
        <v>9.618338294E9</v>
      </c>
      <c r="I1018" s="11" t="s">
        <v>82</v>
      </c>
      <c r="J1018" s="11" t="s">
        <v>71</v>
      </c>
      <c r="K1018" s="11" t="s">
        <v>72</v>
      </c>
      <c r="L1018" s="11" t="s">
        <v>73</v>
      </c>
      <c r="M1018" s="11" t="s">
        <v>5742</v>
      </c>
      <c r="N1018" s="11" t="s">
        <v>2996</v>
      </c>
      <c r="O1018" s="11" t="s">
        <v>71</v>
      </c>
      <c r="P1018" s="11" t="s">
        <v>5743</v>
      </c>
      <c r="Q1018" s="13" t="s">
        <v>5744</v>
      </c>
      <c r="R1018" s="14" t="str">
        <f>HYPERLINK("https://drive.google.com/file/d/1eHkxjPpK_rVZKF3BuMAqTzzCmee1pbXo/view?usp=drivesdk","OFFER LETTER")</f>
        <v>OFFER LETTER</v>
      </c>
      <c r="S1018" s="11" t="s">
        <v>5745</v>
      </c>
    </row>
    <row r="1019" ht="22.5" customHeight="1">
      <c r="A1019" s="10">
        <v>46261.535693171296</v>
      </c>
      <c r="B1019" s="11" t="s">
        <v>5137</v>
      </c>
      <c r="C1019" s="11" t="s">
        <v>195</v>
      </c>
      <c r="D1019" s="11" t="s">
        <v>68</v>
      </c>
      <c r="E1019" s="12">
        <v>46210.0</v>
      </c>
      <c r="F1019" s="12">
        <v>46241.0</v>
      </c>
      <c r="G1019" s="11" t="s">
        <v>5746</v>
      </c>
      <c r="H1019" s="11">
        <v>8.886227874E9</v>
      </c>
      <c r="I1019" s="11" t="s">
        <v>70</v>
      </c>
      <c r="J1019" s="11" t="s">
        <v>71</v>
      </c>
      <c r="K1019" s="11" t="s">
        <v>72</v>
      </c>
      <c r="L1019" s="11" t="s">
        <v>131</v>
      </c>
      <c r="M1019" s="11" t="s">
        <v>3625</v>
      </c>
      <c r="N1019" s="11" t="s">
        <v>86</v>
      </c>
      <c r="O1019" s="11" t="s">
        <v>71</v>
      </c>
      <c r="P1019" s="11" t="s">
        <v>5747</v>
      </c>
      <c r="Q1019" s="13" t="s">
        <v>5748</v>
      </c>
      <c r="R1019" s="14" t="str">
        <f>HYPERLINK("https://drive.google.com/file/d/1qQ5M8HpSr6LmZ9XXI0UOb9Db7663bCD5/view?usp=drivesdk","OFFER LETTER")</f>
        <v>OFFER LETTER</v>
      </c>
      <c r="S1019" s="11" t="s">
        <v>5749</v>
      </c>
    </row>
    <row r="1020" ht="22.5" customHeight="1">
      <c r="A1020" s="10">
        <v>46261.53801783565</v>
      </c>
      <c r="B1020" s="11" t="s">
        <v>5137</v>
      </c>
      <c r="C1020" s="11" t="s">
        <v>195</v>
      </c>
      <c r="D1020" s="11" t="s">
        <v>68</v>
      </c>
      <c r="E1020" s="12">
        <v>46210.0</v>
      </c>
      <c r="F1020" s="12">
        <v>46241.0</v>
      </c>
      <c r="G1020" s="11" t="s">
        <v>5138</v>
      </c>
      <c r="H1020" s="11">
        <v>8.886227874E9</v>
      </c>
      <c r="I1020" s="11" t="s">
        <v>70</v>
      </c>
      <c r="J1020" s="11" t="s">
        <v>71</v>
      </c>
      <c r="K1020" s="11" t="s">
        <v>72</v>
      </c>
      <c r="L1020" s="11" t="s">
        <v>131</v>
      </c>
      <c r="M1020" s="11" t="s">
        <v>3625</v>
      </c>
      <c r="N1020" s="11" t="s">
        <v>86</v>
      </c>
      <c r="O1020" s="11" t="s">
        <v>71</v>
      </c>
      <c r="P1020" s="11" t="s">
        <v>5750</v>
      </c>
      <c r="Q1020" s="13" t="s">
        <v>5751</v>
      </c>
      <c r="R1020" s="14" t="str">
        <f>HYPERLINK("https://drive.google.com/file/d/19XrshoZKTpzuYARwenneTtMkAEeI0FUc/view?usp=drivesdk","OFFER LETTER")</f>
        <v>OFFER LETTER</v>
      </c>
      <c r="S1020" s="11" t="s">
        <v>5752</v>
      </c>
    </row>
    <row r="1021" ht="22.5" customHeight="1">
      <c r="A1021" s="10">
        <v>46261.54370707176</v>
      </c>
      <c r="B1021" s="11" t="s">
        <v>5740</v>
      </c>
      <c r="C1021" s="11" t="s">
        <v>195</v>
      </c>
      <c r="D1021" s="11" t="s">
        <v>68</v>
      </c>
      <c r="E1021" s="12">
        <v>46174.0</v>
      </c>
      <c r="F1021" s="12">
        <v>46204.0</v>
      </c>
      <c r="G1021" s="11" t="s">
        <v>5741</v>
      </c>
      <c r="H1021" s="11">
        <v>9.618338294E9</v>
      </c>
      <c r="I1021" s="11" t="s">
        <v>82</v>
      </c>
      <c r="J1021" s="11" t="s">
        <v>83</v>
      </c>
      <c r="K1021" s="11" t="s">
        <v>72</v>
      </c>
      <c r="L1021" s="11" t="s">
        <v>73</v>
      </c>
      <c r="M1021" s="11" t="s">
        <v>5753</v>
      </c>
      <c r="N1021" s="11" t="s">
        <v>2996</v>
      </c>
      <c r="O1021" s="11" t="s">
        <v>71</v>
      </c>
      <c r="P1021" s="11" t="s">
        <v>5754</v>
      </c>
      <c r="Q1021" s="13" t="s">
        <v>5755</v>
      </c>
      <c r="R1021" s="14" t="str">
        <f>HYPERLINK("https://drive.google.com/file/d/1t-1oxYlBiFoGBO2lB0gWuCQKEwoGxg3-/view?usp=drivesdk","OFFER LETTER")</f>
        <v>OFFER LETTER</v>
      </c>
      <c r="S1021" s="11" t="s">
        <v>5756</v>
      </c>
    </row>
    <row r="1022" ht="22.5" customHeight="1">
      <c r="A1022" s="10">
        <v>46261.54922112268</v>
      </c>
      <c r="B1022" s="11" t="s">
        <v>5740</v>
      </c>
      <c r="C1022" s="11" t="s">
        <v>195</v>
      </c>
      <c r="D1022" s="11" t="s">
        <v>68</v>
      </c>
      <c r="E1022" s="12">
        <v>46174.0</v>
      </c>
      <c r="F1022" s="12">
        <v>46204.0</v>
      </c>
      <c r="G1022" s="11" t="s">
        <v>5741</v>
      </c>
      <c r="H1022" s="11">
        <v>9.618338294E9</v>
      </c>
      <c r="I1022" s="11" t="s">
        <v>82</v>
      </c>
      <c r="J1022" s="11" t="s">
        <v>71</v>
      </c>
      <c r="K1022" s="11" t="s">
        <v>72</v>
      </c>
      <c r="L1022" s="11" t="s">
        <v>73</v>
      </c>
      <c r="M1022" s="11" t="s">
        <v>5742</v>
      </c>
      <c r="N1022" s="11" t="s">
        <v>198</v>
      </c>
      <c r="O1022" s="11" t="s">
        <v>71</v>
      </c>
      <c r="P1022" s="11" t="s">
        <v>5757</v>
      </c>
      <c r="Q1022" s="13" t="s">
        <v>5758</v>
      </c>
      <c r="R1022" s="14" t="str">
        <f>HYPERLINK("https://drive.google.com/file/d/1cuywEiec4eC1pwnBxFdhV1bMnQni6s1X/view?usp=drivesdk","OFFER LETTER")</f>
        <v>OFFER LETTER</v>
      </c>
      <c r="S1022" s="11" t="s">
        <v>5759</v>
      </c>
    </row>
    <row r="1023" ht="22.5" customHeight="1">
      <c r="A1023" s="10">
        <v>46261.55292894676</v>
      </c>
      <c r="B1023" s="11" t="s">
        <v>5760</v>
      </c>
      <c r="C1023" s="11" t="s">
        <v>165</v>
      </c>
      <c r="D1023" s="11" t="s">
        <v>68</v>
      </c>
      <c r="E1023" s="12">
        <v>46261.0</v>
      </c>
      <c r="F1023" s="12">
        <v>46322.0</v>
      </c>
      <c r="G1023" s="11" t="s">
        <v>5761</v>
      </c>
      <c r="H1023" s="11">
        <v>9.987535563E9</v>
      </c>
      <c r="I1023" s="11" t="s">
        <v>82</v>
      </c>
      <c r="J1023" s="11" t="s">
        <v>71</v>
      </c>
      <c r="K1023" s="11" t="s">
        <v>72</v>
      </c>
      <c r="L1023" s="11" t="s">
        <v>357</v>
      </c>
      <c r="M1023" s="11" t="s">
        <v>5762</v>
      </c>
      <c r="N1023" s="11" t="s">
        <v>219</v>
      </c>
      <c r="O1023" s="11" t="s">
        <v>71</v>
      </c>
      <c r="P1023" s="11" t="s">
        <v>5763</v>
      </c>
      <c r="Q1023" s="13" t="s">
        <v>5764</v>
      </c>
      <c r="R1023" s="14" t="str">
        <f>HYPERLINK("https://drive.google.com/file/d/1ZatiU1Q_NnHIDtaz3ijqf7f0TfvZ9N8P/view?usp=drivesdk","OFFER LETTER")</f>
        <v>OFFER LETTER</v>
      </c>
      <c r="S1023" s="11" t="s">
        <v>5765</v>
      </c>
    </row>
    <row r="1024" ht="22.5" customHeight="1">
      <c r="A1024" s="10">
        <v>46261.55735040509</v>
      </c>
      <c r="B1024" s="11" t="s">
        <v>3506</v>
      </c>
      <c r="C1024" s="11" t="s">
        <v>195</v>
      </c>
      <c r="D1024" s="11" t="s">
        <v>108</v>
      </c>
      <c r="E1024" s="12">
        <v>46261.0</v>
      </c>
      <c r="F1024" s="12">
        <v>46322.0</v>
      </c>
      <c r="G1024" s="11" t="s">
        <v>5766</v>
      </c>
      <c r="H1024" s="11">
        <v>9.296164606E9</v>
      </c>
      <c r="I1024" s="11" t="s">
        <v>82</v>
      </c>
      <c r="J1024" s="11" t="s">
        <v>71</v>
      </c>
      <c r="K1024" s="11" t="s">
        <v>72</v>
      </c>
      <c r="L1024" s="11" t="s">
        <v>73</v>
      </c>
      <c r="M1024" s="11" t="s">
        <v>1135</v>
      </c>
      <c r="N1024" s="11" t="s">
        <v>86</v>
      </c>
      <c r="O1024" s="11" t="s">
        <v>263</v>
      </c>
      <c r="P1024" s="11" t="s">
        <v>5767</v>
      </c>
      <c r="Q1024" s="13" t="s">
        <v>5768</v>
      </c>
      <c r="R1024" s="14" t="str">
        <f>HYPERLINK("https://drive.google.com/file/d/1uzq5_GcE66QjjgVvxJdTuOPtNsJmHKVc/view?usp=drivesdk","OFFER LETTER")</f>
        <v>OFFER LETTER</v>
      </c>
      <c r="S1024" s="11" t="s">
        <v>5769</v>
      </c>
    </row>
    <row r="1025" ht="22.5" customHeight="1">
      <c r="A1025" s="10">
        <v>46261.56219641204</v>
      </c>
      <c r="B1025" s="11" t="s">
        <v>5770</v>
      </c>
      <c r="C1025" s="11" t="s">
        <v>195</v>
      </c>
      <c r="D1025" s="11" t="s">
        <v>68</v>
      </c>
      <c r="E1025" s="12">
        <v>46193.0</v>
      </c>
      <c r="F1025" s="12">
        <v>46223.0</v>
      </c>
      <c r="G1025" s="11" t="s">
        <v>5771</v>
      </c>
      <c r="H1025" s="11">
        <v>8.114554342E9</v>
      </c>
      <c r="I1025" s="11" t="s">
        <v>82</v>
      </c>
      <c r="J1025" s="11" t="s">
        <v>71</v>
      </c>
      <c r="K1025" s="11" t="s">
        <v>72</v>
      </c>
      <c r="L1025" s="11" t="s">
        <v>73</v>
      </c>
      <c r="M1025" s="11" t="s">
        <v>1135</v>
      </c>
      <c r="N1025" s="11" t="s">
        <v>86</v>
      </c>
      <c r="O1025" s="11" t="s">
        <v>71</v>
      </c>
      <c r="P1025" s="11" t="s">
        <v>5772</v>
      </c>
      <c r="Q1025" s="13" t="s">
        <v>5773</v>
      </c>
      <c r="R1025" s="14" t="str">
        <f>HYPERLINK("https://drive.google.com/file/d/1NrMrsCBaEuWV2q2v2gR08P2s_ftAN5fT/view?usp=drivesdk","OFFER LETTER")</f>
        <v>OFFER LETTER</v>
      </c>
      <c r="S1025" s="11" t="s">
        <v>5774</v>
      </c>
    </row>
    <row r="1026" ht="22.5" customHeight="1">
      <c r="A1026" s="10">
        <v>46261.56318702546</v>
      </c>
      <c r="B1026" s="11" t="s">
        <v>5775</v>
      </c>
      <c r="C1026" s="11" t="s">
        <v>259</v>
      </c>
      <c r="D1026" s="11" t="s">
        <v>68</v>
      </c>
      <c r="E1026" s="12">
        <v>46261.0</v>
      </c>
      <c r="F1026" s="12">
        <v>46292.0</v>
      </c>
      <c r="G1026" s="11" t="s">
        <v>5776</v>
      </c>
      <c r="H1026" s="11">
        <v>8.793969926E9</v>
      </c>
      <c r="I1026" s="11" t="s">
        <v>82</v>
      </c>
      <c r="J1026" s="11" t="s">
        <v>71</v>
      </c>
      <c r="K1026" s="11" t="s">
        <v>1028</v>
      </c>
      <c r="L1026" s="11" t="s">
        <v>73</v>
      </c>
      <c r="M1026" s="11" t="s">
        <v>5777</v>
      </c>
      <c r="N1026" s="11" t="s">
        <v>241</v>
      </c>
      <c r="O1026" s="11" t="s">
        <v>71</v>
      </c>
      <c r="P1026" s="11" t="s">
        <v>5778</v>
      </c>
      <c r="Q1026" s="13" t="s">
        <v>5779</v>
      </c>
      <c r="R1026" s="14" t="str">
        <f>HYPERLINK("https://drive.google.com/file/d/1h4E4x76ImfP_Sp9gP90EbQfd0Lpd0z8a/view?usp=drivesdk","OFFER LETTER")</f>
        <v>OFFER LETTER</v>
      </c>
      <c r="S1026" s="11" t="s">
        <v>5780</v>
      </c>
    </row>
    <row r="1027" ht="22.5" customHeight="1">
      <c r="A1027" s="10">
        <v>46261.57007390047</v>
      </c>
      <c r="B1027" s="11" t="s">
        <v>5781</v>
      </c>
      <c r="C1027" s="11" t="s">
        <v>259</v>
      </c>
      <c r="D1027" s="11" t="s">
        <v>68</v>
      </c>
      <c r="E1027" s="12">
        <v>46261.0</v>
      </c>
      <c r="F1027" s="12">
        <v>46292.0</v>
      </c>
      <c r="G1027" s="11" t="s">
        <v>5782</v>
      </c>
      <c r="H1027" s="11">
        <v>9.345124968E9</v>
      </c>
      <c r="I1027" s="11" t="s">
        <v>82</v>
      </c>
      <c r="J1027" s="11" t="s">
        <v>71</v>
      </c>
      <c r="K1027" s="11" t="s">
        <v>72</v>
      </c>
      <c r="L1027" s="11" t="s">
        <v>131</v>
      </c>
      <c r="M1027" s="11" t="s">
        <v>5783</v>
      </c>
      <c r="N1027" s="11" t="s">
        <v>86</v>
      </c>
      <c r="O1027" s="11" t="s">
        <v>71</v>
      </c>
      <c r="P1027" s="11" t="s">
        <v>5784</v>
      </c>
      <c r="Q1027" s="13" t="s">
        <v>5785</v>
      </c>
      <c r="R1027" s="14" t="str">
        <f>HYPERLINK("https://drive.google.com/file/d/1c2VWpFe65_oJGeLOKP1NlYc-dMkpu2Xr/view?usp=drivesdk","OFFER LETTER")</f>
        <v>OFFER LETTER</v>
      </c>
      <c r="S1027" s="11" t="s">
        <v>5786</v>
      </c>
    </row>
    <row r="1028" ht="22.5" customHeight="1">
      <c r="A1028" s="10">
        <v>46261.57085019676</v>
      </c>
      <c r="B1028" s="11" t="s">
        <v>5787</v>
      </c>
      <c r="C1028" s="11" t="s">
        <v>107</v>
      </c>
      <c r="D1028" s="11" t="s">
        <v>68</v>
      </c>
      <c r="E1028" s="12">
        <v>46207.0</v>
      </c>
      <c r="F1028" s="12">
        <v>46238.0</v>
      </c>
      <c r="G1028" s="11" t="s">
        <v>5788</v>
      </c>
      <c r="H1028" s="11">
        <v>7.895030781E9</v>
      </c>
      <c r="I1028" s="11" t="s">
        <v>82</v>
      </c>
      <c r="J1028" s="11" t="s">
        <v>71</v>
      </c>
      <c r="K1028" s="13" t="s">
        <v>443</v>
      </c>
      <c r="L1028" s="11" t="s">
        <v>73</v>
      </c>
      <c r="M1028" s="11" t="s">
        <v>5789</v>
      </c>
      <c r="N1028" s="11" t="s">
        <v>5790</v>
      </c>
      <c r="O1028" s="11" t="s">
        <v>71</v>
      </c>
      <c r="P1028" s="11" t="s">
        <v>5791</v>
      </c>
      <c r="Q1028" s="13" t="s">
        <v>5792</v>
      </c>
      <c r="R1028" s="14" t="str">
        <f>HYPERLINK("https://drive.google.com/file/d/1liiX48xhntVJ1VEUN5VvoOzoOilBZvtm/view?usp=drivesdk","OFFER LETTER")</f>
        <v>OFFER LETTER</v>
      </c>
      <c r="S1028" s="11" t="s">
        <v>5793</v>
      </c>
    </row>
    <row r="1029" ht="22.5" customHeight="1">
      <c r="A1029" s="10">
        <v>46261.57741266204</v>
      </c>
      <c r="B1029" s="11" t="s">
        <v>5794</v>
      </c>
      <c r="C1029" s="11" t="s">
        <v>195</v>
      </c>
      <c r="D1029" s="11" t="s">
        <v>68</v>
      </c>
      <c r="E1029" s="12">
        <v>46170.0</v>
      </c>
      <c r="F1029" s="12">
        <v>46201.0</v>
      </c>
      <c r="G1029" s="11" t="s">
        <v>5795</v>
      </c>
      <c r="H1029" s="11">
        <v>9.347318385E9</v>
      </c>
      <c r="I1029" s="11" t="s">
        <v>82</v>
      </c>
      <c r="J1029" s="11" t="s">
        <v>71</v>
      </c>
      <c r="K1029" s="11" t="s">
        <v>72</v>
      </c>
      <c r="L1029" s="11" t="s">
        <v>73</v>
      </c>
      <c r="M1029" s="11" t="s">
        <v>5796</v>
      </c>
      <c r="N1029" s="11" t="s">
        <v>86</v>
      </c>
      <c r="O1029" s="11" t="s">
        <v>71</v>
      </c>
      <c r="P1029" s="11" t="s">
        <v>5797</v>
      </c>
      <c r="Q1029" s="13" t="s">
        <v>5798</v>
      </c>
      <c r="R1029" s="14" t="str">
        <f>HYPERLINK("https://drive.google.com/file/d/1ZC2sbx8mZT6Hq05SN_DjSxGf5rjM3R1r/view?usp=drivesdk","OFFER LETTER")</f>
        <v>OFFER LETTER</v>
      </c>
      <c r="S1029" s="11" t="s">
        <v>5799</v>
      </c>
    </row>
    <row r="1030" ht="22.5" customHeight="1">
      <c r="A1030" s="10">
        <v>46261.589338171296</v>
      </c>
      <c r="B1030" s="11" t="s">
        <v>3506</v>
      </c>
      <c r="C1030" s="11" t="s">
        <v>195</v>
      </c>
      <c r="D1030" s="11" t="s">
        <v>108</v>
      </c>
      <c r="E1030" s="12">
        <v>46191.0</v>
      </c>
      <c r="F1030" s="12">
        <v>46252.0</v>
      </c>
      <c r="G1030" s="11" t="s">
        <v>5766</v>
      </c>
      <c r="H1030" s="11">
        <v>9.296164606E9</v>
      </c>
      <c r="I1030" s="11" t="s">
        <v>82</v>
      </c>
      <c r="J1030" s="11" t="s">
        <v>71</v>
      </c>
      <c r="K1030" s="11" t="s">
        <v>72</v>
      </c>
      <c r="L1030" s="11" t="s">
        <v>73</v>
      </c>
      <c r="M1030" s="11" t="s">
        <v>5800</v>
      </c>
      <c r="N1030" s="11" t="s">
        <v>86</v>
      </c>
      <c r="O1030" s="11" t="s">
        <v>263</v>
      </c>
      <c r="P1030" s="11" t="s">
        <v>5801</v>
      </c>
      <c r="Q1030" s="13" t="s">
        <v>5802</v>
      </c>
      <c r="R1030" s="14" t="str">
        <f>HYPERLINK("https://drive.google.com/file/d/1zC4cGDPbmdEA8gVZSa165K5mBL62iB0O/view?usp=drivesdk","OFFER LETTER")</f>
        <v>OFFER LETTER</v>
      </c>
      <c r="S1030" s="11" t="s">
        <v>5803</v>
      </c>
    </row>
    <row r="1031" ht="22.5" customHeight="1">
      <c r="A1031" s="10">
        <v>46261.597093854165</v>
      </c>
      <c r="B1031" s="11" t="s">
        <v>5787</v>
      </c>
      <c r="C1031" s="11" t="s">
        <v>107</v>
      </c>
      <c r="D1031" s="11" t="s">
        <v>68</v>
      </c>
      <c r="E1031" s="12">
        <v>46207.0</v>
      </c>
      <c r="F1031" s="12">
        <v>46238.0</v>
      </c>
      <c r="G1031" s="11" t="s">
        <v>5788</v>
      </c>
      <c r="H1031" s="11">
        <v>7.895030781E9</v>
      </c>
      <c r="I1031" s="11" t="s">
        <v>82</v>
      </c>
      <c r="J1031" s="11" t="s">
        <v>130</v>
      </c>
      <c r="K1031" s="13" t="s">
        <v>443</v>
      </c>
      <c r="L1031" s="11" t="s">
        <v>73</v>
      </c>
      <c r="M1031" s="11" t="s">
        <v>1211</v>
      </c>
      <c r="N1031" s="11" t="s">
        <v>5790</v>
      </c>
      <c r="O1031" s="11" t="s">
        <v>71</v>
      </c>
      <c r="P1031" s="11" t="s">
        <v>5804</v>
      </c>
      <c r="Q1031" s="13" t="s">
        <v>5805</v>
      </c>
      <c r="R1031" s="14" t="str">
        <f>HYPERLINK("https://drive.google.com/file/d/1ZKgJCKluQMecMHdlgn7NCpdvHk9bZi1B/view?usp=drivesdk","OFFER LETTER")</f>
        <v>OFFER LETTER</v>
      </c>
      <c r="S1031" s="11" t="s">
        <v>5806</v>
      </c>
    </row>
    <row r="1032" ht="22.5" customHeight="1">
      <c r="A1032" s="10">
        <v>46261.598825925925</v>
      </c>
      <c r="B1032" s="11" t="s">
        <v>5807</v>
      </c>
      <c r="C1032" s="11" t="s">
        <v>298</v>
      </c>
      <c r="D1032" s="11" t="s">
        <v>68</v>
      </c>
      <c r="E1032" s="12">
        <v>46261.0</v>
      </c>
      <c r="F1032" s="12">
        <v>46292.0</v>
      </c>
      <c r="G1032" s="11" t="s">
        <v>5808</v>
      </c>
      <c r="H1032" s="11">
        <v>8.446435332E9</v>
      </c>
      <c r="I1032" s="11" t="s">
        <v>70</v>
      </c>
      <c r="J1032" s="11" t="s">
        <v>71</v>
      </c>
      <c r="K1032" s="11" t="s">
        <v>72</v>
      </c>
      <c r="L1032" s="11" t="s">
        <v>131</v>
      </c>
      <c r="M1032" s="11" t="s">
        <v>5809</v>
      </c>
      <c r="N1032" s="11" t="s">
        <v>86</v>
      </c>
      <c r="O1032" s="11" t="s">
        <v>71</v>
      </c>
      <c r="P1032" s="11" t="s">
        <v>5810</v>
      </c>
      <c r="Q1032" s="13" t="s">
        <v>5811</v>
      </c>
      <c r="R1032" s="14" t="str">
        <f>HYPERLINK("https://drive.google.com/file/d/1TAxbP2ojOoWKAMnTeGJF-6fH5N33X4xl/view?usp=drivesdk","OFFER LETTER")</f>
        <v>OFFER LETTER</v>
      </c>
      <c r="S1032" s="11" t="s">
        <v>5812</v>
      </c>
    </row>
    <row r="1033" ht="22.5" customHeight="1">
      <c r="A1033" s="10">
        <v>46261.59901335648</v>
      </c>
      <c r="B1033" s="11" t="s">
        <v>5813</v>
      </c>
      <c r="C1033" s="11" t="s">
        <v>173</v>
      </c>
      <c r="D1033" s="11" t="s">
        <v>68</v>
      </c>
      <c r="E1033" s="12">
        <v>46177.0</v>
      </c>
      <c r="F1033" s="12">
        <v>46207.0</v>
      </c>
      <c r="G1033" s="11" t="s">
        <v>5814</v>
      </c>
      <c r="H1033" s="11">
        <v>6.300594284E9</v>
      </c>
      <c r="I1033" s="11" t="s">
        <v>82</v>
      </c>
      <c r="J1033" s="11" t="s">
        <v>71</v>
      </c>
      <c r="K1033" s="11" t="s">
        <v>72</v>
      </c>
      <c r="L1033" s="11" t="s">
        <v>73</v>
      </c>
      <c r="M1033" s="11" t="s">
        <v>5815</v>
      </c>
      <c r="N1033" s="11" t="s">
        <v>198</v>
      </c>
      <c r="O1033" s="11" t="s">
        <v>71</v>
      </c>
      <c r="P1033" s="11" t="s">
        <v>5816</v>
      </c>
      <c r="Q1033" s="13" t="s">
        <v>5817</v>
      </c>
      <c r="R1033" s="14" t="str">
        <f>HYPERLINK("https://drive.google.com/file/d/1op7YWkrGCV8fWVhiq7_6BqANDaetjQ-r/view?usp=drivesdk","OFFER LETTER")</f>
        <v>OFFER LETTER</v>
      </c>
      <c r="S1033" s="11" t="s">
        <v>5818</v>
      </c>
    </row>
    <row r="1034" ht="22.5" customHeight="1">
      <c r="A1034" s="10">
        <v>46261.60088478009</v>
      </c>
      <c r="B1034" s="11" t="s">
        <v>5819</v>
      </c>
      <c r="C1034" s="11" t="s">
        <v>2591</v>
      </c>
      <c r="D1034" s="11" t="s">
        <v>68</v>
      </c>
      <c r="E1034" s="12">
        <v>46174.0</v>
      </c>
      <c r="F1034" s="12">
        <v>46203.0</v>
      </c>
      <c r="G1034" s="11" t="s">
        <v>5820</v>
      </c>
      <c r="H1034" s="11">
        <v>7.011152005E9</v>
      </c>
      <c r="I1034" s="11" t="s">
        <v>82</v>
      </c>
      <c r="J1034" s="11" t="s">
        <v>71</v>
      </c>
      <c r="K1034" s="11" t="s">
        <v>1028</v>
      </c>
      <c r="L1034" s="11" t="s">
        <v>131</v>
      </c>
      <c r="M1034" s="11" t="s">
        <v>5821</v>
      </c>
      <c r="N1034" s="11" t="s">
        <v>86</v>
      </c>
      <c r="O1034" s="11" t="s">
        <v>71</v>
      </c>
      <c r="P1034" s="11" t="s">
        <v>5822</v>
      </c>
      <c r="Q1034" s="13" t="s">
        <v>5823</v>
      </c>
      <c r="R1034" s="14" t="str">
        <f>HYPERLINK("https://drive.google.com/file/d/1FJpUfq83awMba6a2-XiH3zgXI0Geub3E/view?usp=drivesdk","OFFER LETTER")</f>
        <v>OFFER LETTER</v>
      </c>
      <c r="S1034" s="11" t="s">
        <v>5824</v>
      </c>
    </row>
    <row r="1035" ht="22.5" customHeight="1">
      <c r="A1035" s="10">
        <v>46261.60320997685</v>
      </c>
      <c r="B1035" s="11" t="s">
        <v>5825</v>
      </c>
      <c r="C1035" s="11" t="s">
        <v>173</v>
      </c>
      <c r="D1035" s="11" t="s">
        <v>68</v>
      </c>
      <c r="E1035" s="12" t="s">
        <v>5826</v>
      </c>
      <c r="F1035" s="12">
        <v>39320.0</v>
      </c>
      <c r="G1035" s="11" t="s">
        <v>5827</v>
      </c>
      <c r="H1035" s="11">
        <v>9.310797396E9</v>
      </c>
      <c r="I1035" s="11" t="s">
        <v>82</v>
      </c>
      <c r="J1035" s="11" t="s">
        <v>71</v>
      </c>
      <c r="K1035" s="11" t="s">
        <v>72</v>
      </c>
      <c r="L1035" s="11" t="s">
        <v>84</v>
      </c>
      <c r="M1035" s="11" t="s">
        <v>2021</v>
      </c>
      <c r="N1035" s="11" t="s">
        <v>86</v>
      </c>
      <c r="O1035" s="11" t="s">
        <v>71</v>
      </c>
      <c r="P1035" s="11" t="s">
        <v>5828</v>
      </c>
      <c r="Q1035" s="13" t="s">
        <v>5829</v>
      </c>
      <c r="R1035" s="14" t="str">
        <f>HYPERLINK("https://drive.google.com/file/d/18ymFZG4lGDLU28yOnH1zpOLmujUNUws2/view?usp=drivesdk","OFFER LETTER")</f>
        <v>OFFER LETTER</v>
      </c>
      <c r="S1035" s="11" t="s">
        <v>5830</v>
      </c>
    </row>
    <row r="1036" ht="22.5" customHeight="1">
      <c r="A1036" s="10">
        <v>46261.60469734954</v>
      </c>
      <c r="B1036" s="11" t="s">
        <v>5831</v>
      </c>
      <c r="C1036" s="11" t="s">
        <v>195</v>
      </c>
      <c r="D1036" s="11" t="s">
        <v>68</v>
      </c>
      <c r="E1036" s="12">
        <v>46218.0</v>
      </c>
      <c r="F1036" s="12">
        <v>46250.0</v>
      </c>
      <c r="G1036" s="11" t="s">
        <v>5832</v>
      </c>
      <c r="H1036" s="11">
        <v>9.204311685E9</v>
      </c>
      <c r="I1036" s="11" t="s">
        <v>82</v>
      </c>
      <c r="J1036" s="11" t="s">
        <v>71</v>
      </c>
      <c r="K1036" s="11" t="s">
        <v>72</v>
      </c>
      <c r="L1036" s="11" t="s">
        <v>84</v>
      </c>
      <c r="M1036" s="11" t="s">
        <v>2070</v>
      </c>
      <c r="N1036" s="11" t="s">
        <v>86</v>
      </c>
      <c r="O1036" s="11" t="s">
        <v>71</v>
      </c>
      <c r="P1036" s="11" t="s">
        <v>5833</v>
      </c>
      <c r="Q1036" s="13" t="s">
        <v>5834</v>
      </c>
      <c r="R1036" s="14" t="str">
        <f>HYPERLINK("https://drive.google.com/file/d/1svmWOmLWshx_kjp4gY8YroUEOw78Phrh/view?usp=drivesdk","OFFER LETTER")</f>
        <v>OFFER LETTER</v>
      </c>
      <c r="S1036" s="11" t="s">
        <v>5835</v>
      </c>
    </row>
    <row r="1037" ht="22.5" customHeight="1">
      <c r="A1037" s="10">
        <v>46261.60803983796</v>
      </c>
      <c r="B1037" s="11" t="s">
        <v>5787</v>
      </c>
      <c r="C1037" s="11" t="s">
        <v>107</v>
      </c>
      <c r="D1037" s="11" t="s">
        <v>68</v>
      </c>
      <c r="E1037" s="12">
        <v>46208.0</v>
      </c>
      <c r="F1037" s="12">
        <v>46239.0</v>
      </c>
      <c r="G1037" s="11" t="s">
        <v>5788</v>
      </c>
      <c r="H1037" s="11">
        <v>7.895030781E9</v>
      </c>
      <c r="I1037" s="11" t="s">
        <v>82</v>
      </c>
      <c r="J1037" s="11" t="s">
        <v>130</v>
      </c>
      <c r="K1037" s="13" t="s">
        <v>443</v>
      </c>
      <c r="L1037" s="11" t="s">
        <v>73</v>
      </c>
      <c r="M1037" s="11" t="s">
        <v>5836</v>
      </c>
      <c r="N1037" s="11" t="s">
        <v>5790</v>
      </c>
      <c r="O1037" s="11" t="s">
        <v>71</v>
      </c>
      <c r="P1037" s="11" t="s">
        <v>5837</v>
      </c>
      <c r="Q1037" s="13" t="s">
        <v>5838</v>
      </c>
      <c r="R1037" s="14" t="str">
        <f>HYPERLINK("https://drive.google.com/file/d/15H3c9Xwl56j664m4GWAf8LYLNTDDptqc/view?usp=drivesdk","OFFER LETTER")</f>
        <v>OFFER LETTER</v>
      </c>
      <c r="S1037" s="11" t="s">
        <v>5839</v>
      </c>
    </row>
    <row r="1038" ht="22.5" customHeight="1">
      <c r="A1038" s="10">
        <v>46261.60927518518</v>
      </c>
      <c r="B1038" s="11" t="s">
        <v>5693</v>
      </c>
      <c r="C1038" s="11" t="s">
        <v>173</v>
      </c>
      <c r="D1038" s="11" t="s">
        <v>68</v>
      </c>
      <c r="E1038" s="12">
        <v>46191.0</v>
      </c>
      <c r="F1038" s="12">
        <v>46221.0</v>
      </c>
      <c r="G1038" s="11" t="s">
        <v>5689</v>
      </c>
      <c r="H1038" s="11">
        <v>6.393452382E9</v>
      </c>
      <c r="I1038" s="11" t="s">
        <v>82</v>
      </c>
      <c r="J1038" s="11" t="s">
        <v>71</v>
      </c>
      <c r="K1038" s="11" t="s">
        <v>72</v>
      </c>
      <c r="L1038" s="11" t="s">
        <v>73</v>
      </c>
      <c r="M1038" s="11" t="s">
        <v>1135</v>
      </c>
      <c r="N1038" s="11" t="s">
        <v>5840</v>
      </c>
      <c r="O1038" s="11" t="s">
        <v>71</v>
      </c>
      <c r="P1038" s="11" t="s">
        <v>5841</v>
      </c>
      <c r="Q1038" s="13" t="s">
        <v>5842</v>
      </c>
      <c r="R1038" s="14" t="str">
        <f>HYPERLINK("https://drive.google.com/file/d/1A1opbalOJLSy5Q1u4pGmUts9uBFTjwjW/view?usp=drivesdk","OFFER LETTER")</f>
        <v>OFFER LETTER</v>
      </c>
      <c r="S1038" s="11" t="s">
        <v>5843</v>
      </c>
    </row>
    <row r="1039" ht="22.5" customHeight="1">
      <c r="A1039" s="10">
        <v>46261.6111253125</v>
      </c>
      <c r="B1039" s="11" t="s">
        <v>5831</v>
      </c>
      <c r="C1039" s="11" t="s">
        <v>195</v>
      </c>
      <c r="D1039" s="11" t="s">
        <v>68</v>
      </c>
      <c r="E1039" s="12">
        <v>46218.0</v>
      </c>
      <c r="F1039" s="12">
        <v>46250.0</v>
      </c>
      <c r="G1039" s="11" t="s">
        <v>5832</v>
      </c>
      <c r="H1039" s="11">
        <v>9.204311685E9</v>
      </c>
      <c r="I1039" s="11" t="s">
        <v>82</v>
      </c>
      <c r="J1039" s="11" t="s">
        <v>71</v>
      </c>
      <c r="K1039" s="11" t="s">
        <v>72</v>
      </c>
      <c r="L1039" s="11" t="s">
        <v>84</v>
      </c>
      <c r="M1039" s="11" t="s">
        <v>2070</v>
      </c>
      <c r="N1039" s="11" t="s">
        <v>86</v>
      </c>
      <c r="O1039" s="11" t="s">
        <v>71</v>
      </c>
      <c r="P1039" s="11" t="s">
        <v>5844</v>
      </c>
      <c r="Q1039" s="13" t="s">
        <v>5845</v>
      </c>
      <c r="R1039" s="14" t="str">
        <f>HYPERLINK("https://drive.google.com/file/d/1P4LUtSUZ1Tk6Ug2nCc2ZShHZFiQgXijS/view?usp=drivesdk","OFFER LETTER")</f>
        <v>OFFER LETTER</v>
      </c>
      <c r="S1039" s="11" t="s">
        <v>5846</v>
      </c>
    </row>
    <row r="1040" ht="22.5" customHeight="1">
      <c r="A1040" s="10">
        <v>46261.61205373843</v>
      </c>
      <c r="B1040" s="11" t="s">
        <v>5787</v>
      </c>
      <c r="C1040" s="11" t="s">
        <v>107</v>
      </c>
      <c r="D1040" s="11" t="s">
        <v>68</v>
      </c>
      <c r="E1040" s="12">
        <v>46208.0</v>
      </c>
      <c r="F1040" s="12">
        <v>46239.0</v>
      </c>
      <c r="G1040" s="11" t="s">
        <v>5788</v>
      </c>
      <c r="H1040" s="11">
        <v>7.895030781E9</v>
      </c>
      <c r="I1040" s="11" t="s">
        <v>82</v>
      </c>
      <c r="J1040" s="11" t="s">
        <v>71</v>
      </c>
      <c r="K1040" s="13" t="s">
        <v>443</v>
      </c>
      <c r="L1040" s="11" t="s">
        <v>73</v>
      </c>
      <c r="M1040" s="11" t="s">
        <v>5836</v>
      </c>
      <c r="N1040" s="11" t="s">
        <v>5790</v>
      </c>
      <c r="O1040" s="11" t="s">
        <v>71</v>
      </c>
      <c r="P1040" s="11" t="s">
        <v>5847</v>
      </c>
      <c r="Q1040" s="13" t="s">
        <v>5848</v>
      </c>
      <c r="R1040" s="14" t="str">
        <f>HYPERLINK("https://drive.google.com/file/d/13UE7s2ry_1MdWIou0E0tMfiq_XKcTHzX/view?usp=drivesdk","OFFER LETTER")</f>
        <v>OFFER LETTER</v>
      </c>
      <c r="S1040" s="11" t="s">
        <v>5849</v>
      </c>
    </row>
    <row r="1041" ht="22.5" customHeight="1">
      <c r="A1041" s="10">
        <v>46261.632613634254</v>
      </c>
      <c r="B1041" s="11" t="s">
        <v>2346</v>
      </c>
      <c r="C1041" s="11" t="s">
        <v>195</v>
      </c>
      <c r="D1041" s="11" t="s">
        <v>68</v>
      </c>
      <c r="E1041" s="12">
        <v>46212.0</v>
      </c>
      <c r="F1041" s="12">
        <v>46243.0</v>
      </c>
      <c r="G1041" s="11" t="s">
        <v>5850</v>
      </c>
      <c r="H1041" s="11">
        <v>9.234209979E9</v>
      </c>
      <c r="I1041" s="11" t="s">
        <v>82</v>
      </c>
      <c r="J1041" s="11" t="s">
        <v>71</v>
      </c>
      <c r="K1041" s="11" t="s">
        <v>72</v>
      </c>
      <c r="L1041" s="11" t="s">
        <v>84</v>
      </c>
      <c r="M1041" s="11" t="s">
        <v>2535</v>
      </c>
      <c r="N1041" s="11" t="s">
        <v>86</v>
      </c>
      <c r="O1041" s="11" t="s">
        <v>71</v>
      </c>
      <c r="P1041" s="11" t="s">
        <v>5851</v>
      </c>
      <c r="Q1041" s="13" t="s">
        <v>5852</v>
      </c>
      <c r="R1041" s="14" t="str">
        <f>HYPERLINK("https://drive.google.com/file/d/1hpuouGh029pO8LQRD1DpGilmHI0GY29T/view?usp=drivesdk","OFFER LETTER")</f>
        <v>OFFER LETTER</v>
      </c>
      <c r="S1041" s="11" t="s">
        <v>5853</v>
      </c>
    </row>
    <row r="1042" ht="22.5" customHeight="1">
      <c r="A1042" s="10">
        <v>46261.632624895836</v>
      </c>
      <c r="B1042" s="11" t="s">
        <v>5688</v>
      </c>
      <c r="C1042" s="11" t="s">
        <v>173</v>
      </c>
      <c r="D1042" s="11" t="s">
        <v>68</v>
      </c>
      <c r="E1042" s="12">
        <v>46188.0</v>
      </c>
      <c r="F1042" s="12">
        <v>46218.0</v>
      </c>
      <c r="G1042" s="11" t="s">
        <v>5854</v>
      </c>
      <c r="H1042" s="11">
        <v>9.90517074E9</v>
      </c>
      <c r="I1042" s="11" t="s">
        <v>82</v>
      </c>
      <c r="J1042" s="11" t="s">
        <v>71</v>
      </c>
      <c r="K1042" s="11" t="s">
        <v>72</v>
      </c>
      <c r="L1042" s="11" t="s">
        <v>131</v>
      </c>
      <c r="M1042" s="11" t="s">
        <v>1135</v>
      </c>
      <c r="N1042" s="11" t="s">
        <v>5855</v>
      </c>
      <c r="O1042" s="11" t="s">
        <v>71</v>
      </c>
      <c r="P1042" s="11" t="s">
        <v>5856</v>
      </c>
      <c r="Q1042" s="13" t="s">
        <v>5857</v>
      </c>
      <c r="R1042" s="14" t="str">
        <f>HYPERLINK("https://drive.google.com/file/d/1zdefRwpdkwW4H-4QBcXIJBQc86qGbYTv/view?usp=drivesdk","OFFER LETTER")</f>
        <v>OFFER LETTER</v>
      </c>
      <c r="S1042" s="11" t="s">
        <v>5858</v>
      </c>
    </row>
    <row r="1043" ht="22.5" customHeight="1">
      <c r="A1043" s="10">
        <v>46261.635095011574</v>
      </c>
      <c r="B1043" s="11" t="s">
        <v>2346</v>
      </c>
      <c r="C1043" s="11" t="s">
        <v>195</v>
      </c>
      <c r="D1043" s="11" t="s">
        <v>68</v>
      </c>
      <c r="E1043" s="12">
        <v>46210.0</v>
      </c>
      <c r="F1043" s="12">
        <v>46241.0</v>
      </c>
      <c r="G1043" s="11" t="s">
        <v>5850</v>
      </c>
      <c r="H1043" s="11">
        <v>9.234209979E9</v>
      </c>
      <c r="I1043" s="11" t="s">
        <v>82</v>
      </c>
      <c r="J1043" s="11" t="s">
        <v>71</v>
      </c>
      <c r="K1043" s="11" t="s">
        <v>72</v>
      </c>
      <c r="L1043" s="11" t="s">
        <v>84</v>
      </c>
      <c r="M1043" s="11" t="s">
        <v>2535</v>
      </c>
      <c r="N1043" s="11" t="s">
        <v>86</v>
      </c>
      <c r="O1043" s="11" t="s">
        <v>71</v>
      </c>
      <c r="P1043" s="11" t="s">
        <v>5859</v>
      </c>
      <c r="Q1043" s="13" t="s">
        <v>5860</v>
      </c>
      <c r="R1043" s="14" t="str">
        <f>HYPERLINK("https://drive.google.com/file/d/1Re1ej8OytbsVF8_bRcjSHYY4NtD0rltw/view?usp=drivesdk","OFFER LETTER")</f>
        <v>OFFER LETTER</v>
      </c>
      <c r="S1043" s="11" t="s">
        <v>5861</v>
      </c>
    </row>
    <row r="1044" ht="22.5" customHeight="1">
      <c r="A1044" s="10">
        <v>46261.6369840625</v>
      </c>
      <c r="B1044" s="11" t="s">
        <v>5862</v>
      </c>
      <c r="C1044" s="11" t="s">
        <v>107</v>
      </c>
      <c r="D1044" s="11" t="s">
        <v>68</v>
      </c>
      <c r="E1044" s="12">
        <v>45897.0</v>
      </c>
      <c r="F1044" s="12">
        <v>45929.0</v>
      </c>
      <c r="G1044" s="11" t="s">
        <v>5863</v>
      </c>
      <c r="H1044" s="11">
        <v>9.049252121E9</v>
      </c>
      <c r="I1044" s="11" t="s">
        <v>82</v>
      </c>
      <c r="J1044" s="11" t="s">
        <v>71</v>
      </c>
      <c r="K1044" s="11" t="s">
        <v>72</v>
      </c>
      <c r="L1044" s="11" t="s">
        <v>247</v>
      </c>
      <c r="M1044" s="11" t="s">
        <v>5864</v>
      </c>
      <c r="N1044" s="11" t="s">
        <v>3833</v>
      </c>
      <c r="O1044" s="11" t="s">
        <v>71</v>
      </c>
      <c r="P1044" s="11" t="s">
        <v>5865</v>
      </c>
      <c r="Q1044" s="13" t="s">
        <v>5866</v>
      </c>
      <c r="R1044" s="14" t="str">
        <f>HYPERLINK("https://drive.google.com/file/d/1MauR-Qb5IJ4g-0qedDyMqAxIaSKR-YCO/view?usp=drivesdk","OFFER LETTER")</f>
        <v>OFFER LETTER</v>
      </c>
      <c r="S1044" s="11" t="s">
        <v>5867</v>
      </c>
    </row>
    <row r="1045" ht="22.5" customHeight="1">
      <c r="A1045" s="10">
        <v>46261.643547071755</v>
      </c>
      <c r="B1045" s="11" t="s">
        <v>5868</v>
      </c>
      <c r="C1045" s="11" t="s">
        <v>237</v>
      </c>
      <c r="D1045" s="11" t="s">
        <v>68</v>
      </c>
      <c r="E1045" s="12">
        <v>46266.0</v>
      </c>
      <c r="F1045" s="12">
        <v>46296.0</v>
      </c>
      <c r="G1045" s="11" t="s">
        <v>5869</v>
      </c>
      <c r="H1045" s="11">
        <v>8.269761396E9</v>
      </c>
      <c r="I1045" s="11" t="s">
        <v>82</v>
      </c>
      <c r="J1045" s="11" t="s">
        <v>71</v>
      </c>
      <c r="K1045" s="11" t="s">
        <v>72</v>
      </c>
      <c r="L1045" s="11" t="s">
        <v>84</v>
      </c>
      <c r="M1045" s="11" t="s">
        <v>5870</v>
      </c>
      <c r="N1045" s="11" t="s">
        <v>5871</v>
      </c>
      <c r="O1045" s="11" t="s">
        <v>71</v>
      </c>
      <c r="P1045" s="11" t="s">
        <v>5872</v>
      </c>
      <c r="Q1045" s="13" t="s">
        <v>5873</v>
      </c>
      <c r="R1045" s="14" t="str">
        <f>HYPERLINK("https://drive.google.com/file/d/1N1sOWfXVPWiiHtrZZL7zDowLC1G2A0_H/view?usp=drivesdk","OFFER LETTER")</f>
        <v>OFFER LETTER</v>
      </c>
      <c r="S1045" s="11" t="s">
        <v>5874</v>
      </c>
    </row>
    <row r="1046" ht="22.5" customHeight="1">
      <c r="A1046" s="10">
        <v>46261.64705976852</v>
      </c>
      <c r="B1046" s="11" t="s">
        <v>5875</v>
      </c>
      <c r="C1046" s="11" t="s">
        <v>128</v>
      </c>
      <c r="D1046" s="11" t="s">
        <v>68</v>
      </c>
      <c r="E1046" s="12">
        <v>46232.0</v>
      </c>
      <c r="F1046" s="12">
        <v>46264.0</v>
      </c>
      <c r="G1046" s="11" t="s">
        <v>5876</v>
      </c>
      <c r="H1046" s="11">
        <v>6.370015188E9</v>
      </c>
      <c r="I1046" s="11" t="s">
        <v>82</v>
      </c>
      <c r="K1046" s="11" t="s">
        <v>72</v>
      </c>
      <c r="L1046" s="11" t="s">
        <v>73</v>
      </c>
      <c r="M1046" s="11" t="s">
        <v>5877</v>
      </c>
      <c r="N1046" s="11" t="s">
        <v>86</v>
      </c>
      <c r="O1046" s="11" t="s">
        <v>71</v>
      </c>
      <c r="P1046" s="11" t="s">
        <v>5878</v>
      </c>
      <c r="Q1046" s="13" t="s">
        <v>5879</v>
      </c>
      <c r="R1046" s="14" t="str">
        <f>HYPERLINK("https://drive.google.com/file/d/1Ne-nzlpvfLsVR39Na_gIb6AOTV91AGw-/view?usp=drivesdk","OFFER LETTER")</f>
        <v>OFFER LETTER</v>
      </c>
      <c r="S1046" s="11" t="s">
        <v>5880</v>
      </c>
    </row>
    <row r="1047" ht="22.5" customHeight="1">
      <c r="A1047" s="10">
        <v>46261.651174212966</v>
      </c>
      <c r="B1047" s="11" t="s">
        <v>5881</v>
      </c>
      <c r="C1047" s="11" t="s">
        <v>195</v>
      </c>
      <c r="D1047" s="11" t="s">
        <v>68</v>
      </c>
      <c r="E1047" s="12">
        <v>46182.0</v>
      </c>
      <c r="F1047" s="12">
        <v>46212.0</v>
      </c>
      <c r="G1047" s="11" t="s">
        <v>5882</v>
      </c>
      <c r="H1047" s="11">
        <v>8.210016467E9</v>
      </c>
      <c r="I1047" s="11" t="s">
        <v>82</v>
      </c>
      <c r="J1047" s="11" t="s">
        <v>71</v>
      </c>
      <c r="K1047" s="11" t="s">
        <v>72</v>
      </c>
      <c r="L1047" s="11" t="s">
        <v>84</v>
      </c>
      <c r="M1047" s="11" t="s">
        <v>1779</v>
      </c>
      <c r="N1047" s="11" t="s">
        <v>86</v>
      </c>
      <c r="O1047" s="11" t="s">
        <v>71</v>
      </c>
      <c r="P1047" s="11" t="s">
        <v>5883</v>
      </c>
      <c r="Q1047" s="13" t="s">
        <v>5884</v>
      </c>
      <c r="R1047" s="14" t="str">
        <f>HYPERLINK("https://drive.google.com/file/d/1dxfjqbIe389MnZIaol3913Zih7Thp5aT/view?usp=drivesdk","OFFER LETTER")</f>
        <v>OFFER LETTER</v>
      </c>
      <c r="S1047" s="11" t="s">
        <v>5885</v>
      </c>
    </row>
    <row r="1048" ht="22.5" customHeight="1">
      <c r="A1048" s="10">
        <v>46261.65795625</v>
      </c>
      <c r="B1048" s="11" t="s">
        <v>5886</v>
      </c>
      <c r="C1048" s="11" t="s">
        <v>173</v>
      </c>
      <c r="D1048" s="11" t="s">
        <v>68</v>
      </c>
      <c r="E1048" s="12">
        <v>46228.0</v>
      </c>
      <c r="F1048" s="12">
        <v>46259.0</v>
      </c>
      <c r="G1048" s="11" t="s">
        <v>5887</v>
      </c>
      <c r="H1048" s="11">
        <v>9.643320865E9</v>
      </c>
      <c r="I1048" s="11" t="s">
        <v>70</v>
      </c>
      <c r="J1048" s="11" t="s">
        <v>71</v>
      </c>
      <c r="K1048" s="11" t="s">
        <v>72</v>
      </c>
      <c r="L1048" s="11" t="s">
        <v>84</v>
      </c>
      <c r="M1048" s="11" t="s">
        <v>2021</v>
      </c>
      <c r="N1048" s="11" t="s">
        <v>420</v>
      </c>
      <c r="O1048" s="11" t="s">
        <v>71</v>
      </c>
      <c r="P1048" s="11" t="s">
        <v>5888</v>
      </c>
      <c r="Q1048" s="13" t="s">
        <v>5889</v>
      </c>
      <c r="R1048" s="14" t="str">
        <f>HYPERLINK("https://drive.google.com/file/d/1uiy0M_ldRewfa23UrWxA4PaQgPAZ0dbb/view?usp=drivesdk","OFFER LETTER")</f>
        <v>OFFER LETTER</v>
      </c>
      <c r="S1048" s="11" t="s">
        <v>5890</v>
      </c>
    </row>
    <row r="1049" ht="22.5" customHeight="1">
      <c r="A1049" s="10">
        <v>46261.67577244213</v>
      </c>
      <c r="B1049" s="11" t="s">
        <v>5891</v>
      </c>
      <c r="C1049" s="11" t="s">
        <v>259</v>
      </c>
      <c r="D1049" s="11" t="s">
        <v>108</v>
      </c>
      <c r="E1049" s="12">
        <v>46211.0</v>
      </c>
      <c r="F1049" s="12">
        <v>46213.0</v>
      </c>
      <c r="G1049" s="11" t="s">
        <v>5892</v>
      </c>
      <c r="H1049" s="11">
        <v>7.292052203E9</v>
      </c>
      <c r="I1049" s="11" t="s">
        <v>82</v>
      </c>
      <c r="J1049" s="11" t="s">
        <v>83</v>
      </c>
      <c r="K1049" s="11" t="s">
        <v>72</v>
      </c>
      <c r="L1049" s="11" t="s">
        <v>73</v>
      </c>
      <c r="M1049" s="11" t="s">
        <v>5893</v>
      </c>
      <c r="N1049" s="11" t="s">
        <v>226</v>
      </c>
      <c r="O1049" s="11" t="s">
        <v>71</v>
      </c>
      <c r="P1049" s="11" t="s">
        <v>5894</v>
      </c>
      <c r="Q1049" s="13" t="s">
        <v>5895</v>
      </c>
      <c r="R1049" s="14" t="str">
        <f>HYPERLINK("https://drive.google.com/file/d/1-KeBuC2bEOoe56oSDWU0mHds9qMNnlYu/view?usp=drivesdk","OFFER LETTER")</f>
        <v>OFFER LETTER</v>
      </c>
      <c r="S1049" s="11" t="s">
        <v>5896</v>
      </c>
    </row>
    <row r="1050" ht="22.5" customHeight="1">
      <c r="A1050" s="10">
        <v>46261.6774715625</v>
      </c>
      <c r="B1050" s="11" t="s">
        <v>5897</v>
      </c>
      <c r="C1050" s="11" t="s">
        <v>128</v>
      </c>
      <c r="D1050" s="11" t="s">
        <v>68</v>
      </c>
      <c r="E1050" s="12">
        <v>46259.0</v>
      </c>
      <c r="F1050" s="12">
        <v>46290.0</v>
      </c>
      <c r="G1050" s="11" t="s">
        <v>5898</v>
      </c>
      <c r="H1050" s="11">
        <v>9.87437997E9</v>
      </c>
      <c r="I1050" s="11" t="s">
        <v>70</v>
      </c>
      <c r="J1050" s="11" t="s">
        <v>71</v>
      </c>
      <c r="K1050" s="11" t="s">
        <v>72</v>
      </c>
      <c r="L1050" s="11" t="s">
        <v>73</v>
      </c>
      <c r="M1050" s="11" t="s">
        <v>5899</v>
      </c>
      <c r="N1050" s="11" t="s">
        <v>226</v>
      </c>
      <c r="O1050" s="11" t="s">
        <v>71</v>
      </c>
      <c r="P1050" s="11" t="s">
        <v>5900</v>
      </c>
      <c r="Q1050" s="13" t="s">
        <v>5901</v>
      </c>
      <c r="R1050" s="14" t="str">
        <f>HYPERLINK("https://drive.google.com/file/d/1bYJqADdjwLM-7vK6k9Ro5sa0k1mXMYBl/view?usp=drivesdk","OFFER LETTER")</f>
        <v>OFFER LETTER</v>
      </c>
      <c r="S1050" s="11" t="s">
        <v>5902</v>
      </c>
    </row>
    <row r="1051" ht="22.5" customHeight="1">
      <c r="A1051" s="10">
        <v>46261.67987295139</v>
      </c>
      <c r="B1051" s="11" t="s">
        <v>5891</v>
      </c>
      <c r="C1051" s="11" t="s">
        <v>259</v>
      </c>
      <c r="D1051" s="11" t="s">
        <v>108</v>
      </c>
      <c r="E1051" s="12">
        <v>46211.0</v>
      </c>
      <c r="F1051" s="12">
        <v>46273.0</v>
      </c>
      <c r="G1051" s="11" t="s">
        <v>5892</v>
      </c>
      <c r="H1051" s="11">
        <v>7.292052203E9</v>
      </c>
      <c r="I1051" s="11" t="s">
        <v>82</v>
      </c>
      <c r="J1051" s="11" t="s">
        <v>83</v>
      </c>
      <c r="K1051" s="11" t="s">
        <v>72</v>
      </c>
      <c r="L1051" s="11" t="s">
        <v>73</v>
      </c>
      <c r="M1051" s="11" t="s">
        <v>5893</v>
      </c>
      <c r="N1051" s="11" t="s">
        <v>198</v>
      </c>
      <c r="O1051" s="11" t="s">
        <v>71</v>
      </c>
      <c r="P1051" s="11" t="s">
        <v>5903</v>
      </c>
      <c r="Q1051" s="13" t="s">
        <v>5904</v>
      </c>
      <c r="R1051" s="14" t="str">
        <f>HYPERLINK("https://drive.google.com/file/d/1gC_h9nMIOj8RcP0hHcOrgLJqXV73zxlR/view?usp=drivesdk","OFFER LETTER")</f>
        <v>OFFER LETTER</v>
      </c>
      <c r="S1051" s="11" t="s">
        <v>5905</v>
      </c>
    </row>
    <row r="1052" ht="22.5" customHeight="1">
      <c r="A1052" s="10">
        <v>46261.69078167824</v>
      </c>
      <c r="B1052" s="11" t="s">
        <v>5886</v>
      </c>
      <c r="C1052" s="11" t="s">
        <v>173</v>
      </c>
      <c r="D1052" s="11" t="s">
        <v>68</v>
      </c>
      <c r="E1052" s="12">
        <v>46215.0</v>
      </c>
      <c r="F1052" s="12">
        <v>46246.0</v>
      </c>
      <c r="G1052" s="11" t="s">
        <v>5906</v>
      </c>
      <c r="H1052" s="11">
        <v>8.890364754E9</v>
      </c>
      <c r="I1052" s="11" t="s">
        <v>70</v>
      </c>
      <c r="J1052" s="11" t="s">
        <v>71</v>
      </c>
      <c r="K1052" s="11" t="s">
        <v>72</v>
      </c>
      <c r="L1052" s="11" t="s">
        <v>84</v>
      </c>
      <c r="M1052" s="11" t="s">
        <v>2021</v>
      </c>
      <c r="N1052" s="11" t="s">
        <v>86</v>
      </c>
      <c r="O1052" s="11" t="s">
        <v>71</v>
      </c>
      <c r="P1052" s="11" t="s">
        <v>5907</v>
      </c>
      <c r="Q1052" s="13" t="s">
        <v>5908</v>
      </c>
      <c r="R1052" s="14" t="str">
        <f>HYPERLINK("https://drive.google.com/file/d/19Uo4OTBOh134MtJvLImR-RTC76BfwrGy/view?usp=drivesdk","OFFER LETTER")</f>
        <v>OFFER LETTER</v>
      </c>
      <c r="S1052" s="11" t="s">
        <v>5909</v>
      </c>
    </row>
    <row r="1053" ht="22.5" customHeight="1">
      <c r="A1053" s="10">
        <v>46261.69125004629</v>
      </c>
      <c r="B1053" s="11" t="s">
        <v>5910</v>
      </c>
      <c r="C1053" s="11" t="s">
        <v>298</v>
      </c>
      <c r="D1053" s="11" t="s">
        <v>68</v>
      </c>
      <c r="E1053" s="12">
        <v>46261.0</v>
      </c>
      <c r="F1053" s="12">
        <v>46292.0</v>
      </c>
      <c r="G1053" s="11" t="s">
        <v>5911</v>
      </c>
      <c r="H1053" s="11">
        <v>9.407221287E9</v>
      </c>
      <c r="I1053" s="11" t="s">
        <v>82</v>
      </c>
      <c r="J1053" s="11" t="s">
        <v>71</v>
      </c>
      <c r="K1053" s="11" t="s">
        <v>72</v>
      </c>
      <c r="L1053" s="11" t="s">
        <v>247</v>
      </c>
      <c r="M1053" s="11" t="s">
        <v>5912</v>
      </c>
      <c r="N1053" s="11" t="s">
        <v>1533</v>
      </c>
      <c r="O1053" s="11" t="s">
        <v>71</v>
      </c>
      <c r="P1053" s="11" t="s">
        <v>5913</v>
      </c>
      <c r="Q1053" s="13" t="s">
        <v>5914</v>
      </c>
      <c r="R1053" s="14" t="str">
        <f>HYPERLINK("https://drive.google.com/file/d/12pkZkhvukerdrNosNTw-BwCvibsDCaLJ/view?usp=drivesdk","OFFER LETTER")</f>
        <v>OFFER LETTER</v>
      </c>
      <c r="S1053" s="11" t="s">
        <v>5915</v>
      </c>
    </row>
    <row r="1054" ht="22.5" customHeight="1">
      <c r="A1054" s="10">
        <v>46261.69198336806</v>
      </c>
      <c r="B1054" s="11" t="s">
        <v>4713</v>
      </c>
      <c r="C1054" s="11" t="s">
        <v>173</v>
      </c>
      <c r="D1054" s="11" t="s">
        <v>238</v>
      </c>
      <c r="E1054" s="12">
        <v>46236.0</v>
      </c>
      <c r="F1054" s="12">
        <v>46328.0</v>
      </c>
      <c r="G1054" s="11" t="s">
        <v>4714</v>
      </c>
      <c r="H1054" s="11">
        <v>8.767463186E9</v>
      </c>
      <c r="I1054" s="11" t="s">
        <v>82</v>
      </c>
      <c r="J1054" s="11" t="s">
        <v>71</v>
      </c>
      <c r="K1054" s="13" t="s">
        <v>443</v>
      </c>
      <c r="L1054" s="11" t="s">
        <v>247</v>
      </c>
      <c r="M1054" s="11" t="s">
        <v>5916</v>
      </c>
      <c r="N1054" s="11" t="s">
        <v>86</v>
      </c>
      <c r="O1054" s="11" t="s">
        <v>71</v>
      </c>
      <c r="P1054" s="11" t="s">
        <v>5917</v>
      </c>
      <c r="Q1054" s="13" t="s">
        <v>5918</v>
      </c>
      <c r="R1054" s="14" t="str">
        <f>HYPERLINK("https://drive.google.com/file/d/1F1iHazWaI4m8JJeKFvAVsgnV8O_ptr6L/view?usp=drivesdk","OFFER LETTER")</f>
        <v>OFFER LETTER</v>
      </c>
      <c r="S1054" s="11" t="s">
        <v>5919</v>
      </c>
    </row>
    <row r="1055" ht="22.5" customHeight="1">
      <c r="A1055" s="10">
        <v>46261.697765069446</v>
      </c>
      <c r="B1055" s="11" t="s">
        <v>5920</v>
      </c>
      <c r="C1055" s="11" t="s">
        <v>173</v>
      </c>
      <c r="D1055" s="11" t="s">
        <v>68</v>
      </c>
      <c r="E1055" s="12">
        <v>46214.0</v>
      </c>
      <c r="F1055" s="12">
        <v>46214.0</v>
      </c>
      <c r="G1055" s="11" t="s">
        <v>5906</v>
      </c>
      <c r="H1055" s="11">
        <v>8.890364754E9</v>
      </c>
      <c r="I1055" s="11" t="s">
        <v>70</v>
      </c>
      <c r="J1055" s="11" t="s">
        <v>71</v>
      </c>
      <c r="K1055" s="11" t="s">
        <v>72</v>
      </c>
      <c r="L1055" s="11" t="s">
        <v>84</v>
      </c>
      <c r="M1055" s="11" t="s">
        <v>2021</v>
      </c>
      <c r="N1055" s="11" t="s">
        <v>86</v>
      </c>
      <c r="O1055" s="11" t="s">
        <v>71</v>
      </c>
      <c r="P1055" s="11" t="s">
        <v>5921</v>
      </c>
      <c r="Q1055" s="13" t="s">
        <v>5922</v>
      </c>
      <c r="R1055" s="14" t="str">
        <f>HYPERLINK("https://drive.google.com/file/d/1Q1vXgOuoZSS7iJElsst2PcKRq7hWuChO/view?usp=drivesdk","OFFER LETTER")</f>
        <v>OFFER LETTER</v>
      </c>
      <c r="S1055" s="11" t="s">
        <v>5923</v>
      </c>
    </row>
    <row r="1056" ht="22.5" customHeight="1">
      <c r="A1056" s="10">
        <v>46261.697857534724</v>
      </c>
      <c r="B1056" s="11" t="s">
        <v>5924</v>
      </c>
      <c r="C1056" s="11" t="s">
        <v>91</v>
      </c>
      <c r="D1056" s="11" t="s">
        <v>68</v>
      </c>
      <c r="E1056" s="12">
        <v>46228.0</v>
      </c>
      <c r="F1056" s="12">
        <v>46259.0</v>
      </c>
      <c r="G1056" s="11" t="s">
        <v>5925</v>
      </c>
      <c r="H1056" s="11">
        <v>9.900624831E9</v>
      </c>
      <c r="I1056" s="11" t="s">
        <v>82</v>
      </c>
      <c r="J1056" s="11" t="s">
        <v>71</v>
      </c>
      <c r="K1056" s="11" t="s">
        <v>72</v>
      </c>
      <c r="L1056" s="11" t="s">
        <v>131</v>
      </c>
      <c r="M1056" s="11" t="s">
        <v>5926</v>
      </c>
      <c r="N1056" s="11" t="s">
        <v>1641</v>
      </c>
      <c r="O1056" s="11" t="s">
        <v>71</v>
      </c>
      <c r="P1056" s="11" t="s">
        <v>5927</v>
      </c>
      <c r="Q1056" s="13" t="s">
        <v>5928</v>
      </c>
      <c r="R1056" s="14" t="str">
        <f>HYPERLINK("https://drive.google.com/file/d/158kAJ3V54JRdJS9n0yVDeYJA-tBsGnBI/view?usp=drivesdk","OFFER LETTER")</f>
        <v>OFFER LETTER</v>
      </c>
      <c r="S1056" s="11" t="s">
        <v>5929</v>
      </c>
    </row>
    <row r="1057" ht="22.5" customHeight="1">
      <c r="A1057" s="10">
        <v>46261.700249988426</v>
      </c>
      <c r="B1057" s="11" t="s">
        <v>5930</v>
      </c>
      <c r="C1057" s="11" t="s">
        <v>107</v>
      </c>
      <c r="D1057" s="11" t="s">
        <v>68</v>
      </c>
      <c r="E1057" s="12">
        <v>46261.0</v>
      </c>
      <c r="F1057" s="12">
        <v>46261.0</v>
      </c>
      <c r="G1057" s="11" t="s">
        <v>5931</v>
      </c>
      <c r="H1057" s="11">
        <v>7.305655025E9</v>
      </c>
      <c r="I1057" s="11" t="s">
        <v>82</v>
      </c>
      <c r="J1057" s="11" t="s">
        <v>71</v>
      </c>
      <c r="K1057" s="11" t="s">
        <v>110</v>
      </c>
      <c r="L1057" s="11" t="s">
        <v>73</v>
      </c>
      <c r="M1057" s="11" t="s">
        <v>5932</v>
      </c>
      <c r="N1057" s="11" t="s">
        <v>86</v>
      </c>
      <c r="O1057" s="11" t="s">
        <v>71</v>
      </c>
      <c r="P1057" s="11" t="s">
        <v>5933</v>
      </c>
      <c r="Q1057" s="13" t="s">
        <v>5934</v>
      </c>
      <c r="R1057" s="14" t="str">
        <f>HYPERLINK("https://drive.google.com/file/d/1e4iEdYc4SvtJZltthd2DrsVX4FmozNgg/view?usp=drivesdk","OFFER LETTER")</f>
        <v>OFFER LETTER</v>
      </c>
      <c r="S1057" s="11" t="s">
        <v>5935</v>
      </c>
    </row>
    <row r="1058" ht="22.5" customHeight="1">
      <c r="A1058" s="10">
        <v>46261.70481969907</v>
      </c>
      <c r="B1058" s="11" t="s">
        <v>5936</v>
      </c>
      <c r="C1058" s="11" t="s">
        <v>237</v>
      </c>
      <c r="D1058" s="11" t="s">
        <v>68</v>
      </c>
      <c r="E1058" s="12">
        <v>46175.0</v>
      </c>
      <c r="F1058" s="12">
        <v>46206.0</v>
      </c>
      <c r="G1058" s="11" t="s">
        <v>5937</v>
      </c>
      <c r="H1058" s="11">
        <v>7.98915482E9</v>
      </c>
      <c r="I1058" s="11" t="s">
        <v>82</v>
      </c>
      <c r="J1058" s="11" t="s">
        <v>71</v>
      </c>
      <c r="K1058" s="11" t="s">
        <v>72</v>
      </c>
      <c r="L1058" s="11" t="s">
        <v>131</v>
      </c>
      <c r="M1058" s="11" t="s">
        <v>132</v>
      </c>
      <c r="N1058" s="11" t="s">
        <v>241</v>
      </c>
      <c r="O1058" s="11" t="s">
        <v>71</v>
      </c>
      <c r="P1058" s="11" t="s">
        <v>5938</v>
      </c>
      <c r="Q1058" s="13" t="s">
        <v>5939</v>
      </c>
      <c r="R1058" s="14" t="str">
        <f>HYPERLINK("https://drive.google.com/file/d/16OvvakAESpiIqMsa54FWiKlDVwjVm_dn/view?usp=drivesdk","OFFER LETTER")</f>
        <v>OFFER LETTER</v>
      </c>
      <c r="S1058" s="11" t="s">
        <v>5940</v>
      </c>
    </row>
    <row r="1059" ht="22.5" customHeight="1">
      <c r="A1059" s="10">
        <v>46261.71328354167</v>
      </c>
      <c r="B1059" s="11" t="s">
        <v>5941</v>
      </c>
      <c r="C1059" s="11" t="s">
        <v>67</v>
      </c>
      <c r="D1059" s="11" t="s">
        <v>108</v>
      </c>
      <c r="E1059" s="12">
        <v>46188.0</v>
      </c>
      <c r="F1059" s="12">
        <v>46249.0</v>
      </c>
      <c r="G1059" s="11" t="s">
        <v>5942</v>
      </c>
      <c r="H1059" s="11">
        <v>8.897084891E9</v>
      </c>
      <c r="I1059" s="11" t="s">
        <v>70</v>
      </c>
      <c r="J1059" s="11" t="s">
        <v>71</v>
      </c>
      <c r="K1059" s="11" t="s">
        <v>72</v>
      </c>
      <c r="L1059" s="11" t="s">
        <v>131</v>
      </c>
      <c r="M1059" s="11" t="s">
        <v>5943</v>
      </c>
      <c r="N1059" s="11" t="s">
        <v>219</v>
      </c>
      <c r="O1059" s="11" t="s">
        <v>71</v>
      </c>
      <c r="P1059" s="11" t="s">
        <v>5944</v>
      </c>
      <c r="Q1059" s="13" t="s">
        <v>5945</v>
      </c>
      <c r="R1059" s="14" t="str">
        <f>HYPERLINK("https://drive.google.com/file/d/1Y9TwF-2Os3-ocGNXCDEaxaVYJCRaFiA1/view?usp=drivesdk","OFFER LETTER")</f>
        <v>OFFER LETTER</v>
      </c>
      <c r="S1059" s="11" t="s">
        <v>5946</v>
      </c>
    </row>
    <row r="1060" ht="22.5" customHeight="1">
      <c r="A1060" s="10">
        <v>46261.7136162963</v>
      </c>
      <c r="B1060" s="11" t="s">
        <v>5947</v>
      </c>
      <c r="C1060" s="11" t="s">
        <v>67</v>
      </c>
      <c r="D1060" s="11" t="s">
        <v>108</v>
      </c>
      <c r="E1060" s="12">
        <v>46188.0</v>
      </c>
      <c r="F1060" s="12">
        <v>46250.0</v>
      </c>
      <c r="G1060" s="11" t="s">
        <v>5948</v>
      </c>
      <c r="H1060" s="11">
        <v>9.01449128E9</v>
      </c>
      <c r="I1060" s="11" t="s">
        <v>70</v>
      </c>
      <c r="J1060" s="11" t="s">
        <v>71</v>
      </c>
      <c r="K1060" s="11" t="s">
        <v>72</v>
      </c>
      <c r="L1060" s="11" t="s">
        <v>131</v>
      </c>
      <c r="M1060" s="11" t="s">
        <v>5949</v>
      </c>
      <c r="N1060" s="11" t="s">
        <v>226</v>
      </c>
      <c r="O1060" s="11" t="s">
        <v>71</v>
      </c>
      <c r="P1060" s="11" t="s">
        <v>5950</v>
      </c>
      <c r="Q1060" s="13" t="s">
        <v>5951</v>
      </c>
      <c r="R1060" s="14" t="str">
        <f>HYPERLINK("https://drive.google.com/file/d/12ISVZ7Sxjs0blgPzjNP-fknMCIawa4eh/view?usp=drivesdk","OFFER LETTER")</f>
        <v>OFFER LETTER</v>
      </c>
      <c r="S1060" s="11" t="s">
        <v>5952</v>
      </c>
    </row>
    <row r="1061" ht="22.5" customHeight="1">
      <c r="A1061" s="10">
        <v>46261.71519136574</v>
      </c>
      <c r="B1061" s="11" t="s">
        <v>5953</v>
      </c>
      <c r="C1061" s="11" t="s">
        <v>67</v>
      </c>
      <c r="D1061" s="11" t="s">
        <v>108</v>
      </c>
      <c r="E1061" s="12">
        <v>46188.0</v>
      </c>
      <c r="F1061" s="12">
        <v>46249.0</v>
      </c>
      <c r="G1061" s="11" t="s">
        <v>5954</v>
      </c>
      <c r="H1061" s="11">
        <v>9.346478748E9</v>
      </c>
      <c r="I1061" s="11" t="s">
        <v>70</v>
      </c>
      <c r="J1061" s="11" t="s">
        <v>71</v>
      </c>
      <c r="K1061" s="11" t="s">
        <v>72</v>
      </c>
      <c r="L1061" s="11" t="s">
        <v>131</v>
      </c>
      <c r="M1061" s="11" t="s">
        <v>5955</v>
      </c>
      <c r="N1061" s="11" t="s">
        <v>198</v>
      </c>
      <c r="O1061" s="11" t="s">
        <v>71</v>
      </c>
      <c r="P1061" s="11" t="s">
        <v>5956</v>
      </c>
      <c r="Q1061" s="13" t="s">
        <v>5957</v>
      </c>
      <c r="R1061" s="14" t="str">
        <f>HYPERLINK("https://drive.google.com/file/d/1vz_VK7CXG-kR0JpKvLJvzm8Mbz88cE4q/view?usp=drivesdk","OFFER LETTER")</f>
        <v>OFFER LETTER</v>
      </c>
      <c r="S1061" s="11" t="s">
        <v>5958</v>
      </c>
    </row>
    <row r="1062" ht="22.5" customHeight="1">
      <c r="A1062" s="10">
        <v>46261.71974706018</v>
      </c>
      <c r="B1062" s="11" t="s">
        <v>5959</v>
      </c>
      <c r="C1062" s="11" t="s">
        <v>173</v>
      </c>
      <c r="D1062" s="11" t="s">
        <v>68</v>
      </c>
      <c r="E1062" s="12">
        <v>46230.0</v>
      </c>
      <c r="F1062" s="12">
        <v>46261.0</v>
      </c>
      <c r="G1062" s="11" t="s">
        <v>5960</v>
      </c>
      <c r="H1062" s="11">
        <v>7.060913636E9</v>
      </c>
      <c r="I1062" s="11" t="s">
        <v>82</v>
      </c>
      <c r="J1062" s="11" t="s">
        <v>83</v>
      </c>
      <c r="K1062" s="11" t="s">
        <v>72</v>
      </c>
      <c r="L1062" s="11" t="s">
        <v>84</v>
      </c>
      <c r="M1062" s="11" t="s">
        <v>5961</v>
      </c>
      <c r="N1062" s="11" t="s">
        <v>86</v>
      </c>
      <c r="O1062" s="11" t="s">
        <v>71</v>
      </c>
      <c r="P1062" s="11" t="s">
        <v>5962</v>
      </c>
      <c r="Q1062" s="13" t="s">
        <v>5963</v>
      </c>
      <c r="R1062" s="14" t="str">
        <f>HYPERLINK("https://drive.google.com/file/d/12AEVwkm-Doj2CC1Ds_Mtrb98Z2RgCRem/view?usp=drivesdk","OFFER LETTER")</f>
        <v>OFFER LETTER</v>
      </c>
      <c r="S1062" s="11" t="s">
        <v>5964</v>
      </c>
    </row>
    <row r="1063" ht="22.5" customHeight="1">
      <c r="A1063" s="10">
        <v>46261.72248113426</v>
      </c>
      <c r="B1063" s="11" t="s">
        <v>5965</v>
      </c>
      <c r="C1063" s="11" t="s">
        <v>4544</v>
      </c>
      <c r="D1063" s="11" t="s">
        <v>238</v>
      </c>
      <c r="E1063" s="12">
        <v>46121.0</v>
      </c>
      <c r="F1063" s="12">
        <v>46212.0</v>
      </c>
      <c r="G1063" s="11" t="s">
        <v>5966</v>
      </c>
      <c r="H1063" s="11">
        <v>7.361979355E9</v>
      </c>
      <c r="I1063" s="11" t="s">
        <v>70</v>
      </c>
      <c r="J1063" s="11" t="s">
        <v>71</v>
      </c>
      <c r="K1063" s="11" t="s">
        <v>72</v>
      </c>
      <c r="L1063" s="11" t="s">
        <v>73</v>
      </c>
      <c r="M1063" s="11" t="s">
        <v>5967</v>
      </c>
      <c r="N1063" s="11" t="s">
        <v>630</v>
      </c>
      <c r="O1063" s="11" t="s">
        <v>71</v>
      </c>
      <c r="P1063" s="11" t="s">
        <v>5968</v>
      </c>
      <c r="Q1063" s="13" t="s">
        <v>5969</v>
      </c>
      <c r="R1063" s="14" t="str">
        <f>HYPERLINK("https://drive.google.com/file/d/1V-SPoFok2UbjflJkzoUnkDKdpFFsSG0Q/view?usp=drivesdk","OFFER LETTER")</f>
        <v>OFFER LETTER</v>
      </c>
      <c r="S1063" s="11" t="s">
        <v>5970</v>
      </c>
    </row>
    <row r="1064" ht="22.5" customHeight="1">
      <c r="A1064" s="10">
        <v>46261.734197847225</v>
      </c>
      <c r="B1064" s="11" t="s">
        <v>5971</v>
      </c>
      <c r="C1064" s="11" t="s">
        <v>91</v>
      </c>
      <c r="D1064" s="11" t="s">
        <v>238</v>
      </c>
      <c r="E1064" s="12">
        <v>46174.0</v>
      </c>
      <c r="F1064" s="12">
        <v>46266.0</v>
      </c>
      <c r="G1064" s="11" t="s">
        <v>597</v>
      </c>
      <c r="H1064" s="11">
        <v>8.309991301E9</v>
      </c>
      <c r="I1064" s="11" t="s">
        <v>82</v>
      </c>
      <c r="J1064" s="11" t="s">
        <v>130</v>
      </c>
      <c r="K1064" s="11" t="s">
        <v>72</v>
      </c>
      <c r="L1064" s="11" t="s">
        <v>131</v>
      </c>
      <c r="M1064" s="11" t="s">
        <v>3625</v>
      </c>
      <c r="N1064" s="11" t="s">
        <v>86</v>
      </c>
      <c r="O1064" s="11" t="s">
        <v>71</v>
      </c>
      <c r="P1064" s="11" t="s">
        <v>5972</v>
      </c>
      <c r="Q1064" s="13" t="s">
        <v>5973</v>
      </c>
      <c r="R1064" s="14" t="str">
        <f>HYPERLINK("https://drive.google.com/file/d/1D-X1zaw2c-HDMvDyvvYJ-_4_R0prdIPE/view?usp=drivesdk","OFFER LETTER")</f>
        <v>OFFER LETTER</v>
      </c>
      <c r="S1064" s="11" t="s">
        <v>5974</v>
      </c>
    </row>
    <row r="1065" ht="22.5" customHeight="1">
      <c r="A1065" s="10">
        <v>46261.73690109953</v>
      </c>
      <c r="B1065" s="11" t="s">
        <v>5975</v>
      </c>
      <c r="C1065" s="11" t="s">
        <v>195</v>
      </c>
      <c r="D1065" s="11" t="s">
        <v>68</v>
      </c>
      <c r="E1065" s="12">
        <v>46229.0</v>
      </c>
      <c r="F1065" s="12">
        <v>46260.0</v>
      </c>
      <c r="G1065" s="11" t="s">
        <v>5976</v>
      </c>
      <c r="H1065" s="11">
        <v>9.393723588E9</v>
      </c>
      <c r="I1065" s="11" t="s">
        <v>82</v>
      </c>
      <c r="J1065" s="11" t="s">
        <v>71</v>
      </c>
      <c r="K1065" s="11" t="s">
        <v>72</v>
      </c>
      <c r="L1065" s="11" t="s">
        <v>73</v>
      </c>
      <c r="M1065" s="11" t="s">
        <v>3625</v>
      </c>
      <c r="N1065" s="11" t="s">
        <v>86</v>
      </c>
      <c r="O1065" s="11" t="s">
        <v>71</v>
      </c>
      <c r="P1065" s="11" t="s">
        <v>5977</v>
      </c>
      <c r="Q1065" s="13" t="s">
        <v>5978</v>
      </c>
      <c r="R1065" s="14" t="str">
        <f>HYPERLINK("https://drive.google.com/file/d/1oPLVrBYJMqOMYx1GVzxTDq9fsep2bZvr/view?usp=drivesdk","OFFER LETTER")</f>
        <v>OFFER LETTER</v>
      </c>
      <c r="S1065" s="11" t="s">
        <v>5979</v>
      </c>
    </row>
    <row r="1066" ht="22.5" customHeight="1">
      <c r="A1066" s="10">
        <v>46261.80431552083</v>
      </c>
      <c r="B1066" s="11" t="s">
        <v>5980</v>
      </c>
      <c r="C1066" s="11" t="s">
        <v>107</v>
      </c>
      <c r="D1066" s="11" t="s">
        <v>68</v>
      </c>
      <c r="E1066" s="12">
        <v>46261.0</v>
      </c>
      <c r="F1066" s="12">
        <v>46292.0</v>
      </c>
      <c r="G1066" s="11" t="s">
        <v>5981</v>
      </c>
      <c r="H1066" s="11">
        <v>9.359714009E9</v>
      </c>
      <c r="I1066" s="11" t="s">
        <v>82</v>
      </c>
      <c r="J1066" s="11" t="s">
        <v>71</v>
      </c>
      <c r="K1066" s="13" t="s">
        <v>443</v>
      </c>
      <c r="L1066" s="11" t="s">
        <v>73</v>
      </c>
      <c r="M1066" s="11" t="s">
        <v>5982</v>
      </c>
      <c r="N1066" s="11" t="s">
        <v>86</v>
      </c>
      <c r="O1066" s="11" t="s">
        <v>71</v>
      </c>
      <c r="P1066" s="11" t="s">
        <v>5983</v>
      </c>
      <c r="Q1066" s="13" t="s">
        <v>5984</v>
      </c>
      <c r="R1066" s="14" t="str">
        <f>HYPERLINK("https://drive.google.com/file/d/1XIp9VS0tyjw1vxBXj7jgJ1uJCqqQQbOV/view?usp=drivesdk","OFFER LETTER")</f>
        <v>OFFER LETTER</v>
      </c>
      <c r="S1066" s="11" t="s">
        <v>5985</v>
      </c>
    </row>
    <row r="1067" ht="22.5" customHeight="1">
      <c r="A1067" s="10">
        <v>46261.80751621528</v>
      </c>
      <c r="B1067" s="11" t="s">
        <v>5986</v>
      </c>
      <c r="C1067" s="11" t="s">
        <v>173</v>
      </c>
      <c r="D1067" s="11" t="s">
        <v>108</v>
      </c>
      <c r="E1067" s="12">
        <v>46261.0</v>
      </c>
      <c r="F1067" s="12">
        <v>46326.0</v>
      </c>
      <c r="G1067" s="11" t="s">
        <v>5987</v>
      </c>
      <c r="H1067" s="11">
        <v>7.899604788E9</v>
      </c>
      <c r="I1067" s="11" t="s">
        <v>82</v>
      </c>
      <c r="J1067" s="11" t="s">
        <v>71</v>
      </c>
      <c r="K1067" s="11" t="s">
        <v>356</v>
      </c>
      <c r="L1067" s="11" t="s">
        <v>84</v>
      </c>
      <c r="M1067" s="11" t="s">
        <v>419</v>
      </c>
      <c r="N1067" s="11" t="s">
        <v>198</v>
      </c>
      <c r="O1067" s="11" t="s">
        <v>71</v>
      </c>
      <c r="P1067" s="11" t="s">
        <v>5988</v>
      </c>
      <c r="Q1067" s="13" t="s">
        <v>5989</v>
      </c>
      <c r="R1067" s="14" t="str">
        <f>HYPERLINK("https://drive.google.com/file/d/192rQAUnFrKNZZfzoDr5TElUpjBEzVOUh/view?usp=drivesdk","OFFER LETTER")</f>
        <v>OFFER LETTER</v>
      </c>
      <c r="S1067" s="11" t="s">
        <v>5990</v>
      </c>
    </row>
    <row r="1068" ht="22.5" customHeight="1">
      <c r="A1068" s="10">
        <v>46261.81749217593</v>
      </c>
      <c r="B1068" s="11" t="s">
        <v>5991</v>
      </c>
      <c r="C1068" s="11" t="s">
        <v>107</v>
      </c>
      <c r="D1068" s="11" t="s">
        <v>68</v>
      </c>
      <c r="E1068" s="12">
        <v>46261.0</v>
      </c>
      <c r="F1068" s="12">
        <v>46291.0</v>
      </c>
      <c r="G1068" s="11" t="s">
        <v>5992</v>
      </c>
      <c r="H1068" s="11">
        <v>7.507780128E9</v>
      </c>
      <c r="I1068" s="11" t="s">
        <v>82</v>
      </c>
      <c r="J1068" s="11" t="s">
        <v>71</v>
      </c>
      <c r="K1068" s="13" t="s">
        <v>443</v>
      </c>
      <c r="L1068" s="11" t="s">
        <v>73</v>
      </c>
      <c r="M1068" s="11" t="s">
        <v>5993</v>
      </c>
      <c r="N1068" s="11" t="s">
        <v>75</v>
      </c>
      <c r="O1068" s="11" t="s">
        <v>71</v>
      </c>
      <c r="P1068" s="11" t="s">
        <v>5994</v>
      </c>
      <c r="Q1068" s="13" t="s">
        <v>5995</v>
      </c>
      <c r="R1068" s="14" t="str">
        <f>HYPERLINK("https://drive.google.com/file/d/10vxKjRtqsjfxK4pEGyCakcwGHxN01bV_/view?usp=drivesdk","OFFER LETTER")</f>
        <v>OFFER LETTER</v>
      </c>
      <c r="S1068" s="11" t="s">
        <v>5996</v>
      </c>
    </row>
    <row r="1069" ht="22.5" customHeight="1">
      <c r="A1069" s="10">
        <v>46261.827896030096</v>
      </c>
      <c r="B1069" s="11" t="s">
        <v>4029</v>
      </c>
      <c r="C1069" s="11" t="s">
        <v>237</v>
      </c>
      <c r="D1069" s="11" t="s">
        <v>68</v>
      </c>
      <c r="E1069" s="12" t="s">
        <v>5997</v>
      </c>
      <c r="F1069" s="12" t="s">
        <v>5998</v>
      </c>
      <c r="G1069" s="11" t="s">
        <v>4030</v>
      </c>
      <c r="H1069" s="11">
        <v>9.52991735E9</v>
      </c>
      <c r="I1069" s="11" t="s">
        <v>70</v>
      </c>
      <c r="J1069" s="11" t="s">
        <v>71</v>
      </c>
      <c r="K1069" s="11" t="s">
        <v>72</v>
      </c>
      <c r="L1069" s="11" t="s">
        <v>73</v>
      </c>
      <c r="M1069" s="11" t="s">
        <v>5999</v>
      </c>
      <c r="N1069" s="11" t="s">
        <v>75</v>
      </c>
      <c r="O1069" s="11" t="s">
        <v>71</v>
      </c>
      <c r="P1069" s="11" t="s">
        <v>6000</v>
      </c>
      <c r="Q1069" s="13" t="s">
        <v>6001</v>
      </c>
      <c r="R1069" s="14" t="str">
        <f>HYPERLINK("https://drive.google.com/file/d/1r2iU2pNLDB0INxdqWC74CWVk-HYRFLRp/view?usp=drivesdk","OFFER LETTER")</f>
        <v>OFFER LETTER</v>
      </c>
      <c r="S1069" s="11" t="s">
        <v>6002</v>
      </c>
    </row>
    <row r="1070" ht="22.5" customHeight="1">
      <c r="A1070" s="10">
        <v>46261.832456874996</v>
      </c>
      <c r="B1070" s="11" t="s">
        <v>6003</v>
      </c>
      <c r="C1070" s="11" t="s">
        <v>91</v>
      </c>
      <c r="D1070" s="11" t="s">
        <v>68</v>
      </c>
      <c r="E1070" s="12">
        <v>46235.0</v>
      </c>
      <c r="F1070" s="12">
        <v>46264.0</v>
      </c>
      <c r="G1070" s="11" t="s">
        <v>6004</v>
      </c>
      <c r="H1070" s="11">
        <v>9.363041316E9</v>
      </c>
      <c r="I1070" s="11" t="s">
        <v>82</v>
      </c>
      <c r="J1070" s="11" t="s">
        <v>83</v>
      </c>
      <c r="K1070" s="11" t="s">
        <v>72</v>
      </c>
      <c r="L1070" s="11" t="s">
        <v>84</v>
      </c>
      <c r="M1070" s="11" t="s">
        <v>6005</v>
      </c>
      <c r="N1070" s="11" t="s">
        <v>86</v>
      </c>
      <c r="O1070" s="11" t="s">
        <v>263</v>
      </c>
      <c r="P1070" s="11" t="s">
        <v>6006</v>
      </c>
      <c r="Q1070" s="13" t="s">
        <v>6007</v>
      </c>
      <c r="R1070" s="14" t="str">
        <f>HYPERLINK("https://drive.google.com/file/d/1DC6-RyBgzpgAgNkCjguws7DO3eJPQad6/view?usp=drivesdk","OFFER LETTER")</f>
        <v>OFFER LETTER</v>
      </c>
      <c r="S1070" s="11" t="s">
        <v>6008</v>
      </c>
    </row>
    <row r="1071" ht="22.5" customHeight="1">
      <c r="A1071" s="10">
        <v>46261.834358101856</v>
      </c>
      <c r="B1071" s="11" t="s">
        <v>6009</v>
      </c>
      <c r="C1071" s="11" t="s">
        <v>195</v>
      </c>
      <c r="D1071" s="11" t="s">
        <v>108</v>
      </c>
      <c r="E1071" s="12">
        <v>46151.0</v>
      </c>
      <c r="F1071" s="12">
        <v>46212.0</v>
      </c>
      <c r="G1071" s="11" t="s">
        <v>6010</v>
      </c>
      <c r="H1071" s="11">
        <v>6.305797162E9</v>
      </c>
      <c r="I1071" s="11" t="s">
        <v>70</v>
      </c>
      <c r="J1071" s="11" t="s">
        <v>71</v>
      </c>
      <c r="K1071" s="11" t="s">
        <v>72</v>
      </c>
      <c r="L1071" s="11" t="s">
        <v>131</v>
      </c>
      <c r="M1071" s="11" t="s">
        <v>6011</v>
      </c>
      <c r="N1071" s="11" t="s">
        <v>86</v>
      </c>
      <c r="O1071" s="11" t="s">
        <v>71</v>
      </c>
      <c r="P1071" s="11" t="s">
        <v>6012</v>
      </c>
      <c r="Q1071" s="13" t="s">
        <v>6013</v>
      </c>
      <c r="R1071" s="14" t="str">
        <f>HYPERLINK("https://drive.google.com/file/d/10AMEsaCwQvF2hmutxVJcidBbDjCNkbYF/view?usp=drivesdk","OFFER LETTER")</f>
        <v>OFFER LETTER</v>
      </c>
      <c r="S1071" s="11" t="s">
        <v>6014</v>
      </c>
    </row>
    <row r="1072" ht="22.5" customHeight="1">
      <c r="A1072" s="10">
        <v>46261.83568498843</v>
      </c>
      <c r="B1072" s="11" t="s">
        <v>6015</v>
      </c>
      <c r="C1072" s="11" t="s">
        <v>354</v>
      </c>
      <c r="D1072" s="11" t="s">
        <v>68</v>
      </c>
      <c r="E1072" s="12">
        <v>46230.0</v>
      </c>
      <c r="F1072" s="12">
        <v>46261.0</v>
      </c>
      <c r="G1072" s="11" t="s">
        <v>6016</v>
      </c>
      <c r="H1072" s="11">
        <v>6.203445651E9</v>
      </c>
      <c r="I1072" s="11" t="s">
        <v>82</v>
      </c>
      <c r="J1072" s="11" t="s">
        <v>71</v>
      </c>
      <c r="K1072" s="11" t="s">
        <v>72</v>
      </c>
      <c r="L1072" s="11" t="s">
        <v>84</v>
      </c>
      <c r="M1072" s="11" t="s">
        <v>560</v>
      </c>
      <c r="N1072" s="11" t="s">
        <v>86</v>
      </c>
      <c r="O1072" s="11" t="s">
        <v>71</v>
      </c>
      <c r="P1072" s="11" t="s">
        <v>6017</v>
      </c>
      <c r="Q1072" s="13" t="s">
        <v>6018</v>
      </c>
      <c r="R1072" s="14" t="str">
        <f>HYPERLINK("https://drive.google.com/file/d/1mFs8pDJXqygovC2YgeK2Qpxqf4Q-oE0P/view?usp=drivesdk","OFFER LETTER")</f>
        <v>OFFER LETTER</v>
      </c>
      <c r="S1072" s="11" t="s">
        <v>6019</v>
      </c>
    </row>
    <row r="1073" ht="22.5" customHeight="1">
      <c r="A1073" s="10">
        <v>46261.83859804398</v>
      </c>
      <c r="B1073" s="11" t="s">
        <v>6020</v>
      </c>
      <c r="C1073" s="11" t="s">
        <v>259</v>
      </c>
      <c r="D1073" s="11" t="s">
        <v>68</v>
      </c>
      <c r="E1073" s="12">
        <v>46181.0</v>
      </c>
      <c r="F1073" s="12">
        <v>46211.0</v>
      </c>
      <c r="G1073" s="11" t="s">
        <v>6021</v>
      </c>
      <c r="H1073" s="11">
        <v>8.88232039E9</v>
      </c>
      <c r="I1073" s="11" t="s">
        <v>70</v>
      </c>
      <c r="J1073" s="11" t="s">
        <v>71</v>
      </c>
      <c r="K1073" s="11" t="s">
        <v>72</v>
      </c>
      <c r="L1073" s="11" t="s">
        <v>73</v>
      </c>
      <c r="M1073" s="11" t="s">
        <v>6022</v>
      </c>
      <c r="N1073" s="11" t="s">
        <v>86</v>
      </c>
      <c r="O1073" s="11" t="s">
        <v>71</v>
      </c>
      <c r="P1073" s="11" t="s">
        <v>6023</v>
      </c>
      <c r="Q1073" s="13" t="s">
        <v>6024</v>
      </c>
      <c r="R1073" s="14" t="str">
        <f>HYPERLINK("https://drive.google.com/file/d/198tRFH2EIy3S1gs8vgGL6XtVyju78SrZ/view?usp=drivesdk","OFFER LETTER")</f>
        <v>OFFER LETTER</v>
      </c>
      <c r="S1073" s="11" t="s">
        <v>6025</v>
      </c>
    </row>
    <row r="1074" ht="22.5" customHeight="1">
      <c r="A1074" s="10">
        <v>46261.84061675926</v>
      </c>
      <c r="B1074" s="11" t="s">
        <v>6026</v>
      </c>
      <c r="C1074" s="11" t="s">
        <v>91</v>
      </c>
      <c r="D1074" s="11" t="s">
        <v>68</v>
      </c>
      <c r="E1074" s="12">
        <v>46251.0</v>
      </c>
      <c r="F1074" s="12">
        <v>46264.0</v>
      </c>
      <c r="G1074" s="11" t="s">
        <v>6027</v>
      </c>
      <c r="H1074" s="11">
        <v>9.482298961E9</v>
      </c>
      <c r="I1074" s="11" t="s">
        <v>82</v>
      </c>
      <c r="J1074" s="11" t="s">
        <v>71</v>
      </c>
      <c r="K1074" s="11" t="s">
        <v>110</v>
      </c>
      <c r="L1074" s="11" t="s">
        <v>73</v>
      </c>
      <c r="M1074" s="11" t="s">
        <v>5640</v>
      </c>
      <c r="N1074" s="11" t="s">
        <v>86</v>
      </c>
      <c r="O1074" s="11" t="s">
        <v>71</v>
      </c>
      <c r="P1074" s="11" t="s">
        <v>6028</v>
      </c>
      <c r="Q1074" s="13" t="s">
        <v>6029</v>
      </c>
      <c r="R1074" s="14" t="str">
        <f>HYPERLINK("https://drive.google.com/file/d/1cUmcO6Jxmu1f6ozBIQ8hHNeqv5R9Kc1f/view?usp=drivesdk","OFFER LETTER")</f>
        <v>OFFER LETTER</v>
      </c>
      <c r="S1074" s="11" t="s">
        <v>6030</v>
      </c>
    </row>
    <row r="1075" ht="22.5" customHeight="1">
      <c r="A1075" s="10">
        <v>46261.84487782407</v>
      </c>
      <c r="B1075" s="11" t="s">
        <v>6031</v>
      </c>
      <c r="C1075" s="11" t="s">
        <v>173</v>
      </c>
      <c r="D1075" s="11" t="s">
        <v>68</v>
      </c>
      <c r="E1075" s="12">
        <v>46204.0</v>
      </c>
      <c r="F1075" s="12">
        <v>46235.0</v>
      </c>
      <c r="G1075" s="11" t="s">
        <v>6032</v>
      </c>
      <c r="H1075" s="11">
        <v>8.279364237E9</v>
      </c>
      <c r="I1075" s="11" t="s">
        <v>82</v>
      </c>
      <c r="J1075" s="11" t="s">
        <v>83</v>
      </c>
      <c r="K1075" s="11" t="s">
        <v>72</v>
      </c>
      <c r="L1075" s="11" t="s">
        <v>131</v>
      </c>
      <c r="M1075" s="11" t="s">
        <v>493</v>
      </c>
      <c r="N1075" s="11" t="s">
        <v>75</v>
      </c>
      <c r="O1075" s="11" t="s">
        <v>71</v>
      </c>
      <c r="P1075" s="11" t="s">
        <v>6033</v>
      </c>
      <c r="Q1075" s="13" t="s">
        <v>6034</v>
      </c>
      <c r="R1075" s="14" t="str">
        <f>HYPERLINK("https://drive.google.com/file/d/18wwuiX0LhEuscmCkaiIEpG1nMsgWuivY/view?usp=drivesdk","OFFER LETTER")</f>
        <v>OFFER LETTER</v>
      </c>
      <c r="S1075" s="11" t="s">
        <v>6035</v>
      </c>
    </row>
    <row r="1076" ht="22.5" customHeight="1">
      <c r="A1076" s="10">
        <v>46261.85154516203</v>
      </c>
      <c r="B1076" s="11" t="s">
        <v>6036</v>
      </c>
      <c r="C1076" s="11" t="s">
        <v>4544</v>
      </c>
      <c r="D1076" s="11" t="s">
        <v>68</v>
      </c>
      <c r="E1076" s="12">
        <v>46207.0</v>
      </c>
      <c r="F1076" s="12">
        <v>46238.0</v>
      </c>
      <c r="G1076" s="11" t="s">
        <v>6037</v>
      </c>
      <c r="H1076" s="11">
        <v>9.508640637E9</v>
      </c>
      <c r="I1076" s="11" t="s">
        <v>82</v>
      </c>
      <c r="K1076" s="11" t="s">
        <v>72</v>
      </c>
      <c r="L1076" s="11" t="s">
        <v>73</v>
      </c>
      <c r="M1076" s="11" t="s">
        <v>6038</v>
      </c>
      <c r="N1076" s="11" t="s">
        <v>86</v>
      </c>
      <c r="O1076" s="11" t="s">
        <v>71</v>
      </c>
      <c r="P1076" s="11" t="s">
        <v>6039</v>
      </c>
      <c r="Q1076" s="13" t="s">
        <v>6040</v>
      </c>
      <c r="R1076" s="14" t="str">
        <f>HYPERLINK("https://drive.google.com/file/d/1LeJ8wdQURFkeu-RjkUm4A4ua6WyizGSO/view?usp=drivesdk","OFFER LETTER")</f>
        <v>OFFER LETTER</v>
      </c>
      <c r="S1076" s="11" t="s">
        <v>6041</v>
      </c>
    </row>
    <row r="1077" ht="22.5" customHeight="1">
      <c r="A1077" s="10">
        <v>46261.855979942135</v>
      </c>
      <c r="B1077" s="11" t="s">
        <v>6042</v>
      </c>
      <c r="C1077" s="11" t="s">
        <v>173</v>
      </c>
      <c r="D1077" s="11" t="s">
        <v>68</v>
      </c>
      <c r="E1077" s="12">
        <v>46219.0</v>
      </c>
      <c r="F1077" s="12">
        <v>46250.0</v>
      </c>
      <c r="G1077" s="11" t="s">
        <v>6043</v>
      </c>
      <c r="H1077" s="11">
        <v>9.342550712E9</v>
      </c>
      <c r="I1077" s="11" t="s">
        <v>82</v>
      </c>
      <c r="J1077" s="11" t="s">
        <v>71</v>
      </c>
      <c r="K1077" s="11" t="s">
        <v>72</v>
      </c>
      <c r="L1077" s="11" t="s">
        <v>84</v>
      </c>
      <c r="M1077" s="11" t="s">
        <v>3376</v>
      </c>
      <c r="N1077" s="11" t="s">
        <v>86</v>
      </c>
      <c r="O1077" s="11" t="s">
        <v>71</v>
      </c>
      <c r="P1077" s="11" t="s">
        <v>6044</v>
      </c>
      <c r="Q1077" s="13" t="s">
        <v>6045</v>
      </c>
      <c r="R1077" s="14" t="str">
        <f>HYPERLINK("https://drive.google.com/file/d/1kt0rHuwNx8vmQ_kH7vNaj_CYqagq17PC/view?usp=drivesdk","OFFER LETTER")</f>
        <v>OFFER LETTER</v>
      </c>
      <c r="S1077" s="11" t="s">
        <v>6046</v>
      </c>
    </row>
    <row r="1078" ht="22.5" customHeight="1">
      <c r="A1078" s="10">
        <v>46261.85740361111</v>
      </c>
      <c r="B1078" s="11" t="s">
        <v>6047</v>
      </c>
      <c r="C1078" s="11" t="s">
        <v>128</v>
      </c>
      <c r="D1078" s="11" t="s">
        <v>68</v>
      </c>
      <c r="E1078" s="12">
        <v>46209.0</v>
      </c>
      <c r="F1078" s="12">
        <v>46240.0</v>
      </c>
      <c r="G1078" s="11" t="s">
        <v>6037</v>
      </c>
      <c r="H1078" s="11">
        <v>9.508640637E9</v>
      </c>
      <c r="I1078" s="11" t="s">
        <v>82</v>
      </c>
      <c r="K1078" s="11" t="s">
        <v>72</v>
      </c>
      <c r="L1078" s="11" t="s">
        <v>73</v>
      </c>
      <c r="M1078" s="11" t="s">
        <v>6048</v>
      </c>
      <c r="N1078" s="11" t="s">
        <v>86</v>
      </c>
      <c r="O1078" s="11" t="s">
        <v>71</v>
      </c>
      <c r="P1078" s="11" t="s">
        <v>6049</v>
      </c>
      <c r="Q1078" s="13" t="s">
        <v>6050</v>
      </c>
      <c r="R1078" s="14" t="str">
        <f>HYPERLINK("https://drive.google.com/file/d/1yOsA_dDTlf8oAmoc-Dq8GCZya8k-aK74/view?usp=drivesdk","OFFER LETTER")</f>
        <v>OFFER LETTER</v>
      </c>
      <c r="S1078" s="11" t="s">
        <v>6051</v>
      </c>
    </row>
    <row r="1079" ht="22.5" customHeight="1">
      <c r="A1079" s="10">
        <v>46261.85747321759</v>
      </c>
      <c r="B1079" s="11" t="s">
        <v>6052</v>
      </c>
      <c r="C1079" s="11" t="s">
        <v>237</v>
      </c>
      <c r="D1079" s="11" t="s">
        <v>68</v>
      </c>
      <c r="E1079" s="12">
        <v>46210.0</v>
      </c>
      <c r="F1079" s="12">
        <v>46246.0</v>
      </c>
      <c r="G1079" s="11" t="s">
        <v>6053</v>
      </c>
      <c r="H1079" s="11">
        <v>8.889372808E9</v>
      </c>
      <c r="I1079" s="11" t="s">
        <v>82</v>
      </c>
      <c r="J1079" s="11" t="s">
        <v>83</v>
      </c>
      <c r="K1079" s="11" t="s">
        <v>72</v>
      </c>
      <c r="L1079" s="11" t="s">
        <v>73</v>
      </c>
      <c r="M1079" s="11" t="s">
        <v>5893</v>
      </c>
      <c r="N1079" s="11" t="s">
        <v>198</v>
      </c>
      <c r="O1079" s="11" t="s">
        <v>71</v>
      </c>
      <c r="P1079" s="11" t="s">
        <v>6054</v>
      </c>
      <c r="Q1079" s="13" t="s">
        <v>6055</v>
      </c>
      <c r="R1079" s="14" t="str">
        <f>HYPERLINK("https://drive.google.com/file/d/1jxEE1OSERbZclIH5bOcVCFD5kC4bSq0K/view?usp=drivesdk","OFFER LETTER")</f>
        <v>OFFER LETTER</v>
      </c>
      <c r="S1079" s="11" t="s">
        <v>6056</v>
      </c>
    </row>
    <row r="1080" ht="22.5" customHeight="1">
      <c r="A1080" s="10">
        <v>46261.8649237037</v>
      </c>
      <c r="B1080" s="11" t="s">
        <v>6057</v>
      </c>
      <c r="C1080" s="11" t="s">
        <v>91</v>
      </c>
      <c r="D1080" s="11" t="s">
        <v>929</v>
      </c>
      <c r="E1080" s="12">
        <v>46259.0</v>
      </c>
      <c r="F1080" s="12">
        <v>46443.0</v>
      </c>
      <c r="G1080" s="11" t="s">
        <v>6058</v>
      </c>
      <c r="H1080" s="11">
        <v>9.284903558E9</v>
      </c>
      <c r="I1080" s="11" t="s">
        <v>82</v>
      </c>
      <c r="J1080" s="11" t="s">
        <v>71</v>
      </c>
      <c r="K1080" s="11" t="s">
        <v>72</v>
      </c>
      <c r="L1080" s="11" t="s">
        <v>73</v>
      </c>
      <c r="M1080" s="11" t="s">
        <v>6059</v>
      </c>
      <c r="N1080" s="11" t="s">
        <v>198</v>
      </c>
      <c r="O1080" s="11" t="s">
        <v>71</v>
      </c>
      <c r="P1080" s="11" t="s">
        <v>6060</v>
      </c>
      <c r="Q1080" s="13" t="s">
        <v>6061</v>
      </c>
      <c r="R1080" s="14" t="str">
        <f>HYPERLINK("https://drive.google.com/file/d/1vc-uCYaVtLipo1JXiy-tBccSTrNAUs53/view?usp=drivesdk","OFFER LETTER")</f>
        <v>OFFER LETTER</v>
      </c>
      <c r="S1080" s="11" t="s">
        <v>6062</v>
      </c>
    </row>
    <row r="1081" ht="22.5" customHeight="1">
      <c r="A1081" s="10">
        <v>46261.87878616898</v>
      </c>
      <c r="B1081" s="11" t="s">
        <v>6063</v>
      </c>
      <c r="C1081" s="11" t="s">
        <v>173</v>
      </c>
      <c r="D1081" s="11" t="s">
        <v>68</v>
      </c>
      <c r="E1081" s="12">
        <v>46200.0</v>
      </c>
      <c r="F1081" s="12">
        <v>46223.0</v>
      </c>
      <c r="G1081" s="11" t="s">
        <v>6064</v>
      </c>
      <c r="H1081" s="11">
        <v>8.825130019E9</v>
      </c>
      <c r="I1081" s="11" t="s">
        <v>82</v>
      </c>
      <c r="J1081" s="11" t="s">
        <v>71</v>
      </c>
      <c r="K1081" s="11" t="s">
        <v>72</v>
      </c>
      <c r="L1081" s="11" t="s">
        <v>84</v>
      </c>
      <c r="M1081" s="11" t="s">
        <v>560</v>
      </c>
      <c r="N1081" s="11" t="s">
        <v>75</v>
      </c>
      <c r="O1081" s="11" t="s">
        <v>71</v>
      </c>
      <c r="P1081" s="11" t="s">
        <v>6065</v>
      </c>
      <c r="Q1081" s="13" t="s">
        <v>6066</v>
      </c>
      <c r="R1081" s="14" t="str">
        <f>HYPERLINK("https://drive.google.com/file/d/1LG5OuoagT0CJTqkgqKtuFZRLQ0uHlPxi/view?usp=drivesdk","OFFER LETTER")</f>
        <v>OFFER LETTER</v>
      </c>
      <c r="S1081" s="11" t="s">
        <v>6067</v>
      </c>
    </row>
    <row r="1082" ht="22.5" customHeight="1">
      <c r="A1082" s="10">
        <v>46261.881283553244</v>
      </c>
      <c r="B1082" s="11" t="s">
        <v>6068</v>
      </c>
      <c r="C1082" s="11" t="s">
        <v>173</v>
      </c>
      <c r="D1082" s="11" t="s">
        <v>68</v>
      </c>
      <c r="E1082" s="12">
        <v>46219.0</v>
      </c>
      <c r="F1082" s="12">
        <v>46251.0</v>
      </c>
      <c r="G1082" s="11" t="s">
        <v>6069</v>
      </c>
      <c r="H1082" s="11">
        <v>9.599339981E9</v>
      </c>
      <c r="I1082" s="11" t="s">
        <v>82</v>
      </c>
      <c r="J1082" s="11" t="s">
        <v>83</v>
      </c>
      <c r="K1082" s="11" t="s">
        <v>72</v>
      </c>
      <c r="L1082" s="11" t="s">
        <v>73</v>
      </c>
      <c r="M1082" s="11" t="s">
        <v>5893</v>
      </c>
      <c r="N1082" s="11" t="s">
        <v>75</v>
      </c>
      <c r="O1082" s="11" t="s">
        <v>71</v>
      </c>
      <c r="P1082" s="11" t="s">
        <v>6070</v>
      </c>
      <c r="Q1082" s="13" t="s">
        <v>6071</v>
      </c>
      <c r="R1082" s="14" t="str">
        <f>HYPERLINK("https://drive.google.com/file/d/1705OA3n7xM1F83V9TkDf945RYpmHAzgu/view?usp=drivesdk","OFFER LETTER")</f>
        <v>OFFER LETTER</v>
      </c>
      <c r="S1082" s="11" t="s">
        <v>6072</v>
      </c>
    </row>
    <row r="1083" ht="22.5" customHeight="1">
      <c r="A1083" s="10">
        <v>46261.881286180556</v>
      </c>
      <c r="B1083" s="11" t="s">
        <v>6073</v>
      </c>
      <c r="C1083" s="11" t="s">
        <v>237</v>
      </c>
      <c r="D1083" s="11" t="s">
        <v>68</v>
      </c>
      <c r="E1083" s="12">
        <v>46209.0</v>
      </c>
      <c r="F1083" s="12">
        <v>46240.0</v>
      </c>
      <c r="G1083" s="11" t="s">
        <v>6074</v>
      </c>
      <c r="H1083" s="11">
        <v>7.302332196E9</v>
      </c>
      <c r="I1083" s="11" t="s">
        <v>82</v>
      </c>
      <c r="J1083" s="11" t="s">
        <v>130</v>
      </c>
      <c r="K1083" s="11" t="s">
        <v>72</v>
      </c>
      <c r="L1083" s="11" t="s">
        <v>73</v>
      </c>
      <c r="M1083" s="11" t="s">
        <v>6075</v>
      </c>
      <c r="N1083" s="11" t="s">
        <v>86</v>
      </c>
      <c r="O1083" s="11" t="s">
        <v>71</v>
      </c>
      <c r="P1083" s="11" t="s">
        <v>6076</v>
      </c>
      <c r="Q1083" s="13" t="s">
        <v>6077</v>
      </c>
      <c r="R1083" s="14" t="str">
        <f>HYPERLINK("https://drive.google.com/file/d/176EYX9qqlsKN5EcR8BRD3AXpvNk2gczP/view?usp=drivesdk","OFFER LETTER")</f>
        <v>OFFER LETTER</v>
      </c>
      <c r="S1083" s="11" t="s">
        <v>6078</v>
      </c>
    </row>
    <row r="1084" ht="22.5" customHeight="1">
      <c r="A1084" s="10">
        <v>46261.88809525463</v>
      </c>
      <c r="B1084" s="11" t="s">
        <v>5975</v>
      </c>
      <c r="C1084" s="11" t="s">
        <v>195</v>
      </c>
      <c r="D1084" s="11" t="s">
        <v>68</v>
      </c>
      <c r="E1084" s="12">
        <v>46229.0</v>
      </c>
      <c r="F1084" s="12">
        <v>46260.0</v>
      </c>
      <c r="G1084" s="11" t="s">
        <v>5976</v>
      </c>
      <c r="H1084" s="11">
        <v>9.393723588E9</v>
      </c>
      <c r="I1084" s="11" t="s">
        <v>82</v>
      </c>
      <c r="J1084" s="11" t="s">
        <v>71</v>
      </c>
      <c r="K1084" s="11" t="s">
        <v>72</v>
      </c>
      <c r="L1084" s="11" t="s">
        <v>73</v>
      </c>
      <c r="M1084" s="11" t="s">
        <v>3625</v>
      </c>
      <c r="N1084" s="11" t="s">
        <v>86</v>
      </c>
      <c r="O1084" s="11" t="s">
        <v>71</v>
      </c>
      <c r="P1084" s="11" t="s">
        <v>6079</v>
      </c>
      <c r="Q1084" s="13" t="s">
        <v>6080</v>
      </c>
      <c r="R1084" s="14" t="str">
        <f>HYPERLINK("https://drive.google.com/file/d/1d8LtudH6O8pVD6O1lDCZVfCESRCNEOLp/view?usp=drivesdk","OFFER LETTER")</f>
        <v>OFFER LETTER</v>
      </c>
      <c r="S1084" s="11" t="s">
        <v>6081</v>
      </c>
    </row>
    <row r="1085" ht="22.5" customHeight="1">
      <c r="A1085" s="10">
        <v>46261.8883278125</v>
      </c>
      <c r="B1085" s="11" t="s">
        <v>6082</v>
      </c>
      <c r="C1085" s="11" t="s">
        <v>128</v>
      </c>
      <c r="D1085" s="11" t="s">
        <v>68</v>
      </c>
      <c r="E1085" s="12">
        <v>46209.0</v>
      </c>
      <c r="F1085" s="12">
        <v>46240.0</v>
      </c>
      <c r="G1085" s="11" t="s">
        <v>6083</v>
      </c>
      <c r="H1085" s="11">
        <v>7.859055238E9</v>
      </c>
      <c r="I1085" s="11" t="s">
        <v>82</v>
      </c>
      <c r="J1085" s="11" t="s">
        <v>71</v>
      </c>
      <c r="K1085" s="11" t="s">
        <v>72</v>
      </c>
      <c r="L1085" s="11" t="s">
        <v>73</v>
      </c>
      <c r="M1085" s="11" t="s">
        <v>6084</v>
      </c>
      <c r="N1085" s="11" t="s">
        <v>155</v>
      </c>
      <c r="O1085" s="11" t="s">
        <v>71</v>
      </c>
      <c r="P1085" s="11" t="s">
        <v>6085</v>
      </c>
      <c r="Q1085" s="13" t="s">
        <v>6086</v>
      </c>
      <c r="R1085" s="14" t="str">
        <f>HYPERLINK("https://drive.google.com/file/d/1JSOjGsUqjrp21Z7ai6NZCr8WRdvbrjFy/view?usp=drivesdk","OFFER LETTER")</f>
        <v>OFFER LETTER</v>
      </c>
      <c r="S1085" s="11" t="s">
        <v>6087</v>
      </c>
    </row>
    <row r="1086" ht="22.5" customHeight="1">
      <c r="A1086" s="10">
        <v>46261.88833767361</v>
      </c>
      <c r="B1086" s="11" t="s">
        <v>6088</v>
      </c>
      <c r="C1086" s="11" t="s">
        <v>195</v>
      </c>
      <c r="D1086" s="11" t="s">
        <v>68</v>
      </c>
      <c r="E1086" s="12">
        <v>46211.0</v>
      </c>
      <c r="F1086" s="12">
        <v>46242.0</v>
      </c>
      <c r="G1086" s="11" t="s">
        <v>6089</v>
      </c>
      <c r="H1086" s="11">
        <v>8.218499497E9</v>
      </c>
      <c r="I1086" s="11" t="s">
        <v>82</v>
      </c>
      <c r="J1086" s="11" t="s">
        <v>71</v>
      </c>
      <c r="K1086" s="11" t="s">
        <v>72</v>
      </c>
      <c r="L1086" s="11" t="s">
        <v>84</v>
      </c>
      <c r="M1086" s="11" t="s">
        <v>5124</v>
      </c>
      <c r="N1086" s="11" t="s">
        <v>86</v>
      </c>
      <c r="O1086" s="11" t="s">
        <v>71</v>
      </c>
      <c r="P1086" s="11" t="s">
        <v>6090</v>
      </c>
      <c r="Q1086" s="13" t="s">
        <v>6091</v>
      </c>
      <c r="R1086" s="14" t="str">
        <f>HYPERLINK("https://drive.google.com/file/d/182Klm-re_a3I8uTD45kpRHjTZOootl_v/view?usp=drivesdk","OFFER LETTER")</f>
        <v>OFFER LETTER</v>
      </c>
      <c r="S1086" s="11" t="s">
        <v>6092</v>
      </c>
    </row>
    <row r="1087" ht="22.5" customHeight="1">
      <c r="A1087" s="10">
        <v>46261.88842195601</v>
      </c>
      <c r="B1087" s="11" t="s">
        <v>6093</v>
      </c>
      <c r="C1087" s="11" t="s">
        <v>173</v>
      </c>
      <c r="D1087" s="11" t="s">
        <v>68</v>
      </c>
      <c r="E1087" s="12">
        <v>46228.0</v>
      </c>
      <c r="F1087" s="12">
        <v>46259.0</v>
      </c>
      <c r="G1087" s="11" t="s">
        <v>6094</v>
      </c>
      <c r="H1087" s="11">
        <v>9.342283136E9</v>
      </c>
      <c r="I1087" s="11" t="s">
        <v>82</v>
      </c>
      <c r="J1087" s="11" t="s">
        <v>71</v>
      </c>
      <c r="K1087" s="11" t="s">
        <v>72</v>
      </c>
      <c r="L1087" s="11" t="s">
        <v>84</v>
      </c>
      <c r="M1087" s="11" t="s">
        <v>3376</v>
      </c>
      <c r="N1087" s="11" t="s">
        <v>86</v>
      </c>
      <c r="O1087" s="11" t="s">
        <v>71</v>
      </c>
      <c r="P1087" s="11" t="s">
        <v>6095</v>
      </c>
      <c r="Q1087" s="13" t="s">
        <v>6096</v>
      </c>
      <c r="R1087" s="14" t="str">
        <f>HYPERLINK("https://drive.google.com/file/d/12Gh_xfbugSFwN5u2G9BiC3RYBVaTuCe9/view?usp=drivesdk","OFFER LETTER")</f>
        <v>OFFER LETTER</v>
      </c>
      <c r="S1087" s="11" t="s">
        <v>6097</v>
      </c>
    </row>
    <row r="1088" ht="22.5" customHeight="1">
      <c r="A1088" s="10">
        <v>46261.89016793981</v>
      </c>
      <c r="B1088" s="11" t="s">
        <v>6098</v>
      </c>
      <c r="C1088" s="11" t="s">
        <v>173</v>
      </c>
      <c r="D1088" s="11" t="s">
        <v>68</v>
      </c>
      <c r="E1088" s="12">
        <v>46229.0</v>
      </c>
      <c r="F1088" s="12">
        <v>46259.0</v>
      </c>
      <c r="G1088" s="11" t="s">
        <v>6099</v>
      </c>
      <c r="H1088" s="11">
        <v>9.952406379E9</v>
      </c>
      <c r="I1088" s="11" t="s">
        <v>82</v>
      </c>
      <c r="J1088" s="11" t="s">
        <v>71</v>
      </c>
      <c r="K1088" s="11" t="s">
        <v>72</v>
      </c>
      <c r="L1088" s="11" t="s">
        <v>84</v>
      </c>
      <c r="M1088" s="11" t="s">
        <v>3376</v>
      </c>
      <c r="N1088" s="11" t="s">
        <v>86</v>
      </c>
      <c r="O1088" s="11" t="s">
        <v>71</v>
      </c>
      <c r="P1088" s="11" t="s">
        <v>6100</v>
      </c>
      <c r="Q1088" s="13" t="s">
        <v>6101</v>
      </c>
      <c r="R1088" s="14" t="str">
        <f>HYPERLINK("https://drive.google.com/file/d/1LP_Aj97IiRLdG-mzLMs1HNmFe_-ycRPZ/view?usp=drivesdk","OFFER LETTER")</f>
        <v>OFFER LETTER</v>
      </c>
      <c r="S1088" s="11" t="s">
        <v>6102</v>
      </c>
    </row>
    <row r="1089" ht="22.5" customHeight="1">
      <c r="A1089" s="10">
        <v>46261.890646134256</v>
      </c>
      <c r="B1089" s="11" t="s">
        <v>6103</v>
      </c>
      <c r="C1089" s="11" t="s">
        <v>173</v>
      </c>
      <c r="D1089" s="11" t="s">
        <v>68</v>
      </c>
      <c r="E1089" s="12">
        <v>46223.0</v>
      </c>
      <c r="F1089" s="12">
        <v>46259.0</v>
      </c>
      <c r="G1089" s="11" t="s">
        <v>6104</v>
      </c>
      <c r="H1089" s="11">
        <v>8.053789619E9</v>
      </c>
      <c r="I1089" s="11" t="s">
        <v>82</v>
      </c>
      <c r="J1089" s="11" t="s">
        <v>71</v>
      </c>
      <c r="K1089" s="11" t="s">
        <v>72</v>
      </c>
      <c r="L1089" s="11" t="s">
        <v>73</v>
      </c>
      <c r="M1089" s="11" t="s">
        <v>6105</v>
      </c>
      <c r="N1089" s="11" t="s">
        <v>86</v>
      </c>
      <c r="O1089" s="11" t="s">
        <v>71</v>
      </c>
      <c r="P1089" s="11" t="s">
        <v>6106</v>
      </c>
      <c r="Q1089" s="13" t="s">
        <v>6107</v>
      </c>
      <c r="R1089" s="14" t="str">
        <f>HYPERLINK("https://drive.google.com/file/d/1C05S_9_CsF_6-n-GputO-1IaFJcLrrc6/view?usp=drivesdk","OFFER LETTER")</f>
        <v>OFFER LETTER</v>
      </c>
      <c r="S1089" s="11" t="s">
        <v>6108</v>
      </c>
    </row>
    <row r="1090" ht="22.5" customHeight="1">
      <c r="A1090" s="10">
        <v>46261.894556643514</v>
      </c>
      <c r="B1090" s="11" t="s">
        <v>5930</v>
      </c>
      <c r="C1090" s="11" t="s">
        <v>107</v>
      </c>
      <c r="D1090" s="11" t="s">
        <v>68</v>
      </c>
      <c r="E1090" s="12">
        <v>46261.0</v>
      </c>
      <c r="F1090" s="12">
        <v>46292.0</v>
      </c>
      <c r="G1090" s="11" t="s">
        <v>5931</v>
      </c>
      <c r="H1090" s="11">
        <v>7.305655025E9</v>
      </c>
      <c r="I1090" s="11" t="s">
        <v>82</v>
      </c>
      <c r="J1090" s="11" t="s">
        <v>71</v>
      </c>
      <c r="K1090" s="11" t="s">
        <v>110</v>
      </c>
      <c r="L1090" s="11" t="s">
        <v>73</v>
      </c>
      <c r="M1090" s="11" t="s">
        <v>6109</v>
      </c>
      <c r="N1090" s="11" t="s">
        <v>86</v>
      </c>
      <c r="O1090" s="11" t="s">
        <v>71</v>
      </c>
      <c r="P1090" s="11" t="s">
        <v>6110</v>
      </c>
      <c r="Q1090" s="13" t="s">
        <v>6111</v>
      </c>
      <c r="R1090" s="14" t="str">
        <f>HYPERLINK("https://drive.google.com/file/d/1qPysJzOGmOhlvlUuCedgOfJzsH3AdNgb/view?usp=drivesdk","OFFER LETTER")</f>
        <v>OFFER LETTER</v>
      </c>
      <c r="S1090" s="11" t="s">
        <v>6112</v>
      </c>
    </row>
    <row r="1091" ht="22.5" customHeight="1">
      <c r="A1091" s="10">
        <v>46261.896266261574</v>
      </c>
      <c r="B1091" s="11" t="s">
        <v>6113</v>
      </c>
      <c r="C1091" s="11" t="s">
        <v>195</v>
      </c>
      <c r="D1091" s="11" t="s">
        <v>108</v>
      </c>
      <c r="E1091" s="12">
        <v>46186.0</v>
      </c>
      <c r="F1091" s="12">
        <v>46247.0</v>
      </c>
      <c r="G1091" s="11" t="s">
        <v>6114</v>
      </c>
      <c r="H1091" s="11">
        <v>7.645929345E9</v>
      </c>
      <c r="I1091" s="11" t="s">
        <v>82</v>
      </c>
      <c r="J1091" s="11" t="s">
        <v>71</v>
      </c>
      <c r="K1091" s="11" t="s">
        <v>72</v>
      </c>
      <c r="L1091" s="11" t="s">
        <v>357</v>
      </c>
      <c r="M1091" s="11" t="s">
        <v>6115</v>
      </c>
      <c r="N1091" s="11" t="s">
        <v>6116</v>
      </c>
      <c r="O1091" s="11" t="s">
        <v>71</v>
      </c>
      <c r="P1091" s="11" t="s">
        <v>6117</v>
      </c>
      <c r="Q1091" s="13" t="s">
        <v>6118</v>
      </c>
      <c r="R1091" s="14" t="str">
        <f>HYPERLINK("https://drive.google.com/file/d/1LWjCMVInrgHSm7JjXwmlKmBPxPg3U41c/view?usp=drivesdk","OFFER LETTER")</f>
        <v>OFFER LETTER</v>
      </c>
      <c r="S1091" s="11" t="s">
        <v>6119</v>
      </c>
    </row>
    <row r="1092" ht="22.5" customHeight="1">
      <c r="A1092" s="10">
        <v>46261.89711697916</v>
      </c>
      <c r="B1092" s="11" t="s">
        <v>6120</v>
      </c>
      <c r="C1092" s="11" t="s">
        <v>298</v>
      </c>
      <c r="D1092" s="11" t="s">
        <v>68</v>
      </c>
      <c r="E1092" s="12">
        <v>46193.0</v>
      </c>
      <c r="F1092" s="12">
        <v>46223.0</v>
      </c>
      <c r="G1092" s="11" t="s">
        <v>6121</v>
      </c>
      <c r="H1092" s="11">
        <v>7.481990958E9</v>
      </c>
      <c r="I1092" s="11" t="s">
        <v>82</v>
      </c>
      <c r="J1092" s="11" t="s">
        <v>71</v>
      </c>
      <c r="K1092" s="11" t="s">
        <v>72</v>
      </c>
      <c r="L1092" s="11" t="s">
        <v>84</v>
      </c>
      <c r="M1092" s="11" t="s">
        <v>886</v>
      </c>
      <c r="N1092" s="11" t="s">
        <v>198</v>
      </c>
      <c r="O1092" s="11" t="s">
        <v>130</v>
      </c>
      <c r="P1092" s="11" t="s">
        <v>6122</v>
      </c>
      <c r="Q1092" s="13" t="s">
        <v>6123</v>
      </c>
      <c r="R1092" s="14" t="str">
        <f>HYPERLINK("https://drive.google.com/file/d/1rh5SQhpkgQGmRDT-kOusPz6xnVIk8tDg/view?usp=drivesdk","OFFER LETTER")</f>
        <v>OFFER LETTER</v>
      </c>
      <c r="S1092" s="11" t="s">
        <v>6124</v>
      </c>
    </row>
    <row r="1093" ht="22.5" customHeight="1">
      <c r="A1093" s="10">
        <v>46261.9008287037</v>
      </c>
      <c r="B1093" s="11" t="s">
        <v>6125</v>
      </c>
      <c r="C1093" s="11" t="s">
        <v>173</v>
      </c>
      <c r="D1093" s="11" t="s">
        <v>68</v>
      </c>
      <c r="E1093" s="12">
        <v>46261.0</v>
      </c>
      <c r="F1093" s="12">
        <v>46292.0</v>
      </c>
      <c r="G1093" s="11" t="s">
        <v>6126</v>
      </c>
      <c r="H1093" s="11">
        <v>7.050315017E9</v>
      </c>
      <c r="I1093" s="11" t="s">
        <v>70</v>
      </c>
      <c r="J1093" s="11" t="s">
        <v>71</v>
      </c>
      <c r="K1093" s="11" t="s">
        <v>72</v>
      </c>
      <c r="L1093" s="11" t="s">
        <v>357</v>
      </c>
      <c r="M1093" s="11" t="s">
        <v>6127</v>
      </c>
      <c r="N1093" s="11" t="s">
        <v>75</v>
      </c>
      <c r="O1093" s="11" t="s">
        <v>71</v>
      </c>
      <c r="P1093" s="11" t="s">
        <v>6128</v>
      </c>
      <c r="Q1093" s="13" t="s">
        <v>6129</v>
      </c>
      <c r="R1093" s="14" t="str">
        <f>HYPERLINK("https://drive.google.com/file/d/1sYOZd4Ilrrjv45R0-_W57GdGjxBKM3ES/view?usp=drivesdk","OFFER LETTER")</f>
        <v>OFFER LETTER</v>
      </c>
      <c r="S1093" s="11" t="s">
        <v>6130</v>
      </c>
    </row>
    <row r="1094" ht="22.5" customHeight="1">
      <c r="A1094" s="10">
        <v>46261.90978625</v>
      </c>
      <c r="B1094" s="11" t="s">
        <v>6131</v>
      </c>
      <c r="C1094" s="11" t="s">
        <v>173</v>
      </c>
      <c r="D1094" s="11" t="s">
        <v>68</v>
      </c>
      <c r="E1094" s="12">
        <v>46209.0</v>
      </c>
      <c r="F1094" s="12">
        <v>46241.0</v>
      </c>
      <c r="G1094" s="11" t="s">
        <v>6132</v>
      </c>
      <c r="H1094" s="11">
        <v>7.505301321E9</v>
      </c>
      <c r="I1094" s="11" t="s">
        <v>70</v>
      </c>
      <c r="J1094" s="11" t="s">
        <v>71</v>
      </c>
      <c r="K1094" s="11" t="s">
        <v>72</v>
      </c>
      <c r="L1094" s="11" t="s">
        <v>73</v>
      </c>
      <c r="M1094" s="11" t="s">
        <v>5893</v>
      </c>
      <c r="N1094" s="11" t="s">
        <v>5502</v>
      </c>
      <c r="O1094" s="11" t="s">
        <v>71</v>
      </c>
      <c r="P1094" s="11" t="s">
        <v>6133</v>
      </c>
      <c r="Q1094" s="13" t="s">
        <v>6134</v>
      </c>
      <c r="R1094" s="14" t="str">
        <f>HYPERLINK("https://drive.google.com/file/d/1lnnmzKvyF0dV9rTQjNdeBK-JF0AaF1xJ/view?usp=drivesdk","OFFER LETTER")</f>
        <v>OFFER LETTER</v>
      </c>
      <c r="S1094" s="11" t="s">
        <v>6135</v>
      </c>
    </row>
    <row r="1095" ht="22.5" customHeight="1">
      <c r="A1095" s="10">
        <v>46261.91081336806</v>
      </c>
      <c r="B1095" s="11" t="s">
        <v>6136</v>
      </c>
      <c r="C1095" s="11" t="s">
        <v>91</v>
      </c>
      <c r="D1095" s="11" t="s">
        <v>68</v>
      </c>
      <c r="E1095" s="12">
        <v>46261.0</v>
      </c>
      <c r="F1095" s="12">
        <v>46292.0</v>
      </c>
      <c r="G1095" s="11" t="s">
        <v>6137</v>
      </c>
      <c r="H1095" s="11">
        <v>9.72017498E9</v>
      </c>
      <c r="I1095" s="11" t="s">
        <v>70</v>
      </c>
      <c r="J1095" s="11" t="s">
        <v>71</v>
      </c>
      <c r="K1095" s="11" t="s">
        <v>72</v>
      </c>
      <c r="L1095" s="11" t="s">
        <v>357</v>
      </c>
      <c r="M1095" s="11" t="s">
        <v>6138</v>
      </c>
      <c r="N1095" s="11" t="s">
        <v>86</v>
      </c>
      <c r="O1095" s="11" t="s">
        <v>71</v>
      </c>
      <c r="P1095" s="11" t="s">
        <v>6139</v>
      </c>
      <c r="Q1095" s="13" t="s">
        <v>6140</v>
      </c>
      <c r="R1095" s="14" t="str">
        <f>HYPERLINK("https://drive.google.com/file/d/1Su7VyYqtW3E07If18NzCq3FRx7GfImnE/view?usp=drivesdk","OFFER LETTER")</f>
        <v>OFFER LETTER</v>
      </c>
      <c r="S1095" s="11" t="s">
        <v>6141</v>
      </c>
    </row>
    <row r="1096" ht="22.5" customHeight="1">
      <c r="A1096" s="10">
        <v>46261.91158615741</v>
      </c>
      <c r="B1096" s="11" t="s">
        <v>6142</v>
      </c>
      <c r="C1096" s="11" t="s">
        <v>80</v>
      </c>
      <c r="D1096" s="11" t="s">
        <v>68</v>
      </c>
      <c r="E1096" s="12">
        <v>46178.0</v>
      </c>
      <c r="F1096" s="12">
        <v>46208.0</v>
      </c>
      <c r="G1096" s="11" t="s">
        <v>6143</v>
      </c>
      <c r="H1096" s="11">
        <v>6.306037763E9</v>
      </c>
      <c r="I1096" s="11" t="s">
        <v>70</v>
      </c>
      <c r="J1096" s="11" t="s">
        <v>71</v>
      </c>
      <c r="K1096" s="11" t="s">
        <v>72</v>
      </c>
      <c r="L1096" s="11" t="s">
        <v>73</v>
      </c>
      <c r="M1096" s="11" t="s">
        <v>808</v>
      </c>
      <c r="N1096" s="11" t="s">
        <v>86</v>
      </c>
      <c r="O1096" s="11" t="s">
        <v>71</v>
      </c>
      <c r="P1096" s="11" t="s">
        <v>6144</v>
      </c>
      <c r="Q1096" s="13" t="s">
        <v>6145</v>
      </c>
      <c r="R1096" s="14" t="str">
        <f>HYPERLINK("https://drive.google.com/file/d/1DlA1KiJIobe-V6ZLCn7wgo_ZqOG_bKjG/view?usp=drivesdk","OFFER LETTER")</f>
        <v>OFFER LETTER</v>
      </c>
      <c r="S1096" s="11" t="s">
        <v>6146</v>
      </c>
    </row>
    <row r="1097" ht="22.5" customHeight="1">
      <c r="A1097" s="10">
        <v>46261.92116009259</v>
      </c>
      <c r="B1097" s="11" t="s">
        <v>6147</v>
      </c>
      <c r="C1097" s="11" t="s">
        <v>195</v>
      </c>
      <c r="D1097" s="11" t="s">
        <v>68</v>
      </c>
      <c r="E1097" s="12">
        <v>46223.0</v>
      </c>
      <c r="F1097" s="12">
        <v>46254.0</v>
      </c>
      <c r="G1097" s="11" t="s">
        <v>6148</v>
      </c>
      <c r="H1097" s="11" t="s">
        <v>6149</v>
      </c>
      <c r="I1097" s="11" t="s">
        <v>82</v>
      </c>
      <c r="J1097" s="11" t="s">
        <v>71</v>
      </c>
      <c r="K1097" s="11" t="s">
        <v>72</v>
      </c>
      <c r="L1097" s="11" t="s">
        <v>84</v>
      </c>
      <c r="M1097" s="11" t="s">
        <v>2535</v>
      </c>
      <c r="N1097" s="11" t="s">
        <v>2574</v>
      </c>
      <c r="O1097" s="11" t="s">
        <v>71</v>
      </c>
      <c r="P1097" s="11" t="s">
        <v>6150</v>
      </c>
      <c r="Q1097" s="13" t="s">
        <v>6151</v>
      </c>
      <c r="R1097" s="14" t="str">
        <f>HYPERLINK("https://drive.google.com/file/d/14dpPAH4cQxO6beSM4uG4Em3VdAAAfs_U/view?usp=drivesdk","OFFER LETTER")</f>
        <v>OFFER LETTER</v>
      </c>
      <c r="S1097" s="11" t="s">
        <v>6152</v>
      </c>
    </row>
    <row r="1098" ht="22.5" customHeight="1">
      <c r="A1098" s="10">
        <v>46261.92138564815</v>
      </c>
      <c r="B1098" s="11" t="s">
        <v>6153</v>
      </c>
      <c r="C1098" s="11" t="s">
        <v>195</v>
      </c>
      <c r="D1098" s="11" t="s">
        <v>68</v>
      </c>
      <c r="E1098" s="12">
        <v>46210.0</v>
      </c>
      <c r="F1098" s="12">
        <v>46241.0</v>
      </c>
      <c r="G1098" s="11" t="s">
        <v>6154</v>
      </c>
      <c r="H1098" s="11">
        <v>9.065363962E9</v>
      </c>
      <c r="I1098" s="11" t="s">
        <v>82</v>
      </c>
      <c r="J1098" s="11" t="s">
        <v>130</v>
      </c>
      <c r="K1098" s="11" t="s">
        <v>72</v>
      </c>
      <c r="L1098" s="11" t="s">
        <v>73</v>
      </c>
      <c r="M1098" s="11" t="s">
        <v>6048</v>
      </c>
      <c r="N1098" s="11" t="s">
        <v>86</v>
      </c>
      <c r="O1098" s="11" t="s">
        <v>71</v>
      </c>
      <c r="P1098" s="11" t="s">
        <v>6155</v>
      </c>
      <c r="Q1098" s="13" t="s">
        <v>6156</v>
      </c>
      <c r="R1098" s="14" t="str">
        <f>HYPERLINK("https://drive.google.com/file/d/11prdFtKZoe8VA1ufif3FcaVNN4tLr6rG/view?usp=drivesdk","OFFER LETTER")</f>
        <v>OFFER LETTER</v>
      </c>
      <c r="S1098" s="11" t="s">
        <v>6157</v>
      </c>
    </row>
    <row r="1099" ht="22.5" customHeight="1">
      <c r="A1099" s="10">
        <v>46261.92302912037</v>
      </c>
      <c r="B1099" s="11" t="s">
        <v>6158</v>
      </c>
      <c r="C1099" s="11" t="s">
        <v>173</v>
      </c>
      <c r="D1099" s="11" t="s">
        <v>68</v>
      </c>
      <c r="E1099" s="12">
        <v>46208.0</v>
      </c>
      <c r="F1099" s="12">
        <v>46249.0</v>
      </c>
      <c r="G1099" s="11" t="s">
        <v>6159</v>
      </c>
      <c r="H1099" s="11">
        <v>9.958186684E9</v>
      </c>
      <c r="I1099" s="11" t="s">
        <v>82</v>
      </c>
      <c r="J1099" s="11" t="s">
        <v>71</v>
      </c>
      <c r="K1099" s="11" t="s">
        <v>72</v>
      </c>
      <c r="L1099" s="11" t="s">
        <v>73</v>
      </c>
      <c r="M1099" s="11" t="s">
        <v>5893</v>
      </c>
      <c r="N1099" s="11" t="s">
        <v>198</v>
      </c>
      <c r="O1099" s="11" t="s">
        <v>71</v>
      </c>
      <c r="P1099" s="11" t="s">
        <v>6160</v>
      </c>
      <c r="Q1099" s="13" t="s">
        <v>6161</v>
      </c>
      <c r="R1099" s="14" t="str">
        <f>HYPERLINK("https://drive.google.com/file/d/1dU_KDE0xfrCh4Btvuzf_uNpKViRcwFEo/view?usp=drivesdk","OFFER LETTER")</f>
        <v>OFFER LETTER</v>
      </c>
      <c r="S1099" s="11" t="s">
        <v>6162</v>
      </c>
    </row>
    <row r="1100" ht="22.5" customHeight="1">
      <c r="A1100" s="10">
        <v>46261.92357206019</v>
      </c>
      <c r="B1100" s="11" t="s">
        <v>6163</v>
      </c>
      <c r="C1100" s="11" t="s">
        <v>195</v>
      </c>
      <c r="D1100" s="11" t="s">
        <v>108</v>
      </c>
      <c r="E1100" s="12">
        <v>46203.0</v>
      </c>
      <c r="F1100" s="12">
        <v>46264.0</v>
      </c>
      <c r="G1100" s="11" t="s">
        <v>6164</v>
      </c>
      <c r="H1100" s="11">
        <v>9.884425561E9</v>
      </c>
      <c r="I1100" s="11" t="s">
        <v>82</v>
      </c>
      <c r="J1100" s="11" t="s">
        <v>71</v>
      </c>
      <c r="K1100" s="11" t="s">
        <v>72</v>
      </c>
      <c r="L1100" s="11" t="s">
        <v>131</v>
      </c>
      <c r="M1100" s="11" t="s">
        <v>6165</v>
      </c>
      <c r="N1100" s="11" t="s">
        <v>86</v>
      </c>
      <c r="O1100" s="11" t="s">
        <v>71</v>
      </c>
      <c r="P1100" s="11" t="s">
        <v>6166</v>
      </c>
      <c r="Q1100" s="13" t="s">
        <v>6167</v>
      </c>
      <c r="R1100" s="14" t="str">
        <f>HYPERLINK("https://drive.google.com/file/d/122b_IENoZE3Fv9ltHe0foIM9dVrBBuWY/view?usp=drivesdk","OFFER LETTER")</f>
        <v>OFFER LETTER</v>
      </c>
      <c r="S1100" s="11" t="s">
        <v>6168</v>
      </c>
    </row>
    <row r="1101" ht="22.5" customHeight="1">
      <c r="A1101" s="10">
        <v>46261.924157500005</v>
      </c>
      <c r="B1101" s="11" t="s">
        <v>6169</v>
      </c>
      <c r="C1101" s="11" t="s">
        <v>107</v>
      </c>
      <c r="D1101" s="11" t="s">
        <v>68</v>
      </c>
      <c r="E1101" s="12">
        <v>46198.0</v>
      </c>
      <c r="F1101" s="12">
        <v>46229.0</v>
      </c>
      <c r="G1101" s="11" t="s">
        <v>6170</v>
      </c>
      <c r="H1101" s="11">
        <v>7.027326E9</v>
      </c>
      <c r="I1101" s="11" t="s">
        <v>70</v>
      </c>
      <c r="J1101" s="11" t="s">
        <v>71</v>
      </c>
      <c r="K1101" s="11" t="s">
        <v>356</v>
      </c>
      <c r="L1101" s="11" t="s">
        <v>357</v>
      </c>
      <c r="M1101" s="11" t="s">
        <v>6171</v>
      </c>
      <c r="N1101" s="11" t="s">
        <v>75</v>
      </c>
      <c r="O1101" s="11" t="s">
        <v>71</v>
      </c>
      <c r="P1101" s="11" t="s">
        <v>6172</v>
      </c>
      <c r="Q1101" s="13" t="s">
        <v>6173</v>
      </c>
      <c r="R1101" s="14" t="str">
        <f>HYPERLINK("https://drive.google.com/file/d/1wCZIulf5lF-peSjPzJOg74Tfk9GiyKLo/view?usp=drivesdk","OFFER LETTER")</f>
        <v>OFFER LETTER</v>
      </c>
      <c r="S1101" s="11" t="s">
        <v>6174</v>
      </c>
    </row>
    <row r="1102" ht="22.5" customHeight="1">
      <c r="A1102" s="10">
        <v>46261.92735143518</v>
      </c>
      <c r="B1102" s="11" t="s">
        <v>6142</v>
      </c>
      <c r="C1102" s="11" t="s">
        <v>80</v>
      </c>
      <c r="D1102" s="11" t="s">
        <v>68</v>
      </c>
      <c r="E1102" s="12">
        <v>46178.0</v>
      </c>
      <c r="F1102" s="12">
        <v>46208.0</v>
      </c>
      <c r="G1102" s="11" t="s">
        <v>6143</v>
      </c>
      <c r="H1102" s="11">
        <v>6.306037763E9</v>
      </c>
      <c r="I1102" s="11" t="s">
        <v>70</v>
      </c>
      <c r="J1102" s="11" t="s">
        <v>71</v>
      </c>
      <c r="K1102" s="11" t="s">
        <v>72</v>
      </c>
      <c r="L1102" s="11" t="s">
        <v>73</v>
      </c>
      <c r="M1102" s="11" t="s">
        <v>6175</v>
      </c>
      <c r="N1102" s="11" t="s">
        <v>86</v>
      </c>
      <c r="O1102" s="11" t="s">
        <v>71</v>
      </c>
      <c r="P1102" s="11" t="s">
        <v>6176</v>
      </c>
      <c r="Q1102" s="13" t="s">
        <v>6177</v>
      </c>
      <c r="R1102" s="14" t="str">
        <f>HYPERLINK("https://drive.google.com/file/d/1AE17vnbd-gKWnxcxiu8LN4odRZNgoJc-/view?usp=drivesdk","OFFER LETTER")</f>
        <v>OFFER LETTER</v>
      </c>
      <c r="S1102" s="11" t="s">
        <v>6178</v>
      </c>
    </row>
    <row r="1103" ht="22.5" customHeight="1">
      <c r="A1103" s="10">
        <v>46261.931493055556</v>
      </c>
      <c r="B1103" s="11" t="s">
        <v>6179</v>
      </c>
      <c r="C1103" s="11" t="s">
        <v>165</v>
      </c>
      <c r="D1103" s="11" t="s">
        <v>68</v>
      </c>
      <c r="E1103" s="12">
        <v>46261.0</v>
      </c>
      <c r="F1103" s="12">
        <v>46295.0</v>
      </c>
      <c r="G1103" s="11" t="s">
        <v>6180</v>
      </c>
      <c r="H1103" s="11">
        <v>9.353196018E9</v>
      </c>
      <c r="I1103" s="11" t="s">
        <v>70</v>
      </c>
      <c r="J1103" s="11" t="s">
        <v>71</v>
      </c>
      <c r="K1103" s="11" t="s">
        <v>167</v>
      </c>
      <c r="L1103" s="11" t="s">
        <v>73</v>
      </c>
      <c r="M1103" s="11" t="s">
        <v>6181</v>
      </c>
      <c r="N1103" s="11" t="s">
        <v>5462</v>
      </c>
      <c r="O1103" s="11" t="s">
        <v>263</v>
      </c>
      <c r="P1103" s="11" t="s">
        <v>6182</v>
      </c>
      <c r="Q1103" s="13" t="s">
        <v>6183</v>
      </c>
      <c r="R1103" s="14" t="str">
        <f>HYPERLINK("https://drive.google.com/file/d/16DcCasIO945fSzQL9ZX3w0VDJ2iIS9mG/view?usp=drivesdk","OFFER LETTER")</f>
        <v>OFFER LETTER</v>
      </c>
      <c r="S1103" s="11" t="s">
        <v>6184</v>
      </c>
    </row>
    <row r="1104" ht="22.5" customHeight="1">
      <c r="A1104" s="10">
        <v>46261.93853943287</v>
      </c>
      <c r="B1104" s="11" t="s">
        <v>6185</v>
      </c>
      <c r="C1104" s="11" t="s">
        <v>259</v>
      </c>
      <c r="D1104" s="11" t="s">
        <v>238</v>
      </c>
      <c r="E1104" s="12">
        <v>46261.0</v>
      </c>
      <c r="F1104" s="12">
        <v>46353.0</v>
      </c>
      <c r="G1104" s="11" t="s">
        <v>6186</v>
      </c>
      <c r="H1104" s="11">
        <v>9.177324546E9</v>
      </c>
      <c r="I1104" s="11" t="s">
        <v>70</v>
      </c>
      <c r="J1104" s="11" t="s">
        <v>130</v>
      </c>
      <c r="K1104" s="11" t="s">
        <v>72</v>
      </c>
      <c r="L1104" s="11" t="s">
        <v>131</v>
      </c>
      <c r="M1104" s="11" t="s">
        <v>6187</v>
      </c>
      <c r="N1104" s="11" t="s">
        <v>86</v>
      </c>
      <c r="O1104" s="11" t="s">
        <v>71</v>
      </c>
      <c r="P1104" s="11" t="s">
        <v>6188</v>
      </c>
      <c r="Q1104" s="13" t="s">
        <v>6189</v>
      </c>
      <c r="R1104" s="14" t="str">
        <f>HYPERLINK("https://drive.google.com/file/d/1a-gKvGw2HLpmiCakrnF68VJFf6qscw-t/view?usp=drivesdk","OFFER LETTER")</f>
        <v>OFFER LETTER</v>
      </c>
      <c r="S1104" s="11" t="s">
        <v>6190</v>
      </c>
    </row>
    <row r="1105" ht="22.5" customHeight="1">
      <c r="A1105" s="10">
        <v>46261.939090775464</v>
      </c>
      <c r="B1105" s="11" t="s">
        <v>6191</v>
      </c>
      <c r="C1105" s="11" t="s">
        <v>107</v>
      </c>
      <c r="D1105" s="11" t="s">
        <v>68</v>
      </c>
      <c r="E1105" s="12">
        <v>46204.0</v>
      </c>
      <c r="F1105" s="12">
        <v>46235.0</v>
      </c>
      <c r="G1105" s="11" t="s">
        <v>6192</v>
      </c>
      <c r="H1105" s="11">
        <v>7.027326E9</v>
      </c>
      <c r="I1105" s="11" t="s">
        <v>70</v>
      </c>
      <c r="J1105" s="11" t="s">
        <v>71</v>
      </c>
      <c r="K1105" s="13" t="s">
        <v>674</v>
      </c>
      <c r="L1105" s="11" t="s">
        <v>84</v>
      </c>
      <c r="M1105" s="11" t="s">
        <v>6193</v>
      </c>
      <c r="N1105" s="11" t="s">
        <v>86</v>
      </c>
      <c r="O1105" s="11" t="s">
        <v>71</v>
      </c>
      <c r="P1105" s="11" t="s">
        <v>6194</v>
      </c>
      <c r="Q1105" s="13" t="s">
        <v>6195</v>
      </c>
      <c r="R1105" s="14" t="str">
        <f>HYPERLINK("https://drive.google.com/file/d/1I7NP_yNzFhLIQ0_0PJyPsGN6Uoqt3LBz/view?usp=drivesdk","OFFER LETTER")</f>
        <v>OFFER LETTER</v>
      </c>
      <c r="S1105" s="11" t="s">
        <v>6196</v>
      </c>
    </row>
    <row r="1106" ht="22.5" customHeight="1">
      <c r="A1106" s="10">
        <v>46261.94030828704</v>
      </c>
      <c r="B1106" s="11" t="s">
        <v>6197</v>
      </c>
      <c r="C1106" s="11" t="s">
        <v>259</v>
      </c>
      <c r="D1106" s="11" t="s">
        <v>68</v>
      </c>
      <c r="E1106" s="12">
        <v>46265.0</v>
      </c>
      <c r="F1106" s="12">
        <v>46295.0</v>
      </c>
      <c r="G1106" s="11" t="s">
        <v>6198</v>
      </c>
      <c r="H1106" s="11">
        <v>6.299799307E9</v>
      </c>
      <c r="I1106" s="11" t="s">
        <v>82</v>
      </c>
      <c r="J1106" s="11" t="s">
        <v>71</v>
      </c>
      <c r="K1106" s="11" t="s">
        <v>72</v>
      </c>
      <c r="L1106" s="11" t="s">
        <v>84</v>
      </c>
      <c r="M1106" s="11" t="s">
        <v>6199</v>
      </c>
      <c r="N1106" s="11" t="s">
        <v>1533</v>
      </c>
      <c r="O1106" s="11" t="s">
        <v>71</v>
      </c>
      <c r="P1106" s="11" t="s">
        <v>6200</v>
      </c>
      <c r="Q1106" s="13" t="s">
        <v>6201</v>
      </c>
      <c r="R1106" s="14" t="str">
        <f>HYPERLINK("https://drive.google.com/file/d/1cFaPBRXyUL-3czSO4-Kp4q95E6670b2u/view?usp=drivesdk","OFFER LETTER")</f>
        <v>OFFER LETTER</v>
      </c>
      <c r="S1106" s="11" t="s">
        <v>6202</v>
      </c>
    </row>
    <row r="1107" ht="22.5" customHeight="1">
      <c r="A1107" s="10">
        <v>46261.94107797454</v>
      </c>
      <c r="B1107" s="11" t="s">
        <v>6203</v>
      </c>
      <c r="C1107" s="11" t="s">
        <v>107</v>
      </c>
      <c r="D1107" s="11" t="s">
        <v>68</v>
      </c>
      <c r="E1107" s="12">
        <v>46257.0</v>
      </c>
      <c r="F1107" s="12">
        <v>46288.0</v>
      </c>
      <c r="G1107" s="11" t="s">
        <v>6204</v>
      </c>
      <c r="H1107" s="11">
        <v>9.79825591E9</v>
      </c>
      <c r="I1107" s="11" t="s">
        <v>82</v>
      </c>
      <c r="J1107" s="11" t="s">
        <v>71</v>
      </c>
      <c r="K1107" s="11" t="s">
        <v>72</v>
      </c>
      <c r="L1107" s="11" t="s">
        <v>73</v>
      </c>
      <c r="M1107" s="11" t="s">
        <v>6205</v>
      </c>
      <c r="N1107" s="11" t="s">
        <v>75</v>
      </c>
      <c r="O1107" s="11" t="s">
        <v>71</v>
      </c>
      <c r="P1107" s="11" t="s">
        <v>6206</v>
      </c>
      <c r="Q1107" s="13" t="s">
        <v>6207</v>
      </c>
      <c r="R1107" s="14" t="str">
        <f>HYPERLINK("https://drive.google.com/file/d/1Uv3RCJsa-O18xPUTzsSsm8v_CuR7hVU7/view?usp=drivesdk","OFFER LETTER")</f>
        <v>OFFER LETTER</v>
      </c>
      <c r="S1107" s="11" t="s">
        <v>6208</v>
      </c>
    </row>
    <row r="1108" ht="22.5" customHeight="1">
      <c r="A1108" s="10">
        <v>46261.94224532407</v>
      </c>
      <c r="B1108" s="11" t="s">
        <v>6209</v>
      </c>
      <c r="C1108" s="11" t="s">
        <v>80</v>
      </c>
      <c r="D1108" s="11" t="s">
        <v>68</v>
      </c>
      <c r="E1108" s="12">
        <v>46228.0</v>
      </c>
      <c r="F1108" s="12">
        <v>46259.0</v>
      </c>
      <c r="G1108" s="11" t="s">
        <v>6210</v>
      </c>
      <c r="H1108" s="11">
        <v>9.342205513E9</v>
      </c>
      <c r="I1108" s="11" t="s">
        <v>70</v>
      </c>
      <c r="J1108" s="11" t="s">
        <v>83</v>
      </c>
      <c r="K1108" s="11" t="s">
        <v>2045</v>
      </c>
      <c r="L1108" s="11" t="s">
        <v>357</v>
      </c>
      <c r="M1108" s="11" t="s">
        <v>6211</v>
      </c>
      <c r="N1108" s="11" t="s">
        <v>6212</v>
      </c>
      <c r="O1108" s="11" t="s">
        <v>263</v>
      </c>
      <c r="P1108" s="11" t="s">
        <v>6213</v>
      </c>
      <c r="Q1108" s="13" t="s">
        <v>6214</v>
      </c>
      <c r="R1108" s="14" t="str">
        <f>HYPERLINK("https://drive.google.com/file/d/10JBwmfCCnln2Z4ClZRWwRfdjkKyFq3vZ/view?usp=drivesdk","OFFER LETTER")</f>
        <v>OFFER LETTER</v>
      </c>
      <c r="S1108" s="11" t="s">
        <v>6215</v>
      </c>
    </row>
    <row r="1109" ht="22.5" customHeight="1">
      <c r="A1109" s="10">
        <v>46261.94303252315</v>
      </c>
      <c r="B1109" s="11" t="s">
        <v>6216</v>
      </c>
      <c r="C1109" s="11" t="s">
        <v>259</v>
      </c>
      <c r="D1109" s="11" t="s">
        <v>238</v>
      </c>
      <c r="E1109" s="12">
        <v>46261.0</v>
      </c>
      <c r="F1109" s="12">
        <v>46353.0</v>
      </c>
      <c r="G1109" s="11" t="s">
        <v>6217</v>
      </c>
      <c r="H1109" s="11">
        <v>7.416241837E9</v>
      </c>
      <c r="I1109" s="11" t="s">
        <v>82</v>
      </c>
      <c r="J1109" s="11" t="s">
        <v>71</v>
      </c>
      <c r="K1109" s="11" t="s">
        <v>72</v>
      </c>
      <c r="L1109" s="11" t="s">
        <v>131</v>
      </c>
      <c r="M1109" s="11" t="s">
        <v>6218</v>
      </c>
      <c r="N1109" s="11" t="s">
        <v>6219</v>
      </c>
      <c r="O1109" s="11" t="s">
        <v>71</v>
      </c>
      <c r="P1109" s="11" t="s">
        <v>6220</v>
      </c>
      <c r="Q1109" s="13" t="s">
        <v>6221</v>
      </c>
      <c r="R1109" s="14" t="str">
        <f>HYPERLINK("https://drive.google.com/file/d/10r54ftBwxjWLDG4-2j8ib6CtNbllWmOO/view?usp=drivesdk","OFFER LETTER")</f>
        <v>OFFER LETTER</v>
      </c>
      <c r="S1109" s="11" t="s">
        <v>6222</v>
      </c>
    </row>
    <row r="1110" ht="22.5" customHeight="1">
      <c r="A1110" s="10">
        <v>46261.94808905093</v>
      </c>
      <c r="B1110" s="11" t="s">
        <v>6216</v>
      </c>
      <c r="C1110" s="11" t="s">
        <v>259</v>
      </c>
      <c r="D1110" s="11" t="s">
        <v>238</v>
      </c>
      <c r="E1110" s="12">
        <v>46261.0</v>
      </c>
      <c r="F1110" s="12">
        <v>46353.0</v>
      </c>
      <c r="G1110" s="11" t="s">
        <v>6217</v>
      </c>
      <c r="H1110" s="11">
        <v>7.416241837E9</v>
      </c>
      <c r="I1110" s="11" t="s">
        <v>82</v>
      </c>
      <c r="J1110" s="11" t="s">
        <v>71</v>
      </c>
      <c r="K1110" s="11" t="s">
        <v>72</v>
      </c>
      <c r="L1110" s="11" t="s">
        <v>131</v>
      </c>
      <c r="M1110" s="11" t="s">
        <v>6218</v>
      </c>
      <c r="N1110" s="11" t="s">
        <v>1323</v>
      </c>
      <c r="O1110" s="11" t="s">
        <v>71</v>
      </c>
      <c r="P1110" s="11" t="s">
        <v>6223</v>
      </c>
      <c r="Q1110" s="13" t="s">
        <v>6224</v>
      </c>
      <c r="R1110" s="14" t="str">
        <f>HYPERLINK("https://drive.google.com/file/d/1Va-i_2-WWvw5u-9iKN2iMji8hwfeSDNX/view?usp=drivesdk","OFFER LETTER")</f>
        <v>OFFER LETTER</v>
      </c>
      <c r="S1110" s="11" t="s">
        <v>6225</v>
      </c>
    </row>
    <row r="1111" ht="22.5" customHeight="1">
      <c r="A1111" s="10">
        <v>46261.95158300926</v>
      </c>
      <c r="B1111" s="11" t="s">
        <v>6226</v>
      </c>
      <c r="C1111" s="11" t="s">
        <v>195</v>
      </c>
      <c r="D1111" s="11" t="s">
        <v>68</v>
      </c>
      <c r="E1111" s="12">
        <v>46254.0</v>
      </c>
      <c r="F1111" s="12">
        <v>46285.0</v>
      </c>
      <c r="G1111" s="11" t="s">
        <v>6227</v>
      </c>
      <c r="H1111" s="11">
        <v>7.845677565E9</v>
      </c>
      <c r="I1111" s="11" t="s">
        <v>70</v>
      </c>
      <c r="J1111" s="11" t="s">
        <v>71</v>
      </c>
      <c r="K1111" s="11" t="s">
        <v>72</v>
      </c>
      <c r="L1111" s="11" t="s">
        <v>131</v>
      </c>
      <c r="M1111" s="11" t="s">
        <v>6228</v>
      </c>
      <c r="N1111" s="11" t="s">
        <v>86</v>
      </c>
      <c r="O1111" s="11" t="s">
        <v>71</v>
      </c>
      <c r="P1111" s="11" t="s">
        <v>6229</v>
      </c>
      <c r="Q1111" s="13" t="s">
        <v>6230</v>
      </c>
      <c r="R1111" s="14" t="str">
        <f>HYPERLINK("https://drive.google.com/file/d/1E4b3irmpQfK95stILSTIcBucvqIztWMc/view?usp=drivesdk","OFFER LETTER")</f>
        <v>OFFER LETTER</v>
      </c>
      <c r="S1111" s="11" t="s">
        <v>6231</v>
      </c>
    </row>
    <row r="1112" ht="22.5" customHeight="1">
      <c r="A1112" s="10">
        <v>46261.954991805556</v>
      </c>
      <c r="B1112" s="11" t="s">
        <v>6120</v>
      </c>
      <c r="C1112" s="11" t="s">
        <v>195</v>
      </c>
      <c r="D1112" s="11" t="s">
        <v>68</v>
      </c>
      <c r="E1112" s="12">
        <v>46193.0</v>
      </c>
      <c r="F1112" s="12">
        <v>46223.0</v>
      </c>
      <c r="G1112" s="11" t="s">
        <v>6232</v>
      </c>
      <c r="H1112" s="11">
        <v>7.481990958E9</v>
      </c>
      <c r="I1112" s="11" t="s">
        <v>82</v>
      </c>
      <c r="J1112" s="11" t="s">
        <v>71</v>
      </c>
      <c r="K1112" s="11" t="s">
        <v>72</v>
      </c>
      <c r="L1112" s="11" t="s">
        <v>84</v>
      </c>
      <c r="M1112" s="11" t="s">
        <v>886</v>
      </c>
      <c r="N1112" s="11" t="s">
        <v>198</v>
      </c>
      <c r="O1112" s="11" t="s">
        <v>130</v>
      </c>
      <c r="P1112" s="11" t="s">
        <v>6233</v>
      </c>
      <c r="Q1112" s="13" t="s">
        <v>6234</v>
      </c>
      <c r="R1112" s="14" t="str">
        <f>HYPERLINK("https://drive.google.com/file/d/1FXf6_9jcVD3PFLCGR4l63BPi5EW0om0G/view?usp=drivesdk","OFFER LETTER")</f>
        <v>OFFER LETTER</v>
      </c>
      <c r="S1112" s="11" t="s">
        <v>6235</v>
      </c>
    </row>
    <row r="1113" ht="22.5" customHeight="1">
      <c r="A1113" s="10">
        <v>46261.95877138889</v>
      </c>
      <c r="B1113" s="11" t="s">
        <v>6236</v>
      </c>
      <c r="C1113" s="11" t="s">
        <v>107</v>
      </c>
      <c r="D1113" s="11" t="s">
        <v>68</v>
      </c>
      <c r="E1113" s="12">
        <v>46189.0</v>
      </c>
      <c r="F1113" s="12">
        <v>46219.0</v>
      </c>
      <c r="G1113" s="11" t="s">
        <v>6237</v>
      </c>
      <c r="H1113" s="11">
        <v>9.835265662E9</v>
      </c>
      <c r="I1113" s="11" t="s">
        <v>82</v>
      </c>
      <c r="J1113" s="11" t="s">
        <v>71</v>
      </c>
      <c r="K1113" s="11" t="s">
        <v>72</v>
      </c>
      <c r="L1113" s="11" t="s">
        <v>73</v>
      </c>
      <c r="M1113" s="11" t="s">
        <v>6238</v>
      </c>
      <c r="N1113" s="11" t="s">
        <v>75</v>
      </c>
      <c r="O1113" s="11" t="s">
        <v>263</v>
      </c>
      <c r="P1113" s="11" t="s">
        <v>6239</v>
      </c>
      <c r="Q1113" s="13" t="s">
        <v>6240</v>
      </c>
      <c r="R1113" s="14" t="str">
        <f>HYPERLINK("https://drive.google.com/file/d/1N1PVHXEnx7onB-m5lOm2ZvG-PU3z9cp8/view?usp=drivesdk","OFFER LETTER")</f>
        <v>OFFER LETTER</v>
      </c>
      <c r="S1113" s="11" t="s">
        <v>6241</v>
      </c>
    </row>
    <row r="1114" ht="22.5" customHeight="1">
      <c r="A1114" s="10">
        <v>46261.96934008102</v>
      </c>
      <c r="B1114" s="11" t="s">
        <v>6242</v>
      </c>
      <c r="C1114" s="11" t="s">
        <v>128</v>
      </c>
      <c r="D1114" s="11" t="s">
        <v>68</v>
      </c>
      <c r="E1114" s="12">
        <v>46207.0</v>
      </c>
      <c r="F1114" s="12">
        <v>46238.0</v>
      </c>
      <c r="G1114" s="11" t="s">
        <v>6243</v>
      </c>
      <c r="H1114" s="11">
        <v>7.337021086E9</v>
      </c>
      <c r="I1114" s="11" t="s">
        <v>82</v>
      </c>
      <c r="J1114" s="11" t="s">
        <v>71</v>
      </c>
      <c r="K1114" s="11" t="s">
        <v>72</v>
      </c>
      <c r="L1114" s="11" t="s">
        <v>84</v>
      </c>
      <c r="M1114" s="11" t="s">
        <v>301</v>
      </c>
      <c r="N1114" s="11" t="s">
        <v>198</v>
      </c>
      <c r="O1114" s="11" t="s">
        <v>71</v>
      </c>
      <c r="P1114" s="11" t="s">
        <v>6244</v>
      </c>
      <c r="Q1114" s="13" t="s">
        <v>6245</v>
      </c>
      <c r="R1114" s="14" t="str">
        <f>HYPERLINK("https://drive.google.com/file/d/1jphlXr3oKKZb8Nt_dJ4JAhYWcTeNPCPs/view?usp=drivesdk","OFFER LETTER")</f>
        <v>OFFER LETTER</v>
      </c>
      <c r="S1114" s="11" t="s">
        <v>6246</v>
      </c>
    </row>
    <row r="1115" ht="22.5" customHeight="1">
      <c r="A1115" s="10">
        <v>46261.98140769676</v>
      </c>
      <c r="B1115" s="11" t="s">
        <v>6247</v>
      </c>
      <c r="C1115" s="11" t="s">
        <v>128</v>
      </c>
      <c r="D1115" s="11" t="s">
        <v>68</v>
      </c>
      <c r="E1115" s="12">
        <v>46192.0</v>
      </c>
      <c r="F1115" s="12">
        <v>46222.0</v>
      </c>
      <c r="G1115" s="11" t="s">
        <v>6237</v>
      </c>
      <c r="H1115" s="11">
        <v>9.835265662E9</v>
      </c>
      <c r="I1115" s="11" t="s">
        <v>82</v>
      </c>
      <c r="J1115" s="11" t="s">
        <v>71</v>
      </c>
      <c r="K1115" s="11" t="s">
        <v>72</v>
      </c>
      <c r="L1115" s="11" t="s">
        <v>73</v>
      </c>
      <c r="M1115" s="11" t="s">
        <v>6248</v>
      </c>
      <c r="N1115" s="11" t="s">
        <v>219</v>
      </c>
      <c r="O1115" s="11" t="s">
        <v>71</v>
      </c>
      <c r="P1115" s="11" t="s">
        <v>6249</v>
      </c>
      <c r="Q1115" s="13" t="s">
        <v>6250</v>
      </c>
      <c r="R1115" s="14" t="str">
        <f>HYPERLINK("https://drive.google.com/file/d/1vE3NUaa43gYWizFDoBLBRbaNF9GUGgGx/view?usp=drivesdk","OFFER LETTER")</f>
        <v>OFFER LETTER</v>
      </c>
      <c r="S1115" s="11" t="s">
        <v>6251</v>
      </c>
    </row>
    <row r="1116" ht="22.5" customHeight="1">
      <c r="A1116" s="10">
        <v>46261.99952356482</v>
      </c>
      <c r="B1116" s="11" t="s">
        <v>6252</v>
      </c>
      <c r="C1116" s="11" t="s">
        <v>195</v>
      </c>
      <c r="D1116" s="11" t="s">
        <v>68</v>
      </c>
      <c r="E1116" s="12">
        <v>46214.0</v>
      </c>
      <c r="F1116" s="12">
        <v>46245.0</v>
      </c>
      <c r="G1116" s="11" t="s">
        <v>6253</v>
      </c>
      <c r="H1116" s="11">
        <v>7.416677228E9</v>
      </c>
      <c r="I1116" s="11" t="s">
        <v>82</v>
      </c>
      <c r="J1116" s="11" t="s">
        <v>71</v>
      </c>
      <c r="K1116" s="11" t="s">
        <v>72</v>
      </c>
      <c r="L1116" s="11" t="s">
        <v>84</v>
      </c>
      <c r="M1116" s="11" t="s">
        <v>301</v>
      </c>
      <c r="N1116" s="11" t="s">
        <v>198</v>
      </c>
      <c r="O1116" s="11" t="s">
        <v>71</v>
      </c>
      <c r="P1116" s="11" t="s">
        <v>6254</v>
      </c>
      <c r="Q1116" s="13" t="s">
        <v>6255</v>
      </c>
      <c r="R1116" s="14" t="str">
        <f>HYPERLINK("https://drive.google.com/file/d/1wlnZJeHh5ow1QIf2UkFSL16IKM-K-JCT/view?usp=drivesdk","OFFER LETTER")</f>
        <v>OFFER LETTER</v>
      </c>
      <c r="S1116" s="11" t="s">
        <v>6256</v>
      </c>
    </row>
    <row r="1117" ht="22.5" customHeight="1">
      <c r="A1117" s="10">
        <v>46261.99963078704</v>
      </c>
      <c r="B1117" s="11" t="s">
        <v>6257</v>
      </c>
      <c r="C1117" s="11" t="s">
        <v>128</v>
      </c>
      <c r="D1117" s="11" t="s">
        <v>68</v>
      </c>
      <c r="E1117" s="12">
        <v>46208.0</v>
      </c>
      <c r="F1117" s="12">
        <v>46239.0</v>
      </c>
      <c r="G1117" s="11" t="s">
        <v>6258</v>
      </c>
      <c r="H1117" s="11">
        <v>9.440659699E9</v>
      </c>
      <c r="I1117" s="11" t="s">
        <v>82</v>
      </c>
      <c r="J1117" s="11" t="s">
        <v>71</v>
      </c>
      <c r="K1117" s="11" t="s">
        <v>72</v>
      </c>
      <c r="L1117" s="11" t="s">
        <v>84</v>
      </c>
      <c r="M1117" s="11" t="s">
        <v>301</v>
      </c>
      <c r="N1117" s="11" t="s">
        <v>198</v>
      </c>
      <c r="O1117" s="11" t="s">
        <v>71</v>
      </c>
      <c r="P1117" s="11" t="s">
        <v>6259</v>
      </c>
      <c r="Q1117" s="13" t="s">
        <v>6260</v>
      </c>
      <c r="R1117" s="14" t="str">
        <f>HYPERLINK("https://drive.google.com/file/d/1CHm29qgihwF5bist3X3g-L4N0CN4DjEN/view?usp=drivesdk","OFFER LETTER")</f>
        <v>OFFER LETTER</v>
      </c>
      <c r="S1117" s="11" t="s">
        <v>6261</v>
      </c>
    </row>
    <row r="1118" ht="22.5" customHeight="1">
      <c r="A1118" s="10">
        <v>46262.00192546296</v>
      </c>
      <c r="B1118" s="11" t="s">
        <v>6262</v>
      </c>
      <c r="C1118" s="11" t="s">
        <v>128</v>
      </c>
      <c r="D1118" s="11" t="s">
        <v>68</v>
      </c>
      <c r="E1118" s="12">
        <v>46204.0</v>
      </c>
      <c r="F1118" s="12">
        <v>46235.0</v>
      </c>
      <c r="G1118" s="11" t="s">
        <v>6263</v>
      </c>
      <c r="H1118" s="11">
        <v>7.337078346E9</v>
      </c>
      <c r="I1118" s="11" t="s">
        <v>82</v>
      </c>
      <c r="J1118" s="11" t="s">
        <v>71</v>
      </c>
      <c r="K1118" s="11" t="s">
        <v>72</v>
      </c>
      <c r="L1118" s="11" t="s">
        <v>84</v>
      </c>
      <c r="M1118" s="11" t="s">
        <v>6264</v>
      </c>
      <c r="N1118" s="11" t="s">
        <v>198</v>
      </c>
      <c r="O1118" s="11" t="s">
        <v>71</v>
      </c>
      <c r="P1118" s="11" t="s">
        <v>6265</v>
      </c>
      <c r="Q1118" s="13" t="s">
        <v>6266</v>
      </c>
      <c r="R1118" s="14" t="str">
        <f>HYPERLINK("https://drive.google.com/file/d/1LnKBrNFiK6O8Fc_J5KeJdTM3Gb1homya/view?usp=drivesdk","OFFER LETTER")</f>
        <v>OFFER LETTER</v>
      </c>
      <c r="S1118" s="11" t="s">
        <v>6267</v>
      </c>
    </row>
    <row r="1119" ht="22.5" customHeight="1">
      <c r="A1119" s="10">
        <v>46262.0051678125</v>
      </c>
      <c r="B1119" s="11" t="s">
        <v>5947</v>
      </c>
      <c r="C1119" s="11" t="s">
        <v>67</v>
      </c>
      <c r="D1119" s="11" t="s">
        <v>108</v>
      </c>
      <c r="E1119" s="12">
        <v>46188.0</v>
      </c>
      <c r="F1119" s="12">
        <v>46249.0</v>
      </c>
      <c r="G1119" s="11" t="s">
        <v>5948</v>
      </c>
      <c r="H1119" s="11">
        <v>9.01449128E9</v>
      </c>
      <c r="I1119" s="11" t="s">
        <v>70</v>
      </c>
      <c r="J1119" s="11" t="s">
        <v>71</v>
      </c>
      <c r="K1119" s="11" t="s">
        <v>72</v>
      </c>
      <c r="L1119" s="11" t="s">
        <v>131</v>
      </c>
      <c r="M1119" s="11" t="s">
        <v>6268</v>
      </c>
      <c r="N1119" s="11" t="s">
        <v>226</v>
      </c>
      <c r="O1119" s="11" t="s">
        <v>71</v>
      </c>
      <c r="P1119" s="11" t="s">
        <v>6269</v>
      </c>
      <c r="Q1119" s="13" t="s">
        <v>6270</v>
      </c>
      <c r="R1119" s="14" t="str">
        <f>HYPERLINK("https://drive.google.com/file/d/1RveacVabv5iXSZXLLo6cBWStHYT4I5Uq/view?usp=drivesdk","OFFER LETTER")</f>
        <v>OFFER LETTER</v>
      </c>
      <c r="S1119" s="11" t="s">
        <v>6271</v>
      </c>
    </row>
    <row r="1120" ht="22.5" customHeight="1">
      <c r="A1120" s="10">
        <v>46262.018891597225</v>
      </c>
      <c r="B1120" s="11" t="s">
        <v>6272</v>
      </c>
      <c r="C1120" s="11" t="s">
        <v>128</v>
      </c>
      <c r="D1120" s="11" t="s">
        <v>68</v>
      </c>
      <c r="E1120" s="12">
        <v>46206.0</v>
      </c>
      <c r="F1120" s="12">
        <v>46237.0</v>
      </c>
      <c r="G1120" s="11" t="s">
        <v>6273</v>
      </c>
      <c r="H1120" s="11">
        <v>9.234783815E9</v>
      </c>
      <c r="I1120" s="11" t="s">
        <v>82</v>
      </c>
      <c r="J1120" s="11" t="s">
        <v>71</v>
      </c>
      <c r="K1120" s="11" t="s">
        <v>72</v>
      </c>
      <c r="L1120" s="11" t="s">
        <v>84</v>
      </c>
      <c r="M1120" s="11" t="s">
        <v>301</v>
      </c>
      <c r="N1120" s="11" t="s">
        <v>198</v>
      </c>
      <c r="O1120" s="11" t="s">
        <v>71</v>
      </c>
      <c r="P1120" s="11" t="s">
        <v>6274</v>
      </c>
      <c r="Q1120" s="13" t="s">
        <v>6275</v>
      </c>
      <c r="R1120" s="14" t="str">
        <f>HYPERLINK("https://drive.google.com/file/d/1FjA9pvF5LnqlLzjaCQXf47CMFjcY0OZL/view?usp=drivesdk","OFFER LETTER")</f>
        <v>OFFER LETTER</v>
      </c>
      <c r="S1120" s="11" t="s">
        <v>6276</v>
      </c>
    </row>
    <row r="1121" ht="22.5" customHeight="1">
      <c r="A1121" s="10">
        <v>46262.02091431713</v>
      </c>
      <c r="B1121" s="11" t="s">
        <v>6277</v>
      </c>
      <c r="C1121" s="11" t="s">
        <v>195</v>
      </c>
      <c r="D1121" s="11" t="s">
        <v>108</v>
      </c>
      <c r="E1121" s="12">
        <v>46204.0</v>
      </c>
      <c r="F1121" s="12">
        <v>46265.0</v>
      </c>
      <c r="G1121" s="11" t="s">
        <v>6278</v>
      </c>
      <c r="H1121" s="11">
        <v>9.233450512E9</v>
      </c>
      <c r="I1121" s="11" t="s">
        <v>82</v>
      </c>
      <c r="J1121" s="11" t="s">
        <v>71</v>
      </c>
      <c r="K1121" s="11" t="s">
        <v>72</v>
      </c>
      <c r="L1121" s="11" t="s">
        <v>131</v>
      </c>
      <c r="M1121" s="11" t="s">
        <v>6279</v>
      </c>
      <c r="N1121" s="11" t="s">
        <v>5840</v>
      </c>
      <c r="O1121" s="11" t="s">
        <v>71</v>
      </c>
      <c r="P1121" s="11" t="s">
        <v>6280</v>
      </c>
      <c r="Q1121" s="13" t="s">
        <v>6281</v>
      </c>
      <c r="R1121" s="14" t="str">
        <f>HYPERLINK("https://drive.google.com/file/d/1sJE3IxK3zdijTRdavw7gUtEn_VQrNKzd/view?usp=drivesdk","OFFER LETTER")</f>
        <v>OFFER LETTER</v>
      </c>
      <c r="S1121" s="11" t="s">
        <v>6282</v>
      </c>
    </row>
    <row r="1122" ht="22.5" customHeight="1">
      <c r="A1122" s="10">
        <v>46262.04066370371</v>
      </c>
      <c r="B1122" s="11" t="s">
        <v>6277</v>
      </c>
      <c r="C1122" s="11" t="s">
        <v>195</v>
      </c>
      <c r="D1122" s="11" t="s">
        <v>108</v>
      </c>
      <c r="E1122" s="12">
        <v>46204.0</v>
      </c>
      <c r="F1122" s="12">
        <v>46265.0</v>
      </c>
      <c r="G1122" s="11" t="s">
        <v>6278</v>
      </c>
      <c r="H1122" s="11">
        <v>9.233450512E9</v>
      </c>
      <c r="I1122" s="11" t="s">
        <v>82</v>
      </c>
      <c r="J1122" s="11" t="s">
        <v>130</v>
      </c>
      <c r="K1122" s="11" t="s">
        <v>72</v>
      </c>
      <c r="L1122" s="11" t="s">
        <v>131</v>
      </c>
      <c r="M1122" s="11" t="s">
        <v>6283</v>
      </c>
      <c r="N1122" s="11" t="s">
        <v>6284</v>
      </c>
      <c r="O1122" s="11" t="s">
        <v>71</v>
      </c>
      <c r="P1122" s="11" t="s">
        <v>6285</v>
      </c>
      <c r="Q1122" s="13" t="s">
        <v>6286</v>
      </c>
      <c r="R1122" s="14" t="str">
        <f>HYPERLINK("https://drive.google.com/file/d/1wmhg1nicRHoaoGnwzHFqLqX8bxvHm-Pb/view?usp=drivesdk","OFFER LETTER")</f>
        <v>OFFER LETTER</v>
      </c>
      <c r="S1122" s="11" t="s">
        <v>6287</v>
      </c>
    </row>
    <row r="1123" ht="22.5" customHeight="1">
      <c r="A1123" s="10">
        <v>46262.04514672454</v>
      </c>
      <c r="B1123" s="11" t="s">
        <v>6288</v>
      </c>
      <c r="C1123" s="11" t="s">
        <v>128</v>
      </c>
      <c r="D1123" s="11" t="s">
        <v>68</v>
      </c>
      <c r="E1123" s="12">
        <v>46204.0</v>
      </c>
      <c r="F1123" s="12">
        <v>46235.0</v>
      </c>
      <c r="G1123" s="11" t="s">
        <v>6289</v>
      </c>
      <c r="H1123" s="11">
        <v>9.026077793E9</v>
      </c>
      <c r="I1123" s="11" t="s">
        <v>82</v>
      </c>
      <c r="J1123" s="11" t="s">
        <v>71</v>
      </c>
      <c r="K1123" s="11" t="s">
        <v>72</v>
      </c>
      <c r="L1123" s="11" t="s">
        <v>84</v>
      </c>
      <c r="M1123" s="11" t="s">
        <v>6290</v>
      </c>
      <c r="N1123" s="11" t="s">
        <v>420</v>
      </c>
      <c r="O1123" s="11" t="s">
        <v>71</v>
      </c>
      <c r="P1123" s="11" t="s">
        <v>6291</v>
      </c>
      <c r="Q1123" s="13" t="s">
        <v>6292</v>
      </c>
      <c r="R1123" s="14" t="str">
        <f>HYPERLINK("https://drive.google.com/file/d/1ZgTLA8FsPzSPOn28pagQ6sZ0aADZA9y2/view?usp=drivesdk","OFFER LETTER")</f>
        <v>OFFER LETTER</v>
      </c>
      <c r="S1123" s="11" t="s">
        <v>6293</v>
      </c>
    </row>
    <row r="1124" ht="22.5" customHeight="1">
      <c r="A1124" s="10">
        <v>46262.188591342594</v>
      </c>
      <c r="B1124" s="11" t="s">
        <v>6294</v>
      </c>
      <c r="C1124" s="11" t="s">
        <v>298</v>
      </c>
      <c r="D1124" s="11" t="s">
        <v>108</v>
      </c>
      <c r="E1124" s="12">
        <v>46174.0</v>
      </c>
      <c r="F1124" s="12">
        <v>46234.0</v>
      </c>
      <c r="G1124" s="11" t="s">
        <v>6295</v>
      </c>
      <c r="H1124" s="11">
        <v>8.630095699E9</v>
      </c>
      <c r="I1124" s="11" t="s">
        <v>82</v>
      </c>
      <c r="J1124" s="11" t="s">
        <v>71</v>
      </c>
      <c r="K1124" s="11" t="s">
        <v>72</v>
      </c>
      <c r="L1124" s="11" t="s">
        <v>131</v>
      </c>
      <c r="M1124" s="11" t="s">
        <v>493</v>
      </c>
      <c r="N1124" s="11" t="s">
        <v>630</v>
      </c>
      <c r="O1124" s="11" t="s">
        <v>71</v>
      </c>
      <c r="P1124" s="11" t="s">
        <v>6296</v>
      </c>
      <c r="Q1124" s="13" t="s">
        <v>6297</v>
      </c>
      <c r="R1124" s="14" t="str">
        <f>HYPERLINK("https://drive.google.com/file/d/1HDjv7WVd1ZCsAjyciBZs6AXqXuiB0iWa/view?usp=drivesdk","OFFER LETTER")</f>
        <v>OFFER LETTER</v>
      </c>
      <c r="S1124" s="11" t="s">
        <v>6298</v>
      </c>
    </row>
    <row r="1125" ht="22.5" customHeight="1">
      <c r="A1125" s="10">
        <v>46262.32237851852</v>
      </c>
      <c r="B1125" s="11" t="s">
        <v>6299</v>
      </c>
      <c r="C1125" s="11" t="s">
        <v>91</v>
      </c>
      <c r="D1125" s="11" t="s">
        <v>68</v>
      </c>
      <c r="E1125" s="12">
        <v>46262.0</v>
      </c>
      <c r="F1125" s="12">
        <v>46293.0</v>
      </c>
      <c r="G1125" s="11" t="s">
        <v>6300</v>
      </c>
      <c r="H1125" s="11">
        <v>8.310736393E9</v>
      </c>
      <c r="I1125" s="11" t="s">
        <v>82</v>
      </c>
      <c r="J1125" s="11" t="s">
        <v>71</v>
      </c>
      <c r="K1125" s="11" t="s">
        <v>72</v>
      </c>
      <c r="L1125" s="11" t="s">
        <v>73</v>
      </c>
      <c r="M1125" s="11" t="s">
        <v>6301</v>
      </c>
      <c r="N1125" s="11" t="s">
        <v>75</v>
      </c>
      <c r="O1125" s="11" t="s">
        <v>71</v>
      </c>
      <c r="P1125" s="11" t="s">
        <v>6302</v>
      </c>
      <c r="Q1125" s="13" t="s">
        <v>6303</v>
      </c>
      <c r="R1125" s="14" t="str">
        <f>HYPERLINK("https://drive.google.com/file/d/13OYbT9-dlHc273JnC37qJdMLnCR7Ymlj/view?usp=drivesdk","OFFER LETTER")</f>
        <v>OFFER LETTER</v>
      </c>
      <c r="S1125" s="11" t="s">
        <v>6304</v>
      </c>
    </row>
    <row r="1126" ht="22.5" customHeight="1">
      <c r="A1126" s="10">
        <v>46262.326155243056</v>
      </c>
      <c r="B1126" s="11" t="s">
        <v>6305</v>
      </c>
      <c r="C1126" s="11" t="s">
        <v>91</v>
      </c>
      <c r="D1126" s="11" t="s">
        <v>68</v>
      </c>
      <c r="E1126" s="12">
        <v>46262.0</v>
      </c>
      <c r="F1126" s="12">
        <v>46293.0</v>
      </c>
      <c r="G1126" s="11" t="s">
        <v>6300</v>
      </c>
      <c r="H1126" s="11">
        <v>8.310736393E9</v>
      </c>
      <c r="I1126" s="11" t="s">
        <v>82</v>
      </c>
      <c r="J1126" s="11" t="s">
        <v>71</v>
      </c>
      <c r="K1126" s="11" t="s">
        <v>72</v>
      </c>
      <c r="L1126" s="11" t="s">
        <v>73</v>
      </c>
      <c r="M1126" s="11" t="s">
        <v>6301</v>
      </c>
      <c r="N1126" s="11" t="s">
        <v>75</v>
      </c>
      <c r="O1126" s="11" t="s">
        <v>71</v>
      </c>
      <c r="P1126" s="11" t="s">
        <v>6306</v>
      </c>
      <c r="Q1126" s="13" t="s">
        <v>6307</v>
      </c>
      <c r="R1126" s="14" t="str">
        <f>HYPERLINK("https://drive.google.com/file/d/1dnm2hwzuTN4tFd8X-3ZjSG7QWaAy5Fzn/view?usp=drivesdk","OFFER LETTER")</f>
        <v>OFFER LETTER</v>
      </c>
      <c r="S1126" s="11" t="s">
        <v>6308</v>
      </c>
    </row>
    <row r="1127" ht="22.5" customHeight="1">
      <c r="A1127" s="10">
        <v>46262.34023103009</v>
      </c>
      <c r="B1127" s="11" t="s">
        <v>6309</v>
      </c>
      <c r="C1127" s="11" t="s">
        <v>1320</v>
      </c>
      <c r="D1127" s="11" t="s">
        <v>68</v>
      </c>
      <c r="E1127" s="12">
        <v>46257.0</v>
      </c>
      <c r="F1127" s="12">
        <v>46288.0</v>
      </c>
      <c r="G1127" s="11" t="s">
        <v>6310</v>
      </c>
      <c r="H1127" s="11">
        <v>8.32820932E9</v>
      </c>
      <c r="I1127" s="11" t="s">
        <v>70</v>
      </c>
      <c r="J1127" s="11" t="s">
        <v>71</v>
      </c>
      <c r="K1127" s="11" t="s">
        <v>72</v>
      </c>
      <c r="L1127" s="11" t="s">
        <v>73</v>
      </c>
      <c r="M1127" s="11" t="s">
        <v>6311</v>
      </c>
      <c r="N1127" s="11" t="s">
        <v>75</v>
      </c>
      <c r="O1127" s="11" t="s">
        <v>71</v>
      </c>
      <c r="P1127" s="11" t="s">
        <v>6312</v>
      </c>
      <c r="Q1127" s="13" t="s">
        <v>6313</v>
      </c>
      <c r="R1127" s="14" t="str">
        <f>HYPERLINK("https://drive.google.com/file/d/1kAII4NgHjeg9IYPTPz8Z3vCoKkTpFQ6U/view?usp=drivesdk","OFFER LETTER")</f>
        <v>OFFER LETTER</v>
      </c>
      <c r="S1127" s="11" t="s">
        <v>6314</v>
      </c>
    </row>
    <row r="1128" ht="22.5" customHeight="1">
      <c r="A1128" s="10">
        <v>46262.37242834491</v>
      </c>
      <c r="B1128" s="11" t="s">
        <v>6315</v>
      </c>
      <c r="C1128" s="11" t="s">
        <v>107</v>
      </c>
      <c r="D1128" s="11" t="s">
        <v>68</v>
      </c>
      <c r="E1128" s="12">
        <v>46262.0</v>
      </c>
      <c r="F1128" s="12">
        <v>46293.0</v>
      </c>
      <c r="G1128" s="11" t="s">
        <v>6316</v>
      </c>
      <c r="H1128" s="11">
        <v>9.481140994E9</v>
      </c>
      <c r="I1128" s="11" t="s">
        <v>70</v>
      </c>
      <c r="J1128" s="11" t="s">
        <v>71</v>
      </c>
      <c r="K1128" s="11" t="s">
        <v>72</v>
      </c>
      <c r="L1128" s="11" t="s">
        <v>131</v>
      </c>
      <c r="M1128" s="11" t="s">
        <v>6317</v>
      </c>
      <c r="N1128" s="11" t="s">
        <v>155</v>
      </c>
      <c r="O1128" s="11" t="s">
        <v>71</v>
      </c>
      <c r="P1128" s="11" t="s">
        <v>6318</v>
      </c>
      <c r="Q1128" s="13" t="s">
        <v>6319</v>
      </c>
      <c r="R1128" s="14" t="str">
        <f>HYPERLINK("https://drive.google.com/file/d/1DQ6gfwShqJTetsbvBB4AbTKllF6OLkNM/view?usp=drivesdk","OFFER LETTER")</f>
        <v>OFFER LETTER</v>
      </c>
      <c r="S1128" s="11" t="s">
        <v>6320</v>
      </c>
    </row>
    <row r="1129" ht="22.5" customHeight="1">
      <c r="A1129" s="10">
        <v>46262.37645174768</v>
      </c>
      <c r="B1129" s="11" t="s">
        <v>6321</v>
      </c>
      <c r="C1129" s="11" t="s">
        <v>91</v>
      </c>
      <c r="D1129" s="11" t="s">
        <v>68</v>
      </c>
      <c r="E1129" s="12">
        <v>46218.0</v>
      </c>
      <c r="F1129" s="12">
        <v>46249.0</v>
      </c>
      <c r="G1129" s="11" t="s">
        <v>6322</v>
      </c>
      <c r="H1129" s="11">
        <v>9.363138891E9</v>
      </c>
      <c r="I1129" s="11" t="s">
        <v>82</v>
      </c>
      <c r="J1129" s="11" t="s">
        <v>71</v>
      </c>
      <c r="K1129" s="11" t="s">
        <v>72</v>
      </c>
      <c r="L1129" s="11" t="s">
        <v>84</v>
      </c>
      <c r="M1129" s="11" t="s">
        <v>6323</v>
      </c>
      <c r="N1129" s="11" t="s">
        <v>86</v>
      </c>
      <c r="O1129" s="11" t="s">
        <v>71</v>
      </c>
      <c r="P1129" s="11" t="s">
        <v>6324</v>
      </c>
      <c r="Q1129" s="13" t="s">
        <v>6325</v>
      </c>
      <c r="R1129" s="14" t="str">
        <f>HYPERLINK("https://drive.google.com/file/d/1KhW5Dgu9tjWHkXE-jOdrpg_YhOtisZoT/view?usp=drivesdk","OFFER LETTER")</f>
        <v>OFFER LETTER</v>
      </c>
      <c r="S1129" s="11" t="s">
        <v>6326</v>
      </c>
    </row>
    <row r="1130" ht="22.5" customHeight="1">
      <c r="A1130" s="10">
        <v>46262.38428190972</v>
      </c>
      <c r="B1130" s="11" t="s">
        <v>6327</v>
      </c>
      <c r="C1130" s="11" t="s">
        <v>1320</v>
      </c>
      <c r="D1130" s="11" t="s">
        <v>68</v>
      </c>
      <c r="E1130" s="12">
        <v>46262.0</v>
      </c>
      <c r="F1130" s="12">
        <v>46293.0</v>
      </c>
      <c r="G1130" s="11" t="s">
        <v>6328</v>
      </c>
      <c r="H1130" s="11">
        <v>8.310796459E9</v>
      </c>
      <c r="I1130" s="11" t="s">
        <v>70</v>
      </c>
      <c r="J1130" s="11" t="s">
        <v>71</v>
      </c>
      <c r="K1130" s="11" t="s">
        <v>72</v>
      </c>
      <c r="L1130" s="11" t="s">
        <v>131</v>
      </c>
      <c r="M1130" s="11" t="s">
        <v>6329</v>
      </c>
      <c r="N1130" s="11" t="s">
        <v>75</v>
      </c>
      <c r="O1130" s="11" t="s">
        <v>71</v>
      </c>
      <c r="P1130" s="11" t="s">
        <v>6330</v>
      </c>
      <c r="Q1130" s="13" t="s">
        <v>6331</v>
      </c>
      <c r="R1130" s="14" t="str">
        <f>HYPERLINK("https://drive.google.com/file/d/1N6GZ38WOoyRnvtVJm9hQBmYZ--AntH6C/view?usp=drivesdk","OFFER LETTER")</f>
        <v>OFFER LETTER</v>
      </c>
      <c r="S1130" s="11" t="s">
        <v>6332</v>
      </c>
    </row>
    <row r="1131" ht="22.5" customHeight="1">
      <c r="A1131" s="10">
        <v>46262.41440096065</v>
      </c>
      <c r="B1131" s="11" t="s">
        <v>6333</v>
      </c>
      <c r="C1131" s="11" t="s">
        <v>195</v>
      </c>
      <c r="D1131" s="11" t="s">
        <v>68</v>
      </c>
      <c r="E1131" s="12">
        <v>46267.0</v>
      </c>
      <c r="F1131" s="12">
        <v>46296.0</v>
      </c>
      <c r="G1131" s="11" t="s">
        <v>6334</v>
      </c>
      <c r="H1131" s="11">
        <v>7.001224696E9</v>
      </c>
      <c r="I1131" s="11" t="s">
        <v>82</v>
      </c>
      <c r="J1131" s="11" t="s">
        <v>71</v>
      </c>
      <c r="K1131" s="11" t="s">
        <v>72</v>
      </c>
      <c r="L1131" s="11" t="s">
        <v>131</v>
      </c>
      <c r="M1131" s="11" t="s">
        <v>6335</v>
      </c>
      <c r="N1131" s="11" t="s">
        <v>75</v>
      </c>
      <c r="O1131" s="11" t="s">
        <v>71</v>
      </c>
      <c r="P1131" s="11" t="s">
        <v>6336</v>
      </c>
      <c r="Q1131" s="13" t="s">
        <v>6337</v>
      </c>
      <c r="R1131" s="14" t="str">
        <f>HYPERLINK("https://drive.google.com/file/d/1cA3LeVbEmg0fwz0HAlnDz4Zoml-7ziVW/view?usp=drivesdk","OFFER LETTER")</f>
        <v>OFFER LETTER</v>
      </c>
      <c r="S1131" s="11" t="s">
        <v>6338</v>
      </c>
    </row>
    <row r="1132" ht="22.5" customHeight="1">
      <c r="A1132" s="10">
        <v>46262.450968391204</v>
      </c>
      <c r="B1132" s="11" t="s">
        <v>6339</v>
      </c>
      <c r="C1132" s="11" t="s">
        <v>259</v>
      </c>
      <c r="D1132" s="11" t="s">
        <v>68</v>
      </c>
      <c r="E1132" s="12">
        <v>46262.0</v>
      </c>
      <c r="F1132" s="12">
        <v>46262.0</v>
      </c>
      <c r="G1132" s="11" t="s">
        <v>6340</v>
      </c>
      <c r="H1132" s="11">
        <v>6.302094525E9</v>
      </c>
      <c r="I1132" s="11" t="s">
        <v>82</v>
      </c>
      <c r="J1132" s="11" t="s">
        <v>83</v>
      </c>
      <c r="K1132" s="11" t="s">
        <v>72</v>
      </c>
      <c r="L1132" s="11" t="s">
        <v>73</v>
      </c>
      <c r="M1132" s="11" t="s">
        <v>6341</v>
      </c>
      <c r="N1132" s="11" t="s">
        <v>133</v>
      </c>
      <c r="O1132" s="11" t="s">
        <v>71</v>
      </c>
      <c r="P1132" s="11" t="s">
        <v>6342</v>
      </c>
      <c r="Q1132" s="13" t="s">
        <v>6343</v>
      </c>
      <c r="R1132" s="14" t="str">
        <f>HYPERLINK("https://drive.google.com/file/d/1qqx400HbBOGPp6554NR1M4A-le9nrwdx/view?usp=drivesdk","OFFER LETTER")</f>
        <v>OFFER LETTER</v>
      </c>
      <c r="S1132" s="11" t="s">
        <v>6344</v>
      </c>
    </row>
    <row r="1133" ht="22.5" customHeight="1">
      <c r="A1133" s="10">
        <v>46262.454797025464</v>
      </c>
      <c r="B1133" s="11" t="s">
        <v>6345</v>
      </c>
      <c r="C1133" s="11" t="s">
        <v>128</v>
      </c>
      <c r="D1133" s="11" t="s">
        <v>68</v>
      </c>
      <c r="E1133" s="12">
        <v>46259.0</v>
      </c>
      <c r="F1133" s="12">
        <v>46290.0</v>
      </c>
      <c r="G1133" s="11" t="s">
        <v>1402</v>
      </c>
      <c r="H1133" s="11">
        <v>7.620555966E9</v>
      </c>
      <c r="I1133" s="11" t="s">
        <v>70</v>
      </c>
      <c r="J1133" s="11" t="s">
        <v>71</v>
      </c>
      <c r="K1133" s="11" t="s">
        <v>72</v>
      </c>
      <c r="L1133" s="11" t="s">
        <v>131</v>
      </c>
      <c r="M1133" s="11" t="s">
        <v>6346</v>
      </c>
      <c r="N1133" s="11" t="s">
        <v>241</v>
      </c>
      <c r="O1133" s="11" t="s">
        <v>71</v>
      </c>
      <c r="P1133" s="11" t="s">
        <v>6347</v>
      </c>
      <c r="Q1133" s="13" t="s">
        <v>6348</v>
      </c>
      <c r="R1133" s="14" t="str">
        <f>HYPERLINK("https://drive.google.com/file/d/1yFG-sjWbkh_6QXMIBcuZXRm_cVmFBxZO/view?usp=drivesdk","OFFER LETTER")</f>
        <v>OFFER LETTER</v>
      </c>
      <c r="S1133" s="11" t="s">
        <v>6349</v>
      </c>
    </row>
    <row r="1134" ht="22.5" customHeight="1">
      <c r="A1134" s="10">
        <v>46262.45706886574</v>
      </c>
      <c r="B1134" s="11" t="s">
        <v>6350</v>
      </c>
      <c r="C1134" s="11" t="s">
        <v>1200</v>
      </c>
      <c r="D1134" s="11" t="s">
        <v>108</v>
      </c>
      <c r="E1134" s="12">
        <v>46261.0</v>
      </c>
      <c r="F1134" s="12">
        <v>46262.0</v>
      </c>
      <c r="G1134" s="11" t="s">
        <v>6351</v>
      </c>
      <c r="H1134" s="11">
        <v>9.509669725E9</v>
      </c>
      <c r="I1134" s="11" t="s">
        <v>82</v>
      </c>
      <c r="J1134" s="11" t="s">
        <v>71</v>
      </c>
      <c r="K1134" s="11" t="s">
        <v>72</v>
      </c>
      <c r="L1134" s="11" t="s">
        <v>84</v>
      </c>
      <c r="M1134" s="11" t="s">
        <v>6352</v>
      </c>
      <c r="N1134" s="11" t="s">
        <v>86</v>
      </c>
      <c r="O1134" s="11" t="s">
        <v>71</v>
      </c>
      <c r="P1134" s="11" t="s">
        <v>6353</v>
      </c>
      <c r="Q1134" s="13" t="s">
        <v>6354</v>
      </c>
      <c r="R1134" s="14" t="str">
        <f>HYPERLINK("https://drive.google.com/file/d/1Ai9lDWEs-HR2ru59Ia4IZZHm6KoaHeqX/view?usp=drivesdk","OFFER LETTER")</f>
        <v>OFFER LETTER</v>
      </c>
      <c r="S1134" s="11" t="s">
        <v>6355</v>
      </c>
    </row>
    <row r="1135" ht="22.5" customHeight="1">
      <c r="A1135" s="10">
        <v>46262.46348057871</v>
      </c>
      <c r="B1135" s="11" t="s">
        <v>6356</v>
      </c>
      <c r="C1135" s="11" t="s">
        <v>259</v>
      </c>
      <c r="D1135" s="11" t="s">
        <v>68</v>
      </c>
      <c r="E1135" s="12">
        <v>46174.0</v>
      </c>
      <c r="F1135" s="12">
        <v>46203.0</v>
      </c>
      <c r="G1135" s="11" t="s">
        <v>6357</v>
      </c>
      <c r="H1135" s="11">
        <v>9.342651289E9</v>
      </c>
      <c r="I1135" s="11" t="s">
        <v>82</v>
      </c>
      <c r="J1135" s="11" t="s">
        <v>71</v>
      </c>
      <c r="K1135" s="11" t="s">
        <v>72</v>
      </c>
      <c r="L1135" s="11" t="s">
        <v>73</v>
      </c>
      <c r="M1135" s="11" t="s">
        <v>6358</v>
      </c>
      <c r="N1135" s="11" t="s">
        <v>86</v>
      </c>
      <c r="O1135" s="11" t="s">
        <v>71</v>
      </c>
      <c r="P1135" s="11" t="s">
        <v>6359</v>
      </c>
      <c r="Q1135" s="13" t="s">
        <v>6360</v>
      </c>
      <c r="R1135" s="14" t="str">
        <f>HYPERLINK("https://drive.google.com/file/d/1kqbhbIZ5TZD5AEtiNUUEetAhkWNpkRFp/view?usp=drivesdk","OFFER LETTER")</f>
        <v>OFFER LETTER</v>
      </c>
      <c r="S1135" s="11" t="s">
        <v>6361</v>
      </c>
    </row>
    <row r="1136" ht="22.5" customHeight="1">
      <c r="A1136" s="10">
        <v>46262.46647506944</v>
      </c>
      <c r="B1136" s="11" t="s">
        <v>6362</v>
      </c>
      <c r="C1136" s="11" t="s">
        <v>259</v>
      </c>
      <c r="D1136" s="11" t="s">
        <v>68</v>
      </c>
      <c r="E1136" s="12">
        <v>46174.0</v>
      </c>
      <c r="F1136" s="12">
        <v>46203.0</v>
      </c>
      <c r="G1136" s="11" t="s">
        <v>6363</v>
      </c>
      <c r="H1136" s="11">
        <v>9.342651289E9</v>
      </c>
      <c r="I1136" s="11" t="s">
        <v>82</v>
      </c>
      <c r="J1136" s="11" t="s">
        <v>71</v>
      </c>
      <c r="K1136" s="11" t="s">
        <v>72</v>
      </c>
      <c r="L1136" s="11" t="s">
        <v>73</v>
      </c>
      <c r="M1136" s="11" t="s">
        <v>6358</v>
      </c>
      <c r="N1136" s="11" t="s">
        <v>86</v>
      </c>
      <c r="O1136" s="11" t="s">
        <v>71</v>
      </c>
      <c r="P1136" s="11" t="s">
        <v>6364</v>
      </c>
      <c r="Q1136" s="13" t="s">
        <v>6365</v>
      </c>
      <c r="R1136" s="14" t="str">
        <f>HYPERLINK("https://drive.google.com/file/d/1aKF4IV0d93Fl_7u6liFr-KcIKm2TOUqC/view?usp=drivesdk","OFFER LETTER")</f>
        <v>OFFER LETTER</v>
      </c>
      <c r="S1136" s="11" t="s">
        <v>6366</v>
      </c>
    </row>
    <row r="1137" ht="22.5" customHeight="1">
      <c r="A1137" s="10">
        <v>46262.50824221065</v>
      </c>
      <c r="B1137" s="11" t="s">
        <v>6367</v>
      </c>
      <c r="C1137" s="11" t="s">
        <v>128</v>
      </c>
      <c r="D1137" s="11" t="s">
        <v>68</v>
      </c>
      <c r="E1137" s="12">
        <v>46212.0</v>
      </c>
      <c r="F1137" s="12">
        <v>46243.0</v>
      </c>
      <c r="G1137" s="11" t="s">
        <v>6368</v>
      </c>
      <c r="H1137" s="11">
        <v>6.202414235E9</v>
      </c>
      <c r="I1137" s="11" t="s">
        <v>82</v>
      </c>
      <c r="J1137" s="11" t="s">
        <v>71</v>
      </c>
      <c r="K1137" s="11" t="s">
        <v>72</v>
      </c>
      <c r="L1137" s="11" t="s">
        <v>84</v>
      </c>
      <c r="M1137" s="11" t="s">
        <v>301</v>
      </c>
      <c r="N1137" s="11" t="s">
        <v>198</v>
      </c>
      <c r="O1137" s="11" t="s">
        <v>71</v>
      </c>
      <c r="P1137" s="11" t="s">
        <v>6369</v>
      </c>
      <c r="Q1137" s="13" t="s">
        <v>6370</v>
      </c>
      <c r="R1137" s="14" t="str">
        <f>HYPERLINK("https://drive.google.com/file/d/1keuMHwHI3hMogrPGN88DzNZiePKoXrNI/view?usp=drivesdk","OFFER LETTER")</f>
        <v>OFFER LETTER</v>
      </c>
      <c r="S1137" s="11" t="s">
        <v>6371</v>
      </c>
    </row>
    <row r="1138" ht="22.5" customHeight="1">
      <c r="A1138" s="10">
        <v>46262.51855114583</v>
      </c>
      <c r="B1138" s="11" t="s">
        <v>6372</v>
      </c>
      <c r="C1138" s="11" t="s">
        <v>173</v>
      </c>
      <c r="D1138" s="11" t="s">
        <v>68</v>
      </c>
      <c r="E1138" s="12">
        <v>46183.0</v>
      </c>
      <c r="F1138" s="12">
        <v>46213.0</v>
      </c>
      <c r="G1138" s="11" t="s">
        <v>6373</v>
      </c>
      <c r="H1138" s="11">
        <v>7.505208703E9</v>
      </c>
      <c r="I1138" s="11" t="s">
        <v>82</v>
      </c>
      <c r="J1138" s="11" t="s">
        <v>71</v>
      </c>
      <c r="K1138" s="11" t="s">
        <v>72</v>
      </c>
      <c r="L1138" s="11" t="s">
        <v>84</v>
      </c>
      <c r="M1138" s="11" t="s">
        <v>6374</v>
      </c>
      <c r="N1138" s="11" t="s">
        <v>750</v>
      </c>
      <c r="O1138" s="11" t="s">
        <v>71</v>
      </c>
      <c r="P1138" s="11" t="s">
        <v>6375</v>
      </c>
      <c r="Q1138" s="13" t="s">
        <v>6376</v>
      </c>
      <c r="R1138" s="14" t="str">
        <f>HYPERLINK("https://drive.google.com/file/d/156E1CrkNxEAv11vOAt3S829VxyJI3Jfv/view?usp=drivesdk","OFFER LETTER")</f>
        <v>OFFER LETTER</v>
      </c>
      <c r="S1138" s="11" t="s">
        <v>6377</v>
      </c>
    </row>
    <row r="1139" ht="22.5" customHeight="1">
      <c r="A1139" s="10">
        <v>46262.53594447917</v>
      </c>
      <c r="B1139" s="11" t="s">
        <v>6378</v>
      </c>
      <c r="C1139" s="11" t="s">
        <v>195</v>
      </c>
      <c r="D1139" s="11" t="s">
        <v>68</v>
      </c>
      <c r="E1139" s="12">
        <v>46259.0</v>
      </c>
      <c r="F1139" s="12">
        <v>46290.0</v>
      </c>
      <c r="G1139" s="11" t="s">
        <v>6379</v>
      </c>
      <c r="H1139" s="11">
        <v>7.498182273E9</v>
      </c>
      <c r="I1139" s="11" t="s">
        <v>82</v>
      </c>
      <c r="J1139" s="11" t="s">
        <v>71</v>
      </c>
      <c r="K1139" s="11" t="s">
        <v>72</v>
      </c>
      <c r="L1139" s="11" t="s">
        <v>73</v>
      </c>
      <c r="M1139" s="11" t="s">
        <v>6380</v>
      </c>
      <c r="N1139" s="11" t="s">
        <v>86</v>
      </c>
      <c r="O1139" s="11" t="s">
        <v>71</v>
      </c>
      <c r="P1139" s="11" t="s">
        <v>6381</v>
      </c>
      <c r="Q1139" s="13" t="s">
        <v>6382</v>
      </c>
      <c r="R1139" s="14" t="str">
        <f>HYPERLINK("https://drive.google.com/file/d/1aNW-3lEw0_320x0vVdrOJ5vZ78KhxAjX/view?usp=drivesdk","OFFER LETTER")</f>
        <v>OFFER LETTER</v>
      </c>
      <c r="S1139" s="11" t="s">
        <v>6383</v>
      </c>
    </row>
    <row r="1140" ht="22.5" customHeight="1">
      <c r="A1140" s="10">
        <v>46262.539068784725</v>
      </c>
      <c r="B1140" s="11" t="s">
        <v>6384</v>
      </c>
      <c r="C1140" s="11" t="s">
        <v>91</v>
      </c>
      <c r="D1140" s="11" t="s">
        <v>68</v>
      </c>
      <c r="E1140" s="12">
        <v>46251.0</v>
      </c>
      <c r="F1140" s="12">
        <v>46264.0</v>
      </c>
      <c r="G1140" s="11" t="s">
        <v>6385</v>
      </c>
      <c r="H1140" s="11">
        <v>9.108208165E9</v>
      </c>
      <c r="I1140" s="11" t="s">
        <v>82</v>
      </c>
      <c r="J1140" s="11" t="s">
        <v>71</v>
      </c>
      <c r="K1140" s="11" t="s">
        <v>110</v>
      </c>
      <c r="L1140" s="11" t="s">
        <v>73</v>
      </c>
      <c r="M1140" s="11" t="s">
        <v>5640</v>
      </c>
      <c r="N1140" s="11" t="s">
        <v>750</v>
      </c>
      <c r="O1140" s="11" t="s">
        <v>71</v>
      </c>
      <c r="P1140" s="11" t="s">
        <v>6386</v>
      </c>
      <c r="Q1140" s="13" t="s">
        <v>6387</v>
      </c>
      <c r="R1140" s="14" t="str">
        <f>HYPERLINK("https://drive.google.com/file/d/1b3UHeaC9T8FRcj-1bImLkuIoiyBPuR7S/view?usp=drivesdk","OFFER LETTER")</f>
        <v>OFFER LETTER</v>
      </c>
      <c r="S1140" s="11" t="s">
        <v>6388</v>
      </c>
    </row>
    <row r="1141" ht="22.5" customHeight="1">
      <c r="A1141" s="10">
        <v>46262.54764449074</v>
      </c>
      <c r="B1141" s="11" t="s">
        <v>6389</v>
      </c>
      <c r="C1141" s="11" t="s">
        <v>596</v>
      </c>
      <c r="D1141" s="11" t="s">
        <v>929</v>
      </c>
      <c r="E1141" s="12">
        <v>46127.0</v>
      </c>
      <c r="F1141" s="12">
        <v>46315.0</v>
      </c>
      <c r="G1141" s="11" t="s">
        <v>6390</v>
      </c>
      <c r="H1141" s="11">
        <v>8.072557991E9</v>
      </c>
      <c r="I1141" s="11" t="s">
        <v>82</v>
      </c>
      <c r="J1141" s="11" t="s">
        <v>71</v>
      </c>
      <c r="K1141" s="11" t="s">
        <v>72</v>
      </c>
      <c r="L1141" s="11" t="s">
        <v>247</v>
      </c>
      <c r="M1141" s="11" t="s">
        <v>6391</v>
      </c>
      <c r="N1141" s="11" t="s">
        <v>241</v>
      </c>
      <c r="O1141" s="11" t="s">
        <v>71</v>
      </c>
      <c r="P1141" s="11" t="s">
        <v>6392</v>
      </c>
      <c r="Q1141" s="13" t="s">
        <v>6393</v>
      </c>
      <c r="R1141" s="14" t="str">
        <f>HYPERLINK("https://drive.google.com/file/d/1K6Zx8a7zpOBwTXsTU0YYUGcQ_IpAvV8x/view?usp=drivesdk","OFFER LETTER")</f>
        <v>OFFER LETTER</v>
      </c>
      <c r="S1141" s="11" t="s">
        <v>6394</v>
      </c>
    </row>
    <row r="1142" ht="22.5" customHeight="1">
      <c r="A1142" s="10">
        <v>46262.57403800926</v>
      </c>
      <c r="B1142" s="11" t="s">
        <v>6395</v>
      </c>
      <c r="C1142" s="11" t="s">
        <v>1320</v>
      </c>
      <c r="D1142" s="11" t="s">
        <v>68</v>
      </c>
      <c r="E1142" s="12">
        <v>46174.0</v>
      </c>
      <c r="F1142" s="12">
        <v>46204.0</v>
      </c>
      <c r="G1142" s="11" t="s">
        <v>6396</v>
      </c>
      <c r="H1142" s="11">
        <v>9.363867428E9</v>
      </c>
      <c r="I1142" s="11" t="s">
        <v>82</v>
      </c>
      <c r="J1142" s="11" t="s">
        <v>71</v>
      </c>
      <c r="K1142" s="11" t="s">
        <v>72</v>
      </c>
      <c r="L1142" s="11" t="s">
        <v>73</v>
      </c>
      <c r="M1142" s="11" t="s">
        <v>6397</v>
      </c>
      <c r="N1142" s="11" t="s">
        <v>86</v>
      </c>
      <c r="O1142" s="11" t="s">
        <v>71</v>
      </c>
      <c r="P1142" s="11" t="s">
        <v>6398</v>
      </c>
      <c r="Q1142" s="13" t="s">
        <v>6399</v>
      </c>
      <c r="R1142" s="14" t="str">
        <f>HYPERLINK("https://drive.google.com/file/d/1Hk2prQsiL2P0uNLG77YueYXy7weciRFM/view?usp=drivesdk","OFFER LETTER")</f>
        <v>OFFER LETTER</v>
      </c>
      <c r="S1142" s="11" t="s">
        <v>6400</v>
      </c>
    </row>
    <row r="1143" ht="22.5" customHeight="1">
      <c r="A1143" s="10">
        <v>46262.58189769676</v>
      </c>
      <c r="B1143" s="11" t="s">
        <v>6401</v>
      </c>
      <c r="C1143" s="11" t="s">
        <v>298</v>
      </c>
      <c r="D1143" s="11" t="s">
        <v>68</v>
      </c>
      <c r="E1143" s="12">
        <v>46262.0</v>
      </c>
      <c r="F1143" s="12">
        <v>46293.0</v>
      </c>
      <c r="G1143" s="11" t="s">
        <v>6402</v>
      </c>
      <c r="H1143" s="11">
        <v>9.361684512E9</v>
      </c>
      <c r="I1143" s="11" t="s">
        <v>70</v>
      </c>
      <c r="J1143" s="11" t="s">
        <v>71</v>
      </c>
      <c r="K1143" s="11" t="s">
        <v>72</v>
      </c>
      <c r="L1143" s="11" t="s">
        <v>131</v>
      </c>
      <c r="M1143" s="11" t="s">
        <v>5239</v>
      </c>
      <c r="N1143" s="11" t="s">
        <v>155</v>
      </c>
      <c r="O1143" s="11" t="s">
        <v>71</v>
      </c>
      <c r="P1143" s="11" t="s">
        <v>6403</v>
      </c>
      <c r="Q1143" s="13" t="s">
        <v>6404</v>
      </c>
      <c r="R1143" s="14" t="str">
        <f>HYPERLINK("https://drive.google.com/file/d/1h87_A2eGr5kMp_6kP92QKQCijN6Y15Y0/view?usp=drivesdk","OFFER LETTER")</f>
        <v>OFFER LETTER</v>
      </c>
      <c r="S1143" s="11" t="s">
        <v>6405</v>
      </c>
    </row>
    <row r="1144" ht="22.5" customHeight="1">
      <c r="A1144" s="10">
        <v>46262.58555645833</v>
      </c>
      <c r="B1144" s="11" t="s">
        <v>5040</v>
      </c>
      <c r="C1144" s="11" t="s">
        <v>195</v>
      </c>
      <c r="D1144" s="11" t="s">
        <v>68</v>
      </c>
      <c r="E1144" s="12">
        <v>46231.0</v>
      </c>
      <c r="F1144" s="12">
        <v>46262.0</v>
      </c>
      <c r="G1144" s="11" t="s">
        <v>6406</v>
      </c>
      <c r="H1144" s="11">
        <v>9.955535984E9</v>
      </c>
      <c r="I1144" s="11" t="s">
        <v>82</v>
      </c>
      <c r="J1144" s="11" t="s">
        <v>71</v>
      </c>
      <c r="K1144" s="11" t="s">
        <v>72</v>
      </c>
      <c r="L1144" s="11" t="s">
        <v>84</v>
      </c>
      <c r="M1144" s="11" t="s">
        <v>2655</v>
      </c>
      <c r="N1144" s="11" t="s">
        <v>133</v>
      </c>
      <c r="O1144" s="11" t="s">
        <v>71</v>
      </c>
      <c r="P1144" s="11" t="s">
        <v>6407</v>
      </c>
      <c r="Q1144" s="13" t="s">
        <v>6408</v>
      </c>
      <c r="R1144" s="14" t="str">
        <f>HYPERLINK("https://drive.google.com/file/d/1Qaah8C170S9SNpFeJt9zOIw1NuuZFlyy/view?usp=drivesdk","OFFER LETTER")</f>
        <v>OFFER LETTER</v>
      </c>
      <c r="S1144" s="11" t="s">
        <v>6409</v>
      </c>
    </row>
    <row r="1145" ht="22.5" customHeight="1">
      <c r="A1145" s="10">
        <v>46262.58776203704</v>
      </c>
      <c r="B1145" s="11" t="s">
        <v>6410</v>
      </c>
      <c r="C1145" s="11" t="s">
        <v>195</v>
      </c>
      <c r="D1145" s="11" t="s">
        <v>108</v>
      </c>
      <c r="E1145" s="12">
        <v>46262.0</v>
      </c>
      <c r="F1145" s="12">
        <v>46323.0</v>
      </c>
      <c r="G1145" s="11" t="s">
        <v>6411</v>
      </c>
      <c r="H1145" s="11">
        <v>6.307313644E9</v>
      </c>
      <c r="I1145" s="11" t="s">
        <v>82</v>
      </c>
      <c r="J1145" s="11" t="s">
        <v>71</v>
      </c>
      <c r="K1145" s="11" t="s">
        <v>356</v>
      </c>
      <c r="L1145" s="11" t="s">
        <v>84</v>
      </c>
      <c r="M1145" s="11" t="s">
        <v>6412</v>
      </c>
      <c r="N1145" s="11" t="s">
        <v>86</v>
      </c>
      <c r="O1145" s="11" t="s">
        <v>71</v>
      </c>
      <c r="P1145" s="11" t="s">
        <v>6413</v>
      </c>
      <c r="Q1145" s="13" t="s">
        <v>6414</v>
      </c>
      <c r="R1145" s="14" t="str">
        <f>HYPERLINK("https://drive.google.com/file/d/1UABjywxOiWdHrg1bK7ySu41hw6RhBvuk/view?usp=drivesdk","OFFER LETTER")</f>
        <v>OFFER LETTER</v>
      </c>
      <c r="S1145" s="11" t="s">
        <v>6415</v>
      </c>
    </row>
    <row r="1146" ht="22.5" customHeight="1">
      <c r="A1146" s="10">
        <v>46262.59569724537</v>
      </c>
      <c r="B1146" s="11" t="s">
        <v>6416</v>
      </c>
      <c r="C1146" s="11" t="s">
        <v>91</v>
      </c>
      <c r="D1146" s="11" t="s">
        <v>68</v>
      </c>
      <c r="E1146" s="12">
        <v>46241.0</v>
      </c>
      <c r="F1146" s="12">
        <v>46272.0</v>
      </c>
      <c r="G1146" s="11" t="s">
        <v>6417</v>
      </c>
      <c r="H1146" s="11">
        <v>7.72489742E9</v>
      </c>
      <c r="I1146" s="11" t="s">
        <v>82</v>
      </c>
      <c r="J1146" s="11" t="s">
        <v>83</v>
      </c>
      <c r="K1146" s="11" t="s">
        <v>72</v>
      </c>
      <c r="L1146" s="11" t="s">
        <v>131</v>
      </c>
      <c r="M1146" s="11" t="s">
        <v>6418</v>
      </c>
      <c r="N1146" s="11" t="s">
        <v>86</v>
      </c>
      <c r="O1146" s="11" t="s">
        <v>71</v>
      </c>
      <c r="P1146" s="11" t="s">
        <v>6419</v>
      </c>
      <c r="Q1146" s="13" t="s">
        <v>6420</v>
      </c>
      <c r="R1146" s="14" t="str">
        <f>HYPERLINK("https://drive.google.com/file/d/1zmDxz_sMPhQboriWvtIKxYXxm_VgAE2g/view?usp=drivesdk","OFFER LETTER")</f>
        <v>OFFER LETTER</v>
      </c>
      <c r="S1146" s="11" t="s">
        <v>6421</v>
      </c>
    </row>
    <row r="1147" ht="22.5" customHeight="1">
      <c r="A1147" s="10">
        <v>46262.59747291666</v>
      </c>
      <c r="B1147" s="11" t="s">
        <v>6422</v>
      </c>
      <c r="C1147" s="11" t="s">
        <v>195</v>
      </c>
      <c r="D1147" s="11" t="s">
        <v>68</v>
      </c>
      <c r="E1147" s="12">
        <v>46204.0</v>
      </c>
      <c r="F1147" s="12">
        <v>46239.0</v>
      </c>
      <c r="G1147" s="11" t="s">
        <v>6423</v>
      </c>
      <c r="H1147" s="11">
        <v>8.800169056E9</v>
      </c>
      <c r="I1147" s="11" t="s">
        <v>82</v>
      </c>
      <c r="J1147" s="11" t="s">
        <v>130</v>
      </c>
      <c r="K1147" s="11" t="s">
        <v>72</v>
      </c>
      <c r="L1147" s="11" t="s">
        <v>84</v>
      </c>
      <c r="M1147" s="11" t="s">
        <v>6424</v>
      </c>
      <c r="N1147" s="11" t="s">
        <v>86</v>
      </c>
      <c r="O1147" s="11" t="s">
        <v>71</v>
      </c>
      <c r="P1147" s="11" t="s">
        <v>6425</v>
      </c>
      <c r="Q1147" s="13" t="s">
        <v>6426</v>
      </c>
      <c r="R1147" s="14" t="str">
        <f>HYPERLINK("https://drive.google.com/file/d/11ofGktpPnE9x6vaLGPTEh5gw3uKbR5zV/view?usp=drivesdk","OFFER LETTER")</f>
        <v>OFFER LETTER</v>
      </c>
      <c r="S1147" s="11" t="s">
        <v>6427</v>
      </c>
    </row>
    <row r="1148" ht="22.5" customHeight="1">
      <c r="A1148" s="10">
        <v>46262.61637321759</v>
      </c>
      <c r="B1148" s="11" t="s">
        <v>6428</v>
      </c>
      <c r="C1148" s="11" t="s">
        <v>195</v>
      </c>
      <c r="D1148" s="11" t="s">
        <v>68</v>
      </c>
      <c r="E1148" s="12">
        <v>46213.0</v>
      </c>
      <c r="F1148" s="12">
        <v>46245.0</v>
      </c>
      <c r="G1148" s="11" t="s">
        <v>6429</v>
      </c>
      <c r="H1148" s="11">
        <v>9.685400214E9</v>
      </c>
      <c r="I1148" s="11" t="s">
        <v>82</v>
      </c>
      <c r="J1148" s="11" t="s">
        <v>71</v>
      </c>
      <c r="K1148" s="11" t="s">
        <v>72</v>
      </c>
      <c r="L1148" s="11" t="s">
        <v>84</v>
      </c>
      <c r="M1148" s="11" t="s">
        <v>886</v>
      </c>
      <c r="N1148" s="11" t="s">
        <v>86</v>
      </c>
      <c r="O1148" s="11" t="s">
        <v>71</v>
      </c>
      <c r="P1148" s="11" t="s">
        <v>6430</v>
      </c>
      <c r="Q1148" s="13" t="s">
        <v>6431</v>
      </c>
      <c r="R1148" s="14" t="str">
        <f>HYPERLINK("https://drive.google.com/file/d/19_QIF16jGZ9926zdddWxA_az5NQsWl3m/view?usp=drivesdk","OFFER LETTER")</f>
        <v>OFFER LETTER</v>
      </c>
      <c r="S1148" s="11" t="s">
        <v>6432</v>
      </c>
    </row>
    <row r="1149" ht="22.5" customHeight="1">
      <c r="A1149" s="10">
        <v>46262.620574050925</v>
      </c>
      <c r="B1149" s="11" t="s">
        <v>6433</v>
      </c>
      <c r="C1149" s="11" t="s">
        <v>195</v>
      </c>
      <c r="D1149" s="11" t="s">
        <v>238</v>
      </c>
      <c r="E1149" s="12">
        <v>46174.0</v>
      </c>
      <c r="F1149" s="12">
        <v>46266.0</v>
      </c>
      <c r="G1149" s="11" t="s">
        <v>597</v>
      </c>
      <c r="H1149" s="11">
        <v>8.309991301E9</v>
      </c>
      <c r="I1149" s="11" t="s">
        <v>82</v>
      </c>
      <c r="J1149" s="11" t="s">
        <v>130</v>
      </c>
      <c r="K1149" s="11" t="s">
        <v>72</v>
      </c>
      <c r="L1149" s="11" t="s">
        <v>131</v>
      </c>
      <c r="M1149" s="11" t="s">
        <v>3625</v>
      </c>
      <c r="N1149" s="11" t="s">
        <v>630</v>
      </c>
      <c r="O1149" s="11" t="s">
        <v>71</v>
      </c>
      <c r="P1149" s="11" t="s">
        <v>6434</v>
      </c>
      <c r="Q1149" s="13" t="s">
        <v>6435</v>
      </c>
      <c r="R1149" s="14" t="str">
        <f>HYPERLINK("https://drive.google.com/file/d/1fkqKmGYQerwnxM3HW1fwri0pvCrBjIp7/view?usp=drivesdk","OFFER LETTER")</f>
        <v>OFFER LETTER</v>
      </c>
      <c r="S1149" s="11" t="s">
        <v>6436</v>
      </c>
    </row>
    <row r="1150" ht="22.5" customHeight="1">
      <c r="A1150" s="10">
        <v>46262.62067125</v>
      </c>
      <c r="B1150" s="11" t="s">
        <v>3441</v>
      </c>
      <c r="C1150" s="11" t="s">
        <v>195</v>
      </c>
      <c r="D1150" s="11" t="s">
        <v>68</v>
      </c>
      <c r="E1150" s="12">
        <v>46258.0</v>
      </c>
      <c r="F1150" s="12">
        <v>46289.0</v>
      </c>
      <c r="G1150" s="11" t="s">
        <v>3442</v>
      </c>
      <c r="H1150" s="11">
        <v>9.9879254E9</v>
      </c>
      <c r="I1150" s="11" t="s">
        <v>82</v>
      </c>
      <c r="J1150" s="11" t="s">
        <v>83</v>
      </c>
      <c r="K1150" s="13" t="s">
        <v>443</v>
      </c>
      <c r="L1150" s="11" t="s">
        <v>73</v>
      </c>
      <c r="M1150" s="11" t="s">
        <v>3479</v>
      </c>
      <c r="N1150" s="11" t="s">
        <v>630</v>
      </c>
      <c r="O1150" s="11" t="s">
        <v>71</v>
      </c>
      <c r="P1150" s="11" t="s">
        <v>6437</v>
      </c>
      <c r="Q1150" s="13" t="s">
        <v>6438</v>
      </c>
      <c r="R1150" s="14" t="str">
        <f>HYPERLINK("https://drive.google.com/file/d/1mnptLUiXalaw9ZmxdcPmgCKbIitur-fJ/view?usp=drivesdk","OFFER LETTER")</f>
        <v>OFFER LETTER</v>
      </c>
      <c r="S1150" s="11" t="s">
        <v>6439</v>
      </c>
    </row>
    <row r="1151" ht="22.5" customHeight="1">
      <c r="A1151" s="10">
        <v>46262.625198622685</v>
      </c>
      <c r="B1151" s="11" t="s">
        <v>6440</v>
      </c>
      <c r="C1151" s="11" t="s">
        <v>107</v>
      </c>
      <c r="D1151" s="11" t="s">
        <v>108</v>
      </c>
      <c r="E1151" s="12">
        <v>46233.0</v>
      </c>
      <c r="F1151" s="12">
        <v>46264.0</v>
      </c>
      <c r="G1151" s="11" t="s">
        <v>6441</v>
      </c>
      <c r="H1151" s="11">
        <v>9.467276946E9</v>
      </c>
      <c r="I1151" s="11" t="s">
        <v>82</v>
      </c>
      <c r="J1151" s="11" t="s">
        <v>71</v>
      </c>
      <c r="K1151" s="11" t="s">
        <v>72</v>
      </c>
      <c r="L1151" s="11" t="s">
        <v>73</v>
      </c>
      <c r="M1151" s="11" t="s">
        <v>6442</v>
      </c>
      <c r="N1151" s="11" t="s">
        <v>75</v>
      </c>
      <c r="O1151" s="11" t="s">
        <v>71</v>
      </c>
      <c r="P1151" s="11" t="s">
        <v>6443</v>
      </c>
      <c r="Q1151" s="13" t="s">
        <v>6444</v>
      </c>
      <c r="R1151" s="14" t="str">
        <f>HYPERLINK("https://drive.google.com/file/d/16bR1kAOy1qN3VtVOyMSIAStt48U_aLvM/view?usp=drivesdk","OFFER LETTER")</f>
        <v>OFFER LETTER</v>
      </c>
      <c r="S1151" s="11" t="s">
        <v>6445</v>
      </c>
    </row>
    <row r="1152" ht="22.5" customHeight="1">
      <c r="A1152" s="10">
        <v>46262.628070729166</v>
      </c>
      <c r="B1152" s="11" t="s">
        <v>6446</v>
      </c>
      <c r="C1152" s="11" t="s">
        <v>195</v>
      </c>
      <c r="D1152" s="11" t="s">
        <v>68</v>
      </c>
      <c r="E1152" s="12">
        <v>46258.0</v>
      </c>
      <c r="F1152" s="12">
        <v>46290.0</v>
      </c>
      <c r="G1152" s="11" t="s">
        <v>6447</v>
      </c>
      <c r="H1152" s="11">
        <v>9.226791616E9</v>
      </c>
      <c r="I1152" s="11" t="s">
        <v>82</v>
      </c>
      <c r="J1152" s="11" t="s">
        <v>71</v>
      </c>
      <c r="K1152" s="11" t="s">
        <v>72</v>
      </c>
      <c r="L1152" s="11" t="s">
        <v>73</v>
      </c>
      <c r="M1152" s="11" t="s">
        <v>6448</v>
      </c>
      <c r="N1152" s="11" t="s">
        <v>86</v>
      </c>
      <c r="O1152" s="11" t="s">
        <v>71</v>
      </c>
      <c r="P1152" s="11" t="s">
        <v>6449</v>
      </c>
      <c r="Q1152" s="13" t="s">
        <v>6450</v>
      </c>
      <c r="R1152" s="14" t="str">
        <f>HYPERLINK("https://drive.google.com/file/d/1R8xS5DYoBXpGXOErb95XglpjgOT3C0b8/view?usp=drivesdk","OFFER LETTER")</f>
        <v>OFFER LETTER</v>
      </c>
      <c r="S1152" s="11" t="s">
        <v>6451</v>
      </c>
    </row>
    <row r="1153" ht="22.5" customHeight="1">
      <c r="A1153" s="10">
        <v>46262.64302177083</v>
      </c>
      <c r="B1153" s="11" t="s">
        <v>6452</v>
      </c>
      <c r="C1153" s="11" t="s">
        <v>195</v>
      </c>
      <c r="D1153" s="11" t="s">
        <v>108</v>
      </c>
      <c r="E1153" s="12">
        <v>46174.0</v>
      </c>
      <c r="F1153" s="12">
        <v>46236.0</v>
      </c>
      <c r="G1153" s="11" t="s">
        <v>6453</v>
      </c>
      <c r="H1153" s="11">
        <v>6.396942545E9</v>
      </c>
      <c r="I1153" s="11" t="s">
        <v>82</v>
      </c>
      <c r="J1153" s="11" t="s">
        <v>71</v>
      </c>
      <c r="K1153" s="11" t="s">
        <v>72</v>
      </c>
      <c r="L1153" s="11" t="s">
        <v>131</v>
      </c>
      <c r="M1153" s="11" t="s">
        <v>6454</v>
      </c>
      <c r="N1153" s="11" t="s">
        <v>75</v>
      </c>
      <c r="O1153" s="11" t="s">
        <v>71</v>
      </c>
      <c r="P1153" s="11" t="s">
        <v>6455</v>
      </c>
      <c r="Q1153" s="13" t="s">
        <v>6456</v>
      </c>
      <c r="R1153" s="14" t="str">
        <f>HYPERLINK("https://drive.google.com/file/d/16OLc_3NSULo5v1oCLouyQpLerS5HNB7y/view?usp=drivesdk","OFFER LETTER")</f>
        <v>OFFER LETTER</v>
      </c>
      <c r="S1153" s="11" t="s">
        <v>6457</v>
      </c>
    </row>
    <row r="1154" ht="22.5" customHeight="1">
      <c r="A1154" s="10">
        <v>46262.64461820602</v>
      </c>
      <c r="B1154" s="11" t="s">
        <v>6458</v>
      </c>
      <c r="C1154" s="11" t="s">
        <v>80</v>
      </c>
      <c r="D1154" s="11" t="s">
        <v>68</v>
      </c>
      <c r="E1154" s="12">
        <v>46264.0</v>
      </c>
      <c r="F1154" s="12">
        <v>46295.0</v>
      </c>
      <c r="G1154" s="11" t="s">
        <v>6459</v>
      </c>
      <c r="H1154" s="11">
        <v>9.86681481E9</v>
      </c>
      <c r="I1154" s="11" t="s">
        <v>82</v>
      </c>
      <c r="J1154" s="11" t="s">
        <v>71</v>
      </c>
      <c r="K1154" s="11" t="s">
        <v>72</v>
      </c>
      <c r="L1154" s="11" t="s">
        <v>73</v>
      </c>
      <c r="M1154" s="11" t="s">
        <v>6460</v>
      </c>
      <c r="N1154" s="11" t="s">
        <v>86</v>
      </c>
      <c r="O1154" s="11" t="s">
        <v>71</v>
      </c>
      <c r="P1154" s="11" t="s">
        <v>6461</v>
      </c>
      <c r="Q1154" s="13" t="s">
        <v>6462</v>
      </c>
      <c r="R1154" s="14" t="str">
        <f>HYPERLINK("https://drive.google.com/file/d/1T91giX8sBNYUDTqfCjUa1dsN9f6YAvS7/view?usp=drivesdk","OFFER LETTER")</f>
        <v>OFFER LETTER</v>
      </c>
      <c r="S1154" s="11" t="s">
        <v>6463</v>
      </c>
    </row>
    <row r="1155" ht="22.5" customHeight="1">
      <c r="A1155" s="10">
        <v>46262.65499012731</v>
      </c>
      <c r="B1155" s="11" t="s">
        <v>6464</v>
      </c>
      <c r="C1155" s="11" t="s">
        <v>237</v>
      </c>
      <c r="D1155" s="11" t="s">
        <v>68</v>
      </c>
      <c r="E1155" s="12">
        <v>46262.0</v>
      </c>
      <c r="F1155" s="12">
        <v>46293.0</v>
      </c>
      <c r="G1155" s="11" t="s">
        <v>6465</v>
      </c>
      <c r="H1155" s="11">
        <v>9.960024907E9</v>
      </c>
      <c r="I1155" s="11" t="s">
        <v>82</v>
      </c>
      <c r="J1155" s="11" t="s">
        <v>71</v>
      </c>
      <c r="K1155" s="11" t="s">
        <v>72</v>
      </c>
      <c r="L1155" s="11" t="s">
        <v>131</v>
      </c>
      <c r="M1155" s="11" t="s">
        <v>6466</v>
      </c>
      <c r="N1155" s="11" t="s">
        <v>3833</v>
      </c>
      <c r="O1155" s="11" t="s">
        <v>263</v>
      </c>
      <c r="P1155" s="11" t="s">
        <v>6467</v>
      </c>
      <c r="Q1155" s="13" t="s">
        <v>6468</v>
      </c>
      <c r="R1155" s="14" t="str">
        <f>HYPERLINK("https://drive.google.com/file/d/1CHmgKmFu23bdaxsa_UDYisNTMH_1fXxl/view?usp=drivesdk","OFFER LETTER")</f>
        <v>OFFER LETTER</v>
      </c>
      <c r="S1155" s="11" t="s">
        <v>6469</v>
      </c>
    </row>
    <row r="1156" ht="22.5" customHeight="1">
      <c r="A1156" s="10">
        <v>46262.65666528935</v>
      </c>
      <c r="B1156" s="11" t="s">
        <v>6470</v>
      </c>
      <c r="C1156" s="11" t="s">
        <v>237</v>
      </c>
      <c r="D1156" s="11" t="s">
        <v>68</v>
      </c>
      <c r="E1156" s="12">
        <v>46262.0</v>
      </c>
      <c r="F1156" s="12">
        <v>46294.0</v>
      </c>
      <c r="G1156" s="11" t="s">
        <v>6471</v>
      </c>
      <c r="H1156" s="11">
        <v>9.406834364E9</v>
      </c>
      <c r="I1156" s="11" t="s">
        <v>82</v>
      </c>
      <c r="J1156" s="11" t="s">
        <v>71</v>
      </c>
      <c r="K1156" s="11" t="s">
        <v>72</v>
      </c>
      <c r="L1156" s="11" t="s">
        <v>84</v>
      </c>
      <c r="M1156" s="11" t="s">
        <v>4489</v>
      </c>
      <c r="N1156" s="11" t="s">
        <v>75</v>
      </c>
      <c r="O1156" s="11" t="s">
        <v>71</v>
      </c>
      <c r="P1156" s="11" t="s">
        <v>6472</v>
      </c>
      <c r="Q1156" s="13" t="s">
        <v>6473</v>
      </c>
      <c r="R1156" s="14" t="str">
        <f>HYPERLINK("https://drive.google.com/file/d/1-rYEXWXymr0Ws5U0p_YtQnKahuAd1rng/view?usp=drivesdk","OFFER LETTER")</f>
        <v>OFFER LETTER</v>
      </c>
      <c r="S1156" s="11" t="s">
        <v>6474</v>
      </c>
    </row>
    <row r="1157" ht="22.5" customHeight="1">
      <c r="A1157" s="10">
        <v>46262.68013415509</v>
      </c>
      <c r="B1157" s="11" t="s">
        <v>6475</v>
      </c>
      <c r="C1157" s="11" t="s">
        <v>259</v>
      </c>
      <c r="D1157" s="11" t="s">
        <v>68</v>
      </c>
      <c r="E1157" s="12">
        <v>46263.0</v>
      </c>
      <c r="F1157" s="12">
        <v>46294.0</v>
      </c>
      <c r="G1157" s="11" t="s">
        <v>6476</v>
      </c>
      <c r="H1157" s="11">
        <v>9.408466615E9</v>
      </c>
      <c r="I1157" s="11" t="s">
        <v>82</v>
      </c>
      <c r="J1157" s="11" t="s">
        <v>71</v>
      </c>
      <c r="K1157" s="11" t="s">
        <v>356</v>
      </c>
      <c r="L1157" s="11" t="s">
        <v>84</v>
      </c>
      <c r="M1157" s="11" t="s">
        <v>6477</v>
      </c>
      <c r="N1157" s="11" t="s">
        <v>3833</v>
      </c>
      <c r="O1157" s="11" t="s">
        <v>71</v>
      </c>
      <c r="P1157" s="11" t="s">
        <v>6478</v>
      </c>
      <c r="Q1157" s="13" t="s">
        <v>6479</v>
      </c>
      <c r="R1157" s="14" t="str">
        <f>HYPERLINK("https://drive.google.com/file/d/1rnt-zTYBzdWL-KA5GMK3FMCHvnBY7Mjn/view?usp=drivesdk","OFFER LETTER")</f>
        <v>OFFER LETTER</v>
      </c>
      <c r="S1157" s="11" t="s">
        <v>6480</v>
      </c>
    </row>
    <row r="1158" ht="22.5" customHeight="1">
      <c r="A1158" s="10">
        <v>46262.68776778935</v>
      </c>
      <c r="B1158" s="11" t="s">
        <v>6481</v>
      </c>
      <c r="C1158" s="11" t="s">
        <v>107</v>
      </c>
      <c r="D1158" s="11" t="s">
        <v>68</v>
      </c>
      <c r="E1158" s="12">
        <v>46174.0</v>
      </c>
      <c r="F1158" s="12">
        <v>46204.0</v>
      </c>
      <c r="G1158" s="11" t="s">
        <v>6482</v>
      </c>
      <c r="H1158" s="11">
        <v>7.004995792E9</v>
      </c>
      <c r="I1158" s="11" t="s">
        <v>82</v>
      </c>
      <c r="J1158" s="11" t="s">
        <v>71</v>
      </c>
      <c r="K1158" s="11" t="s">
        <v>72</v>
      </c>
      <c r="L1158" s="11" t="s">
        <v>131</v>
      </c>
      <c r="M1158" s="11" t="s">
        <v>5261</v>
      </c>
      <c r="N1158" s="11" t="s">
        <v>75</v>
      </c>
      <c r="O1158" s="11" t="s">
        <v>71</v>
      </c>
      <c r="P1158" s="11" t="s">
        <v>6483</v>
      </c>
      <c r="Q1158" s="13" t="s">
        <v>6484</v>
      </c>
      <c r="R1158" s="14" t="str">
        <f>HYPERLINK("https://drive.google.com/file/d/1kVmWGdGp2xQ022UkpH0UW1DGxEVWwBkX/view?usp=drivesdk","OFFER LETTER")</f>
        <v>OFFER LETTER</v>
      </c>
      <c r="S1158" s="11" t="s">
        <v>6485</v>
      </c>
    </row>
    <row r="1159" ht="22.5" customHeight="1">
      <c r="A1159" s="10">
        <v>46262.70438491898</v>
      </c>
      <c r="B1159" s="11" t="s">
        <v>6486</v>
      </c>
      <c r="C1159" s="11" t="s">
        <v>91</v>
      </c>
      <c r="D1159" s="11" t="s">
        <v>68</v>
      </c>
      <c r="E1159" s="12">
        <v>46262.0</v>
      </c>
      <c r="F1159" s="12">
        <v>46293.0</v>
      </c>
      <c r="G1159" s="11" t="s">
        <v>6487</v>
      </c>
      <c r="H1159" s="11">
        <v>9.676479628E9</v>
      </c>
      <c r="I1159" s="11" t="s">
        <v>82</v>
      </c>
      <c r="J1159" s="11" t="s">
        <v>71</v>
      </c>
      <c r="K1159" s="11" t="s">
        <v>72</v>
      </c>
      <c r="L1159" s="11" t="s">
        <v>73</v>
      </c>
      <c r="M1159" s="11" t="s">
        <v>6488</v>
      </c>
      <c r="N1159" s="11" t="s">
        <v>219</v>
      </c>
      <c r="O1159" s="11" t="s">
        <v>71</v>
      </c>
      <c r="P1159" s="11" t="s">
        <v>6489</v>
      </c>
      <c r="Q1159" s="13" t="s">
        <v>6490</v>
      </c>
      <c r="R1159" s="14" t="str">
        <f>HYPERLINK("https://drive.google.com/file/d/1gNKqYUmCAjxRTkfoJ5EdKKxwOGXtYYqT/view?usp=drivesdk","OFFER LETTER")</f>
        <v>OFFER LETTER</v>
      </c>
      <c r="S1159" s="11" t="s">
        <v>6491</v>
      </c>
    </row>
    <row r="1160" ht="22.5" customHeight="1">
      <c r="A1160" s="10">
        <v>46262.722239525465</v>
      </c>
      <c r="B1160" s="11" t="s">
        <v>6492</v>
      </c>
      <c r="C1160" s="11" t="s">
        <v>173</v>
      </c>
      <c r="D1160" s="11" t="s">
        <v>68</v>
      </c>
      <c r="E1160" s="12">
        <v>46262.0</v>
      </c>
      <c r="F1160" s="12">
        <v>46295.0</v>
      </c>
      <c r="G1160" s="11" t="s">
        <v>6493</v>
      </c>
      <c r="H1160" s="17" t="s">
        <v>6494</v>
      </c>
      <c r="I1160" s="11" t="s">
        <v>70</v>
      </c>
      <c r="J1160" s="11" t="s">
        <v>71</v>
      </c>
      <c r="K1160" s="11" t="s">
        <v>72</v>
      </c>
      <c r="L1160" s="11" t="s">
        <v>73</v>
      </c>
      <c r="M1160" s="11" t="s">
        <v>6495</v>
      </c>
      <c r="N1160" s="11" t="s">
        <v>241</v>
      </c>
      <c r="O1160" s="11" t="s">
        <v>71</v>
      </c>
      <c r="P1160" s="11" t="s">
        <v>6496</v>
      </c>
      <c r="Q1160" s="13" t="s">
        <v>6497</v>
      </c>
      <c r="R1160" s="14" t="str">
        <f>HYPERLINK("https://drive.google.com/file/d/1k-E4BniDHOPgy0CK-U4mXtMHqwU83RTw/view?usp=drivesdk","OFFER LETTER")</f>
        <v>OFFER LETTER</v>
      </c>
      <c r="S1160" s="11" t="s">
        <v>6498</v>
      </c>
    </row>
    <row r="1161" ht="22.5" customHeight="1">
      <c r="A1161" s="10">
        <v>46262.731513935185</v>
      </c>
      <c r="B1161" s="11" t="s">
        <v>6499</v>
      </c>
      <c r="C1161" s="11" t="s">
        <v>67</v>
      </c>
      <c r="D1161" s="11" t="s">
        <v>68</v>
      </c>
      <c r="E1161" s="12">
        <v>46178.0</v>
      </c>
      <c r="F1161" s="12">
        <v>46208.0</v>
      </c>
      <c r="G1161" s="11" t="s">
        <v>6500</v>
      </c>
      <c r="H1161" s="11">
        <v>9.934145926E9</v>
      </c>
      <c r="I1161" s="11" t="s">
        <v>82</v>
      </c>
      <c r="J1161" s="11" t="s">
        <v>71</v>
      </c>
      <c r="K1161" s="11" t="s">
        <v>72</v>
      </c>
      <c r="L1161" s="11" t="s">
        <v>131</v>
      </c>
      <c r="M1161" s="11" t="s">
        <v>5261</v>
      </c>
      <c r="N1161" s="11" t="s">
        <v>75</v>
      </c>
      <c r="O1161" s="11" t="s">
        <v>71</v>
      </c>
      <c r="P1161" s="11" t="s">
        <v>6501</v>
      </c>
      <c r="Q1161" s="13" t="s">
        <v>6502</v>
      </c>
      <c r="R1161" s="14" t="str">
        <f>HYPERLINK("https://drive.google.com/file/d/118m2-uRJRm1k54qbxNfOJBw3ZzbwoGCM/view?usp=drivesdk","OFFER LETTER")</f>
        <v>OFFER LETTER</v>
      </c>
      <c r="S1161" s="11" t="s">
        <v>6503</v>
      </c>
    </row>
    <row r="1162" ht="22.5" customHeight="1">
      <c r="A1162" s="10">
        <v>46262.73204376157</v>
      </c>
      <c r="B1162" s="11" t="s">
        <v>6504</v>
      </c>
      <c r="C1162" s="11" t="s">
        <v>298</v>
      </c>
      <c r="D1162" s="11" t="s">
        <v>68</v>
      </c>
      <c r="E1162" s="12">
        <v>46232.0</v>
      </c>
      <c r="F1162" s="12">
        <v>46264.0</v>
      </c>
      <c r="G1162" s="11" t="s">
        <v>6505</v>
      </c>
      <c r="H1162" s="11">
        <v>9.348620715E9</v>
      </c>
      <c r="I1162" s="11" t="s">
        <v>82</v>
      </c>
      <c r="J1162" s="11" t="s">
        <v>83</v>
      </c>
      <c r="K1162" s="11" t="s">
        <v>72</v>
      </c>
      <c r="L1162" s="11" t="s">
        <v>73</v>
      </c>
      <c r="M1162" s="11" t="s">
        <v>5877</v>
      </c>
      <c r="N1162" s="11" t="s">
        <v>86</v>
      </c>
      <c r="O1162" s="11" t="s">
        <v>71</v>
      </c>
      <c r="P1162" s="11" t="s">
        <v>6506</v>
      </c>
      <c r="Q1162" s="13" t="s">
        <v>6507</v>
      </c>
      <c r="R1162" s="14" t="str">
        <f>HYPERLINK("https://drive.google.com/file/d/189qHGIisq5uiVfplStY9RlgSYm6YCNyI/view?usp=drivesdk","OFFER LETTER")</f>
        <v>OFFER LETTER</v>
      </c>
      <c r="S1162" s="11" t="s">
        <v>6508</v>
      </c>
    </row>
    <row r="1163" ht="22.5" customHeight="1">
      <c r="A1163" s="10">
        <v>46262.74267060185</v>
      </c>
      <c r="B1163" s="11" t="s">
        <v>6509</v>
      </c>
      <c r="C1163" s="11" t="s">
        <v>107</v>
      </c>
      <c r="D1163" s="11" t="s">
        <v>68</v>
      </c>
      <c r="E1163" s="12">
        <v>46263.0</v>
      </c>
      <c r="F1163" s="12">
        <v>46293.0</v>
      </c>
      <c r="G1163" s="11" t="s">
        <v>6510</v>
      </c>
      <c r="H1163" s="11">
        <v>6.392250796E9</v>
      </c>
      <c r="I1163" s="11" t="s">
        <v>82</v>
      </c>
      <c r="J1163" s="11" t="s">
        <v>71</v>
      </c>
      <c r="K1163" s="11" t="s">
        <v>356</v>
      </c>
      <c r="L1163" s="11" t="s">
        <v>84</v>
      </c>
      <c r="M1163" s="11" t="s">
        <v>1779</v>
      </c>
      <c r="N1163" s="11" t="s">
        <v>198</v>
      </c>
      <c r="O1163" s="11" t="s">
        <v>71</v>
      </c>
      <c r="P1163" s="11" t="s">
        <v>6511</v>
      </c>
      <c r="Q1163" s="13" t="s">
        <v>6512</v>
      </c>
      <c r="R1163" s="14" t="str">
        <f>HYPERLINK("https://drive.google.com/file/d/1D4zg1FxwpFxfAqL9lT-LKps9q6qYpeYe/view?usp=drivesdk","OFFER LETTER")</f>
        <v>OFFER LETTER</v>
      </c>
      <c r="S1163" s="11" t="s">
        <v>6513</v>
      </c>
    </row>
    <row r="1164" ht="22.5" customHeight="1">
      <c r="A1164" s="10">
        <v>46262.75685449074</v>
      </c>
      <c r="B1164" s="11" t="s">
        <v>6514</v>
      </c>
      <c r="C1164" s="11" t="s">
        <v>173</v>
      </c>
      <c r="D1164" s="11" t="s">
        <v>68</v>
      </c>
      <c r="E1164" s="12">
        <v>46088.0</v>
      </c>
      <c r="F1164" s="12">
        <v>46060.0</v>
      </c>
      <c r="G1164" s="11" t="s">
        <v>6515</v>
      </c>
      <c r="H1164" s="11">
        <v>8.076758032E9</v>
      </c>
      <c r="I1164" s="11" t="s">
        <v>82</v>
      </c>
      <c r="J1164" s="11" t="s">
        <v>71</v>
      </c>
      <c r="K1164" s="11" t="s">
        <v>72</v>
      </c>
      <c r="L1164" s="11" t="s">
        <v>73</v>
      </c>
      <c r="M1164" s="11" t="s">
        <v>6516</v>
      </c>
      <c r="N1164" s="11" t="s">
        <v>133</v>
      </c>
      <c r="O1164" s="11" t="s">
        <v>71</v>
      </c>
      <c r="P1164" s="11" t="s">
        <v>6517</v>
      </c>
      <c r="Q1164" s="13" t="s">
        <v>6518</v>
      </c>
      <c r="R1164" s="14" t="str">
        <f>HYPERLINK("https://drive.google.com/file/d/1uUoeQlP5tX7lixhWhV6KDqaOnJI8Oxe2/view?usp=drivesdk","OFFER LETTER")</f>
        <v>OFFER LETTER</v>
      </c>
      <c r="S1164" s="11" t="s">
        <v>6519</v>
      </c>
    </row>
    <row r="1165" ht="22.5" customHeight="1">
      <c r="A1165" s="10">
        <v>46262.79378100694</v>
      </c>
      <c r="B1165" s="11" t="s">
        <v>6520</v>
      </c>
      <c r="C1165" s="11" t="s">
        <v>596</v>
      </c>
      <c r="D1165" s="11" t="s">
        <v>929</v>
      </c>
      <c r="E1165" s="12">
        <v>46063.0</v>
      </c>
      <c r="F1165" s="12">
        <v>46254.0</v>
      </c>
      <c r="G1165" s="11" t="s">
        <v>6521</v>
      </c>
      <c r="H1165" s="11">
        <v>8.072557991E9</v>
      </c>
      <c r="I1165" s="11" t="s">
        <v>82</v>
      </c>
      <c r="J1165" s="11" t="s">
        <v>71</v>
      </c>
      <c r="K1165" s="11" t="s">
        <v>72</v>
      </c>
      <c r="L1165" s="11" t="s">
        <v>247</v>
      </c>
      <c r="M1165" s="11" t="s">
        <v>6522</v>
      </c>
      <c r="N1165" s="11" t="s">
        <v>86</v>
      </c>
      <c r="O1165" s="11" t="s">
        <v>71</v>
      </c>
      <c r="P1165" s="11" t="s">
        <v>6523</v>
      </c>
      <c r="Q1165" s="13" t="s">
        <v>6524</v>
      </c>
      <c r="R1165" s="14" t="str">
        <f>HYPERLINK("https://drive.google.com/file/d/1b7ri1OEtvoD_jqTZoM2Dmif0XwSQu4Af/view?usp=drivesdk","OFFER LETTER")</f>
        <v>OFFER LETTER</v>
      </c>
      <c r="S1165" s="11" t="s">
        <v>6525</v>
      </c>
    </row>
    <row r="1166" ht="22.5" customHeight="1">
      <c r="A1166" s="10">
        <v>46262.79854158565</v>
      </c>
      <c r="B1166" s="11" t="s">
        <v>6526</v>
      </c>
      <c r="C1166" s="11" t="s">
        <v>298</v>
      </c>
      <c r="D1166" s="11" t="s">
        <v>68</v>
      </c>
      <c r="E1166" s="12">
        <v>46193.0</v>
      </c>
      <c r="F1166" s="12">
        <v>46223.0</v>
      </c>
      <c r="G1166" s="11" t="s">
        <v>6527</v>
      </c>
      <c r="H1166" s="11">
        <v>6.20263816E9</v>
      </c>
      <c r="I1166" s="11" t="s">
        <v>82</v>
      </c>
      <c r="J1166" s="11" t="s">
        <v>71</v>
      </c>
      <c r="K1166" s="11" t="s">
        <v>72</v>
      </c>
      <c r="L1166" s="11" t="s">
        <v>84</v>
      </c>
      <c r="M1166" s="11" t="s">
        <v>886</v>
      </c>
      <c r="N1166" s="11" t="s">
        <v>198</v>
      </c>
      <c r="O1166" s="11" t="s">
        <v>71</v>
      </c>
      <c r="P1166" s="11" t="s">
        <v>6528</v>
      </c>
      <c r="Q1166" s="13" t="s">
        <v>6529</v>
      </c>
      <c r="R1166" s="14" t="str">
        <f>HYPERLINK("https://drive.google.com/file/d/1vOENMz6TQPONJcx6Hp-ONQIx_8TPNdwg/view?usp=drivesdk","OFFER LETTER")</f>
        <v>OFFER LETTER</v>
      </c>
      <c r="S1166" s="11" t="s">
        <v>6530</v>
      </c>
    </row>
    <row r="1167" ht="22.5" customHeight="1">
      <c r="A1167" s="10">
        <v>46262.80053616899</v>
      </c>
      <c r="B1167" s="11" t="s">
        <v>6531</v>
      </c>
      <c r="C1167" s="11" t="s">
        <v>742</v>
      </c>
      <c r="D1167" s="11" t="s">
        <v>68</v>
      </c>
      <c r="E1167" s="12">
        <v>46264.0</v>
      </c>
      <c r="F1167" s="12">
        <v>46295.0</v>
      </c>
      <c r="G1167" s="11" t="s">
        <v>6532</v>
      </c>
      <c r="H1167" s="11">
        <v>7.338761515E9</v>
      </c>
      <c r="I1167" s="11" t="s">
        <v>82</v>
      </c>
      <c r="K1167" s="11" t="s">
        <v>72</v>
      </c>
      <c r="L1167" s="11" t="s">
        <v>84</v>
      </c>
      <c r="M1167" s="11" t="s">
        <v>6533</v>
      </c>
      <c r="N1167" s="11" t="s">
        <v>86</v>
      </c>
      <c r="O1167" s="11" t="s">
        <v>71</v>
      </c>
      <c r="P1167" s="11" t="s">
        <v>6534</v>
      </c>
      <c r="Q1167" s="13" t="s">
        <v>6535</v>
      </c>
      <c r="R1167" s="14" t="str">
        <f>HYPERLINK("https://drive.google.com/file/d/1nB38ZGTPbJfED4_4Tp0J14n1cdi8YfQ9/view?usp=drivesdk","OFFER LETTER")</f>
        <v>OFFER LETTER</v>
      </c>
      <c r="S1167" s="11" t="s">
        <v>6536</v>
      </c>
    </row>
    <row r="1168" ht="22.5" customHeight="1">
      <c r="A1168" s="10">
        <v>46262.81633957176</v>
      </c>
      <c r="B1168" s="11" t="s">
        <v>6537</v>
      </c>
      <c r="C1168" s="11" t="s">
        <v>195</v>
      </c>
      <c r="D1168" s="11" t="s">
        <v>68</v>
      </c>
      <c r="E1168" s="12">
        <v>46209.0</v>
      </c>
      <c r="F1168" s="12">
        <v>46244.0</v>
      </c>
      <c r="G1168" s="11" t="s">
        <v>6538</v>
      </c>
      <c r="H1168" s="11">
        <v>7.836972361E9</v>
      </c>
      <c r="I1168" s="11" t="s">
        <v>82</v>
      </c>
      <c r="J1168" s="11" t="s">
        <v>71</v>
      </c>
      <c r="K1168" s="11" t="s">
        <v>72</v>
      </c>
      <c r="L1168" s="11" t="s">
        <v>84</v>
      </c>
      <c r="M1168" s="11" t="s">
        <v>2655</v>
      </c>
      <c r="N1168" s="11" t="s">
        <v>1872</v>
      </c>
      <c r="O1168" s="11" t="s">
        <v>71</v>
      </c>
      <c r="P1168" s="11" t="s">
        <v>6539</v>
      </c>
      <c r="Q1168" s="13" t="s">
        <v>6540</v>
      </c>
      <c r="R1168" s="14" t="str">
        <f>HYPERLINK("https://drive.google.com/file/d/1xmi-viF0o4YT7ib5gTWfWvB4_qbbkJlv/view?usp=drivesdk","OFFER LETTER")</f>
        <v>OFFER LETTER</v>
      </c>
      <c r="S1168" s="11" t="s">
        <v>6541</v>
      </c>
    </row>
    <row r="1169" ht="22.5" customHeight="1">
      <c r="A1169" s="10">
        <v>46262.82746181713</v>
      </c>
      <c r="B1169" s="11" t="s">
        <v>6542</v>
      </c>
      <c r="C1169" s="11" t="s">
        <v>195</v>
      </c>
      <c r="D1169" s="11" t="s">
        <v>68</v>
      </c>
      <c r="E1169" s="12">
        <v>46258.0</v>
      </c>
      <c r="F1169" s="12">
        <v>46288.0</v>
      </c>
      <c r="G1169" s="11" t="s">
        <v>6543</v>
      </c>
      <c r="H1169" s="11">
        <v>6.305933822E9</v>
      </c>
      <c r="I1169" s="11" t="s">
        <v>82</v>
      </c>
      <c r="J1169" s="11" t="s">
        <v>71</v>
      </c>
      <c r="K1169" s="11" t="s">
        <v>72</v>
      </c>
      <c r="L1169" s="11" t="s">
        <v>131</v>
      </c>
      <c r="M1169" s="11" t="s">
        <v>6544</v>
      </c>
      <c r="N1169" s="11" t="s">
        <v>241</v>
      </c>
      <c r="O1169" s="11" t="s">
        <v>71</v>
      </c>
      <c r="P1169" s="11" t="s">
        <v>6545</v>
      </c>
      <c r="Q1169" s="13" t="s">
        <v>6546</v>
      </c>
      <c r="R1169" s="14" t="str">
        <f>HYPERLINK("https://drive.google.com/file/d/142E7n7xkfk9W89EWHdaHH9eKrLTZxZhv/view?usp=drivesdk","OFFER LETTER")</f>
        <v>OFFER LETTER</v>
      </c>
      <c r="S1169" s="11" t="s">
        <v>6547</v>
      </c>
    </row>
    <row r="1170" ht="22.5" customHeight="1">
      <c r="A1170" s="10">
        <v>46262.830003090276</v>
      </c>
      <c r="B1170" s="11" t="s">
        <v>6548</v>
      </c>
      <c r="C1170" s="11" t="s">
        <v>67</v>
      </c>
      <c r="D1170" s="11" t="s">
        <v>108</v>
      </c>
      <c r="E1170" s="12">
        <v>46266.0</v>
      </c>
      <c r="F1170" s="12">
        <v>46326.0</v>
      </c>
      <c r="G1170" s="11" t="s">
        <v>6549</v>
      </c>
      <c r="H1170" s="11">
        <v>6.361472308E9</v>
      </c>
      <c r="I1170" s="11" t="s">
        <v>82</v>
      </c>
      <c r="J1170" s="11" t="s">
        <v>71</v>
      </c>
      <c r="K1170" s="11" t="s">
        <v>356</v>
      </c>
      <c r="L1170" s="11" t="s">
        <v>357</v>
      </c>
      <c r="M1170" s="11" t="s">
        <v>6550</v>
      </c>
      <c r="N1170" s="11" t="s">
        <v>241</v>
      </c>
      <c r="O1170" s="11" t="s">
        <v>71</v>
      </c>
      <c r="P1170" s="11" t="s">
        <v>6551</v>
      </c>
      <c r="Q1170" s="13" t="s">
        <v>6552</v>
      </c>
      <c r="R1170" s="14" t="str">
        <f>HYPERLINK("https://drive.google.com/file/d/10W6EtvLGbrHOeq9sctBzFfLGlj71N0xE/view?usp=drivesdk","OFFER LETTER")</f>
        <v>OFFER LETTER</v>
      </c>
      <c r="S1170" s="11" t="s">
        <v>6553</v>
      </c>
    </row>
    <row r="1171" ht="22.5" customHeight="1">
      <c r="A1171" s="10">
        <v>46262.83993133102</v>
      </c>
      <c r="B1171" s="11" t="s">
        <v>6554</v>
      </c>
      <c r="C1171" s="11" t="s">
        <v>128</v>
      </c>
      <c r="D1171" s="11" t="s">
        <v>68</v>
      </c>
      <c r="E1171" s="12">
        <v>46262.0</v>
      </c>
      <c r="F1171" s="12">
        <v>46293.0</v>
      </c>
      <c r="G1171" s="11" t="s">
        <v>71</v>
      </c>
      <c r="H1171" s="11">
        <v>8.639609805E9</v>
      </c>
      <c r="I1171" s="11" t="s">
        <v>70</v>
      </c>
      <c r="J1171" s="11" t="s">
        <v>71</v>
      </c>
      <c r="K1171" s="11" t="s">
        <v>110</v>
      </c>
      <c r="L1171" s="11" t="s">
        <v>247</v>
      </c>
      <c r="M1171" s="11" t="s">
        <v>6555</v>
      </c>
      <c r="N1171" s="11" t="s">
        <v>86</v>
      </c>
      <c r="O1171" s="11" t="s">
        <v>71</v>
      </c>
      <c r="P1171" s="11" t="s">
        <v>6556</v>
      </c>
      <c r="Q1171" s="13" t="s">
        <v>6557</v>
      </c>
      <c r="R1171" s="14" t="str">
        <f>HYPERLINK("https://drive.google.com/file/d/1BMK_9_uEyAfZZKoyakOqlKW-v_CoP27I/view?usp=drivesdk","OFFER LETTER")</f>
        <v>OFFER LETTER</v>
      </c>
      <c r="S1171" s="11" t="s">
        <v>6558</v>
      </c>
    </row>
    <row r="1172" ht="22.5" customHeight="1">
      <c r="A1172" s="10">
        <v>46262.852041412036</v>
      </c>
      <c r="B1172" s="11" t="s">
        <v>6559</v>
      </c>
      <c r="C1172" s="11" t="s">
        <v>128</v>
      </c>
      <c r="D1172" s="11" t="s">
        <v>68</v>
      </c>
      <c r="E1172" s="12">
        <v>46235.0</v>
      </c>
      <c r="F1172" s="12">
        <v>46264.0</v>
      </c>
      <c r="G1172" s="11" t="s">
        <v>6560</v>
      </c>
      <c r="H1172" s="11" t="s">
        <v>6561</v>
      </c>
      <c r="I1172" s="11" t="s">
        <v>82</v>
      </c>
      <c r="J1172" s="11" t="s">
        <v>83</v>
      </c>
      <c r="K1172" s="11" t="s">
        <v>72</v>
      </c>
      <c r="L1172" s="11" t="s">
        <v>84</v>
      </c>
      <c r="M1172" s="11" t="s">
        <v>6005</v>
      </c>
      <c r="N1172" s="11" t="s">
        <v>86</v>
      </c>
      <c r="O1172" s="11" t="s">
        <v>263</v>
      </c>
      <c r="P1172" s="11" t="s">
        <v>6562</v>
      </c>
      <c r="Q1172" s="13" t="s">
        <v>6563</v>
      </c>
      <c r="R1172" s="14" t="str">
        <f>HYPERLINK("https://drive.google.com/file/d/19hX2iQc5yKaZ8AxBHL82A4giCcpKF4WG/view?usp=drivesdk","OFFER LETTER")</f>
        <v>OFFER LETTER</v>
      </c>
      <c r="S1172" s="11" t="s">
        <v>6564</v>
      </c>
    </row>
    <row r="1173" ht="22.5" customHeight="1">
      <c r="A1173" s="10">
        <v>46262.855641111106</v>
      </c>
      <c r="B1173" s="11" t="s">
        <v>6559</v>
      </c>
      <c r="C1173" s="11" t="s">
        <v>128</v>
      </c>
      <c r="D1173" s="11" t="s">
        <v>68</v>
      </c>
      <c r="E1173" s="12">
        <v>46235.0</v>
      </c>
      <c r="F1173" s="12">
        <v>46264.0</v>
      </c>
      <c r="G1173" s="11" t="s">
        <v>6560</v>
      </c>
      <c r="H1173" s="11" t="s">
        <v>6561</v>
      </c>
      <c r="I1173" s="11" t="s">
        <v>82</v>
      </c>
      <c r="J1173" s="11" t="s">
        <v>83</v>
      </c>
      <c r="K1173" s="11" t="s">
        <v>72</v>
      </c>
      <c r="L1173" s="11" t="s">
        <v>84</v>
      </c>
      <c r="M1173" s="11" t="s">
        <v>6005</v>
      </c>
      <c r="N1173" s="11" t="s">
        <v>86</v>
      </c>
      <c r="O1173" s="11" t="s">
        <v>263</v>
      </c>
      <c r="P1173" s="11" t="s">
        <v>6565</v>
      </c>
      <c r="Q1173" s="13" t="s">
        <v>6566</v>
      </c>
      <c r="R1173" s="14" t="str">
        <f>HYPERLINK("https://drive.google.com/file/d/1no8l6QRcr7i35G53yrgRCwPql_Mz4jqa/view?usp=drivesdk","OFFER LETTER")</f>
        <v>OFFER LETTER</v>
      </c>
      <c r="S1173" s="11" t="s">
        <v>6567</v>
      </c>
    </row>
    <row r="1174" ht="22.5" customHeight="1">
      <c r="A1174" s="10">
        <v>46262.857202326384</v>
      </c>
      <c r="B1174" s="11" t="s">
        <v>6568</v>
      </c>
      <c r="C1174" s="11" t="s">
        <v>195</v>
      </c>
      <c r="D1174" s="11" t="s">
        <v>68</v>
      </c>
      <c r="E1174" s="12">
        <v>46262.0</v>
      </c>
      <c r="F1174" s="12">
        <v>46293.0</v>
      </c>
      <c r="G1174" s="11" t="s">
        <v>6569</v>
      </c>
      <c r="H1174" s="11">
        <v>7.479897389E9</v>
      </c>
      <c r="I1174" s="11" t="s">
        <v>82</v>
      </c>
      <c r="J1174" s="11" t="s">
        <v>71</v>
      </c>
      <c r="K1174" s="11" t="s">
        <v>72</v>
      </c>
      <c r="L1174" s="11" t="s">
        <v>73</v>
      </c>
      <c r="M1174" s="11" t="s">
        <v>560</v>
      </c>
      <c r="N1174" s="11" t="s">
        <v>86</v>
      </c>
      <c r="O1174" s="11" t="s">
        <v>71</v>
      </c>
      <c r="P1174" s="11" t="s">
        <v>6570</v>
      </c>
      <c r="Q1174" s="13" t="s">
        <v>6571</v>
      </c>
      <c r="R1174" s="14" t="str">
        <f>HYPERLINK("https://drive.google.com/file/d/1yeBil-kiDYqruKrHMxlgRKgDY5ldrJYY/view?usp=drivesdk","OFFER LETTER")</f>
        <v>OFFER LETTER</v>
      </c>
      <c r="S1174" s="11" t="s">
        <v>6572</v>
      </c>
    </row>
    <row r="1175" ht="22.5" customHeight="1">
      <c r="A1175" s="10">
        <v>46262.859741712964</v>
      </c>
      <c r="B1175" s="11" t="s">
        <v>6573</v>
      </c>
      <c r="C1175" s="11" t="s">
        <v>107</v>
      </c>
      <c r="D1175" s="11" t="s">
        <v>238</v>
      </c>
      <c r="E1175" s="12">
        <v>46251.0</v>
      </c>
      <c r="F1175" s="12">
        <v>46343.0</v>
      </c>
      <c r="G1175" s="11" t="s">
        <v>6574</v>
      </c>
      <c r="H1175" s="11">
        <v>7.050421058E9</v>
      </c>
      <c r="I1175" s="11" t="s">
        <v>82</v>
      </c>
      <c r="J1175" s="11" t="s">
        <v>71</v>
      </c>
      <c r="K1175" s="11" t="s">
        <v>72</v>
      </c>
      <c r="L1175" s="11" t="s">
        <v>131</v>
      </c>
      <c r="M1175" s="11" t="s">
        <v>3325</v>
      </c>
      <c r="N1175" s="11" t="s">
        <v>86</v>
      </c>
      <c r="O1175" s="11" t="s">
        <v>71</v>
      </c>
      <c r="P1175" s="11" t="s">
        <v>6575</v>
      </c>
      <c r="Q1175" s="13" t="s">
        <v>6576</v>
      </c>
      <c r="R1175" s="14" t="str">
        <f>HYPERLINK("https://drive.google.com/file/d/1uOyMZoGoxZWBVSIMuacnHFgzt_RaNDvD/view?usp=drivesdk","OFFER LETTER")</f>
        <v>OFFER LETTER</v>
      </c>
      <c r="S1175" s="11" t="s">
        <v>6577</v>
      </c>
    </row>
    <row r="1176" ht="22.5" customHeight="1">
      <c r="A1176" s="10">
        <v>46262.880354375</v>
      </c>
      <c r="B1176" s="11" t="s">
        <v>6578</v>
      </c>
      <c r="C1176" s="11" t="s">
        <v>107</v>
      </c>
      <c r="D1176" s="11" t="s">
        <v>238</v>
      </c>
      <c r="E1176" s="12">
        <v>46262.0</v>
      </c>
      <c r="F1176" s="12">
        <v>46354.0</v>
      </c>
      <c r="G1176" s="11" t="s">
        <v>6579</v>
      </c>
      <c r="H1176" s="11">
        <v>9.019462077E9</v>
      </c>
      <c r="I1176" s="11" t="s">
        <v>82</v>
      </c>
      <c r="J1176" s="11" t="s">
        <v>71</v>
      </c>
      <c r="K1176" s="11" t="s">
        <v>72</v>
      </c>
      <c r="L1176" s="11" t="s">
        <v>131</v>
      </c>
      <c r="M1176" s="11" t="s">
        <v>6580</v>
      </c>
      <c r="N1176" s="11" t="s">
        <v>86</v>
      </c>
      <c r="O1176" s="11" t="s">
        <v>71</v>
      </c>
      <c r="P1176" s="11" t="s">
        <v>6581</v>
      </c>
      <c r="Q1176" s="13" t="s">
        <v>6582</v>
      </c>
      <c r="R1176" s="14" t="str">
        <f>HYPERLINK("https://drive.google.com/file/d/1w5xUmhMtABFv0l9n_oVqBIK2Ba7W19Zc/view?usp=drivesdk","OFFER LETTER")</f>
        <v>OFFER LETTER</v>
      </c>
      <c r="S1176" s="11" t="s">
        <v>6583</v>
      </c>
    </row>
    <row r="1177" ht="22.5" customHeight="1">
      <c r="A1177" s="10">
        <v>46262.88736664352</v>
      </c>
      <c r="B1177" s="11" t="s">
        <v>6584</v>
      </c>
      <c r="C1177" s="11" t="s">
        <v>128</v>
      </c>
      <c r="D1177" s="11" t="s">
        <v>68</v>
      </c>
      <c r="E1177" s="12">
        <v>46201.0</v>
      </c>
      <c r="F1177" s="12">
        <v>46231.0</v>
      </c>
      <c r="G1177" s="11" t="s">
        <v>6585</v>
      </c>
      <c r="H1177" s="11">
        <v>7.48828422E9</v>
      </c>
      <c r="I1177" s="11" t="s">
        <v>82</v>
      </c>
      <c r="J1177" s="11" t="s">
        <v>71</v>
      </c>
      <c r="K1177" s="11" t="s">
        <v>72</v>
      </c>
      <c r="L1177" s="11" t="s">
        <v>73</v>
      </c>
      <c r="M1177" s="11" t="s">
        <v>6586</v>
      </c>
      <c r="N1177" s="11" t="s">
        <v>75</v>
      </c>
      <c r="O1177" s="11" t="s">
        <v>71</v>
      </c>
      <c r="P1177" s="11" t="s">
        <v>6587</v>
      </c>
      <c r="Q1177" s="13" t="s">
        <v>6588</v>
      </c>
      <c r="R1177" s="14" t="str">
        <f>HYPERLINK("https://drive.google.com/file/d/1LqiWEo5-RC99h5KbRDmmOnYtkkVerpNE/view?usp=drivesdk","OFFER LETTER")</f>
        <v>OFFER LETTER</v>
      </c>
      <c r="S1177" s="11" t="s">
        <v>6589</v>
      </c>
    </row>
    <row r="1178" ht="22.5" customHeight="1">
      <c r="A1178" s="10">
        <v>46262.89220981482</v>
      </c>
      <c r="B1178" s="11" t="s">
        <v>6590</v>
      </c>
      <c r="C1178" s="11" t="s">
        <v>128</v>
      </c>
      <c r="D1178" s="11" t="s">
        <v>68</v>
      </c>
      <c r="E1178" s="12">
        <v>46175.0</v>
      </c>
      <c r="F1178" s="12">
        <v>46205.0</v>
      </c>
      <c r="G1178" s="11" t="s">
        <v>6591</v>
      </c>
      <c r="H1178" s="11">
        <v>9.392390973E9</v>
      </c>
      <c r="I1178" s="11" t="s">
        <v>82</v>
      </c>
      <c r="J1178" s="11" t="s">
        <v>71</v>
      </c>
      <c r="K1178" s="11" t="s">
        <v>72</v>
      </c>
      <c r="L1178" s="11" t="s">
        <v>84</v>
      </c>
      <c r="M1178" s="11" t="s">
        <v>6592</v>
      </c>
      <c r="N1178" s="11" t="s">
        <v>86</v>
      </c>
      <c r="O1178" s="11" t="s">
        <v>71</v>
      </c>
      <c r="P1178" s="11" t="s">
        <v>6593</v>
      </c>
      <c r="Q1178" s="13" t="s">
        <v>6594</v>
      </c>
      <c r="R1178" s="14" t="str">
        <f>HYPERLINK("https://drive.google.com/file/d/1ofPPntpFrCHWGlvswWRTiCo2u0fkJVot/view?usp=drivesdk","OFFER LETTER")</f>
        <v>OFFER LETTER</v>
      </c>
      <c r="S1178" s="11" t="s">
        <v>6595</v>
      </c>
    </row>
    <row r="1179" ht="22.5" customHeight="1">
      <c r="A1179" s="10">
        <v>46262.90653127315</v>
      </c>
      <c r="B1179" s="11" t="s">
        <v>6596</v>
      </c>
      <c r="C1179" s="11" t="s">
        <v>128</v>
      </c>
      <c r="D1179" s="11" t="s">
        <v>68</v>
      </c>
      <c r="E1179" s="12">
        <v>46181.0</v>
      </c>
      <c r="F1179" s="12">
        <v>46211.0</v>
      </c>
      <c r="G1179" s="11" t="s">
        <v>6597</v>
      </c>
      <c r="H1179" s="11">
        <v>7.275732454E9</v>
      </c>
      <c r="I1179" s="11" t="s">
        <v>82</v>
      </c>
      <c r="J1179" s="11" t="s">
        <v>71</v>
      </c>
      <c r="K1179" s="11" t="s">
        <v>72</v>
      </c>
      <c r="L1179" s="11" t="s">
        <v>84</v>
      </c>
      <c r="M1179" s="11" t="s">
        <v>5124</v>
      </c>
      <c r="N1179" s="11" t="s">
        <v>86</v>
      </c>
      <c r="O1179" s="11" t="s">
        <v>71</v>
      </c>
      <c r="P1179" s="11" t="s">
        <v>6598</v>
      </c>
      <c r="Q1179" s="13" t="s">
        <v>6599</v>
      </c>
      <c r="R1179" s="14" t="str">
        <f>HYPERLINK("https://drive.google.com/file/d/12n4znv8mC4N_ciclm8EDDQsFjmefD0Db/view?usp=drivesdk","OFFER LETTER")</f>
        <v>OFFER LETTER</v>
      </c>
      <c r="S1179" s="11" t="s">
        <v>6600</v>
      </c>
    </row>
    <row r="1180" ht="22.5" customHeight="1">
      <c r="A1180" s="10">
        <v>46262.91571533565</v>
      </c>
      <c r="B1180" s="11" t="s">
        <v>6601</v>
      </c>
      <c r="C1180" s="11" t="s">
        <v>173</v>
      </c>
      <c r="D1180" s="11" t="s">
        <v>68</v>
      </c>
      <c r="E1180" s="12">
        <v>46191.0</v>
      </c>
      <c r="F1180" s="12">
        <v>46221.0</v>
      </c>
      <c r="G1180" s="11" t="s">
        <v>6602</v>
      </c>
      <c r="H1180" s="11">
        <v>9.123259378E9</v>
      </c>
      <c r="I1180" s="11" t="s">
        <v>82</v>
      </c>
      <c r="J1180" s="11" t="s">
        <v>71</v>
      </c>
      <c r="K1180" s="11" t="s">
        <v>72</v>
      </c>
      <c r="L1180" s="11" t="s">
        <v>84</v>
      </c>
      <c r="M1180" s="11" t="s">
        <v>2535</v>
      </c>
      <c r="N1180" s="11" t="s">
        <v>86</v>
      </c>
      <c r="O1180" s="11" t="s">
        <v>71</v>
      </c>
      <c r="P1180" s="11" t="s">
        <v>6603</v>
      </c>
      <c r="Q1180" s="13" t="s">
        <v>6604</v>
      </c>
      <c r="R1180" s="14" t="str">
        <f>HYPERLINK("https://drive.google.com/file/d/1gqlkMLmRj6WtBWs30l2dr88RnncSwkHD/view?usp=drivesdk","OFFER LETTER")</f>
        <v>OFFER LETTER</v>
      </c>
      <c r="S1180" s="11" t="s">
        <v>6605</v>
      </c>
    </row>
    <row r="1181" ht="22.5" customHeight="1">
      <c r="A1181" s="10">
        <v>46262.927067048615</v>
      </c>
      <c r="B1181" s="11" t="s">
        <v>6606</v>
      </c>
      <c r="C1181" s="11" t="s">
        <v>128</v>
      </c>
      <c r="D1181" s="11" t="s">
        <v>68</v>
      </c>
      <c r="E1181" s="12">
        <v>46175.0</v>
      </c>
      <c r="F1181" s="12">
        <v>46210.0</v>
      </c>
      <c r="G1181" s="11" t="s">
        <v>6607</v>
      </c>
      <c r="H1181" s="11" t="s">
        <v>6608</v>
      </c>
      <c r="I1181" s="11" t="s">
        <v>82</v>
      </c>
      <c r="J1181" s="11" t="s">
        <v>71</v>
      </c>
      <c r="K1181" s="11" t="s">
        <v>72</v>
      </c>
      <c r="L1181" s="11" t="s">
        <v>84</v>
      </c>
      <c r="M1181" s="11" t="s">
        <v>6592</v>
      </c>
      <c r="N1181" s="11" t="s">
        <v>155</v>
      </c>
      <c r="O1181" s="11" t="s">
        <v>71</v>
      </c>
      <c r="P1181" s="11" t="s">
        <v>6609</v>
      </c>
      <c r="Q1181" s="13" t="s">
        <v>6610</v>
      </c>
      <c r="R1181" s="14" t="str">
        <f>HYPERLINK("https://drive.google.com/file/d/1e6YlJfr9j2PgGVlrBZ_qxthrD_3mP7CO/view?usp=drivesdk","OFFER LETTER")</f>
        <v>OFFER LETTER</v>
      </c>
      <c r="S1181" s="11" t="s">
        <v>6611</v>
      </c>
    </row>
    <row r="1182" ht="22.5" customHeight="1">
      <c r="A1182" s="10">
        <v>46262.92781304398</v>
      </c>
      <c r="B1182" s="11" t="s">
        <v>6612</v>
      </c>
      <c r="C1182" s="11" t="s">
        <v>173</v>
      </c>
      <c r="D1182" s="11" t="s">
        <v>68</v>
      </c>
      <c r="E1182" s="12">
        <v>46175.0</v>
      </c>
      <c r="F1182" s="12">
        <v>46205.0</v>
      </c>
      <c r="G1182" s="11" t="s">
        <v>6613</v>
      </c>
      <c r="H1182" s="11">
        <v>9.289207034E9</v>
      </c>
      <c r="I1182" s="11" t="s">
        <v>82</v>
      </c>
      <c r="J1182" s="11" t="s">
        <v>71</v>
      </c>
      <c r="K1182" s="11" t="s">
        <v>72</v>
      </c>
      <c r="L1182" s="11" t="s">
        <v>84</v>
      </c>
      <c r="M1182" s="11" t="s">
        <v>886</v>
      </c>
      <c r="N1182" s="11" t="s">
        <v>86</v>
      </c>
      <c r="O1182" s="11" t="s">
        <v>71</v>
      </c>
      <c r="P1182" s="11" t="s">
        <v>6614</v>
      </c>
      <c r="Q1182" s="13" t="s">
        <v>6615</v>
      </c>
      <c r="R1182" s="14" t="str">
        <f>HYPERLINK("https://drive.google.com/file/d/1eHcfN-j6bYFCKk78mUI2g7lqKK03LFMU/view?usp=drivesdk","OFFER LETTER")</f>
        <v>OFFER LETTER</v>
      </c>
      <c r="S1182" s="11" t="s">
        <v>6616</v>
      </c>
    </row>
    <row r="1183" ht="22.5" customHeight="1">
      <c r="A1183" s="10">
        <v>46262.93361709491</v>
      </c>
      <c r="B1183" s="11" t="s">
        <v>6617</v>
      </c>
      <c r="C1183" s="11" t="s">
        <v>80</v>
      </c>
      <c r="D1183" s="11" t="s">
        <v>68</v>
      </c>
      <c r="E1183" s="12">
        <v>46175.0</v>
      </c>
      <c r="F1183" s="12">
        <v>46202.0</v>
      </c>
      <c r="G1183" s="11" t="s">
        <v>6618</v>
      </c>
      <c r="H1183" s="11">
        <v>6.262944211E9</v>
      </c>
      <c r="I1183" s="11" t="s">
        <v>82</v>
      </c>
      <c r="J1183" s="11" t="s">
        <v>130</v>
      </c>
      <c r="K1183" s="11" t="s">
        <v>72</v>
      </c>
      <c r="L1183" s="11" t="s">
        <v>84</v>
      </c>
      <c r="M1183" s="11" t="s">
        <v>6619</v>
      </c>
      <c r="N1183" s="11" t="s">
        <v>133</v>
      </c>
      <c r="O1183" s="11" t="s">
        <v>71</v>
      </c>
      <c r="P1183" s="11" t="s">
        <v>6620</v>
      </c>
      <c r="Q1183" s="13" t="s">
        <v>6621</v>
      </c>
      <c r="R1183" s="14" t="str">
        <f>HYPERLINK("https://drive.google.com/file/d/1Jkrl5v2cxsa0CCQq_l4R8y3hNITkDOr5/view?usp=drivesdk","OFFER LETTER")</f>
        <v>OFFER LETTER</v>
      </c>
      <c r="S1183" s="11" t="s">
        <v>6622</v>
      </c>
    </row>
    <row r="1184" ht="22.5" customHeight="1">
      <c r="A1184" s="10">
        <v>46262.93637766204</v>
      </c>
      <c r="B1184" s="11" t="s">
        <v>6623</v>
      </c>
      <c r="C1184" s="11" t="s">
        <v>173</v>
      </c>
      <c r="D1184" s="11" t="s">
        <v>68</v>
      </c>
      <c r="E1184" s="12">
        <v>46228.0</v>
      </c>
      <c r="F1184" s="12">
        <v>46260.0</v>
      </c>
      <c r="G1184" s="11" t="s">
        <v>6624</v>
      </c>
      <c r="H1184" s="11">
        <v>8.122065523E9</v>
      </c>
      <c r="I1184" s="11" t="s">
        <v>82</v>
      </c>
      <c r="J1184" s="11" t="s">
        <v>71</v>
      </c>
      <c r="K1184" s="11" t="s">
        <v>72</v>
      </c>
      <c r="L1184" s="11" t="s">
        <v>84</v>
      </c>
      <c r="M1184" s="11" t="s">
        <v>3376</v>
      </c>
      <c r="N1184" s="11" t="s">
        <v>86</v>
      </c>
      <c r="O1184" s="11" t="s">
        <v>71</v>
      </c>
      <c r="P1184" s="11" t="s">
        <v>6625</v>
      </c>
      <c r="Q1184" s="13" t="s">
        <v>6626</v>
      </c>
      <c r="R1184" s="14" t="str">
        <f>HYPERLINK("https://drive.google.com/file/d/1bG-8El8vb7D-VPW82rb6aw6_1rI256u5/view?usp=drivesdk","OFFER LETTER")</f>
        <v>OFFER LETTER</v>
      </c>
      <c r="S1184" s="11" t="s">
        <v>6627</v>
      </c>
    </row>
    <row r="1185" ht="22.5" customHeight="1">
      <c r="A1185" s="10">
        <v>46262.94055092592</v>
      </c>
      <c r="B1185" s="11" t="s">
        <v>6628</v>
      </c>
      <c r="C1185" s="11" t="s">
        <v>173</v>
      </c>
      <c r="D1185" s="11" t="s">
        <v>68</v>
      </c>
      <c r="E1185" s="12">
        <v>46228.0</v>
      </c>
      <c r="F1185" s="12">
        <v>46259.0</v>
      </c>
      <c r="G1185" s="11" t="s">
        <v>6629</v>
      </c>
      <c r="H1185" s="11" t="s">
        <v>6630</v>
      </c>
      <c r="I1185" s="11" t="s">
        <v>82</v>
      </c>
      <c r="J1185" s="11" t="s">
        <v>71</v>
      </c>
      <c r="K1185" s="11" t="s">
        <v>72</v>
      </c>
      <c r="L1185" s="11" t="s">
        <v>84</v>
      </c>
      <c r="M1185" s="11" t="s">
        <v>3376</v>
      </c>
      <c r="N1185" s="11" t="s">
        <v>86</v>
      </c>
      <c r="O1185" s="11" t="s">
        <v>71</v>
      </c>
      <c r="P1185" s="11" t="s">
        <v>6631</v>
      </c>
      <c r="Q1185" s="13" t="s">
        <v>6632</v>
      </c>
      <c r="R1185" s="14" t="str">
        <f>HYPERLINK("https://drive.google.com/file/d/1uq5EzuLjQjEzQtZcKymLrshF15ROBK4S/view?usp=drivesdk","OFFER LETTER")</f>
        <v>OFFER LETTER</v>
      </c>
      <c r="S1185" s="11" t="s">
        <v>6633</v>
      </c>
    </row>
    <row r="1186" ht="22.5" customHeight="1">
      <c r="A1186" s="10">
        <v>46262.94886079861</v>
      </c>
      <c r="B1186" s="11" t="s">
        <v>6634</v>
      </c>
      <c r="C1186" s="11" t="s">
        <v>107</v>
      </c>
      <c r="D1186" s="11" t="s">
        <v>108</v>
      </c>
      <c r="E1186" s="12">
        <v>46199.0</v>
      </c>
      <c r="F1186" s="12">
        <v>46261.0</v>
      </c>
      <c r="G1186" s="11" t="s">
        <v>6635</v>
      </c>
      <c r="H1186" s="11">
        <v>7.668204307E9</v>
      </c>
      <c r="I1186" s="11" t="s">
        <v>82</v>
      </c>
      <c r="J1186" s="11" t="s">
        <v>71</v>
      </c>
      <c r="K1186" s="11" t="s">
        <v>72</v>
      </c>
      <c r="L1186" s="11" t="s">
        <v>131</v>
      </c>
      <c r="M1186" s="11" t="s">
        <v>2058</v>
      </c>
      <c r="N1186" s="11" t="s">
        <v>133</v>
      </c>
      <c r="O1186" s="11" t="s">
        <v>71</v>
      </c>
      <c r="P1186" s="11" t="s">
        <v>6636</v>
      </c>
      <c r="Q1186" s="13" t="s">
        <v>6637</v>
      </c>
      <c r="R1186" s="14" t="str">
        <f>HYPERLINK("https://drive.google.com/file/d/1k6huG0mqDwugeTqZCRizUVzGZz__3Jyg/view?usp=drivesdk","OFFER LETTER")</f>
        <v>OFFER LETTER</v>
      </c>
      <c r="S1186" s="11" t="s">
        <v>6638</v>
      </c>
    </row>
    <row r="1187" ht="22.5" customHeight="1">
      <c r="A1187" s="10">
        <v>46262.94997233796</v>
      </c>
      <c r="B1187" s="11" t="s">
        <v>6639</v>
      </c>
      <c r="C1187" s="11" t="s">
        <v>107</v>
      </c>
      <c r="D1187" s="11" t="s">
        <v>3080</v>
      </c>
      <c r="E1187" s="12">
        <v>45254.0</v>
      </c>
      <c r="F1187" s="12">
        <v>45621.0</v>
      </c>
      <c r="G1187" s="11" t="s">
        <v>6640</v>
      </c>
      <c r="H1187" s="11">
        <v>8.252336759E9</v>
      </c>
      <c r="I1187" s="11" t="s">
        <v>82</v>
      </c>
      <c r="J1187" s="11" t="s">
        <v>71</v>
      </c>
      <c r="K1187" s="11" t="s">
        <v>72</v>
      </c>
      <c r="L1187" s="11" t="s">
        <v>84</v>
      </c>
      <c r="M1187" s="11" t="s">
        <v>1551</v>
      </c>
      <c r="N1187" s="11" t="s">
        <v>75</v>
      </c>
      <c r="O1187" s="11" t="s">
        <v>71</v>
      </c>
      <c r="P1187" s="11" t="s">
        <v>6641</v>
      </c>
      <c r="Q1187" s="13" t="s">
        <v>6642</v>
      </c>
      <c r="R1187" s="14" t="str">
        <f>HYPERLINK("https://drive.google.com/file/d/12BnpgYf-cKiKy7R_n8ta5McgYRQGL669/view?usp=drivesdk","OFFER LETTER")</f>
        <v>OFFER LETTER</v>
      </c>
      <c r="S1187" s="11" t="s">
        <v>6643</v>
      </c>
    </row>
    <row r="1188" ht="22.5" customHeight="1">
      <c r="A1188" s="10">
        <v>46262.95031236111</v>
      </c>
      <c r="B1188" s="11" t="s">
        <v>6644</v>
      </c>
      <c r="C1188" s="11" t="s">
        <v>128</v>
      </c>
      <c r="D1188" s="11" t="s">
        <v>68</v>
      </c>
      <c r="E1188" s="12">
        <v>46213.0</v>
      </c>
      <c r="F1188" s="12">
        <v>46244.0</v>
      </c>
      <c r="G1188" s="11" t="s">
        <v>6645</v>
      </c>
      <c r="H1188" s="11">
        <v>9.390378758E9</v>
      </c>
      <c r="I1188" s="11" t="s">
        <v>82</v>
      </c>
      <c r="J1188" s="11" t="s">
        <v>71</v>
      </c>
      <c r="K1188" s="11" t="s">
        <v>72</v>
      </c>
      <c r="L1188" s="11" t="s">
        <v>84</v>
      </c>
      <c r="M1188" s="11" t="s">
        <v>6646</v>
      </c>
      <c r="N1188" s="11" t="s">
        <v>198</v>
      </c>
      <c r="O1188" s="11" t="s">
        <v>71</v>
      </c>
      <c r="P1188" s="11" t="s">
        <v>6647</v>
      </c>
      <c r="Q1188" s="13" t="s">
        <v>6648</v>
      </c>
      <c r="R1188" s="14" t="str">
        <f>HYPERLINK("https://drive.google.com/file/d/1A5fzFWCRVAU4qNJQnKh_7z6PYyUAoYt_/view?usp=drivesdk","OFFER LETTER")</f>
        <v>OFFER LETTER</v>
      </c>
      <c r="S1188" s="11" t="s">
        <v>6649</v>
      </c>
    </row>
    <row r="1189" ht="22.5" customHeight="1">
      <c r="A1189" s="10">
        <v>46262.95032005787</v>
      </c>
      <c r="B1189" s="11" t="s">
        <v>6650</v>
      </c>
      <c r="C1189" s="11" t="s">
        <v>128</v>
      </c>
      <c r="D1189" s="11" t="s">
        <v>68</v>
      </c>
      <c r="E1189" s="12">
        <v>46213.0</v>
      </c>
      <c r="F1189" s="12">
        <v>46275.0</v>
      </c>
      <c r="G1189" s="11" t="s">
        <v>6651</v>
      </c>
      <c r="H1189" s="11">
        <v>7.032261333E9</v>
      </c>
      <c r="I1189" s="11" t="s">
        <v>82</v>
      </c>
      <c r="J1189" s="11" t="s">
        <v>71</v>
      </c>
      <c r="K1189" s="11" t="s">
        <v>72</v>
      </c>
      <c r="L1189" s="11" t="s">
        <v>84</v>
      </c>
      <c r="M1189" s="11" t="s">
        <v>6652</v>
      </c>
      <c r="N1189" s="11" t="s">
        <v>198</v>
      </c>
      <c r="O1189" s="11" t="s">
        <v>71</v>
      </c>
      <c r="P1189" s="11" t="s">
        <v>6653</v>
      </c>
      <c r="Q1189" s="13" t="s">
        <v>6654</v>
      </c>
      <c r="R1189" s="14" t="str">
        <f>HYPERLINK("https://drive.google.com/file/d/1wTWw_gquqJ0Sfv73S4QMtYCEL9mfxtBo/view?usp=drivesdk","OFFER LETTER")</f>
        <v>OFFER LETTER</v>
      </c>
      <c r="S1189" s="11" t="s">
        <v>6655</v>
      </c>
    </row>
    <row r="1190" ht="22.5" customHeight="1">
      <c r="A1190" s="10">
        <v>46262.95046594908</v>
      </c>
      <c r="B1190" s="11" t="s">
        <v>6656</v>
      </c>
      <c r="C1190" s="11" t="s">
        <v>195</v>
      </c>
      <c r="D1190" s="11" t="s">
        <v>68</v>
      </c>
      <c r="E1190" s="12">
        <v>46177.0</v>
      </c>
      <c r="F1190" s="12">
        <v>46207.0</v>
      </c>
      <c r="G1190" s="11" t="s">
        <v>6657</v>
      </c>
      <c r="H1190" s="11">
        <v>8.341291577E9</v>
      </c>
      <c r="I1190" s="11" t="s">
        <v>82</v>
      </c>
      <c r="J1190" s="11" t="s">
        <v>71</v>
      </c>
      <c r="K1190" s="11" t="s">
        <v>72</v>
      </c>
      <c r="L1190" s="11" t="s">
        <v>84</v>
      </c>
      <c r="M1190" s="11" t="s">
        <v>6592</v>
      </c>
      <c r="N1190" s="11" t="s">
        <v>86</v>
      </c>
      <c r="O1190" s="11" t="s">
        <v>71</v>
      </c>
      <c r="P1190" s="11" t="s">
        <v>6658</v>
      </c>
      <c r="Q1190" s="13" t="s">
        <v>6659</v>
      </c>
      <c r="R1190" s="14" t="str">
        <f>HYPERLINK("https://drive.google.com/file/d/1tt1XYQJTpYf1C356wqkzayRm4XnDYCR5/view?usp=drivesdk","OFFER LETTER")</f>
        <v>OFFER LETTER</v>
      </c>
      <c r="S1190" s="11" t="s">
        <v>6660</v>
      </c>
    </row>
    <row r="1191" ht="22.5" customHeight="1">
      <c r="A1191" s="10">
        <v>46262.954370127314</v>
      </c>
      <c r="B1191" s="11" t="s">
        <v>6639</v>
      </c>
      <c r="C1191" s="11" t="s">
        <v>107</v>
      </c>
      <c r="D1191" s="11" t="s">
        <v>929</v>
      </c>
      <c r="E1191" s="12">
        <v>45426.0</v>
      </c>
      <c r="F1191" s="12">
        <v>46341.0</v>
      </c>
      <c r="G1191" s="11" t="s">
        <v>6640</v>
      </c>
      <c r="H1191" s="11">
        <v>8.252336759E9</v>
      </c>
      <c r="I1191" s="11" t="s">
        <v>82</v>
      </c>
      <c r="J1191" s="11" t="s">
        <v>130</v>
      </c>
      <c r="K1191" s="11" t="s">
        <v>72</v>
      </c>
      <c r="L1191" s="11" t="s">
        <v>84</v>
      </c>
      <c r="M1191" s="11" t="s">
        <v>6661</v>
      </c>
      <c r="N1191" s="11" t="s">
        <v>5076</v>
      </c>
      <c r="O1191" s="11" t="s">
        <v>71</v>
      </c>
      <c r="P1191" s="11" t="s">
        <v>6662</v>
      </c>
      <c r="Q1191" s="13" t="s">
        <v>6663</v>
      </c>
      <c r="R1191" s="14" t="str">
        <f>HYPERLINK("https://drive.google.com/file/d/1yhKYsNWeEFjivHZ3qM3IuB9sqr2Oi_-v/view?usp=drivesdk","OFFER LETTER")</f>
        <v>OFFER LETTER</v>
      </c>
      <c r="S1191" s="11" t="s">
        <v>6664</v>
      </c>
    </row>
    <row r="1192" ht="22.5" customHeight="1">
      <c r="A1192" s="10">
        <v>46262.95573028935</v>
      </c>
      <c r="B1192" s="11" t="s">
        <v>6665</v>
      </c>
      <c r="C1192" s="11" t="s">
        <v>107</v>
      </c>
      <c r="D1192" s="11" t="s">
        <v>68</v>
      </c>
      <c r="E1192" s="12">
        <v>46266.0</v>
      </c>
      <c r="F1192" s="12">
        <v>46296.0</v>
      </c>
      <c r="G1192" s="11" t="s">
        <v>6666</v>
      </c>
      <c r="H1192" s="11">
        <v>7.411283655E9</v>
      </c>
      <c r="I1192" s="11" t="s">
        <v>70</v>
      </c>
      <c r="J1192" s="11" t="s">
        <v>71</v>
      </c>
      <c r="K1192" s="11" t="s">
        <v>72</v>
      </c>
      <c r="L1192" s="11" t="s">
        <v>73</v>
      </c>
      <c r="M1192" s="11" t="s">
        <v>6667</v>
      </c>
      <c r="N1192" s="11" t="s">
        <v>226</v>
      </c>
      <c r="O1192" s="11" t="s">
        <v>71</v>
      </c>
      <c r="P1192" s="11" t="s">
        <v>6668</v>
      </c>
      <c r="Q1192" s="13" t="s">
        <v>6669</v>
      </c>
      <c r="R1192" s="14" t="str">
        <f>HYPERLINK("https://drive.google.com/file/d/11s0fRotahQSRXxjB9Zs_nE39bGQTBGQt/view?usp=drivesdk","OFFER LETTER")</f>
        <v>OFFER LETTER</v>
      </c>
      <c r="S1192" s="11" t="s">
        <v>6670</v>
      </c>
    </row>
    <row r="1193" ht="22.5" customHeight="1">
      <c r="A1193" s="10">
        <v>46262.95764768518</v>
      </c>
      <c r="B1193" s="11" t="s">
        <v>6671</v>
      </c>
      <c r="C1193" s="11" t="s">
        <v>173</v>
      </c>
      <c r="D1193" s="11" t="s">
        <v>68</v>
      </c>
      <c r="E1193" s="12">
        <v>46205.0</v>
      </c>
      <c r="F1193" s="12">
        <v>46236.0</v>
      </c>
      <c r="G1193" s="11" t="s">
        <v>6672</v>
      </c>
      <c r="H1193" s="11">
        <v>6.204822307E9</v>
      </c>
      <c r="I1193" s="11" t="s">
        <v>82</v>
      </c>
      <c r="J1193" s="11" t="s">
        <v>71</v>
      </c>
      <c r="K1193" s="11" t="s">
        <v>72</v>
      </c>
      <c r="L1193" s="11" t="s">
        <v>84</v>
      </c>
      <c r="M1193" s="11" t="s">
        <v>301</v>
      </c>
      <c r="N1193" s="11" t="s">
        <v>198</v>
      </c>
      <c r="O1193" s="11" t="s">
        <v>71</v>
      </c>
      <c r="P1193" s="11" t="s">
        <v>6673</v>
      </c>
      <c r="Q1193" s="13" t="s">
        <v>6674</v>
      </c>
      <c r="R1193" s="14" t="str">
        <f>HYPERLINK("https://drive.google.com/file/d/1iVMw5ZmIzaA-uxs7oiT8buIV4JTCT0-G/view?usp=drivesdk","OFFER LETTER")</f>
        <v>OFFER LETTER</v>
      </c>
      <c r="S1193" s="11" t="s">
        <v>6675</v>
      </c>
    </row>
    <row r="1194" ht="22.5" customHeight="1">
      <c r="A1194" s="10">
        <v>46262.95769494213</v>
      </c>
      <c r="B1194" s="11" t="s">
        <v>6676</v>
      </c>
      <c r="C1194" s="11" t="s">
        <v>80</v>
      </c>
      <c r="D1194" s="11" t="s">
        <v>68</v>
      </c>
      <c r="E1194" s="12">
        <v>46170.0</v>
      </c>
      <c r="F1194" s="12">
        <v>46295.0</v>
      </c>
      <c r="G1194" s="11" t="s">
        <v>6677</v>
      </c>
      <c r="H1194" s="11">
        <v>6.351564942E9</v>
      </c>
      <c r="I1194" s="11" t="s">
        <v>82</v>
      </c>
      <c r="J1194" s="11" t="s">
        <v>71</v>
      </c>
      <c r="K1194" s="11" t="s">
        <v>72</v>
      </c>
      <c r="L1194" s="11" t="s">
        <v>73</v>
      </c>
      <c r="M1194" s="11" t="s">
        <v>6678</v>
      </c>
      <c r="N1194" s="11" t="s">
        <v>75</v>
      </c>
      <c r="O1194" s="11" t="s">
        <v>71</v>
      </c>
      <c r="P1194" s="11" t="s">
        <v>6679</v>
      </c>
      <c r="Q1194" s="13" t="s">
        <v>6680</v>
      </c>
      <c r="R1194" s="14" t="str">
        <f>HYPERLINK("https://drive.google.com/file/d/1ZvuysyQiNYMSqJRiH8QsTotWbPLvn5Ku/view?usp=drivesdk","OFFER LETTER")</f>
        <v>OFFER LETTER</v>
      </c>
      <c r="S1194" s="11" t="s">
        <v>6681</v>
      </c>
    </row>
    <row r="1195" ht="22.5" customHeight="1">
      <c r="A1195" s="10">
        <v>46262.968223703705</v>
      </c>
      <c r="B1195" s="11" t="s">
        <v>6682</v>
      </c>
      <c r="C1195" s="11" t="s">
        <v>107</v>
      </c>
      <c r="D1195" s="11" t="s">
        <v>238</v>
      </c>
      <c r="E1195" s="12">
        <v>46251.0</v>
      </c>
      <c r="F1195" s="12">
        <v>46342.0</v>
      </c>
      <c r="G1195" s="11" t="s">
        <v>6574</v>
      </c>
      <c r="H1195" s="11">
        <v>7.050421058E9</v>
      </c>
      <c r="I1195" s="11" t="s">
        <v>82</v>
      </c>
      <c r="J1195" s="11" t="s">
        <v>71</v>
      </c>
      <c r="K1195" s="11" t="s">
        <v>72</v>
      </c>
      <c r="L1195" s="11" t="s">
        <v>131</v>
      </c>
      <c r="M1195" s="11" t="s">
        <v>6683</v>
      </c>
      <c r="N1195" s="11" t="s">
        <v>86</v>
      </c>
      <c r="O1195" s="11" t="s">
        <v>71</v>
      </c>
      <c r="P1195" s="11" t="s">
        <v>6684</v>
      </c>
      <c r="Q1195" s="13" t="s">
        <v>6685</v>
      </c>
      <c r="R1195" s="14" t="str">
        <f>HYPERLINK("https://drive.google.com/file/d/1m2wQJ3B6B6UYTjTEAhAilHcCMxswPsKe/view?usp=drivesdk","OFFER LETTER")</f>
        <v>OFFER LETTER</v>
      </c>
      <c r="S1195" s="11" t="s">
        <v>6686</v>
      </c>
    </row>
    <row r="1196" ht="22.5" customHeight="1">
      <c r="A1196" s="10">
        <v>46262.971354050926</v>
      </c>
      <c r="B1196" s="11" t="s">
        <v>6687</v>
      </c>
      <c r="C1196" s="11" t="s">
        <v>195</v>
      </c>
      <c r="D1196" s="11" t="s">
        <v>68</v>
      </c>
      <c r="E1196" s="12">
        <v>46223.0</v>
      </c>
      <c r="F1196" s="12" t="s">
        <v>6688</v>
      </c>
      <c r="G1196" s="11" t="s">
        <v>6689</v>
      </c>
      <c r="H1196" s="11">
        <v>9.728154307E9</v>
      </c>
      <c r="I1196" s="11" t="s">
        <v>82</v>
      </c>
      <c r="J1196" s="11" t="s">
        <v>71</v>
      </c>
      <c r="K1196" s="11" t="s">
        <v>72</v>
      </c>
      <c r="L1196" s="11" t="s">
        <v>73</v>
      </c>
      <c r="M1196" s="11" t="s">
        <v>6690</v>
      </c>
      <c r="N1196" s="11" t="s">
        <v>655</v>
      </c>
      <c r="O1196" s="11" t="s">
        <v>71</v>
      </c>
      <c r="P1196" s="11" t="s">
        <v>6691</v>
      </c>
      <c r="Q1196" s="13" t="s">
        <v>6692</v>
      </c>
      <c r="R1196" s="14" t="str">
        <f>HYPERLINK("https://drive.google.com/file/d/18ZZscKZBQorFy8UvOhuLefp1ySCZJN1B/view?usp=drivesdk","OFFER LETTER")</f>
        <v>OFFER LETTER</v>
      </c>
      <c r="S1196" s="11" t="s">
        <v>6693</v>
      </c>
    </row>
    <row r="1197" ht="22.5" customHeight="1">
      <c r="A1197" s="10">
        <v>46262.97643765046</v>
      </c>
      <c r="B1197" s="11" t="s">
        <v>6694</v>
      </c>
      <c r="C1197" s="11" t="s">
        <v>91</v>
      </c>
      <c r="D1197" s="11" t="s">
        <v>68</v>
      </c>
      <c r="E1197" s="12">
        <v>46223.0</v>
      </c>
      <c r="F1197" s="12">
        <v>46254.0</v>
      </c>
      <c r="G1197" s="11" t="s">
        <v>6695</v>
      </c>
      <c r="H1197" s="11">
        <v>9.315274721E9</v>
      </c>
      <c r="I1197" s="11" t="s">
        <v>82</v>
      </c>
      <c r="K1197" s="11" t="s">
        <v>72</v>
      </c>
      <c r="L1197" s="11" t="s">
        <v>84</v>
      </c>
      <c r="M1197" s="11" t="s">
        <v>886</v>
      </c>
      <c r="N1197" s="11" t="s">
        <v>86</v>
      </c>
      <c r="O1197" s="11" t="s">
        <v>71</v>
      </c>
      <c r="P1197" s="11" t="s">
        <v>6696</v>
      </c>
      <c r="Q1197" s="13" t="s">
        <v>6697</v>
      </c>
      <c r="R1197" s="14" t="str">
        <f>HYPERLINK("https://drive.google.com/file/d/1E4mvdGjR__Q7NJUGIAaezHPG2OiTHxMp/view?usp=drivesdk","OFFER LETTER")</f>
        <v>OFFER LETTER</v>
      </c>
      <c r="S1197" s="11" t="s">
        <v>6698</v>
      </c>
    </row>
    <row r="1198" ht="22.5" customHeight="1">
      <c r="A1198" s="10">
        <v>46262.99080210648</v>
      </c>
      <c r="B1198" s="11" t="s">
        <v>6699</v>
      </c>
      <c r="C1198" s="11" t="s">
        <v>128</v>
      </c>
      <c r="D1198" s="11" t="s">
        <v>108</v>
      </c>
      <c r="E1198" s="12">
        <v>46202.0</v>
      </c>
      <c r="F1198" s="12">
        <v>46265.0</v>
      </c>
      <c r="G1198" s="11" t="s">
        <v>6700</v>
      </c>
      <c r="H1198" s="11">
        <v>8.604394146E9</v>
      </c>
      <c r="I1198" s="11" t="s">
        <v>82</v>
      </c>
      <c r="J1198" s="11" t="s">
        <v>71</v>
      </c>
      <c r="K1198" s="11" t="s">
        <v>72</v>
      </c>
      <c r="L1198" s="11" t="s">
        <v>84</v>
      </c>
      <c r="M1198" s="11" t="s">
        <v>886</v>
      </c>
      <c r="N1198" s="11" t="s">
        <v>6701</v>
      </c>
      <c r="O1198" s="11" t="s">
        <v>71</v>
      </c>
      <c r="P1198" s="11" t="s">
        <v>6702</v>
      </c>
      <c r="Q1198" s="13" t="s">
        <v>6703</v>
      </c>
      <c r="R1198" s="14" t="str">
        <f>HYPERLINK("https://drive.google.com/file/d/1g_LGxIDVVkY6chj-h2ydadLPe2v2idF1/view?usp=drivesdk","OFFER LETTER")</f>
        <v>OFFER LETTER</v>
      </c>
      <c r="S1198" s="11" t="s">
        <v>6704</v>
      </c>
    </row>
    <row r="1199" ht="22.5" customHeight="1">
      <c r="A1199" s="10">
        <v>46262.991787754625</v>
      </c>
      <c r="B1199" s="11" t="s">
        <v>6705</v>
      </c>
      <c r="C1199" s="11" t="s">
        <v>128</v>
      </c>
      <c r="D1199" s="11" t="s">
        <v>68</v>
      </c>
      <c r="E1199" s="12">
        <v>46213.0</v>
      </c>
      <c r="F1199" s="12">
        <v>46244.0</v>
      </c>
      <c r="G1199" s="11" t="s">
        <v>6706</v>
      </c>
      <c r="H1199" s="11">
        <v>7.739162238E9</v>
      </c>
      <c r="I1199" s="11" t="s">
        <v>82</v>
      </c>
      <c r="J1199" s="11" t="s">
        <v>71</v>
      </c>
      <c r="K1199" s="11" t="s">
        <v>72</v>
      </c>
      <c r="L1199" s="11" t="s">
        <v>84</v>
      </c>
      <c r="M1199" s="11" t="s">
        <v>301</v>
      </c>
      <c r="N1199" s="11" t="s">
        <v>198</v>
      </c>
      <c r="O1199" s="11" t="s">
        <v>71</v>
      </c>
      <c r="P1199" s="11" t="s">
        <v>6707</v>
      </c>
      <c r="Q1199" s="13" t="s">
        <v>6708</v>
      </c>
      <c r="R1199" s="14" t="str">
        <f>HYPERLINK("https://drive.google.com/file/d/1zl8jNwP9gqp7c1NzdvfRHGtKGIs4ANnf/view?usp=drivesdk","OFFER LETTER")</f>
        <v>OFFER LETTER</v>
      </c>
      <c r="S1199" s="11" t="s">
        <v>6709</v>
      </c>
    </row>
    <row r="1200" ht="22.5" customHeight="1">
      <c r="A1200" s="10">
        <v>46262.99563471065</v>
      </c>
      <c r="B1200" s="11" t="s">
        <v>6710</v>
      </c>
      <c r="C1200" s="11" t="s">
        <v>237</v>
      </c>
      <c r="D1200" s="11" t="s">
        <v>68</v>
      </c>
      <c r="E1200" s="12">
        <v>46206.0</v>
      </c>
      <c r="F1200" s="12">
        <v>46237.0</v>
      </c>
      <c r="G1200" s="11" t="s">
        <v>6711</v>
      </c>
      <c r="H1200" s="11">
        <v>7.970788977E9</v>
      </c>
      <c r="I1200" s="11" t="s">
        <v>82</v>
      </c>
      <c r="K1200" s="11" t="s">
        <v>72</v>
      </c>
      <c r="L1200" s="11" t="s">
        <v>73</v>
      </c>
      <c r="M1200" s="11" t="s">
        <v>6712</v>
      </c>
      <c r="N1200" s="11" t="s">
        <v>86</v>
      </c>
      <c r="O1200" s="11" t="s">
        <v>71</v>
      </c>
      <c r="P1200" s="11" t="s">
        <v>6713</v>
      </c>
      <c r="Q1200" s="13" t="s">
        <v>6714</v>
      </c>
      <c r="R1200" s="14" t="str">
        <f>HYPERLINK("https://drive.google.com/file/d/1Zm_HrBP5DfohctNkLujpxQtDJfu-R9Mx/view?usp=drivesdk","OFFER LETTER")</f>
        <v>OFFER LETTER</v>
      </c>
      <c r="S1200" s="11" t="s">
        <v>6715</v>
      </c>
    </row>
    <row r="1201" ht="22.5" customHeight="1">
      <c r="A1201" s="10">
        <v>46262.998837928244</v>
      </c>
      <c r="B1201" s="11" t="s">
        <v>6716</v>
      </c>
      <c r="C1201" s="11" t="s">
        <v>128</v>
      </c>
      <c r="D1201" s="11" t="s">
        <v>68</v>
      </c>
      <c r="E1201" s="12">
        <v>46181.0</v>
      </c>
      <c r="F1201" s="12">
        <v>46211.0</v>
      </c>
      <c r="G1201" s="11" t="s">
        <v>6717</v>
      </c>
      <c r="H1201" s="11">
        <v>9.234653276E9</v>
      </c>
      <c r="I1201" s="11" t="s">
        <v>82</v>
      </c>
      <c r="J1201" s="11" t="s">
        <v>71</v>
      </c>
      <c r="K1201" s="11" t="s">
        <v>72</v>
      </c>
      <c r="L1201" s="11" t="s">
        <v>84</v>
      </c>
      <c r="M1201" s="11" t="s">
        <v>886</v>
      </c>
      <c r="N1201" s="11" t="s">
        <v>86</v>
      </c>
      <c r="O1201" s="11" t="s">
        <v>71</v>
      </c>
      <c r="P1201" s="11" t="s">
        <v>6718</v>
      </c>
      <c r="Q1201" s="13" t="s">
        <v>6719</v>
      </c>
      <c r="R1201" s="14" t="str">
        <f>HYPERLINK("https://drive.google.com/file/d/1q4ZcXxBD_Hqpeu0wdJ06e-bqqF21t0hg/view?usp=drivesdk","OFFER LETTER")</f>
        <v>OFFER LETTER</v>
      </c>
      <c r="S1201" s="11" t="s">
        <v>6720</v>
      </c>
    </row>
    <row r="1202" ht="22.5" customHeight="1">
      <c r="A1202" s="10">
        <v>46263.00568822917</v>
      </c>
      <c r="B1202" s="11" t="s">
        <v>6721</v>
      </c>
      <c r="C1202" s="11" t="s">
        <v>173</v>
      </c>
      <c r="D1202" s="11" t="s">
        <v>68</v>
      </c>
      <c r="E1202" s="12">
        <v>46176.0</v>
      </c>
      <c r="F1202" s="12">
        <v>46206.0</v>
      </c>
      <c r="G1202" s="11" t="s">
        <v>6722</v>
      </c>
      <c r="H1202" s="11">
        <v>7.330897585E9</v>
      </c>
      <c r="I1202" s="11" t="s">
        <v>82</v>
      </c>
      <c r="J1202" s="11" t="s">
        <v>71</v>
      </c>
      <c r="K1202" s="11" t="s">
        <v>72</v>
      </c>
      <c r="L1202" s="11" t="s">
        <v>84</v>
      </c>
      <c r="M1202" s="11" t="s">
        <v>6592</v>
      </c>
      <c r="N1202" s="11" t="s">
        <v>86</v>
      </c>
      <c r="O1202" s="11" t="s">
        <v>71</v>
      </c>
      <c r="P1202" s="11" t="s">
        <v>6723</v>
      </c>
      <c r="Q1202" s="13" t="s">
        <v>6724</v>
      </c>
      <c r="R1202" s="14" t="str">
        <f>HYPERLINK("https://drive.google.com/file/d/1MY3eZuTl9G5ygtsJzTwtxPpsIYWm_9Zv/view?usp=drivesdk","OFFER LETTER")</f>
        <v>OFFER LETTER</v>
      </c>
      <c r="S1202" s="11" t="s">
        <v>6725</v>
      </c>
    </row>
    <row r="1203" ht="22.5" customHeight="1">
      <c r="A1203" s="10">
        <v>46263.00839369213</v>
      </c>
      <c r="B1203" s="11" t="s">
        <v>6726</v>
      </c>
      <c r="C1203" s="11" t="s">
        <v>173</v>
      </c>
      <c r="D1203" s="11" t="s">
        <v>68</v>
      </c>
      <c r="E1203" s="12">
        <v>46210.0</v>
      </c>
      <c r="F1203" s="12">
        <v>46241.0</v>
      </c>
      <c r="G1203" s="11" t="s">
        <v>6727</v>
      </c>
      <c r="H1203" s="11">
        <v>9.45698803E9</v>
      </c>
      <c r="I1203" s="11" t="s">
        <v>82</v>
      </c>
      <c r="J1203" s="11" t="s">
        <v>130</v>
      </c>
      <c r="K1203" s="11" t="s">
        <v>72</v>
      </c>
      <c r="L1203" s="11" t="s">
        <v>73</v>
      </c>
      <c r="M1203" s="11" t="s">
        <v>6728</v>
      </c>
      <c r="N1203" s="11" t="s">
        <v>86</v>
      </c>
      <c r="O1203" s="11" t="s">
        <v>71</v>
      </c>
      <c r="P1203" s="11" t="s">
        <v>6729</v>
      </c>
      <c r="Q1203" s="13" t="s">
        <v>6730</v>
      </c>
      <c r="R1203" s="14" t="str">
        <f>HYPERLINK("https://drive.google.com/file/d/1-SNGnBQ7obGvEICKxpo5NjZ9FJrmX9F7/view?usp=drivesdk","OFFER LETTER")</f>
        <v>OFFER LETTER</v>
      </c>
      <c r="S1203" s="11" t="s">
        <v>6731</v>
      </c>
    </row>
    <row r="1204" ht="22.5" customHeight="1">
      <c r="A1204" s="10">
        <v>46263.00858879629</v>
      </c>
      <c r="B1204" s="11" t="s">
        <v>6732</v>
      </c>
      <c r="C1204" s="11" t="s">
        <v>128</v>
      </c>
      <c r="D1204" s="11" t="s">
        <v>68</v>
      </c>
      <c r="E1204" s="12">
        <v>46222.0</v>
      </c>
      <c r="F1204" s="12">
        <v>46253.0</v>
      </c>
      <c r="G1204" s="11" t="s">
        <v>6733</v>
      </c>
      <c r="H1204" s="11">
        <v>6.205913976E9</v>
      </c>
      <c r="I1204" s="11" t="s">
        <v>82</v>
      </c>
      <c r="J1204" s="11" t="s">
        <v>71</v>
      </c>
      <c r="K1204" s="11" t="s">
        <v>72</v>
      </c>
      <c r="L1204" s="11" t="s">
        <v>84</v>
      </c>
      <c r="M1204" s="11" t="s">
        <v>5124</v>
      </c>
      <c r="N1204" s="11" t="s">
        <v>86</v>
      </c>
      <c r="O1204" s="11" t="s">
        <v>71</v>
      </c>
      <c r="P1204" s="11" t="s">
        <v>6734</v>
      </c>
      <c r="Q1204" s="13" t="s">
        <v>6735</v>
      </c>
      <c r="R1204" s="14" t="str">
        <f>HYPERLINK("https://drive.google.com/file/d/1IEgmizpSCt-6gW-fb7xRm3_hcQgBQYh3/view?usp=drivesdk","OFFER LETTER")</f>
        <v>OFFER LETTER</v>
      </c>
      <c r="S1204" s="11" t="s">
        <v>6736</v>
      </c>
    </row>
    <row r="1205" ht="22.5" customHeight="1">
      <c r="A1205" s="10">
        <v>46263.010613101855</v>
      </c>
      <c r="B1205" s="11" t="s">
        <v>6732</v>
      </c>
      <c r="C1205" s="11" t="s">
        <v>128</v>
      </c>
      <c r="D1205" s="11" t="s">
        <v>68</v>
      </c>
      <c r="E1205" s="12">
        <v>46222.0</v>
      </c>
      <c r="F1205" s="12">
        <v>46253.0</v>
      </c>
      <c r="G1205" s="11" t="s">
        <v>6733</v>
      </c>
      <c r="H1205" s="11">
        <v>6.205913976E9</v>
      </c>
      <c r="I1205" s="11" t="s">
        <v>82</v>
      </c>
      <c r="J1205" s="11" t="s">
        <v>71</v>
      </c>
      <c r="K1205" s="11" t="s">
        <v>72</v>
      </c>
      <c r="L1205" s="11" t="s">
        <v>84</v>
      </c>
      <c r="M1205" s="11" t="s">
        <v>2535</v>
      </c>
      <c r="N1205" s="11" t="s">
        <v>86</v>
      </c>
      <c r="O1205" s="11" t="s">
        <v>71</v>
      </c>
      <c r="P1205" s="11" t="s">
        <v>6737</v>
      </c>
      <c r="Q1205" s="13" t="s">
        <v>6738</v>
      </c>
      <c r="R1205" s="14" t="str">
        <f>HYPERLINK("https://drive.google.com/file/d/1mwlmERx-X7Kma26FjLBp_4XyaqoYSOjL/view?usp=drivesdk","OFFER LETTER")</f>
        <v>OFFER LETTER</v>
      </c>
      <c r="S1205" s="11" t="s">
        <v>6739</v>
      </c>
    </row>
    <row r="1206" ht="22.5" customHeight="1">
      <c r="A1206" s="10">
        <v>46263.03150385417</v>
      </c>
      <c r="B1206" s="11" t="s">
        <v>6639</v>
      </c>
      <c r="C1206" s="11" t="s">
        <v>107</v>
      </c>
      <c r="D1206" s="11" t="s">
        <v>929</v>
      </c>
      <c r="E1206" s="12">
        <v>45426.0</v>
      </c>
      <c r="F1206" s="12">
        <v>45611.0</v>
      </c>
      <c r="G1206" s="11" t="s">
        <v>6640</v>
      </c>
      <c r="H1206" s="11">
        <v>8.252336759E9</v>
      </c>
      <c r="I1206" s="11" t="s">
        <v>82</v>
      </c>
      <c r="K1206" s="11" t="s">
        <v>72</v>
      </c>
      <c r="L1206" s="11" t="s">
        <v>84</v>
      </c>
      <c r="M1206" s="11" t="s">
        <v>6661</v>
      </c>
      <c r="N1206" s="11" t="s">
        <v>75</v>
      </c>
      <c r="O1206" s="11" t="s">
        <v>71</v>
      </c>
      <c r="P1206" s="11" t="s">
        <v>6740</v>
      </c>
      <c r="Q1206" s="13" t="s">
        <v>6741</v>
      </c>
      <c r="R1206" s="14" t="str">
        <f>HYPERLINK("https://drive.google.com/file/d/1tjYmZEKmjVQhuwiRlQKQONvfTe2PV1vl/view?usp=drivesdk","OFFER LETTER")</f>
        <v>OFFER LETTER</v>
      </c>
      <c r="S1206" s="11" t="s">
        <v>6742</v>
      </c>
    </row>
    <row r="1207" ht="22.5" customHeight="1">
      <c r="A1207" s="10">
        <v>46263.03806693287</v>
      </c>
      <c r="B1207" s="11" t="s">
        <v>6743</v>
      </c>
      <c r="C1207" s="11" t="s">
        <v>195</v>
      </c>
      <c r="D1207" s="11" t="s">
        <v>68</v>
      </c>
      <c r="E1207" s="12">
        <v>46213.0</v>
      </c>
      <c r="F1207" s="12">
        <v>46244.0</v>
      </c>
      <c r="G1207" s="11" t="s">
        <v>6744</v>
      </c>
      <c r="H1207" s="11">
        <v>8.10674235E9</v>
      </c>
      <c r="I1207" s="11" t="s">
        <v>82</v>
      </c>
      <c r="J1207" s="11" t="s">
        <v>71</v>
      </c>
      <c r="K1207" s="11" t="s">
        <v>72</v>
      </c>
      <c r="L1207" s="11" t="s">
        <v>131</v>
      </c>
      <c r="M1207" s="11" t="s">
        <v>6745</v>
      </c>
      <c r="N1207" s="11" t="s">
        <v>6746</v>
      </c>
      <c r="O1207" s="11" t="s">
        <v>263</v>
      </c>
      <c r="P1207" s="11" t="s">
        <v>6747</v>
      </c>
      <c r="Q1207" s="13" t="s">
        <v>6748</v>
      </c>
      <c r="R1207" s="14" t="str">
        <f>HYPERLINK("https://drive.google.com/file/d/1RB5XcVGL9Bx6IhOYc122c-tUX61OIWHO/view?usp=drivesdk","OFFER LETTER")</f>
        <v>OFFER LETTER</v>
      </c>
      <c r="S1207" s="11" t="s">
        <v>6749</v>
      </c>
    </row>
    <row r="1208" ht="22.5" customHeight="1">
      <c r="A1208" s="10">
        <v>46263.0489053125</v>
      </c>
      <c r="B1208" s="11" t="s">
        <v>6639</v>
      </c>
      <c r="C1208" s="11" t="s">
        <v>107</v>
      </c>
      <c r="D1208" s="11" t="s">
        <v>929</v>
      </c>
      <c r="E1208" s="12">
        <v>45254.0</v>
      </c>
      <c r="F1208" s="12">
        <v>45621.0</v>
      </c>
      <c r="G1208" s="11" t="s">
        <v>6640</v>
      </c>
      <c r="H1208" s="11">
        <v>8.252336759E9</v>
      </c>
      <c r="I1208" s="11" t="s">
        <v>82</v>
      </c>
      <c r="K1208" s="11" t="s">
        <v>72</v>
      </c>
      <c r="L1208" s="11" t="s">
        <v>84</v>
      </c>
      <c r="M1208" s="11" t="s">
        <v>1551</v>
      </c>
      <c r="N1208" s="11" t="s">
        <v>75</v>
      </c>
      <c r="O1208" s="11" t="s">
        <v>71</v>
      </c>
      <c r="P1208" s="11" t="s">
        <v>6750</v>
      </c>
      <c r="Q1208" s="13" t="s">
        <v>6751</v>
      </c>
      <c r="R1208" s="14" t="str">
        <f>HYPERLINK("https://drive.google.com/file/d/1EiidTR0Sin-3ohXzbIaN9yL2R-zgGVFM/view?usp=drivesdk","OFFER LETTER")</f>
        <v>OFFER LETTER</v>
      </c>
      <c r="S1208" s="11" t="s">
        <v>6752</v>
      </c>
    </row>
    <row r="1209" ht="22.5" customHeight="1">
      <c r="A1209" s="10">
        <v>46263.11296429398</v>
      </c>
      <c r="B1209" s="11" t="s">
        <v>6753</v>
      </c>
      <c r="C1209" s="11" t="s">
        <v>107</v>
      </c>
      <c r="D1209" s="11" t="s">
        <v>238</v>
      </c>
      <c r="E1209" s="12">
        <v>46266.0</v>
      </c>
      <c r="F1209" s="12">
        <v>46357.0</v>
      </c>
      <c r="G1209" s="11" t="s">
        <v>6754</v>
      </c>
      <c r="H1209" s="11">
        <v>8.077314684E9</v>
      </c>
      <c r="I1209" s="11" t="s">
        <v>82</v>
      </c>
      <c r="J1209" s="11" t="s">
        <v>71</v>
      </c>
      <c r="K1209" s="11" t="s">
        <v>72</v>
      </c>
      <c r="L1209" s="11" t="s">
        <v>247</v>
      </c>
      <c r="M1209" s="11" t="s">
        <v>6755</v>
      </c>
      <c r="N1209" s="11" t="s">
        <v>86</v>
      </c>
      <c r="O1209" s="11" t="s">
        <v>71</v>
      </c>
      <c r="P1209" s="11" t="s">
        <v>6756</v>
      </c>
      <c r="Q1209" s="13" t="s">
        <v>6757</v>
      </c>
      <c r="R1209" s="14" t="str">
        <f>HYPERLINK("https://drive.google.com/file/d/1ddyTnRaRpJkYlCxojUqXWez-HQyrgB9P/view?usp=drivesdk","OFFER LETTER")</f>
        <v>OFFER LETTER</v>
      </c>
      <c r="S1209" s="11" t="s">
        <v>6758</v>
      </c>
    </row>
    <row r="1210" ht="22.5" customHeight="1">
      <c r="A1210" s="10">
        <v>46263.1702758912</v>
      </c>
      <c r="B1210" s="11" t="s">
        <v>6759</v>
      </c>
      <c r="C1210" s="11" t="s">
        <v>67</v>
      </c>
      <c r="D1210" s="11" t="s">
        <v>108</v>
      </c>
      <c r="E1210" s="12">
        <v>46164.0</v>
      </c>
      <c r="F1210" s="12">
        <v>46225.0</v>
      </c>
      <c r="G1210" s="11" t="s">
        <v>6760</v>
      </c>
      <c r="H1210" s="11">
        <v>9.140528716E9</v>
      </c>
      <c r="I1210" s="11" t="s">
        <v>82</v>
      </c>
      <c r="J1210" s="11" t="s">
        <v>71</v>
      </c>
      <c r="K1210" s="11" t="s">
        <v>72</v>
      </c>
      <c r="L1210" s="11" t="s">
        <v>131</v>
      </c>
      <c r="M1210" s="11" t="s">
        <v>5261</v>
      </c>
      <c r="N1210" s="11" t="s">
        <v>86</v>
      </c>
      <c r="O1210" s="11" t="s">
        <v>71</v>
      </c>
      <c r="P1210" s="11" t="s">
        <v>6761</v>
      </c>
      <c r="Q1210" s="13" t="s">
        <v>6762</v>
      </c>
      <c r="R1210" s="14" t="str">
        <f>HYPERLINK("https://drive.google.com/file/d/191wg7leVvTp6oS4dFhSIf6Ude11qHSm8/view?usp=drivesdk","OFFER LETTER")</f>
        <v>OFFER LETTER</v>
      </c>
      <c r="S1210" s="11" t="s">
        <v>6763</v>
      </c>
    </row>
    <row r="1211" ht="22.5" customHeight="1">
      <c r="A1211" s="10">
        <v>46263.34895003472</v>
      </c>
      <c r="B1211" s="11" t="s">
        <v>6764</v>
      </c>
      <c r="C1211" s="11" t="s">
        <v>195</v>
      </c>
      <c r="D1211" s="11" t="s">
        <v>108</v>
      </c>
      <c r="E1211" s="12">
        <v>46174.0</v>
      </c>
      <c r="F1211" s="12">
        <v>46235.0</v>
      </c>
      <c r="G1211" s="11" t="s">
        <v>6765</v>
      </c>
      <c r="H1211" s="11">
        <v>9.528672988E9</v>
      </c>
      <c r="I1211" s="11" t="s">
        <v>82</v>
      </c>
      <c r="J1211" s="11" t="s">
        <v>71</v>
      </c>
      <c r="K1211" s="11" t="s">
        <v>72</v>
      </c>
      <c r="L1211" s="11" t="s">
        <v>131</v>
      </c>
      <c r="M1211" s="11" t="s">
        <v>5401</v>
      </c>
      <c r="N1211" s="11" t="s">
        <v>155</v>
      </c>
      <c r="O1211" s="11" t="s">
        <v>71</v>
      </c>
      <c r="P1211" s="11" t="s">
        <v>6766</v>
      </c>
      <c r="Q1211" s="13" t="s">
        <v>6767</v>
      </c>
      <c r="R1211" s="14" t="str">
        <f>HYPERLINK("https://drive.google.com/file/d/1VM-hxrjjs1ms_WD2wqqR3RCdis_KfqXy/view?usp=drivesdk","OFFER LETTER")</f>
        <v>OFFER LETTER</v>
      </c>
      <c r="S1211" s="11" t="s">
        <v>6768</v>
      </c>
    </row>
    <row r="1212" ht="22.5" customHeight="1">
      <c r="A1212" s="10">
        <v>46263.384680891206</v>
      </c>
      <c r="B1212" s="11" t="s">
        <v>6769</v>
      </c>
      <c r="C1212" s="11" t="s">
        <v>195</v>
      </c>
      <c r="D1212" s="11" t="s">
        <v>68</v>
      </c>
      <c r="E1212" s="12">
        <v>46219.0</v>
      </c>
      <c r="F1212" s="12">
        <v>46250.0</v>
      </c>
      <c r="G1212" s="11" t="s">
        <v>6770</v>
      </c>
      <c r="H1212" s="11">
        <v>8.382849863E9</v>
      </c>
      <c r="I1212" s="11" t="s">
        <v>82</v>
      </c>
      <c r="J1212" s="11" t="s">
        <v>71</v>
      </c>
      <c r="K1212" s="11" t="s">
        <v>72</v>
      </c>
      <c r="L1212" s="11" t="s">
        <v>84</v>
      </c>
      <c r="M1212" s="11" t="s">
        <v>2535</v>
      </c>
      <c r="N1212" s="11" t="s">
        <v>86</v>
      </c>
      <c r="O1212" s="11" t="s">
        <v>71</v>
      </c>
      <c r="P1212" s="11" t="s">
        <v>6771</v>
      </c>
      <c r="Q1212" s="13" t="s">
        <v>6772</v>
      </c>
      <c r="R1212" s="14" t="str">
        <f>HYPERLINK("https://drive.google.com/file/d/1v1S_3-3ZIGLSM6tWsZ1WOTGF0rTuX-_x/view?usp=drivesdk","OFFER LETTER")</f>
        <v>OFFER LETTER</v>
      </c>
      <c r="S1212" s="11" t="s">
        <v>6773</v>
      </c>
    </row>
    <row r="1213" ht="22.5" customHeight="1">
      <c r="A1213" s="10">
        <v>46263.40343601852</v>
      </c>
      <c r="B1213" s="11" t="s">
        <v>6774</v>
      </c>
      <c r="C1213" s="11" t="s">
        <v>195</v>
      </c>
      <c r="D1213" s="11" t="s">
        <v>68</v>
      </c>
      <c r="E1213" s="12">
        <v>46232.0</v>
      </c>
      <c r="F1213" s="12">
        <v>46263.0</v>
      </c>
      <c r="G1213" s="11" t="s">
        <v>6775</v>
      </c>
      <c r="H1213" s="11" t="s">
        <v>6776</v>
      </c>
      <c r="I1213" s="11" t="s">
        <v>82</v>
      </c>
      <c r="J1213" s="11" t="s">
        <v>71</v>
      </c>
      <c r="K1213" s="11" t="s">
        <v>72</v>
      </c>
      <c r="L1213" s="11" t="s">
        <v>84</v>
      </c>
      <c r="M1213" s="11" t="s">
        <v>2535</v>
      </c>
      <c r="N1213" s="11" t="s">
        <v>86</v>
      </c>
      <c r="O1213" s="11" t="s">
        <v>71</v>
      </c>
      <c r="P1213" s="11" t="s">
        <v>6777</v>
      </c>
      <c r="Q1213" s="13" t="s">
        <v>6778</v>
      </c>
      <c r="R1213" s="14" t="str">
        <f>HYPERLINK("https://drive.google.com/file/d/1E8n7_qgAmqpVVmNQALjT_YJ6UyfjnE41/view?usp=drivesdk","OFFER LETTER")</f>
        <v>OFFER LETTER</v>
      </c>
      <c r="S1213" s="11" t="s">
        <v>6779</v>
      </c>
    </row>
    <row r="1214" ht="22.5" customHeight="1">
      <c r="A1214" s="10">
        <v>46263.40554578704</v>
      </c>
      <c r="B1214" s="11" t="s">
        <v>1736</v>
      </c>
      <c r="C1214" s="11" t="s">
        <v>128</v>
      </c>
      <c r="D1214" s="11" t="s">
        <v>68</v>
      </c>
      <c r="E1214" s="12">
        <v>46257.0</v>
      </c>
      <c r="F1214" s="12">
        <v>46288.0</v>
      </c>
      <c r="G1214" s="11" t="s">
        <v>6780</v>
      </c>
      <c r="H1214" s="11">
        <v>7.347477933E9</v>
      </c>
      <c r="I1214" s="11" t="s">
        <v>82</v>
      </c>
      <c r="K1214" s="11" t="s">
        <v>167</v>
      </c>
      <c r="L1214" s="11" t="s">
        <v>131</v>
      </c>
      <c r="M1214" s="11" t="s">
        <v>6781</v>
      </c>
      <c r="N1214" s="11" t="s">
        <v>1641</v>
      </c>
      <c r="O1214" s="11" t="s">
        <v>71</v>
      </c>
      <c r="P1214" s="11" t="s">
        <v>6782</v>
      </c>
      <c r="Q1214" s="13" t="s">
        <v>6783</v>
      </c>
      <c r="R1214" s="14" t="str">
        <f>HYPERLINK("https://drive.google.com/file/d/1Z1yeanm9m_XlG-bXcP_pRUR8pBkF_6de/view?usp=drivesdk","OFFER LETTER")</f>
        <v>OFFER LETTER</v>
      </c>
      <c r="S1214" s="11" t="s">
        <v>6784</v>
      </c>
    </row>
    <row r="1215" ht="22.5" customHeight="1">
      <c r="A1215" s="10">
        <v>46263.412704409726</v>
      </c>
      <c r="B1215" s="11" t="s">
        <v>6785</v>
      </c>
      <c r="C1215" s="11" t="s">
        <v>1200</v>
      </c>
      <c r="D1215" s="11" t="s">
        <v>68</v>
      </c>
      <c r="E1215" s="12">
        <v>46235.0</v>
      </c>
      <c r="F1215" s="12">
        <v>46265.0</v>
      </c>
      <c r="G1215" s="11" t="s">
        <v>6786</v>
      </c>
      <c r="H1215" s="11">
        <v>9.789210973E9</v>
      </c>
      <c r="I1215" s="11" t="s">
        <v>70</v>
      </c>
      <c r="J1215" s="11" t="s">
        <v>71</v>
      </c>
      <c r="K1215" s="11" t="s">
        <v>72</v>
      </c>
      <c r="L1215" s="11" t="s">
        <v>73</v>
      </c>
      <c r="M1215" s="11" t="s">
        <v>6787</v>
      </c>
      <c r="N1215" s="11" t="s">
        <v>226</v>
      </c>
      <c r="O1215" s="11" t="s">
        <v>71</v>
      </c>
      <c r="P1215" s="11" t="s">
        <v>6788</v>
      </c>
      <c r="Q1215" s="13" t="s">
        <v>6789</v>
      </c>
      <c r="R1215" s="14" t="str">
        <f>HYPERLINK("https://drive.google.com/file/d/19-NkuHWY_ZPiW3njBjRK1L12ioGWp-wm/view?usp=drivesdk","OFFER LETTER")</f>
        <v>OFFER LETTER</v>
      </c>
      <c r="S1215" s="11" t="s">
        <v>6790</v>
      </c>
    </row>
    <row r="1216" ht="22.5" customHeight="1">
      <c r="A1216" s="10">
        <v>46263.41408484954</v>
      </c>
      <c r="B1216" s="11" t="s">
        <v>6791</v>
      </c>
      <c r="C1216" s="11" t="s">
        <v>1200</v>
      </c>
      <c r="D1216" s="11" t="s">
        <v>68</v>
      </c>
      <c r="E1216" s="12">
        <v>46232.0</v>
      </c>
      <c r="F1216" s="12">
        <v>46263.0</v>
      </c>
      <c r="G1216" s="11" t="s">
        <v>6792</v>
      </c>
      <c r="H1216" s="11">
        <v>9.704640898E9</v>
      </c>
      <c r="I1216" s="11" t="s">
        <v>82</v>
      </c>
      <c r="J1216" s="11" t="s">
        <v>71</v>
      </c>
      <c r="K1216" s="11" t="s">
        <v>72</v>
      </c>
      <c r="L1216" s="11" t="s">
        <v>131</v>
      </c>
      <c r="M1216" s="11" t="s">
        <v>6793</v>
      </c>
      <c r="N1216" s="11" t="s">
        <v>75</v>
      </c>
      <c r="O1216" s="11" t="s">
        <v>71</v>
      </c>
      <c r="P1216" s="11" t="s">
        <v>6794</v>
      </c>
      <c r="Q1216" s="13" t="s">
        <v>6795</v>
      </c>
      <c r="R1216" s="14" t="str">
        <f>HYPERLINK("https://drive.google.com/file/d/1Z8W5__S3pzvbTqKOON6tioye2QAbmK1M/view?usp=drivesdk","OFFER LETTER")</f>
        <v>OFFER LETTER</v>
      </c>
      <c r="S1216" s="11" t="s">
        <v>6796</v>
      </c>
    </row>
    <row r="1217" ht="22.5" customHeight="1">
      <c r="A1217" s="10">
        <v>46263.423485798616</v>
      </c>
      <c r="B1217" s="11" t="s">
        <v>6797</v>
      </c>
      <c r="C1217" s="11" t="s">
        <v>128</v>
      </c>
      <c r="D1217" s="11" t="s">
        <v>108</v>
      </c>
      <c r="E1217" s="12">
        <v>46249.0</v>
      </c>
      <c r="F1217" s="12">
        <v>46309.0</v>
      </c>
      <c r="G1217" s="11" t="s">
        <v>6798</v>
      </c>
      <c r="H1217" s="11">
        <v>8.019375856E9</v>
      </c>
      <c r="I1217" s="11" t="s">
        <v>82</v>
      </c>
      <c r="J1217" s="11" t="s">
        <v>71</v>
      </c>
      <c r="K1217" s="11" t="s">
        <v>72</v>
      </c>
      <c r="L1217" s="11" t="s">
        <v>131</v>
      </c>
      <c r="M1217" s="11" t="s">
        <v>6799</v>
      </c>
      <c r="N1217" s="11" t="s">
        <v>86</v>
      </c>
      <c r="O1217" s="11" t="s">
        <v>71</v>
      </c>
      <c r="P1217" s="11" t="s">
        <v>6800</v>
      </c>
      <c r="Q1217" s="13" t="s">
        <v>6801</v>
      </c>
      <c r="R1217" s="14" t="str">
        <f>HYPERLINK("https://drive.google.com/file/d/1ozoG0jMTt9cX32IJWZcVcrxf4LvEoQAJ/view?usp=drivesdk","OFFER LETTER")</f>
        <v>OFFER LETTER</v>
      </c>
      <c r="S1217" s="11" t="s">
        <v>6802</v>
      </c>
    </row>
    <row r="1218" ht="22.5" customHeight="1">
      <c r="A1218" s="10">
        <v>46263.43296255787</v>
      </c>
      <c r="B1218" s="11" t="s">
        <v>6803</v>
      </c>
      <c r="C1218" s="11" t="s">
        <v>354</v>
      </c>
      <c r="D1218" s="11" t="s">
        <v>68</v>
      </c>
      <c r="E1218" s="12">
        <v>46263.0</v>
      </c>
      <c r="F1218" s="12">
        <v>46294.0</v>
      </c>
      <c r="G1218" s="11" t="s">
        <v>6804</v>
      </c>
      <c r="H1218" s="11">
        <v>9.790157496E9</v>
      </c>
      <c r="I1218" s="11" t="s">
        <v>82</v>
      </c>
      <c r="J1218" s="11" t="s">
        <v>71</v>
      </c>
      <c r="K1218" s="11" t="s">
        <v>72</v>
      </c>
      <c r="L1218" s="11" t="s">
        <v>131</v>
      </c>
      <c r="M1218" s="11" t="s">
        <v>5568</v>
      </c>
      <c r="N1218" s="11" t="s">
        <v>155</v>
      </c>
      <c r="O1218" s="11" t="s">
        <v>71</v>
      </c>
      <c r="P1218" s="11" t="s">
        <v>6805</v>
      </c>
      <c r="Q1218" s="13" t="s">
        <v>6806</v>
      </c>
      <c r="R1218" s="14" t="str">
        <f>HYPERLINK("https://drive.google.com/file/d/1fu-p5N9e6VLVfD-Ug0P2gsmP7vXtEvBX/view?usp=drivesdk","OFFER LETTER")</f>
        <v>OFFER LETTER</v>
      </c>
      <c r="S1218" s="11" t="s">
        <v>6807</v>
      </c>
    </row>
    <row r="1219" ht="22.5" customHeight="1">
      <c r="A1219" s="10">
        <v>46263.43991778935</v>
      </c>
      <c r="B1219" s="11" t="s">
        <v>6808</v>
      </c>
      <c r="C1219" s="11" t="s">
        <v>173</v>
      </c>
      <c r="D1219" s="11" t="s">
        <v>108</v>
      </c>
      <c r="E1219" s="12">
        <v>46197.0</v>
      </c>
      <c r="F1219" s="12">
        <v>46260.0</v>
      </c>
      <c r="G1219" s="11" t="s">
        <v>6809</v>
      </c>
      <c r="H1219" s="11">
        <v>7.300589766E9</v>
      </c>
      <c r="I1219" s="11" t="s">
        <v>82</v>
      </c>
      <c r="J1219" s="11" t="s">
        <v>71</v>
      </c>
      <c r="K1219" s="11" t="s">
        <v>72</v>
      </c>
      <c r="L1219" s="11" t="s">
        <v>131</v>
      </c>
      <c r="M1219" s="11" t="s">
        <v>2058</v>
      </c>
      <c r="N1219" s="11" t="s">
        <v>655</v>
      </c>
      <c r="O1219" s="11" t="s">
        <v>71</v>
      </c>
      <c r="P1219" s="11" t="s">
        <v>6810</v>
      </c>
      <c r="Q1219" s="13" t="s">
        <v>6811</v>
      </c>
      <c r="R1219" s="14" t="str">
        <f>HYPERLINK("https://drive.google.com/file/d/1IXkmFsbVZPY809tbQqeuTq-BLCSFp52u/view?usp=drivesdk","OFFER LETTER")</f>
        <v>OFFER LETTER</v>
      </c>
      <c r="S1219" s="11" t="s">
        <v>6812</v>
      </c>
    </row>
    <row r="1220" ht="22.5" customHeight="1">
      <c r="A1220" s="10">
        <v>46263.444214965275</v>
      </c>
      <c r="B1220" s="11" t="s">
        <v>6813</v>
      </c>
      <c r="C1220" s="11" t="s">
        <v>107</v>
      </c>
      <c r="D1220" s="11" t="s">
        <v>238</v>
      </c>
      <c r="E1220" s="12">
        <v>46263.0</v>
      </c>
      <c r="F1220" s="12">
        <v>46355.0</v>
      </c>
      <c r="G1220" s="11" t="s">
        <v>6814</v>
      </c>
      <c r="H1220" s="17" t="s">
        <v>6815</v>
      </c>
      <c r="I1220" s="11" t="s">
        <v>82</v>
      </c>
      <c r="J1220" s="11" t="s">
        <v>71</v>
      </c>
      <c r="K1220" s="11" t="s">
        <v>167</v>
      </c>
      <c r="L1220" s="11" t="s">
        <v>131</v>
      </c>
      <c r="M1220" s="11" t="s">
        <v>6816</v>
      </c>
      <c r="N1220" s="11" t="s">
        <v>86</v>
      </c>
      <c r="O1220" s="11" t="s">
        <v>263</v>
      </c>
      <c r="P1220" s="11" t="s">
        <v>6817</v>
      </c>
      <c r="Q1220" s="13" t="s">
        <v>6818</v>
      </c>
      <c r="R1220" s="14" t="str">
        <f>HYPERLINK("https://drive.google.com/file/d/1GzgM2WTNhCQXJDJjcoAVmUB7X4uLCGlF/view?usp=drivesdk","OFFER LETTER")</f>
        <v>OFFER LETTER</v>
      </c>
      <c r="S1220" s="11" t="s">
        <v>6819</v>
      </c>
    </row>
    <row r="1221" ht="22.5" customHeight="1">
      <c r="A1221" s="10">
        <v>46263.4454680787</v>
      </c>
      <c r="B1221" s="11" t="s">
        <v>6820</v>
      </c>
      <c r="C1221" s="11" t="s">
        <v>195</v>
      </c>
      <c r="D1221" s="11" t="s">
        <v>108</v>
      </c>
      <c r="E1221" s="12">
        <v>46188.0</v>
      </c>
      <c r="F1221" s="12">
        <v>46249.0</v>
      </c>
      <c r="G1221" s="11" t="s">
        <v>6821</v>
      </c>
      <c r="H1221" s="11">
        <v>8.218788165E9</v>
      </c>
      <c r="I1221" s="11" t="s">
        <v>82</v>
      </c>
      <c r="J1221" s="11" t="s">
        <v>71</v>
      </c>
      <c r="K1221" s="11" t="s">
        <v>72</v>
      </c>
      <c r="L1221" s="11" t="s">
        <v>131</v>
      </c>
      <c r="M1221" s="11" t="s">
        <v>493</v>
      </c>
      <c r="N1221" s="11" t="s">
        <v>6822</v>
      </c>
      <c r="O1221" s="11" t="s">
        <v>71</v>
      </c>
      <c r="P1221" s="11" t="s">
        <v>6823</v>
      </c>
      <c r="Q1221" s="13" t="s">
        <v>6824</v>
      </c>
      <c r="R1221" s="14" t="str">
        <f>HYPERLINK("https://drive.google.com/file/d/16ruggvtjl9x7_efoPdvlWkatVlqF4mz9/view?usp=drivesdk","OFFER LETTER")</f>
        <v>OFFER LETTER</v>
      </c>
      <c r="S1221" s="11" t="s">
        <v>6825</v>
      </c>
    </row>
    <row r="1222" ht="22.5" customHeight="1">
      <c r="A1222" s="10">
        <v>46263.45809545139</v>
      </c>
      <c r="B1222" s="11" t="s">
        <v>6826</v>
      </c>
      <c r="C1222" s="11" t="s">
        <v>195</v>
      </c>
      <c r="D1222" s="11" t="s">
        <v>68</v>
      </c>
      <c r="E1222" s="12">
        <v>46263.0</v>
      </c>
      <c r="F1222" s="12">
        <v>46294.0</v>
      </c>
      <c r="G1222" s="11" t="s">
        <v>6827</v>
      </c>
      <c r="H1222" s="11">
        <v>6.381808552E9</v>
      </c>
      <c r="I1222" s="11" t="s">
        <v>82</v>
      </c>
      <c r="J1222" s="11" t="s">
        <v>130</v>
      </c>
      <c r="K1222" s="11" t="s">
        <v>72</v>
      </c>
      <c r="L1222" s="11" t="s">
        <v>131</v>
      </c>
      <c r="M1222" s="11" t="s">
        <v>6828</v>
      </c>
      <c r="N1222" s="11" t="s">
        <v>6829</v>
      </c>
      <c r="O1222" s="11" t="s">
        <v>71</v>
      </c>
      <c r="P1222" s="11" t="s">
        <v>6830</v>
      </c>
      <c r="Q1222" s="13" t="s">
        <v>6831</v>
      </c>
      <c r="R1222" s="14" t="str">
        <f>HYPERLINK("https://drive.google.com/file/d/1bKSlPv1lC_PZ3XChuWpZUEts_r-08NbK/view?usp=drivesdk","OFFER LETTER")</f>
        <v>OFFER LETTER</v>
      </c>
      <c r="S1222" s="11" t="s">
        <v>6832</v>
      </c>
    </row>
    <row r="1223" ht="22.5" customHeight="1">
      <c r="A1223" s="10">
        <v>46263.46116068287</v>
      </c>
      <c r="B1223" s="11" t="s">
        <v>2149</v>
      </c>
      <c r="C1223" s="11" t="s">
        <v>173</v>
      </c>
      <c r="D1223" s="11" t="s">
        <v>68</v>
      </c>
      <c r="E1223" s="12">
        <v>46210.0</v>
      </c>
      <c r="F1223" s="12">
        <v>46241.0</v>
      </c>
      <c r="G1223" s="11" t="s">
        <v>6833</v>
      </c>
      <c r="H1223" s="11">
        <v>8.979097299E9</v>
      </c>
      <c r="I1223" s="11" t="s">
        <v>82</v>
      </c>
      <c r="J1223" s="11" t="s">
        <v>83</v>
      </c>
      <c r="K1223" s="11" t="s">
        <v>110</v>
      </c>
      <c r="L1223" s="11" t="s">
        <v>84</v>
      </c>
      <c r="M1223" s="11" t="s">
        <v>301</v>
      </c>
      <c r="N1223" s="11" t="s">
        <v>86</v>
      </c>
      <c r="O1223" s="11" t="s">
        <v>71</v>
      </c>
      <c r="P1223" s="11" t="s">
        <v>6834</v>
      </c>
      <c r="Q1223" s="13" t="s">
        <v>6835</v>
      </c>
      <c r="R1223" s="14" t="str">
        <f>HYPERLINK("https://drive.google.com/file/d/1EmzO4ho-ImpTZGV1MRO94nSKYiXmSReK/view?usp=drivesdk","OFFER LETTER")</f>
        <v>OFFER LETTER</v>
      </c>
      <c r="S1223" s="11" t="s">
        <v>6836</v>
      </c>
    </row>
    <row r="1224" ht="22.5" customHeight="1">
      <c r="A1224" s="10">
        <v>46263.46162199074</v>
      </c>
      <c r="B1224" s="11" t="s">
        <v>106</v>
      </c>
      <c r="C1224" s="11" t="s">
        <v>195</v>
      </c>
      <c r="D1224" s="11" t="s">
        <v>108</v>
      </c>
      <c r="E1224" s="12">
        <v>46202.0</v>
      </c>
      <c r="F1224" s="12">
        <v>46262.0</v>
      </c>
      <c r="G1224" s="11" t="s">
        <v>6837</v>
      </c>
      <c r="H1224" s="11">
        <v>9.389135938E9</v>
      </c>
      <c r="I1224" s="11" t="s">
        <v>82</v>
      </c>
      <c r="J1224" s="11" t="s">
        <v>71</v>
      </c>
      <c r="K1224" s="11" t="s">
        <v>72</v>
      </c>
      <c r="L1224" s="11" t="s">
        <v>131</v>
      </c>
      <c r="M1224" s="11" t="s">
        <v>6838</v>
      </c>
      <c r="N1224" s="11" t="s">
        <v>86</v>
      </c>
      <c r="O1224" s="11" t="s">
        <v>71</v>
      </c>
      <c r="P1224" s="11" t="s">
        <v>6839</v>
      </c>
      <c r="Q1224" s="13" t="s">
        <v>6840</v>
      </c>
      <c r="R1224" s="14" t="str">
        <f>HYPERLINK("https://drive.google.com/file/d/1Mith_KScxIyAyUPlb-llQTBaKxZIJaPc/view?usp=drivesdk","OFFER LETTER")</f>
        <v>OFFER LETTER</v>
      </c>
      <c r="S1224" s="11" t="s">
        <v>6841</v>
      </c>
    </row>
    <row r="1225" ht="22.5" customHeight="1">
      <c r="A1225" s="10">
        <v>46263.47836155092</v>
      </c>
      <c r="B1225" s="11" t="s">
        <v>6842</v>
      </c>
      <c r="C1225" s="11" t="s">
        <v>107</v>
      </c>
      <c r="D1225" s="11" t="s">
        <v>238</v>
      </c>
      <c r="E1225" s="12">
        <v>46264.0</v>
      </c>
      <c r="F1225" s="12">
        <v>46356.0</v>
      </c>
      <c r="G1225" s="11" t="s">
        <v>6843</v>
      </c>
      <c r="H1225" s="11">
        <v>6.360297787E9</v>
      </c>
      <c r="I1225" s="11" t="s">
        <v>82</v>
      </c>
      <c r="J1225" s="11" t="s">
        <v>71</v>
      </c>
      <c r="K1225" s="11" t="s">
        <v>72</v>
      </c>
      <c r="L1225" s="11" t="s">
        <v>131</v>
      </c>
      <c r="M1225" s="11" t="s">
        <v>6844</v>
      </c>
      <c r="N1225" s="11" t="s">
        <v>86</v>
      </c>
      <c r="O1225" s="11" t="s">
        <v>71</v>
      </c>
      <c r="P1225" s="11" t="s">
        <v>6845</v>
      </c>
      <c r="Q1225" s="13" t="s">
        <v>6846</v>
      </c>
      <c r="R1225" s="14" t="str">
        <f>HYPERLINK("https://drive.google.com/file/d/1jG8w8yOBolNTGycQHiIr8k1-Vrb9sm7e/view?usp=drivesdk","OFFER LETTER")</f>
        <v>OFFER LETTER</v>
      </c>
      <c r="S1225" s="11" t="s">
        <v>6847</v>
      </c>
    </row>
    <row r="1226" ht="22.5" customHeight="1">
      <c r="A1226" s="10">
        <v>46263.48182366898</v>
      </c>
      <c r="B1226" s="11" t="s">
        <v>6848</v>
      </c>
      <c r="C1226" s="11" t="s">
        <v>128</v>
      </c>
      <c r="D1226" s="11" t="s">
        <v>68</v>
      </c>
      <c r="E1226" s="12">
        <v>46223.0</v>
      </c>
      <c r="F1226" s="12">
        <v>46254.0</v>
      </c>
      <c r="G1226" s="11" t="s">
        <v>6849</v>
      </c>
      <c r="H1226" s="11">
        <v>8.899481396E9</v>
      </c>
      <c r="I1226" s="11" t="s">
        <v>82</v>
      </c>
      <c r="J1226" s="11" t="s">
        <v>71</v>
      </c>
      <c r="K1226" s="11" t="s">
        <v>72</v>
      </c>
      <c r="L1226" s="11" t="s">
        <v>84</v>
      </c>
      <c r="M1226" s="11" t="s">
        <v>886</v>
      </c>
      <c r="N1226" s="11" t="s">
        <v>6850</v>
      </c>
      <c r="O1226" s="11" t="s">
        <v>71</v>
      </c>
      <c r="P1226" s="11" t="s">
        <v>6851</v>
      </c>
      <c r="Q1226" s="13" t="s">
        <v>6852</v>
      </c>
      <c r="R1226" s="14" t="str">
        <f>HYPERLINK("https://drive.google.com/file/d/1md_L5BGLH_-RC3AbZs0Bec_LoqV4Iu7V/view?usp=drivesdk","OFFER LETTER")</f>
        <v>OFFER LETTER</v>
      </c>
      <c r="S1226" s="11" t="s">
        <v>6853</v>
      </c>
    </row>
    <row r="1227" ht="22.5" customHeight="1">
      <c r="A1227" s="10">
        <v>46263.4821259375</v>
      </c>
      <c r="B1227" s="11" t="s">
        <v>6854</v>
      </c>
      <c r="C1227" s="11" t="s">
        <v>195</v>
      </c>
      <c r="D1227" s="11" t="s">
        <v>108</v>
      </c>
      <c r="E1227" s="12">
        <v>46184.0</v>
      </c>
      <c r="F1227" s="12">
        <v>46245.0</v>
      </c>
      <c r="G1227" s="11" t="s">
        <v>6855</v>
      </c>
      <c r="H1227" s="11">
        <v>7.456049063E9</v>
      </c>
      <c r="I1227" s="11" t="s">
        <v>82</v>
      </c>
      <c r="J1227" s="11" t="s">
        <v>71</v>
      </c>
      <c r="K1227" s="11" t="s">
        <v>72</v>
      </c>
      <c r="L1227" s="11" t="s">
        <v>131</v>
      </c>
      <c r="M1227" s="11" t="s">
        <v>2058</v>
      </c>
      <c r="N1227" s="11" t="s">
        <v>655</v>
      </c>
      <c r="O1227" s="11" t="s">
        <v>71</v>
      </c>
      <c r="P1227" s="11" t="s">
        <v>6856</v>
      </c>
      <c r="Q1227" s="13" t="s">
        <v>6857</v>
      </c>
      <c r="R1227" s="14" t="str">
        <f>HYPERLINK("https://drive.google.com/file/d/18fm-9dSbbKW7IzjptEzPsoZdyQ61pLrb/view?usp=drivesdk","OFFER LETTER")</f>
        <v>OFFER LETTER</v>
      </c>
      <c r="S1227" s="11" t="s">
        <v>6858</v>
      </c>
    </row>
    <row r="1228" ht="22.5" customHeight="1">
      <c r="A1228" s="10">
        <v>46263.49027296296</v>
      </c>
      <c r="B1228" s="11" t="s">
        <v>6859</v>
      </c>
      <c r="C1228" s="11" t="s">
        <v>128</v>
      </c>
      <c r="D1228" s="11" t="s">
        <v>68</v>
      </c>
      <c r="E1228" s="12">
        <v>46223.0</v>
      </c>
      <c r="F1228" s="12">
        <v>46254.0</v>
      </c>
      <c r="G1228" s="11" t="s">
        <v>6860</v>
      </c>
      <c r="H1228" s="11">
        <v>8.630287979E9</v>
      </c>
      <c r="I1228" s="11" t="s">
        <v>82</v>
      </c>
      <c r="J1228" s="11" t="s">
        <v>71</v>
      </c>
      <c r="K1228" s="11" t="s">
        <v>72</v>
      </c>
      <c r="L1228" s="11" t="s">
        <v>84</v>
      </c>
      <c r="M1228" s="11" t="s">
        <v>301</v>
      </c>
      <c r="N1228" s="11" t="s">
        <v>86</v>
      </c>
      <c r="O1228" s="11" t="s">
        <v>263</v>
      </c>
      <c r="P1228" s="11" t="s">
        <v>6861</v>
      </c>
      <c r="Q1228" s="13" t="s">
        <v>6862</v>
      </c>
      <c r="R1228" s="14" t="str">
        <f>HYPERLINK("https://drive.google.com/file/d/1zHkCgPCNnHA9Ok2Odl3AvjRW-1jW3GOU/view?usp=drivesdk","OFFER LETTER")</f>
        <v>OFFER LETTER</v>
      </c>
      <c r="S1228" s="11" t="s">
        <v>6863</v>
      </c>
    </row>
    <row r="1229" ht="22.5" customHeight="1">
      <c r="A1229" s="10">
        <v>46263.497112384255</v>
      </c>
      <c r="B1229" s="11" t="s">
        <v>6864</v>
      </c>
      <c r="C1229" s="11" t="s">
        <v>128</v>
      </c>
      <c r="D1229" s="11" t="s">
        <v>68</v>
      </c>
      <c r="E1229" s="12">
        <v>46226.0</v>
      </c>
      <c r="F1229" s="12">
        <v>46257.0</v>
      </c>
      <c r="G1229" s="11" t="s">
        <v>6865</v>
      </c>
      <c r="H1229" s="11">
        <v>8.171083173E9</v>
      </c>
      <c r="I1229" s="11" t="s">
        <v>82</v>
      </c>
      <c r="J1229" s="11" t="s">
        <v>71</v>
      </c>
      <c r="K1229" s="11" t="s">
        <v>72</v>
      </c>
      <c r="L1229" s="11" t="s">
        <v>84</v>
      </c>
      <c r="M1229" s="11" t="s">
        <v>301</v>
      </c>
      <c r="N1229" s="11" t="s">
        <v>75</v>
      </c>
      <c r="O1229" s="11" t="s">
        <v>71</v>
      </c>
      <c r="P1229" s="11" t="s">
        <v>6866</v>
      </c>
      <c r="Q1229" s="13" t="s">
        <v>6867</v>
      </c>
      <c r="R1229" s="14" t="str">
        <f>HYPERLINK("https://drive.google.com/file/d/1b8QUfcPpcBvGCj8T3JU2OxL7FaTUz2DF/view?usp=drivesdk","OFFER LETTER")</f>
        <v>OFFER LETTER</v>
      </c>
      <c r="S1229" s="11" t="s">
        <v>6868</v>
      </c>
    </row>
    <row r="1230" ht="22.5" customHeight="1">
      <c r="A1230" s="10">
        <v>46263.497510347224</v>
      </c>
      <c r="B1230" s="11" t="s">
        <v>6869</v>
      </c>
      <c r="C1230" s="11" t="s">
        <v>128</v>
      </c>
      <c r="D1230" s="11" t="s">
        <v>68</v>
      </c>
      <c r="E1230" s="12">
        <v>46223.0</v>
      </c>
      <c r="F1230" s="12">
        <v>46254.0</v>
      </c>
      <c r="G1230" s="11" t="s">
        <v>6870</v>
      </c>
      <c r="H1230" s="11">
        <v>8.920563007E9</v>
      </c>
      <c r="I1230" s="11" t="s">
        <v>82</v>
      </c>
      <c r="J1230" s="11" t="s">
        <v>71</v>
      </c>
      <c r="K1230" s="11" t="s">
        <v>72</v>
      </c>
      <c r="L1230" s="11" t="s">
        <v>84</v>
      </c>
      <c r="M1230" s="11" t="s">
        <v>886</v>
      </c>
      <c r="N1230" s="11" t="s">
        <v>133</v>
      </c>
      <c r="O1230" s="11" t="s">
        <v>71</v>
      </c>
      <c r="P1230" s="11" t="s">
        <v>6871</v>
      </c>
      <c r="Q1230" s="13" t="s">
        <v>6872</v>
      </c>
      <c r="R1230" s="14" t="str">
        <f>HYPERLINK("https://drive.google.com/file/d/1OuoqYaienfP2EH_AipfHMmuJa_4z-ZWf/view?usp=drivesdk","OFFER LETTER")</f>
        <v>OFFER LETTER</v>
      </c>
      <c r="S1230" s="11" t="s">
        <v>6873</v>
      </c>
    </row>
    <row r="1231" ht="22.5" customHeight="1">
      <c r="A1231" s="10">
        <v>46263.501884745376</v>
      </c>
      <c r="B1231" s="11" t="s">
        <v>6874</v>
      </c>
      <c r="C1231" s="11" t="s">
        <v>259</v>
      </c>
      <c r="D1231" s="11" t="s">
        <v>68</v>
      </c>
      <c r="E1231" s="12">
        <v>46263.0</v>
      </c>
      <c r="F1231" s="12">
        <v>46294.0</v>
      </c>
      <c r="G1231" s="11" t="s">
        <v>6875</v>
      </c>
      <c r="H1231" s="11">
        <v>8.341082712E9</v>
      </c>
      <c r="I1231" s="11" t="s">
        <v>82</v>
      </c>
      <c r="J1231" s="11" t="s">
        <v>71</v>
      </c>
      <c r="K1231" s="11" t="s">
        <v>72</v>
      </c>
      <c r="L1231" s="11" t="s">
        <v>131</v>
      </c>
      <c r="M1231" s="11" t="s">
        <v>6876</v>
      </c>
      <c r="N1231" s="11" t="s">
        <v>75</v>
      </c>
      <c r="O1231" s="11" t="s">
        <v>71</v>
      </c>
      <c r="P1231" s="11" t="s">
        <v>6877</v>
      </c>
      <c r="Q1231" s="13" t="s">
        <v>6878</v>
      </c>
      <c r="R1231" s="14" t="str">
        <f>HYPERLINK("https://drive.google.com/file/d/1P8_jXO_Vc1s4wwd2Xk-4Cl00-DDHfM1c/view?usp=drivesdk","OFFER LETTER")</f>
        <v>OFFER LETTER</v>
      </c>
      <c r="S1231" s="11" t="s">
        <v>6879</v>
      </c>
    </row>
    <row r="1232" ht="22.5" customHeight="1">
      <c r="A1232" s="10">
        <v>46263.51125108796</v>
      </c>
      <c r="B1232" s="11" t="s">
        <v>2346</v>
      </c>
      <c r="C1232" s="11" t="s">
        <v>128</v>
      </c>
      <c r="D1232" s="11" t="s">
        <v>68</v>
      </c>
      <c r="E1232" s="12">
        <v>46223.0</v>
      </c>
      <c r="F1232" s="12">
        <v>46254.0</v>
      </c>
      <c r="G1232" s="11" t="s">
        <v>6880</v>
      </c>
      <c r="H1232" s="11">
        <v>9.350775273E9</v>
      </c>
      <c r="I1232" s="11" t="s">
        <v>82</v>
      </c>
      <c r="J1232" s="11" t="s">
        <v>71</v>
      </c>
      <c r="K1232" s="11" t="s">
        <v>72</v>
      </c>
      <c r="L1232" s="11" t="s">
        <v>84</v>
      </c>
      <c r="M1232" s="11" t="s">
        <v>886</v>
      </c>
      <c r="N1232" s="11" t="s">
        <v>133</v>
      </c>
      <c r="O1232" s="11" t="s">
        <v>71</v>
      </c>
      <c r="P1232" s="11" t="s">
        <v>6881</v>
      </c>
      <c r="Q1232" s="13" t="s">
        <v>6882</v>
      </c>
      <c r="R1232" s="14" t="str">
        <f>HYPERLINK("https://drive.google.com/file/d/1CfUq2_V-LrLw4XzkjpC4x9CvMwTeGt3k/view?usp=drivesdk","OFFER LETTER")</f>
        <v>OFFER LETTER</v>
      </c>
      <c r="S1232" s="11" t="s">
        <v>6883</v>
      </c>
    </row>
    <row r="1233" ht="22.5" customHeight="1">
      <c r="A1233" s="10">
        <v>46263.51268534722</v>
      </c>
      <c r="B1233" s="11" t="s">
        <v>6884</v>
      </c>
      <c r="C1233" s="11" t="s">
        <v>67</v>
      </c>
      <c r="D1233" s="11" t="s">
        <v>108</v>
      </c>
      <c r="E1233" s="12">
        <v>46195.0</v>
      </c>
      <c r="F1233" s="12">
        <v>46255.0</v>
      </c>
      <c r="G1233" s="11" t="s">
        <v>6885</v>
      </c>
      <c r="H1233" s="11">
        <v>9.467818508E9</v>
      </c>
      <c r="I1233" s="11" t="s">
        <v>82</v>
      </c>
      <c r="K1233" s="11" t="s">
        <v>110</v>
      </c>
      <c r="L1233" s="11" t="s">
        <v>131</v>
      </c>
      <c r="M1233" s="11" t="s">
        <v>6886</v>
      </c>
      <c r="N1233" s="11" t="s">
        <v>1641</v>
      </c>
      <c r="O1233" s="11" t="s">
        <v>71</v>
      </c>
      <c r="P1233" s="11" t="s">
        <v>6887</v>
      </c>
      <c r="Q1233" s="13" t="s">
        <v>6888</v>
      </c>
      <c r="R1233" s="14" t="str">
        <f>HYPERLINK("https://drive.google.com/file/d/1IfCeJR2KY3Ht5ioe49KMIQdxFg-xRcUY/view?usp=drivesdk","OFFER LETTER")</f>
        <v>OFFER LETTER</v>
      </c>
      <c r="S1233" s="11" t="s">
        <v>6889</v>
      </c>
    </row>
    <row r="1234" ht="22.5" customHeight="1">
      <c r="A1234" s="10">
        <v>46263.51912766203</v>
      </c>
      <c r="B1234" s="11" t="s">
        <v>6890</v>
      </c>
      <c r="C1234" s="11" t="s">
        <v>298</v>
      </c>
      <c r="D1234" s="11" t="s">
        <v>108</v>
      </c>
      <c r="E1234" s="12">
        <v>46263.0</v>
      </c>
      <c r="F1234" s="12">
        <v>46324.0</v>
      </c>
      <c r="G1234" s="11" t="s">
        <v>6891</v>
      </c>
      <c r="H1234" s="11">
        <v>8.904170242E9</v>
      </c>
      <c r="I1234" s="11" t="s">
        <v>70</v>
      </c>
      <c r="J1234" s="11" t="s">
        <v>71</v>
      </c>
      <c r="K1234" s="11" t="s">
        <v>356</v>
      </c>
      <c r="L1234" s="11" t="s">
        <v>84</v>
      </c>
      <c r="M1234" s="11" t="s">
        <v>6892</v>
      </c>
      <c r="N1234" s="11" t="s">
        <v>320</v>
      </c>
      <c r="O1234" s="11" t="s">
        <v>71</v>
      </c>
      <c r="P1234" s="11" t="s">
        <v>6893</v>
      </c>
      <c r="Q1234" s="13" t="s">
        <v>6894</v>
      </c>
      <c r="R1234" s="14" t="str">
        <f>HYPERLINK("https://drive.google.com/file/d/1qRcCqW1JdxoGwYw-NeJQLI4r__pp7C9K/view?usp=drivesdk","OFFER LETTER")</f>
        <v>OFFER LETTER</v>
      </c>
      <c r="S1234" s="11" t="s">
        <v>6895</v>
      </c>
    </row>
    <row r="1235" ht="22.5" customHeight="1">
      <c r="A1235" s="10">
        <v>46263.520519074074</v>
      </c>
      <c r="B1235" s="11" t="s">
        <v>6896</v>
      </c>
      <c r="C1235" s="11" t="s">
        <v>107</v>
      </c>
      <c r="D1235" s="11" t="s">
        <v>238</v>
      </c>
      <c r="E1235" s="12">
        <v>46264.0</v>
      </c>
      <c r="F1235" s="12">
        <v>46356.0</v>
      </c>
      <c r="G1235" s="11" t="s">
        <v>6897</v>
      </c>
      <c r="H1235" s="11">
        <v>7.676852729E9</v>
      </c>
      <c r="I1235" s="11" t="s">
        <v>82</v>
      </c>
      <c r="J1235" s="11" t="s">
        <v>71</v>
      </c>
      <c r="K1235" s="11" t="s">
        <v>72</v>
      </c>
      <c r="L1235" s="11" t="s">
        <v>131</v>
      </c>
      <c r="M1235" s="11" t="s">
        <v>6898</v>
      </c>
      <c r="N1235" s="11" t="s">
        <v>86</v>
      </c>
      <c r="O1235" s="11" t="s">
        <v>71</v>
      </c>
      <c r="P1235" s="11" t="s">
        <v>6899</v>
      </c>
      <c r="Q1235" s="13" t="s">
        <v>6900</v>
      </c>
      <c r="R1235" s="14" t="str">
        <f>HYPERLINK("https://drive.google.com/file/d/1O__QZDg40BKc7yZ5jCi63HuPmbB9RiM4/view?usp=drivesdk","OFFER LETTER")</f>
        <v>OFFER LETTER</v>
      </c>
      <c r="S1235" s="11" t="s">
        <v>6901</v>
      </c>
    </row>
    <row r="1236" ht="22.5" customHeight="1">
      <c r="A1236" s="10">
        <v>46263.528682372686</v>
      </c>
      <c r="B1236" s="11" t="s">
        <v>6902</v>
      </c>
      <c r="C1236" s="11" t="s">
        <v>173</v>
      </c>
      <c r="D1236" s="11" t="s">
        <v>68</v>
      </c>
      <c r="E1236" s="12">
        <v>46230.0</v>
      </c>
      <c r="F1236" s="12">
        <v>46261.0</v>
      </c>
      <c r="G1236" s="11" t="s">
        <v>6903</v>
      </c>
      <c r="H1236" s="11">
        <v>9.473082128E9</v>
      </c>
      <c r="I1236" s="11" t="s">
        <v>82</v>
      </c>
      <c r="J1236" s="11" t="s">
        <v>71</v>
      </c>
      <c r="K1236" s="11" t="s">
        <v>72</v>
      </c>
      <c r="L1236" s="11" t="s">
        <v>84</v>
      </c>
      <c r="M1236" s="11" t="s">
        <v>6904</v>
      </c>
      <c r="N1236" s="11" t="s">
        <v>86</v>
      </c>
      <c r="O1236" s="11" t="s">
        <v>71</v>
      </c>
      <c r="P1236" s="11" t="s">
        <v>6905</v>
      </c>
      <c r="Q1236" s="13" t="s">
        <v>6906</v>
      </c>
      <c r="R1236" s="14" t="str">
        <f>HYPERLINK("https://drive.google.com/file/d/1GcoqBy1BfouI50ubt09tMPHy3RIjv5Ld/view?usp=drivesdk","OFFER LETTER")</f>
        <v>OFFER LETTER</v>
      </c>
      <c r="S1236" s="11" t="s">
        <v>6907</v>
      </c>
    </row>
    <row r="1237" ht="22.5" customHeight="1">
      <c r="A1237" s="10">
        <v>46263.53072858797</v>
      </c>
      <c r="B1237" s="11" t="s">
        <v>6908</v>
      </c>
      <c r="C1237" s="11" t="s">
        <v>1200</v>
      </c>
      <c r="D1237" s="11" t="s">
        <v>108</v>
      </c>
      <c r="E1237" s="12">
        <v>46174.0</v>
      </c>
      <c r="F1237" s="12">
        <v>46234.0</v>
      </c>
      <c r="G1237" s="11" t="s">
        <v>6909</v>
      </c>
      <c r="H1237" s="11">
        <v>7.060710642E9</v>
      </c>
      <c r="I1237" s="11" t="s">
        <v>82</v>
      </c>
      <c r="J1237" s="11" t="s">
        <v>130</v>
      </c>
      <c r="K1237" s="11" t="s">
        <v>72</v>
      </c>
      <c r="L1237" s="11" t="s">
        <v>131</v>
      </c>
      <c r="M1237" s="11" t="s">
        <v>6910</v>
      </c>
      <c r="N1237" s="11" t="s">
        <v>198</v>
      </c>
      <c r="O1237" s="11" t="s">
        <v>71</v>
      </c>
      <c r="P1237" s="11" t="s">
        <v>6911</v>
      </c>
      <c r="Q1237" s="13" t="s">
        <v>6912</v>
      </c>
      <c r="R1237" s="14" t="str">
        <f>HYPERLINK("https://drive.google.com/file/d/1V93h4BUwgjXAT9pIZcVMcBFVV9SubGCC/view?usp=drivesdk","OFFER LETTER")</f>
        <v>OFFER LETTER</v>
      </c>
      <c r="S1237" s="11" t="s">
        <v>6913</v>
      </c>
    </row>
    <row r="1238" ht="22.5" customHeight="1">
      <c r="A1238" s="10">
        <v>46263.534894675926</v>
      </c>
      <c r="B1238" s="11" t="s">
        <v>6914</v>
      </c>
      <c r="C1238" s="11" t="s">
        <v>173</v>
      </c>
      <c r="D1238" s="11" t="s">
        <v>68</v>
      </c>
      <c r="E1238" s="12">
        <v>46211.0</v>
      </c>
      <c r="F1238" s="12">
        <v>46242.0</v>
      </c>
      <c r="G1238" s="11" t="s">
        <v>6915</v>
      </c>
      <c r="H1238" s="11">
        <v>8.373991147E9</v>
      </c>
      <c r="I1238" s="11" t="s">
        <v>82</v>
      </c>
      <c r="J1238" s="11" t="s">
        <v>71</v>
      </c>
      <c r="K1238" s="11" t="s">
        <v>72</v>
      </c>
      <c r="L1238" s="11" t="s">
        <v>84</v>
      </c>
      <c r="M1238" s="11" t="s">
        <v>2535</v>
      </c>
      <c r="N1238" s="11" t="s">
        <v>219</v>
      </c>
      <c r="O1238" s="11" t="s">
        <v>71</v>
      </c>
      <c r="P1238" s="11" t="s">
        <v>6916</v>
      </c>
      <c r="Q1238" s="13" t="s">
        <v>6917</v>
      </c>
      <c r="R1238" s="14" t="str">
        <f>HYPERLINK("https://drive.google.com/file/d/1u8BgpFyVZiyDnu8MA4oyCHVbZxEpyuOt/view?usp=drivesdk","OFFER LETTER")</f>
        <v>OFFER LETTER</v>
      </c>
      <c r="S1238" s="11" t="s">
        <v>6918</v>
      </c>
    </row>
    <row r="1239" ht="22.5" customHeight="1">
      <c r="A1239" s="10">
        <v>46263.536468101855</v>
      </c>
      <c r="B1239" s="11" t="s">
        <v>4198</v>
      </c>
      <c r="C1239" s="11" t="s">
        <v>195</v>
      </c>
      <c r="D1239" s="11" t="s">
        <v>68</v>
      </c>
      <c r="E1239" s="12">
        <v>46202.0</v>
      </c>
      <c r="F1239" s="12">
        <v>46233.0</v>
      </c>
      <c r="G1239" s="11" t="s">
        <v>6919</v>
      </c>
      <c r="H1239" s="11">
        <v>9.599097718E9</v>
      </c>
      <c r="I1239" s="11" t="s">
        <v>82</v>
      </c>
      <c r="J1239" s="11" t="s">
        <v>71</v>
      </c>
      <c r="K1239" s="11" t="s">
        <v>72</v>
      </c>
      <c r="L1239" s="11" t="s">
        <v>84</v>
      </c>
      <c r="M1239" s="11" t="s">
        <v>2535</v>
      </c>
      <c r="N1239" s="11" t="s">
        <v>1533</v>
      </c>
      <c r="O1239" s="11" t="s">
        <v>71</v>
      </c>
      <c r="P1239" s="11" t="s">
        <v>6920</v>
      </c>
      <c r="Q1239" s="13" t="s">
        <v>6921</v>
      </c>
      <c r="R1239" s="14" t="str">
        <f>HYPERLINK("https://drive.google.com/file/d/1TFVHa0PzB4tEbbXQvD9susY3PSTHO4Ge/view?usp=drivesdk","OFFER LETTER")</f>
        <v>OFFER LETTER</v>
      </c>
      <c r="S1239" s="11" t="s">
        <v>6922</v>
      </c>
    </row>
    <row r="1240" ht="22.5" customHeight="1">
      <c r="A1240" s="10">
        <v>46263.53743440972</v>
      </c>
      <c r="B1240" s="11" t="s">
        <v>6923</v>
      </c>
      <c r="C1240" s="11" t="s">
        <v>128</v>
      </c>
      <c r="D1240" s="11" t="s">
        <v>68</v>
      </c>
      <c r="E1240" s="12">
        <v>46263.0</v>
      </c>
      <c r="F1240" s="12">
        <v>46294.0</v>
      </c>
      <c r="G1240" s="11" t="s">
        <v>6924</v>
      </c>
      <c r="H1240" s="11">
        <v>9.142409906E9</v>
      </c>
      <c r="I1240" s="11" t="s">
        <v>82</v>
      </c>
      <c r="J1240" s="11" t="s">
        <v>71</v>
      </c>
      <c r="K1240" s="11" t="s">
        <v>72</v>
      </c>
      <c r="L1240" s="11" t="s">
        <v>84</v>
      </c>
      <c r="M1240" s="11" t="s">
        <v>6925</v>
      </c>
      <c r="N1240" s="11" t="s">
        <v>86</v>
      </c>
      <c r="O1240" s="11" t="s">
        <v>71</v>
      </c>
      <c r="P1240" s="11" t="s">
        <v>6926</v>
      </c>
      <c r="Q1240" s="13" t="s">
        <v>6927</v>
      </c>
      <c r="R1240" s="14" t="str">
        <f>HYPERLINK("https://drive.google.com/file/d/1Wn7yOuvFzuFSLabIu5M5ngfpsQDw9EHd/view?usp=drivesdk","OFFER LETTER")</f>
        <v>OFFER LETTER</v>
      </c>
      <c r="S1240" s="11" t="s">
        <v>6928</v>
      </c>
    </row>
    <row r="1241" ht="22.5" customHeight="1">
      <c r="A1241" s="10">
        <v>46263.53930078704</v>
      </c>
      <c r="B1241" s="11" t="s">
        <v>6914</v>
      </c>
      <c r="C1241" s="11" t="s">
        <v>173</v>
      </c>
      <c r="D1241" s="11" t="s">
        <v>68</v>
      </c>
      <c r="E1241" s="12">
        <v>46228.0</v>
      </c>
      <c r="F1241" s="12">
        <v>46259.0</v>
      </c>
      <c r="G1241" s="11" t="s">
        <v>6915</v>
      </c>
      <c r="H1241" s="11">
        <v>8.373991137E9</v>
      </c>
      <c r="I1241" s="11" t="s">
        <v>82</v>
      </c>
      <c r="J1241" s="11" t="s">
        <v>130</v>
      </c>
      <c r="K1241" s="11" t="s">
        <v>72</v>
      </c>
      <c r="L1241" s="11" t="s">
        <v>84</v>
      </c>
      <c r="M1241" s="11" t="s">
        <v>2535</v>
      </c>
      <c r="N1241" s="11" t="s">
        <v>219</v>
      </c>
      <c r="O1241" s="11" t="s">
        <v>71</v>
      </c>
      <c r="P1241" s="11" t="s">
        <v>6929</v>
      </c>
      <c r="Q1241" s="13" t="s">
        <v>6930</v>
      </c>
      <c r="R1241" s="14" t="str">
        <f>HYPERLINK("https://drive.google.com/file/d/1K6N38DYXYUkbTnoBKSZo1R8YA0emkbiu/view?usp=drivesdk","OFFER LETTER")</f>
        <v>OFFER LETTER</v>
      </c>
      <c r="S1241" s="11" t="s">
        <v>6931</v>
      </c>
    </row>
    <row r="1242" ht="22.5" customHeight="1">
      <c r="A1242" s="10">
        <v>46263.54311106481</v>
      </c>
      <c r="B1242" s="11" t="s">
        <v>6932</v>
      </c>
      <c r="C1242" s="11" t="s">
        <v>1320</v>
      </c>
      <c r="D1242" s="11" t="s">
        <v>68</v>
      </c>
      <c r="E1242" s="12">
        <v>46232.0</v>
      </c>
      <c r="F1242" s="12">
        <v>46264.0</v>
      </c>
      <c r="G1242" s="11" t="s">
        <v>6933</v>
      </c>
      <c r="H1242" s="11">
        <v>8.447874229E9</v>
      </c>
      <c r="I1242" s="11" t="s">
        <v>82</v>
      </c>
      <c r="J1242" s="11" t="s">
        <v>71</v>
      </c>
      <c r="K1242" s="11" t="s">
        <v>72</v>
      </c>
      <c r="L1242" s="11" t="s">
        <v>84</v>
      </c>
      <c r="M1242" s="11" t="s">
        <v>6934</v>
      </c>
      <c r="N1242" s="11" t="s">
        <v>75</v>
      </c>
      <c r="O1242" s="11" t="s">
        <v>71</v>
      </c>
      <c r="P1242" s="11" t="s">
        <v>6935</v>
      </c>
      <c r="Q1242" s="13" t="s">
        <v>6936</v>
      </c>
      <c r="R1242" s="14" t="str">
        <f>HYPERLINK("https://drive.google.com/file/d/1d462aEk8fY9tRiXpj1lRAx4AQZrfDld7/view?usp=drivesdk","OFFER LETTER")</f>
        <v>OFFER LETTER</v>
      </c>
      <c r="S1242" s="11" t="s">
        <v>6937</v>
      </c>
    </row>
    <row r="1243" ht="22.5" customHeight="1">
      <c r="A1243" s="10">
        <v>46263.546168333334</v>
      </c>
      <c r="B1243" s="11" t="s">
        <v>6914</v>
      </c>
      <c r="C1243" s="11" t="s">
        <v>173</v>
      </c>
      <c r="D1243" s="11" t="s">
        <v>68</v>
      </c>
      <c r="E1243" s="12">
        <v>46213.0</v>
      </c>
      <c r="F1243" s="12">
        <v>46244.0</v>
      </c>
      <c r="G1243" s="11" t="s">
        <v>6915</v>
      </c>
      <c r="H1243" s="11">
        <v>8.373991137E9</v>
      </c>
      <c r="I1243" s="11" t="s">
        <v>82</v>
      </c>
      <c r="J1243" s="11" t="s">
        <v>130</v>
      </c>
      <c r="K1243" s="11" t="s">
        <v>72</v>
      </c>
      <c r="L1243" s="11" t="s">
        <v>84</v>
      </c>
      <c r="M1243" s="11" t="s">
        <v>2535</v>
      </c>
      <c r="N1243" s="11" t="s">
        <v>219</v>
      </c>
      <c r="O1243" s="11" t="s">
        <v>71</v>
      </c>
      <c r="P1243" s="11" t="s">
        <v>6938</v>
      </c>
      <c r="Q1243" s="13" t="s">
        <v>6939</v>
      </c>
      <c r="R1243" s="14" t="str">
        <f>HYPERLINK("https://drive.google.com/file/d/1fIn73ifAEAQc7BxVlXn9cgzVrUpN1q2o/view?usp=drivesdk","OFFER LETTER")</f>
        <v>OFFER LETTER</v>
      </c>
      <c r="S1243" s="11" t="s">
        <v>6940</v>
      </c>
    </row>
    <row r="1244" ht="22.5" customHeight="1">
      <c r="A1244" s="10">
        <v>46263.554436342594</v>
      </c>
      <c r="B1244" s="11" t="s">
        <v>6941</v>
      </c>
      <c r="C1244" s="11" t="s">
        <v>128</v>
      </c>
      <c r="D1244" s="11" t="s">
        <v>68</v>
      </c>
      <c r="E1244" s="12">
        <v>46223.0</v>
      </c>
      <c r="F1244" s="12">
        <v>46254.0</v>
      </c>
      <c r="G1244" s="11" t="s">
        <v>6942</v>
      </c>
      <c r="H1244" s="11">
        <v>9.990405852E9</v>
      </c>
      <c r="I1244" s="11" t="s">
        <v>82</v>
      </c>
      <c r="J1244" s="11" t="s">
        <v>71</v>
      </c>
      <c r="K1244" s="11" t="s">
        <v>72</v>
      </c>
      <c r="L1244" s="11" t="s">
        <v>84</v>
      </c>
      <c r="M1244" s="11" t="s">
        <v>560</v>
      </c>
      <c r="N1244" s="11" t="s">
        <v>655</v>
      </c>
      <c r="O1244" s="11" t="s">
        <v>71</v>
      </c>
      <c r="P1244" s="11" t="s">
        <v>6943</v>
      </c>
      <c r="Q1244" s="13" t="s">
        <v>6944</v>
      </c>
      <c r="R1244" s="14" t="str">
        <f>HYPERLINK("https://drive.google.com/file/d/1qAYIEXMObMfMomN5JdcCg8RfwFkSnBbp/view?usp=drivesdk","OFFER LETTER")</f>
        <v>OFFER LETTER</v>
      </c>
      <c r="S1244" s="11" t="s">
        <v>6945</v>
      </c>
    </row>
    <row r="1245" ht="22.5" customHeight="1">
      <c r="A1245" s="10">
        <v>46263.5585512963</v>
      </c>
      <c r="B1245" s="11" t="s">
        <v>6946</v>
      </c>
      <c r="C1245" s="11" t="s">
        <v>91</v>
      </c>
      <c r="D1245" s="11" t="s">
        <v>68</v>
      </c>
      <c r="E1245" s="12">
        <v>46270.0</v>
      </c>
      <c r="F1245" s="12">
        <v>46300.0</v>
      </c>
      <c r="G1245" s="11" t="s">
        <v>6947</v>
      </c>
      <c r="H1245" s="11">
        <v>8.150985208E9</v>
      </c>
      <c r="I1245" s="11" t="s">
        <v>70</v>
      </c>
      <c r="J1245" s="11" t="s">
        <v>71</v>
      </c>
      <c r="K1245" s="11" t="s">
        <v>72</v>
      </c>
      <c r="L1245" s="11" t="s">
        <v>73</v>
      </c>
      <c r="M1245" s="11" t="s">
        <v>6948</v>
      </c>
      <c r="N1245" s="11" t="s">
        <v>75</v>
      </c>
      <c r="O1245" s="11" t="s">
        <v>71</v>
      </c>
      <c r="P1245" s="11" t="s">
        <v>6949</v>
      </c>
      <c r="Q1245" s="13" t="s">
        <v>6950</v>
      </c>
      <c r="R1245" s="14" t="str">
        <f>HYPERLINK("https://drive.google.com/file/d/1VqKAYv6mdqAXSMMWTkrPLqeGADgf-lfu/view?usp=drivesdk","OFFER LETTER")</f>
        <v>OFFER LETTER</v>
      </c>
      <c r="S1245" s="11" t="s">
        <v>6951</v>
      </c>
    </row>
    <row r="1246" ht="22.5" customHeight="1">
      <c r="A1246" s="10">
        <v>46263.55973196759</v>
      </c>
      <c r="B1246" s="11" t="s">
        <v>6952</v>
      </c>
      <c r="C1246" s="11" t="s">
        <v>107</v>
      </c>
      <c r="D1246" s="11" t="s">
        <v>68</v>
      </c>
      <c r="E1246" s="12">
        <v>46268.0</v>
      </c>
      <c r="F1246" s="12">
        <v>46366.0</v>
      </c>
      <c r="G1246" s="11" t="s">
        <v>6953</v>
      </c>
      <c r="H1246" s="11">
        <v>9.059165119E9</v>
      </c>
      <c r="I1246" s="11" t="s">
        <v>82</v>
      </c>
      <c r="J1246" s="11" t="s">
        <v>71</v>
      </c>
      <c r="K1246" s="11" t="s">
        <v>72</v>
      </c>
      <c r="L1246" s="11" t="s">
        <v>73</v>
      </c>
      <c r="M1246" s="11" t="s">
        <v>6954</v>
      </c>
      <c r="N1246" s="11" t="s">
        <v>75</v>
      </c>
      <c r="O1246" s="11" t="s">
        <v>71</v>
      </c>
      <c r="P1246" s="11" t="s">
        <v>6955</v>
      </c>
      <c r="Q1246" s="13" t="s">
        <v>6956</v>
      </c>
      <c r="R1246" s="14" t="str">
        <f>HYPERLINK("https://drive.google.com/file/d/1_8vZFL2C3RukQSqUhUrdjmGddVZhbsAf/view?usp=drivesdk","OFFER LETTER")</f>
        <v>OFFER LETTER</v>
      </c>
      <c r="S1246" s="11" t="s">
        <v>6957</v>
      </c>
    </row>
    <row r="1247" ht="22.5" customHeight="1">
      <c r="A1247" s="10">
        <v>46263.563370185184</v>
      </c>
      <c r="B1247" s="11" t="s">
        <v>6958</v>
      </c>
      <c r="C1247" s="11" t="s">
        <v>128</v>
      </c>
      <c r="D1247" s="11" t="s">
        <v>68</v>
      </c>
      <c r="E1247" s="12">
        <v>46263.0</v>
      </c>
      <c r="F1247" s="12">
        <v>46294.0</v>
      </c>
      <c r="G1247" s="11" t="s">
        <v>6959</v>
      </c>
      <c r="H1247" s="11">
        <v>9.110321536E9</v>
      </c>
      <c r="I1247" s="11" t="s">
        <v>82</v>
      </c>
      <c r="J1247" s="11" t="s">
        <v>71</v>
      </c>
      <c r="K1247" s="11" t="s">
        <v>72</v>
      </c>
      <c r="L1247" s="11" t="s">
        <v>73</v>
      </c>
      <c r="M1247" s="11" t="s">
        <v>6960</v>
      </c>
      <c r="N1247" s="11" t="s">
        <v>241</v>
      </c>
      <c r="O1247" s="11" t="s">
        <v>71</v>
      </c>
      <c r="P1247" s="11" t="s">
        <v>6961</v>
      </c>
      <c r="Q1247" s="13" t="s">
        <v>6962</v>
      </c>
      <c r="R1247" s="14" t="str">
        <f>HYPERLINK("https://drive.google.com/file/d/1z8DHg-NDzP2dRNa_wRDcZK7MPok5OYnv/view?usp=drivesdk","OFFER LETTER")</f>
        <v>OFFER LETTER</v>
      </c>
      <c r="S1247" s="11" t="s">
        <v>6963</v>
      </c>
    </row>
    <row r="1248" ht="22.5" customHeight="1">
      <c r="A1248" s="10">
        <v>46263.564854965276</v>
      </c>
      <c r="B1248" s="11" t="s">
        <v>6964</v>
      </c>
      <c r="C1248" s="11" t="s">
        <v>91</v>
      </c>
      <c r="D1248" s="11" t="s">
        <v>68</v>
      </c>
      <c r="E1248" s="12">
        <v>46178.0</v>
      </c>
      <c r="F1248" s="12">
        <v>46209.0</v>
      </c>
      <c r="G1248" s="11" t="s">
        <v>6965</v>
      </c>
      <c r="H1248" s="11">
        <v>9.384938329E9</v>
      </c>
      <c r="I1248" s="11" t="s">
        <v>70</v>
      </c>
      <c r="J1248" s="11" t="s">
        <v>71</v>
      </c>
      <c r="K1248" s="11" t="s">
        <v>72</v>
      </c>
      <c r="L1248" s="11" t="s">
        <v>73</v>
      </c>
      <c r="M1248" s="11" t="s">
        <v>6397</v>
      </c>
      <c r="N1248" s="11" t="s">
        <v>86</v>
      </c>
      <c r="O1248" s="11" t="s">
        <v>71</v>
      </c>
      <c r="P1248" s="11" t="s">
        <v>6966</v>
      </c>
      <c r="Q1248" s="13" t="s">
        <v>6967</v>
      </c>
      <c r="R1248" s="14" t="str">
        <f>HYPERLINK("https://drive.google.com/file/d/1L_0_YXmcyKwA326r_yFcyABbA1pDzTiM/view?usp=drivesdk","OFFER LETTER")</f>
        <v>OFFER LETTER</v>
      </c>
      <c r="S1248" s="11" t="s">
        <v>6968</v>
      </c>
    </row>
    <row r="1249" ht="22.5" customHeight="1">
      <c r="A1249" s="10">
        <v>46263.5651484838</v>
      </c>
      <c r="B1249" s="11" t="s">
        <v>6969</v>
      </c>
      <c r="C1249" s="11" t="s">
        <v>259</v>
      </c>
      <c r="D1249" s="11" t="s">
        <v>68</v>
      </c>
      <c r="E1249" s="12">
        <v>46266.0</v>
      </c>
      <c r="F1249" s="12">
        <v>46295.0</v>
      </c>
      <c r="G1249" s="11" t="s">
        <v>6970</v>
      </c>
      <c r="H1249" s="11">
        <v>9.404920488E9</v>
      </c>
      <c r="I1249" s="11" t="s">
        <v>70</v>
      </c>
      <c r="J1249" s="11" t="s">
        <v>71</v>
      </c>
      <c r="K1249" s="11" t="s">
        <v>72</v>
      </c>
      <c r="L1249" s="11" t="s">
        <v>84</v>
      </c>
      <c r="M1249" s="11" t="s">
        <v>6971</v>
      </c>
      <c r="N1249" s="11" t="s">
        <v>1641</v>
      </c>
      <c r="O1249" s="11" t="s">
        <v>71</v>
      </c>
      <c r="P1249" s="11" t="s">
        <v>6972</v>
      </c>
      <c r="Q1249" s="13" t="s">
        <v>6973</v>
      </c>
      <c r="R1249" s="14" t="str">
        <f>HYPERLINK("https://drive.google.com/file/d/1kqt_NcLRsZmxA51EL-3eY-um0YwUgk2s/view?usp=drivesdk","OFFER LETTER")</f>
        <v>OFFER LETTER</v>
      </c>
      <c r="S1249" s="11" t="s">
        <v>6974</v>
      </c>
    </row>
    <row r="1250" ht="22.5" customHeight="1">
      <c r="A1250" s="10">
        <v>46263.56523206018</v>
      </c>
      <c r="B1250" s="11" t="s">
        <v>6975</v>
      </c>
      <c r="C1250" s="11" t="s">
        <v>91</v>
      </c>
      <c r="D1250" s="11" t="s">
        <v>68</v>
      </c>
      <c r="E1250" s="12">
        <v>46275.0</v>
      </c>
      <c r="F1250" s="12">
        <v>46304.0</v>
      </c>
      <c r="G1250" s="11" t="s">
        <v>6976</v>
      </c>
      <c r="H1250" s="11">
        <v>9.858427037E9</v>
      </c>
      <c r="I1250" s="11" t="s">
        <v>82</v>
      </c>
      <c r="J1250" s="11" t="s">
        <v>71</v>
      </c>
      <c r="K1250" s="11" t="s">
        <v>72</v>
      </c>
      <c r="L1250" s="11" t="s">
        <v>131</v>
      </c>
      <c r="M1250" s="11" t="s">
        <v>6977</v>
      </c>
      <c r="N1250" s="11" t="s">
        <v>241</v>
      </c>
      <c r="O1250" s="11" t="s">
        <v>71</v>
      </c>
      <c r="P1250" s="11" t="s">
        <v>6978</v>
      </c>
      <c r="Q1250" s="13" t="s">
        <v>6979</v>
      </c>
      <c r="R1250" s="14" t="str">
        <f>HYPERLINK("https://drive.google.com/file/d/1psDl5c8VwTS3y4A4A_MoSYaXn0aCKnS6/view?usp=drivesdk","OFFER LETTER")</f>
        <v>OFFER LETTER</v>
      </c>
      <c r="S1250" s="11" t="s">
        <v>6980</v>
      </c>
    </row>
    <row r="1251" ht="22.5" customHeight="1">
      <c r="A1251" s="10">
        <v>46263.565831238426</v>
      </c>
      <c r="B1251" s="11" t="s">
        <v>6981</v>
      </c>
      <c r="C1251" s="11" t="s">
        <v>128</v>
      </c>
      <c r="D1251" s="11" t="s">
        <v>68</v>
      </c>
      <c r="E1251" s="12">
        <v>46226.0</v>
      </c>
      <c r="F1251" s="12">
        <v>46257.0</v>
      </c>
      <c r="G1251" s="11" t="s">
        <v>6982</v>
      </c>
      <c r="H1251" s="11">
        <v>8.789741899E9</v>
      </c>
      <c r="I1251" s="11" t="s">
        <v>82</v>
      </c>
      <c r="J1251" s="11" t="s">
        <v>71</v>
      </c>
      <c r="K1251" s="11" t="s">
        <v>72</v>
      </c>
      <c r="L1251" s="11" t="s">
        <v>84</v>
      </c>
      <c r="M1251" s="11" t="s">
        <v>1073</v>
      </c>
      <c r="N1251" s="11" t="s">
        <v>86</v>
      </c>
      <c r="O1251" s="11" t="s">
        <v>71</v>
      </c>
      <c r="P1251" s="11" t="s">
        <v>6983</v>
      </c>
      <c r="Q1251" s="13" t="s">
        <v>6984</v>
      </c>
      <c r="R1251" s="14" t="str">
        <f>HYPERLINK("https://drive.google.com/file/d/1ZKO7lC6hMwK0a28y-BGCGjS0RzONoFTK/view?usp=drivesdk","OFFER LETTER")</f>
        <v>OFFER LETTER</v>
      </c>
      <c r="S1251" s="11" t="s">
        <v>6985</v>
      </c>
    </row>
    <row r="1252" ht="22.5" customHeight="1">
      <c r="A1252" s="10">
        <v>46263.56646619213</v>
      </c>
      <c r="B1252" s="11" t="s">
        <v>6986</v>
      </c>
      <c r="C1252" s="11" t="s">
        <v>195</v>
      </c>
      <c r="D1252" s="11" t="s">
        <v>68</v>
      </c>
      <c r="E1252" s="12">
        <v>46183.0</v>
      </c>
      <c r="F1252" s="12">
        <v>46212.0</v>
      </c>
      <c r="G1252" s="11" t="s">
        <v>6987</v>
      </c>
      <c r="H1252" s="11">
        <v>7.983069478E9</v>
      </c>
      <c r="I1252" s="11" t="s">
        <v>82</v>
      </c>
      <c r="J1252" s="11" t="s">
        <v>71</v>
      </c>
      <c r="K1252" s="11" t="s">
        <v>72</v>
      </c>
      <c r="L1252" s="11" t="s">
        <v>73</v>
      </c>
      <c r="M1252" s="11" t="s">
        <v>6988</v>
      </c>
      <c r="N1252" s="11" t="s">
        <v>75</v>
      </c>
      <c r="O1252" s="11" t="s">
        <v>71</v>
      </c>
      <c r="P1252" s="11" t="s">
        <v>6989</v>
      </c>
      <c r="Q1252" s="13" t="s">
        <v>6990</v>
      </c>
      <c r="R1252" s="14" t="str">
        <f>HYPERLINK("https://drive.google.com/file/d/1OhMtHyc3C7vEkmW9KLpTbGAtD5nkNtzh/view?usp=drivesdk","OFFER LETTER")</f>
        <v>OFFER LETTER</v>
      </c>
      <c r="S1252" s="11" t="s">
        <v>6991</v>
      </c>
    </row>
    <row r="1253" ht="22.5" customHeight="1">
      <c r="A1253" s="10">
        <v>46263.56653488426</v>
      </c>
      <c r="B1253" s="11" t="s">
        <v>6992</v>
      </c>
      <c r="C1253" s="11" t="s">
        <v>259</v>
      </c>
      <c r="D1253" s="11" t="s">
        <v>68</v>
      </c>
      <c r="E1253" s="12">
        <v>46263.0</v>
      </c>
      <c r="F1253" s="12">
        <v>46294.0</v>
      </c>
      <c r="G1253" s="11" t="s">
        <v>6993</v>
      </c>
      <c r="H1253" s="11">
        <v>6.302049459E9</v>
      </c>
      <c r="I1253" s="11" t="s">
        <v>82</v>
      </c>
      <c r="J1253" s="11" t="s">
        <v>71</v>
      </c>
      <c r="K1253" s="11" t="s">
        <v>72</v>
      </c>
      <c r="L1253" s="11" t="s">
        <v>73</v>
      </c>
      <c r="M1253" s="11" t="s">
        <v>6994</v>
      </c>
      <c r="N1253" s="11" t="s">
        <v>241</v>
      </c>
      <c r="O1253" s="11" t="s">
        <v>71</v>
      </c>
      <c r="P1253" s="11" t="s">
        <v>6995</v>
      </c>
      <c r="Q1253" s="13" t="s">
        <v>6996</v>
      </c>
      <c r="R1253" s="14" t="str">
        <f>HYPERLINK("https://drive.google.com/file/d/1MPeSZUTd19GBCWUzSV3AsMSqNWmpTvbr/view?usp=drivesdk","OFFER LETTER")</f>
        <v>OFFER LETTER</v>
      </c>
      <c r="S1253" s="11" t="s">
        <v>6997</v>
      </c>
    </row>
    <row r="1254" ht="22.5" customHeight="1">
      <c r="A1254" s="10">
        <v>46263.56672809028</v>
      </c>
      <c r="B1254" s="11" t="s">
        <v>6998</v>
      </c>
      <c r="C1254" s="11" t="s">
        <v>354</v>
      </c>
      <c r="D1254" s="11" t="s">
        <v>68</v>
      </c>
      <c r="E1254" s="12">
        <v>46232.0</v>
      </c>
      <c r="F1254" s="12">
        <v>46263.0</v>
      </c>
      <c r="G1254" s="11" t="s">
        <v>6999</v>
      </c>
      <c r="H1254" s="11">
        <v>9.264277631E9</v>
      </c>
      <c r="I1254" s="11" t="s">
        <v>82</v>
      </c>
      <c r="J1254" s="11" t="s">
        <v>71</v>
      </c>
      <c r="K1254" s="11" t="s">
        <v>72</v>
      </c>
      <c r="L1254" s="11" t="s">
        <v>357</v>
      </c>
      <c r="M1254" s="11" t="s">
        <v>7000</v>
      </c>
      <c r="N1254" s="11" t="s">
        <v>155</v>
      </c>
      <c r="O1254" s="11" t="s">
        <v>71</v>
      </c>
      <c r="P1254" s="11" t="s">
        <v>7001</v>
      </c>
      <c r="Q1254" s="13" t="s">
        <v>7002</v>
      </c>
      <c r="R1254" s="14" t="str">
        <f>HYPERLINK("https://drive.google.com/file/d/1LDgrauPHCxjsJptBKL59ygdqmm-FzoFu/view?usp=drivesdk","OFFER LETTER")</f>
        <v>OFFER LETTER</v>
      </c>
      <c r="S1254" s="11" t="s">
        <v>7003</v>
      </c>
    </row>
    <row r="1255" ht="22.5" customHeight="1">
      <c r="A1255" s="10">
        <v>46263.56677422454</v>
      </c>
      <c r="B1255" s="11" t="s">
        <v>7004</v>
      </c>
      <c r="C1255" s="11" t="s">
        <v>195</v>
      </c>
      <c r="D1255" s="11" t="s">
        <v>68</v>
      </c>
      <c r="E1255" s="12">
        <v>46265.0</v>
      </c>
      <c r="F1255" s="12">
        <v>46295.0</v>
      </c>
      <c r="G1255" s="11" t="s">
        <v>7005</v>
      </c>
      <c r="H1255" s="11">
        <v>7.061164101E9</v>
      </c>
      <c r="I1255" s="11" t="s">
        <v>82</v>
      </c>
      <c r="J1255" s="11" t="s">
        <v>71</v>
      </c>
      <c r="K1255" s="11" t="s">
        <v>72</v>
      </c>
      <c r="L1255" s="11" t="s">
        <v>84</v>
      </c>
      <c r="M1255" s="11" t="s">
        <v>7006</v>
      </c>
      <c r="N1255" s="11" t="s">
        <v>75</v>
      </c>
      <c r="O1255" s="11" t="s">
        <v>71</v>
      </c>
      <c r="P1255" s="11" t="s">
        <v>7007</v>
      </c>
      <c r="Q1255" s="13" t="s">
        <v>7008</v>
      </c>
      <c r="R1255" s="14" t="str">
        <f>HYPERLINK("https://drive.google.com/file/d/1GUpaxCUwD0kYMe1d7GhyZsbNtutoKCcY/view?usp=drivesdk","OFFER LETTER")</f>
        <v>OFFER LETTER</v>
      </c>
      <c r="S1255" s="11" t="s">
        <v>7009</v>
      </c>
    </row>
    <row r="1256" ht="22.5" customHeight="1">
      <c r="A1256" s="10">
        <v>46263.5669772338</v>
      </c>
      <c r="B1256" s="11" t="s">
        <v>7010</v>
      </c>
      <c r="C1256" s="11" t="s">
        <v>195</v>
      </c>
      <c r="D1256" s="11" t="s">
        <v>238</v>
      </c>
      <c r="E1256" s="12">
        <v>46266.0</v>
      </c>
      <c r="F1256" s="12">
        <v>46357.0</v>
      </c>
      <c r="G1256" s="11" t="s">
        <v>7011</v>
      </c>
      <c r="H1256" s="11">
        <v>8.296139793E9</v>
      </c>
      <c r="I1256" s="11" t="s">
        <v>82</v>
      </c>
      <c r="J1256" s="11" t="s">
        <v>71</v>
      </c>
      <c r="K1256" s="11" t="s">
        <v>72</v>
      </c>
      <c r="L1256" s="11" t="s">
        <v>247</v>
      </c>
      <c r="M1256" s="11" t="s">
        <v>7012</v>
      </c>
      <c r="N1256" s="11" t="s">
        <v>75</v>
      </c>
      <c r="O1256" s="11" t="s">
        <v>71</v>
      </c>
      <c r="P1256" s="11" t="s">
        <v>7013</v>
      </c>
      <c r="Q1256" s="13" t="s">
        <v>7014</v>
      </c>
      <c r="R1256" s="14" t="str">
        <f>HYPERLINK("https://drive.google.com/file/d/1eOn2mMVs9JM1JULpxDTK8VAOieyyx_UX/view?usp=drivesdk","OFFER LETTER")</f>
        <v>OFFER LETTER</v>
      </c>
      <c r="S1256" s="11" t="s">
        <v>7015</v>
      </c>
    </row>
    <row r="1257" ht="22.5" customHeight="1">
      <c r="A1257" s="10">
        <v>46263.567472627314</v>
      </c>
      <c r="B1257" s="11" t="s">
        <v>7016</v>
      </c>
      <c r="C1257" s="11" t="s">
        <v>1200</v>
      </c>
      <c r="D1257" s="11" t="s">
        <v>108</v>
      </c>
      <c r="E1257" s="12">
        <v>46266.0</v>
      </c>
      <c r="F1257" s="12">
        <v>46327.0</v>
      </c>
      <c r="G1257" s="11" t="s">
        <v>7017</v>
      </c>
      <c r="H1257" s="11">
        <v>9.236252995E9</v>
      </c>
      <c r="I1257" s="11" t="s">
        <v>70</v>
      </c>
      <c r="J1257" s="11" t="s">
        <v>71</v>
      </c>
      <c r="K1257" s="11" t="s">
        <v>72</v>
      </c>
      <c r="L1257" s="11" t="s">
        <v>73</v>
      </c>
      <c r="M1257" s="11" t="s">
        <v>7018</v>
      </c>
      <c r="N1257" s="11" t="s">
        <v>4248</v>
      </c>
      <c r="O1257" s="11" t="s">
        <v>71</v>
      </c>
      <c r="P1257" s="11" t="s">
        <v>7019</v>
      </c>
      <c r="Q1257" s="13" t="s">
        <v>7020</v>
      </c>
      <c r="R1257" s="14" t="str">
        <f>HYPERLINK("https://drive.google.com/file/d/1I7RPVhFT8zNA_lAp2OfxEckyto8rDJvF/view?usp=drivesdk","OFFER LETTER")</f>
        <v>OFFER LETTER</v>
      </c>
      <c r="S1257" s="11" t="s">
        <v>7021</v>
      </c>
    </row>
    <row r="1258" ht="22.5" customHeight="1">
      <c r="A1258" s="10">
        <v>46263.57123780093</v>
      </c>
      <c r="B1258" s="11" t="s">
        <v>7022</v>
      </c>
      <c r="C1258" s="11" t="s">
        <v>107</v>
      </c>
      <c r="D1258" s="11" t="s">
        <v>68</v>
      </c>
      <c r="E1258" s="12">
        <v>46263.0</v>
      </c>
      <c r="F1258" s="12">
        <v>46294.0</v>
      </c>
      <c r="G1258" s="11" t="s">
        <v>7023</v>
      </c>
      <c r="H1258" s="11">
        <v>8.920868098E9</v>
      </c>
      <c r="I1258" s="11" t="s">
        <v>82</v>
      </c>
      <c r="J1258" s="11" t="s">
        <v>71</v>
      </c>
      <c r="K1258" s="11" t="s">
        <v>72</v>
      </c>
      <c r="L1258" s="11" t="s">
        <v>131</v>
      </c>
      <c r="M1258" s="11" t="s">
        <v>7024</v>
      </c>
      <c r="N1258" s="11" t="s">
        <v>241</v>
      </c>
      <c r="O1258" s="11" t="s">
        <v>71</v>
      </c>
      <c r="P1258" s="11" t="s">
        <v>7025</v>
      </c>
      <c r="Q1258" s="13" t="s">
        <v>7026</v>
      </c>
      <c r="R1258" s="14" t="str">
        <f>HYPERLINK("https://drive.google.com/file/d/1oKteycg-QCVFTVe57NglR1oZgTroTOPV/view?usp=drivesdk","OFFER LETTER")</f>
        <v>OFFER LETTER</v>
      </c>
      <c r="S1258" s="11" t="s">
        <v>7027</v>
      </c>
    </row>
    <row r="1259" ht="22.5" customHeight="1">
      <c r="A1259" s="10">
        <v>46263.571549224536</v>
      </c>
      <c r="B1259" s="11" t="s">
        <v>6969</v>
      </c>
      <c r="C1259" s="11" t="s">
        <v>259</v>
      </c>
      <c r="D1259" s="11" t="s">
        <v>68</v>
      </c>
      <c r="E1259" s="12">
        <v>46266.0</v>
      </c>
      <c r="F1259" s="12">
        <v>46295.0</v>
      </c>
      <c r="G1259" s="11" t="s">
        <v>6970</v>
      </c>
      <c r="H1259" s="11">
        <v>9.404920488E9</v>
      </c>
      <c r="I1259" s="11" t="s">
        <v>70</v>
      </c>
      <c r="J1259" s="11" t="s">
        <v>71</v>
      </c>
      <c r="K1259" s="11" t="s">
        <v>72</v>
      </c>
      <c r="L1259" s="11" t="s">
        <v>84</v>
      </c>
      <c r="M1259" s="11" t="s">
        <v>7028</v>
      </c>
      <c r="N1259" s="11" t="s">
        <v>1641</v>
      </c>
      <c r="O1259" s="11" t="s">
        <v>71</v>
      </c>
      <c r="P1259" s="11" t="s">
        <v>7029</v>
      </c>
      <c r="Q1259" s="13" t="s">
        <v>7030</v>
      </c>
      <c r="R1259" s="14" t="str">
        <f>HYPERLINK("https://drive.google.com/file/d/16Ye-H7mj7NWW0J9xv9aoJ17uX314R3WK/view?usp=drivesdk","OFFER LETTER")</f>
        <v>OFFER LETTER</v>
      </c>
      <c r="S1259" s="11" t="s">
        <v>7031</v>
      </c>
    </row>
    <row r="1260" ht="22.5" customHeight="1">
      <c r="A1260" s="10">
        <v>46263.57487846065</v>
      </c>
      <c r="B1260" s="11" t="s">
        <v>7032</v>
      </c>
      <c r="C1260" s="11" t="s">
        <v>107</v>
      </c>
      <c r="D1260" s="11" t="s">
        <v>68</v>
      </c>
      <c r="E1260" s="12">
        <v>46266.0</v>
      </c>
      <c r="F1260" s="12">
        <v>46295.0</v>
      </c>
      <c r="G1260" s="11" t="s">
        <v>7033</v>
      </c>
      <c r="H1260" s="11">
        <v>9.014875367E9</v>
      </c>
      <c r="I1260" s="11" t="s">
        <v>82</v>
      </c>
      <c r="K1260" s="11" t="s">
        <v>72</v>
      </c>
      <c r="L1260" s="11" t="s">
        <v>247</v>
      </c>
      <c r="M1260" s="11" t="s">
        <v>7034</v>
      </c>
      <c r="N1260" s="11" t="s">
        <v>241</v>
      </c>
      <c r="O1260" s="11" t="s">
        <v>71</v>
      </c>
      <c r="P1260" s="11" t="s">
        <v>7035</v>
      </c>
      <c r="Q1260" s="13" t="s">
        <v>7036</v>
      </c>
      <c r="R1260" s="14" t="str">
        <f>HYPERLINK("https://drive.google.com/file/d/1A2BlYtDLbq9XtORZEOzPUP7n4mdeXASI/view?usp=drivesdk","OFFER LETTER")</f>
        <v>OFFER LETTER</v>
      </c>
      <c r="S1260" s="11" t="s">
        <v>7037</v>
      </c>
    </row>
    <row r="1261" ht="22.5" customHeight="1">
      <c r="A1261" s="10">
        <v>46263.575108599536</v>
      </c>
      <c r="B1261" s="11" t="s">
        <v>7038</v>
      </c>
      <c r="C1261" s="11" t="s">
        <v>195</v>
      </c>
      <c r="D1261" s="11" t="s">
        <v>68</v>
      </c>
      <c r="E1261" s="12">
        <v>46266.0</v>
      </c>
      <c r="F1261" s="12">
        <v>46295.0</v>
      </c>
      <c r="G1261" s="11" t="s">
        <v>7039</v>
      </c>
      <c r="H1261" s="11">
        <v>8.303421001E9</v>
      </c>
      <c r="I1261" s="11" t="s">
        <v>82</v>
      </c>
      <c r="J1261" s="11" t="s">
        <v>71</v>
      </c>
      <c r="K1261" s="11" t="s">
        <v>72</v>
      </c>
      <c r="L1261" s="11" t="s">
        <v>73</v>
      </c>
      <c r="M1261" s="11" t="s">
        <v>3008</v>
      </c>
      <c r="N1261" s="11" t="s">
        <v>86</v>
      </c>
      <c r="O1261" s="11" t="s">
        <v>71</v>
      </c>
      <c r="P1261" s="11" t="s">
        <v>7040</v>
      </c>
      <c r="Q1261" s="13" t="s">
        <v>7041</v>
      </c>
      <c r="R1261" s="14" t="str">
        <f>HYPERLINK("https://drive.google.com/file/d/14OmoJkSjiS5pA5hVKjncjFQocS-9dmDh/view?usp=drivesdk","OFFER LETTER")</f>
        <v>OFFER LETTER</v>
      </c>
      <c r="S1261" s="11" t="s">
        <v>7042</v>
      </c>
    </row>
    <row r="1262" ht="22.5" customHeight="1">
      <c r="A1262" s="10">
        <v>46263.576666759254</v>
      </c>
      <c r="B1262" s="11" t="s">
        <v>7043</v>
      </c>
      <c r="C1262" s="11" t="s">
        <v>195</v>
      </c>
      <c r="D1262" s="11" t="s">
        <v>68</v>
      </c>
      <c r="E1262" s="12">
        <v>46227.0</v>
      </c>
      <c r="F1262" s="12">
        <v>46258.0</v>
      </c>
      <c r="G1262" s="11" t="s">
        <v>7044</v>
      </c>
      <c r="H1262" s="11">
        <v>9.467050324E9</v>
      </c>
      <c r="I1262" s="11" t="s">
        <v>82</v>
      </c>
      <c r="J1262" s="11" t="s">
        <v>71</v>
      </c>
      <c r="K1262" s="11" t="s">
        <v>72</v>
      </c>
      <c r="L1262" s="11" t="s">
        <v>73</v>
      </c>
      <c r="M1262" s="11" t="s">
        <v>7045</v>
      </c>
      <c r="N1262" s="11" t="s">
        <v>7046</v>
      </c>
      <c r="O1262" s="11" t="s">
        <v>71</v>
      </c>
      <c r="P1262" s="11" t="s">
        <v>7047</v>
      </c>
      <c r="Q1262" s="13" t="s">
        <v>7048</v>
      </c>
      <c r="R1262" s="14" t="str">
        <f>HYPERLINK("https://drive.google.com/file/d/1cYawb8UKN0Cs9YByWNjsFvAs4xqwP11s/view?usp=drivesdk","OFFER LETTER")</f>
        <v>OFFER LETTER</v>
      </c>
      <c r="S1262" s="11" t="s">
        <v>7049</v>
      </c>
    </row>
    <row r="1263" ht="22.5" customHeight="1">
      <c r="A1263" s="10">
        <v>46263.57725366898</v>
      </c>
      <c r="B1263" s="11" t="s">
        <v>7022</v>
      </c>
      <c r="C1263" s="11" t="s">
        <v>107</v>
      </c>
      <c r="D1263" s="11" t="s">
        <v>68</v>
      </c>
      <c r="E1263" s="12">
        <v>46231.0</v>
      </c>
      <c r="F1263" s="12">
        <v>46262.0</v>
      </c>
      <c r="G1263" s="11" t="s">
        <v>7050</v>
      </c>
      <c r="H1263" s="11">
        <v>8.920868098E9</v>
      </c>
      <c r="I1263" s="11" t="s">
        <v>82</v>
      </c>
      <c r="J1263" s="11" t="s">
        <v>71</v>
      </c>
      <c r="K1263" s="11" t="s">
        <v>72</v>
      </c>
      <c r="L1263" s="11" t="s">
        <v>131</v>
      </c>
      <c r="M1263" s="11" t="s">
        <v>7051</v>
      </c>
      <c r="N1263" s="11" t="s">
        <v>241</v>
      </c>
      <c r="O1263" s="11" t="s">
        <v>71</v>
      </c>
      <c r="P1263" s="11" t="s">
        <v>7052</v>
      </c>
      <c r="Q1263" s="13" t="s">
        <v>7053</v>
      </c>
      <c r="R1263" s="14" t="str">
        <f>HYPERLINK("https://drive.google.com/file/d/1sKGzh3KAQsDakJ45Qe7iS39wYx7zTunw/view?usp=drivesdk","OFFER LETTER")</f>
        <v>OFFER LETTER</v>
      </c>
      <c r="S1263" s="11" t="s">
        <v>7049</v>
      </c>
    </row>
    <row r="1264" ht="22.5" customHeight="1">
      <c r="A1264" s="10">
        <v>46263.577984421296</v>
      </c>
      <c r="B1264" s="11" t="s">
        <v>7054</v>
      </c>
      <c r="C1264" s="11" t="s">
        <v>107</v>
      </c>
      <c r="D1264" s="11" t="s">
        <v>68</v>
      </c>
      <c r="E1264" s="12">
        <v>46219.0</v>
      </c>
      <c r="F1264" s="12">
        <v>46263.0</v>
      </c>
      <c r="G1264" s="11" t="s">
        <v>7055</v>
      </c>
      <c r="H1264" s="11">
        <v>9.970974401E9</v>
      </c>
      <c r="I1264" s="11" t="s">
        <v>82</v>
      </c>
      <c r="J1264" s="11" t="s">
        <v>71</v>
      </c>
      <c r="K1264" s="11" t="s">
        <v>167</v>
      </c>
      <c r="L1264" s="11" t="s">
        <v>357</v>
      </c>
      <c r="M1264" s="11" t="s">
        <v>7056</v>
      </c>
      <c r="N1264" s="11" t="s">
        <v>47</v>
      </c>
      <c r="O1264" s="11" t="s">
        <v>71</v>
      </c>
      <c r="P1264" s="11" t="s">
        <v>7057</v>
      </c>
      <c r="Q1264" s="13" t="s">
        <v>7058</v>
      </c>
      <c r="R1264" s="14" t="str">
        <f>HYPERLINK("https://drive.google.com/file/d/1Gdnro21XOxq6sAvLqfr4hmcSV2zVHsde/view?usp=drivesdk","OFFER LETTER")</f>
        <v>OFFER LETTER</v>
      </c>
      <c r="S1264" s="11" t="s">
        <v>7059</v>
      </c>
    </row>
    <row r="1265" ht="22.5" customHeight="1">
      <c r="A1265" s="10">
        <v>46263.58108395833</v>
      </c>
      <c r="B1265" s="11" t="s">
        <v>7060</v>
      </c>
      <c r="C1265" s="11" t="s">
        <v>298</v>
      </c>
      <c r="D1265" s="11" t="s">
        <v>238</v>
      </c>
      <c r="E1265" s="12">
        <v>46296.0</v>
      </c>
      <c r="F1265" s="12">
        <v>46388.0</v>
      </c>
      <c r="G1265" s="11" t="s">
        <v>7061</v>
      </c>
      <c r="H1265" s="11">
        <v>9.737320296E9</v>
      </c>
      <c r="I1265" s="11" t="s">
        <v>82</v>
      </c>
      <c r="J1265" s="11" t="s">
        <v>71</v>
      </c>
      <c r="K1265" s="11" t="s">
        <v>110</v>
      </c>
      <c r="L1265" s="11" t="s">
        <v>73</v>
      </c>
      <c r="M1265" s="11" t="s">
        <v>7062</v>
      </c>
      <c r="N1265" s="11" t="s">
        <v>241</v>
      </c>
      <c r="O1265" s="11" t="s">
        <v>71</v>
      </c>
      <c r="P1265" s="11" t="s">
        <v>7063</v>
      </c>
      <c r="Q1265" s="13" t="s">
        <v>7064</v>
      </c>
      <c r="R1265" s="14" t="str">
        <f>HYPERLINK("https://drive.google.com/file/d/1sHDOX7wU30bDKfMaHKRiuHUuFqdr56z8/view?usp=drivesdk","OFFER LETTER")</f>
        <v>OFFER LETTER</v>
      </c>
      <c r="S1265" s="11" t="s">
        <v>7065</v>
      </c>
    </row>
    <row r="1266" ht="22.5" customHeight="1">
      <c r="A1266" s="10">
        <v>46263.58273778935</v>
      </c>
      <c r="B1266" s="11" t="s">
        <v>7066</v>
      </c>
      <c r="C1266" s="11" t="s">
        <v>195</v>
      </c>
      <c r="D1266" s="11" t="s">
        <v>68</v>
      </c>
      <c r="E1266" s="12">
        <v>46266.0</v>
      </c>
      <c r="F1266" s="12">
        <v>46295.0</v>
      </c>
      <c r="G1266" s="11" t="s">
        <v>7067</v>
      </c>
      <c r="H1266" s="11">
        <v>8.438355972E9</v>
      </c>
      <c r="I1266" s="11" t="s">
        <v>82</v>
      </c>
      <c r="J1266" s="11" t="s">
        <v>71</v>
      </c>
      <c r="K1266" s="11" t="s">
        <v>72</v>
      </c>
      <c r="L1266" s="11" t="s">
        <v>131</v>
      </c>
      <c r="M1266" s="11" t="s">
        <v>7068</v>
      </c>
      <c r="N1266" s="11" t="s">
        <v>1641</v>
      </c>
      <c r="O1266" s="11" t="s">
        <v>71</v>
      </c>
      <c r="P1266" s="11" t="s">
        <v>7069</v>
      </c>
      <c r="Q1266" s="13" t="s">
        <v>7070</v>
      </c>
      <c r="R1266" s="14" t="str">
        <f>HYPERLINK("https://drive.google.com/file/d/1tsHZBxhXYR36E8iKiR6RwKbP89v8r9yy/view?usp=drivesdk","OFFER LETTER")</f>
        <v>OFFER LETTER</v>
      </c>
      <c r="S1266" s="11" t="s">
        <v>7071</v>
      </c>
    </row>
    <row r="1267" ht="22.5" customHeight="1">
      <c r="A1267" s="10">
        <v>46263.58415461806</v>
      </c>
      <c r="B1267" s="11" t="s">
        <v>7072</v>
      </c>
      <c r="C1267" s="11" t="s">
        <v>195</v>
      </c>
      <c r="D1267" s="11" t="s">
        <v>238</v>
      </c>
      <c r="E1267" s="12">
        <v>46263.0</v>
      </c>
      <c r="F1267" s="12">
        <v>46356.0</v>
      </c>
      <c r="G1267" s="11" t="s">
        <v>7073</v>
      </c>
      <c r="H1267" s="11">
        <v>8.76784019E9</v>
      </c>
      <c r="I1267" s="11" t="s">
        <v>70</v>
      </c>
      <c r="J1267" s="11" t="s">
        <v>71</v>
      </c>
      <c r="K1267" s="11" t="s">
        <v>72</v>
      </c>
      <c r="L1267" s="11" t="s">
        <v>73</v>
      </c>
      <c r="M1267" s="11" t="s">
        <v>7074</v>
      </c>
      <c r="N1267" s="11" t="s">
        <v>241</v>
      </c>
      <c r="O1267" s="11" t="s">
        <v>71</v>
      </c>
      <c r="P1267" s="11" t="s">
        <v>7075</v>
      </c>
      <c r="Q1267" s="13" t="s">
        <v>7076</v>
      </c>
      <c r="R1267" s="14" t="str">
        <f>HYPERLINK("https://drive.google.com/file/d/1e-lP8fEJEUVL8mAwU-2VCD-r03bYTBxI/view?usp=drivesdk","OFFER LETTER")</f>
        <v>OFFER LETTER</v>
      </c>
      <c r="S1267" s="11" t="s">
        <v>7077</v>
      </c>
    </row>
    <row r="1268" ht="22.5" customHeight="1">
      <c r="A1268" s="10">
        <v>46263.58440446759</v>
      </c>
      <c r="B1268" s="11" t="s">
        <v>7060</v>
      </c>
      <c r="C1268" s="11" t="s">
        <v>298</v>
      </c>
      <c r="D1268" s="11" t="s">
        <v>238</v>
      </c>
      <c r="E1268" s="12">
        <v>46296.0</v>
      </c>
      <c r="F1268" s="12">
        <v>46388.0</v>
      </c>
      <c r="G1268" s="11" t="s">
        <v>7061</v>
      </c>
      <c r="H1268" s="11">
        <v>9.737320296E9</v>
      </c>
      <c r="I1268" s="11" t="s">
        <v>82</v>
      </c>
      <c r="J1268" s="11" t="s">
        <v>71</v>
      </c>
      <c r="K1268" s="11" t="s">
        <v>110</v>
      </c>
      <c r="L1268" s="11" t="s">
        <v>73</v>
      </c>
      <c r="M1268" s="11" t="s">
        <v>7062</v>
      </c>
      <c r="N1268" s="11" t="s">
        <v>241</v>
      </c>
      <c r="O1268" s="11" t="s">
        <v>71</v>
      </c>
      <c r="P1268" s="11" t="s">
        <v>7078</v>
      </c>
      <c r="Q1268" s="13" t="s">
        <v>7079</v>
      </c>
      <c r="R1268" s="14" t="str">
        <f>HYPERLINK("https://drive.google.com/file/d/14Ha85TAZxF1vhn9JyGHqcD3cAq_lLbyr/view?usp=drivesdk","OFFER LETTER")</f>
        <v>OFFER LETTER</v>
      </c>
      <c r="S1268" s="11" t="s">
        <v>7080</v>
      </c>
    </row>
    <row r="1269" ht="22.5" customHeight="1">
      <c r="A1269" s="10">
        <v>46263.58675047454</v>
      </c>
      <c r="B1269" s="11" t="s">
        <v>7081</v>
      </c>
      <c r="C1269" s="11" t="s">
        <v>128</v>
      </c>
      <c r="D1269" s="11" t="s">
        <v>1507</v>
      </c>
      <c r="E1269" s="12">
        <v>46263.0</v>
      </c>
      <c r="F1269" s="12">
        <v>46294.0</v>
      </c>
      <c r="G1269" s="11" t="s">
        <v>7082</v>
      </c>
      <c r="H1269" s="11">
        <v>8.446799356E9</v>
      </c>
      <c r="I1269" s="11" t="s">
        <v>70</v>
      </c>
      <c r="J1269" s="11" t="s">
        <v>71</v>
      </c>
      <c r="K1269" s="11" t="s">
        <v>72</v>
      </c>
      <c r="L1269" s="11" t="s">
        <v>84</v>
      </c>
      <c r="M1269" s="11" t="s">
        <v>7083</v>
      </c>
      <c r="N1269" s="11" t="s">
        <v>241</v>
      </c>
      <c r="O1269" s="11" t="s">
        <v>71</v>
      </c>
      <c r="P1269" s="11" t="s">
        <v>7084</v>
      </c>
      <c r="Q1269" s="13" t="s">
        <v>7085</v>
      </c>
      <c r="R1269" s="14" t="str">
        <f>HYPERLINK("https://drive.google.com/file/d/1VknlDhZHTlmmb7LCSkcyZWIYJ82AXWoD/view?usp=drivesdk","OFFER LETTER")</f>
        <v>OFFER LETTER</v>
      </c>
      <c r="S1269" s="11" t="s">
        <v>7086</v>
      </c>
    </row>
    <row r="1270" ht="22.5" customHeight="1">
      <c r="A1270" s="10">
        <v>46263.59608263889</v>
      </c>
      <c r="B1270" s="11" t="s">
        <v>7081</v>
      </c>
      <c r="C1270" s="11" t="s">
        <v>128</v>
      </c>
      <c r="D1270" s="11" t="s">
        <v>68</v>
      </c>
      <c r="E1270" s="12">
        <v>46263.0</v>
      </c>
      <c r="F1270" s="12">
        <v>46294.0</v>
      </c>
      <c r="G1270" s="11" t="s">
        <v>7082</v>
      </c>
      <c r="H1270" s="11">
        <v>8.446799356E9</v>
      </c>
      <c r="I1270" s="11" t="s">
        <v>70</v>
      </c>
      <c r="J1270" s="11" t="s">
        <v>71</v>
      </c>
      <c r="K1270" s="11" t="s">
        <v>72</v>
      </c>
      <c r="L1270" s="11" t="s">
        <v>84</v>
      </c>
      <c r="M1270" s="11" t="s">
        <v>7087</v>
      </c>
      <c r="N1270" s="11" t="s">
        <v>241</v>
      </c>
      <c r="O1270" s="11" t="s">
        <v>263</v>
      </c>
      <c r="P1270" s="11" t="s">
        <v>7088</v>
      </c>
      <c r="Q1270" s="13" t="s">
        <v>7089</v>
      </c>
      <c r="R1270" s="14" t="str">
        <f>HYPERLINK("https://drive.google.com/file/d/1QR2fvNRao1TeeqPu28W4n1o2-tOE2Ukb/view?usp=drivesdk","OFFER LETTER")</f>
        <v>OFFER LETTER</v>
      </c>
      <c r="S1270" s="11" t="s">
        <v>7090</v>
      </c>
    </row>
    <row r="1271" ht="22.5" customHeight="1">
      <c r="A1271" s="10">
        <v>46263.59645116898</v>
      </c>
      <c r="B1271" s="11" t="s">
        <v>7091</v>
      </c>
      <c r="C1271" s="11" t="s">
        <v>173</v>
      </c>
      <c r="D1271" s="11" t="s">
        <v>68</v>
      </c>
      <c r="E1271" s="12">
        <v>46205.0</v>
      </c>
      <c r="F1271" s="12">
        <v>46236.0</v>
      </c>
      <c r="G1271" s="11" t="s">
        <v>7092</v>
      </c>
      <c r="H1271" s="11">
        <v>8.057245056E9</v>
      </c>
      <c r="I1271" s="11" t="s">
        <v>70</v>
      </c>
      <c r="J1271" s="11" t="s">
        <v>71</v>
      </c>
      <c r="K1271" s="11" t="s">
        <v>72</v>
      </c>
      <c r="L1271" s="11" t="s">
        <v>84</v>
      </c>
      <c r="M1271" s="11" t="s">
        <v>6934</v>
      </c>
      <c r="N1271" s="11" t="s">
        <v>86</v>
      </c>
      <c r="O1271" s="11" t="s">
        <v>71</v>
      </c>
      <c r="P1271" s="11" t="s">
        <v>7093</v>
      </c>
      <c r="Q1271" s="13" t="s">
        <v>7094</v>
      </c>
      <c r="R1271" s="14" t="str">
        <f>HYPERLINK("https://drive.google.com/file/d/1FGwWclbHADCJVt2NMqhpFb8tSYqVsLBv/view?usp=drivesdk","OFFER LETTER")</f>
        <v>OFFER LETTER</v>
      </c>
      <c r="S1271" s="11" t="s">
        <v>7095</v>
      </c>
    </row>
    <row r="1272" ht="22.5" customHeight="1">
      <c r="A1272" s="10">
        <v>46263.59844446759</v>
      </c>
      <c r="B1272" s="11" t="s">
        <v>7096</v>
      </c>
      <c r="C1272" s="11" t="s">
        <v>173</v>
      </c>
      <c r="D1272" s="11" t="s">
        <v>68</v>
      </c>
      <c r="E1272" s="12">
        <v>46205.0</v>
      </c>
      <c r="F1272" s="12">
        <v>46236.0</v>
      </c>
      <c r="G1272" s="11" t="s">
        <v>7097</v>
      </c>
      <c r="H1272" s="11">
        <v>8.126864854E9</v>
      </c>
      <c r="I1272" s="11" t="s">
        <v>70</v>
      </c>
      <c r="J1272" s="11" t="s">
        <v>71</v>
      </c>
      <c r="K1272" s="11" t="s">
        <v>72</v>
      </c>
      <c r="L1272" s="11" t="s">
        <v>84</v>
      </c>
      <c r="M1272" s="11" t="s">
        <v>560</v>
      </c>
      <c r="N1272" s="11" t="s">
        <v>7098</v>
      </c>
      <c r="O1272" s="11" t="s">
        <v>71</v>
      </c>
      <c r="P1272" s="11" t="s">
        <v>7099</v>
      </c>
      <c r="Q1272" s="13" t="s">
        <v>7100</v>
      </c>
      <c r="R1272" s="14" t="str">
        <f>HYPERLINK("https://drive.google.com/file/d/1pwzoSTdLoTcWvU_0-PPV6NzPe966dr3m/view?usp=drivesdk","OFFER LETTER")</f>
        <v>OFFER LETTER</v>
      </c>
      <c r="S1272" s="11" t="s">
        <v>7101</v>
      </c>
    </row>
    <row r="1273" ht="22.5" customHeight="1">
      <c r="A1273" s="10">
        <v>46263.59941625</v>
      </c>
      <c r="B1273" s="11" t="s">
        <v>7102</v>
      </c>
      <c r="C1273" s="11" t="s">
        <v>259</v>
      </c>
      <c r="D1273" s="11" t="s">
        <v>68</v>
      </c>
      <c r="E1273" s="12">
        <v>46266.0</v>
      </c>
      <c r="F1273" s="12">
        <v>46295.0</v>
      </c>
      <c r="G1273" s="11" t="s">
        <v>7103</v>
      </c>
      <c r="H1273" s="11">
        <v>9.059316763E9</v>
      </c>
      <c r="I1273" s="11" t="s">
        <v>82</v>
      </c>
      <c r="J1273" s="11" t="s">
        <v>71</v>
      </c>
      <c r="K1273" s="11" t="s">
        <v>72</v>
      </c>
      <c r="L1273" s="11" t="s">
        <v>73</v>
      </c>
      <c r="M1273" s="11" t="s">
        <v>2883</v>
      </c>
      <c r="N1273" s="11" t="s">
        <v>7104</v>
      </c>
      <c r="O1273" s="11" t="s">
        <v>71</v>
      </c>
      <c r="P1273" s="11" t="s">
        <v>7105</v>
      </c>
      <c r="Q1273" s="13" t="s">
        <v>7106</v>
      </c>
      <c r="R1273" s="14" t="str">
        <f>HYPERLINK("https://drive.google.com/file/d/1ku4auBeMK2Pjx6BC9E_us8BHfUBYYUNc/view?usp=drivesdk","OFFER LETTER")</f>
        <v>OFFER LETTER</v>
      </c>
      <c r="S1273" s="11" t="s">
        <v>7107</v>
      </c>
    </row>
    <row r="1274" ht="22.5" customHeight="1">
      <c r="A1274" s="10">
        <v>46263.61385903935</v>
      </c>
      <c r="B1274" s="11" t="s">
        <v>7108</v>
      </c>
      <c r="C1274" s="11" t="s">
        <v>259</v>
      </c>
      <c r="D1274" s="11" t="s">
        <v>68</v>
      </c>
      <c r="E1274" s="12">
        <v>46263.0</v>
      </c>
      <c r="F1274" s="12">
        <v>46293.0</v>
      </c>
      <c r="G1274" s="11" t="s">
        <v>7109</v>
      </c>
      <c r="H1274" s="11">
        <v>7.98317734E9</v>
      </c>
      <c r="I1274" s="11" t="s">
        <v>70</v>
      </c>
      <c r="J1274" s="11" t="s">
        <v>71</v>
      </c>
      <c r="K1274" s="11" t="s">
        <v>72</v>
      </c>
      <c r="L1274" s="11" t="s">
        <v>131</v>
      </c>
      <c r="M1274" s="11" t="s">
        <v>2058</v>
      </c>
      <c r="N1274" s="11" t="s">
        <v>198</v>
      </c>
      <c r="O1274" s="11" t="s">
        <v>71</v>
      </c>
      <c r="P1274" s="11" t="s">
        <v>7110</v>
      </c>
      <c r="Q1274" s="13" t="s">
        <v>7111</v>
      </c>
      <c r="R1274" s="14" t="str">
        <f>HYPERLINK("https://drive.google.com/file/d/1QsLb8iMIMdyFdQQfazn5wlGFaOjSAuVH/view?usp=drivesdk","OFFER LETTER")</f>
        <v>OFFER LETTER</v>
      </c>
      <c r="S1274" s="11" t="s">
        <v>7112</v>
      </c>
    </row>
    <row r="1275" ht="22.5" customHeight="1">
      <c r="A1275" s="10">
        <v>46263.61601006944</v>
      </c>
      <c r="B1275" s="11" t="s">
        <v>7113</v>
      </c>
      <c r="C1275" s="11" t="s">
        <v>173</v>
      </c>
      <c r="D1275" s="11" t="s">
        <v>68</v>
      </c>
      <c r="E1275" s="12">
        <v>46259.0</v>
      </c>
      <c r="F1275" s="12">
        <v>46290.0</v>
      </c>
      <c r="G1275" s="11" t="s">
        <v>7114</v>
      </c>
      <c r="H1275" s="11">
        <v>8.979430396E9</v>
      </c>
      <c r="I1275" s="11" t="s">
        <v>82</v>
      </c>
      <c r="J1275" s="11" t="s">
        <v>71</v>
      </c>
      <c r="K1275" s="11" t="s">
        <v>72</v>
      </c>
      <c r="L1275" s="11" t="s">
        <v>84</v>
      </c>
      <c r="M1275" s="11" t="s">
        <v>7115</v>
      </c>
      <c r="N1275" s="11" t="s">
        <v>7116</v>
      </c>
      <c r="O1275" s="11" t="s">
        <v>71</v>
      </c>
      <c r="P1275" s="11" t="s">
        <v>7117</v>
      </c>
      <c r="Q1275" s="13" t="s">
        <v>7118</v>
      </c>
      <c r="R1275" s="14" t="str">
        <f>HYPERLINK("https://drive.google.com/file/d/1DjUIb5dGG62XIkUQRW2GAXdn1n_MDiWN/view?usp=drivesdk","OFFER LETTER")</f>
        <v>OFFER LETTER</v>
      </c>
      <c r="S1275" s="11" t="s">
        <v>7119</v>
      </c>
    </row>
    <row r="1276" ht="22.5" customHeight="1">
      <c r="A1276" s="10">
        <v>46263.61608237268</v>
      </c>
      <c r="B1276" s="11" t="s">
        <v>7120</v>
      </c>
      <c r="C1276" s="11" t="s">
        <v>128</v>
      </c>
      <c r="D1276" s="11" t="s">
        <v>68</v>
      </c>
      <c r="E1276" s="12">
        <v>46266.0</v>
      </c>
      <c r="F1276" s="12">
        <v>46296.0</v>
      </c>
      <c r="G1276" s="11" t="s">
        <v>7121</v>
      </c>
      <c r="H1276" s="11">
        <v>7.255023039E9</v>
      </c>
      <c r="I1276" s="11" t="s">
        <v>82</v>
      </c>
      <c r="J1276" s="11" t="s">
        <v>71</v>
      </c>
      <c r="K1276" s="11" t="s">
        <v>72</v>
      </c>
      <c r="L1276" s="11" t="s">
        <v>131</v>
      </c>
      <c r="M1276" s="11" t="s">
        <v>7122</v>
      </c>
      <c r="N1276" s="11" t="s">
        <v>75</v>
      </c>
      <c r="O1276" s="11" t="s">
        <v>71</v>
      </c>
      <c r="P1276" s="11" t="s">
        <v>7123</v>
      </c>
      <c r="Q1276" s="13" t="s">
        <v>7124</v>
      </c>
      <c r="R1276" s="14" t="str">
        <f>HYPERLINK("https://drive.google.com/file/d/1-h1zKjsBlrjlX5a1x-xNGmQWu5btTP31/view?usp=drivesdk","OFFER LETTER")</f>
        <v>OFFER LETTER</v>
      </c>
      <c r="S1276" s="11" t="s">
        <v>7125</v>
      </c>
    </row>
    <row r="1277" ht="22.5" customHeight="1">
      <c r="A1277" s="10">
        <v>46263.61743399306</v>
      </c>
      <c r="B1277" s="11" t="s">
        <v>7126</v>
      </c>
      <c r="C1277" s="11" t="s">
        <v>195</v>
      </c>
      <c r="D1277" s="11" t="s">
        <v>68</v>
      </c>
      <c r="E1277" s="12">
        <v>46225.0</v>
      </c>
      <c r="F1277" s="12">
        <v>46255.0</v>
      </c>
      <c r="G1277" s="11" t="s">
        <v>7127</v>
      </c>
      <c r="H1277" s="11">
        <v>9.306648023E9</v>
      </c>
      <c r="I1277" s="11" t="s">
        <v>82</v>
      </c>
      <c r="J1277" s="11" t="s">
        <v>71</v>
      </c>
      <c r="K1277" s="11" t="s">
        <v>72</v>
      </c>
      <c r="L1277" s="11" t="s">
        <v>84</v>
      </c>
      <c r="M1277" s="11" t="s">
        <v>886</v>
      </c>
      <c r="N1277" s="11" t="s">
        <v>86</v>
      </c>
      <c r="O1277" s="11" t="s">
        <v>71</v>
      </c>
      <c r="P1277" s="11" t="s">
        <v>7128</v>
      </c>
      <c r="Q1277" s="13" t="s">
        <v>7129</v>
      </c>
      <c r="R1277" s="14" t="str">
        <f>HYPERLINK("https://drive.google.com/file/d/1WG7j3SkRPk67ceieEKoOhLkQCHDt6EMc/view?usp=drivesdk","OFFER LETTER")</f>
        <v>OFFER LETTER</v>
      </c>
      <c r="S1277" s="11" t="s">
        <v>7130</v>
      </c>
    </row>
    <row r="1278" ht="22.5" customHeight="1">
      <c r="A1278" s="10">
        <v>46263.61910660879</v>
      </c>
      <c r="B1278" s="11" t="s">
        <v>7131</v>
      </c>
      <c r="C1278" s="11" t="s">
        <v>195</v>
      </c>
      <c r="D1278" s="11" t="s">
        <v>68</v>
      </c>
      <c r="E1278" s="12">
        <v>46265.0</v>
      </c>
      <c r="F1278" s="12">
        <v>46295.0</v>
      </c>
      <c r="G1278" s="11" t="s">
        <v>7132</v>
      </c>
      <c r="H1278" s="11">
        <v>9.142912107E9</v>
      </c>
      <c r="I1278" s="11" t="s">
        <v>82</v>
      </c>
      <c r="J1278" s="11" t="s">
        <v>71</v>
      </c>
      <c r="K1278" s="11" t="s">
        <v>72</v>
      </c>
      <c r="L1278" s="11" t="s">
        <v>84</v>
      </c>
      <c r="M1278" s="11" t="s">
        <v>7006</v>
      </c>
      <c r="N1278" s="11" t="s">
        <v>5790</v>
      </c>
      <c r="O1278" s="11" t="s">
        <v>71</v>
      </c>
      <c r="P1278" s="11" t="s">
        <v>7133</v>
      </c>
      <c r="Q1278" s="13" t="s">
        <v>7134</v>
      </c>
      <c r="R1278" s="14" t="str">
        <f>HYPERLINK("https://drive.google.com/file/d/12Df7pDL_Ykdg3BfnmJSOfL-wH7udd643/view?usp=drivesdk","OFFER LETTER")</f>
        <v>OFFER LETTER</v>
      </c>
      <c r="S1278" s="11" t="s">
        <v>7135</v>
      </c>
    </row>
    <row r="1279" ht="22.5" customHeight="1">
      <c r="A1279" s="10">
        <v>46263.62721519676</v>
      </c>
      <c r="B1279" s="11" t="s">
        <v>7136</v>
      </c>
      <c r="C1279" s="11" t="s">
        <v>195</v>
      </c>
      <c r="D1279" s="11" t="s">
        <v>68</v>
      </c>
      <c r="E1279" s="12">
        <v>46269.0</v>
      </c>
      <c r="F1279" s="12">
        <v>46299.0</v>
      </c>
      <c r="G1279" s="11" t="s">
        <v>7137</v>
      </c>
      <c r="H1279" s="11">
        <v>9.392378465E9</v>
      </c>
      <c r="I1279" s="11" t="s">
        <v>82</v>
      </c>
      <c r="J1279" s="11" t="s">
        <v>71</v>
      </c>
      <c r="K1279" s="11" t="s">
        <v>72</v>
      </c>
      <c r="L1279" s="11" t="s">
        <v>84</v>
      </c>
      <c r="M1279" s="11" t="s">
        <v>6138</v>
      </c>
      <c r="N1279" s="11" t="s">
        <v>241</v>
      </c>
      <c r="O1279" s="11" t="s">
        <v>71</v>
      </c>
      <c r="P1279" s="11" t="s">
        <v>7138</v>
      </c>
      <c r="Q1279" s="13" t="s">
        <v>7139</v>
      </c>
      <c r="R1279" s="14" t="str">
        <f>HYPERLINK("https://drive.google.com/file/d/1bOLlHrLmgFWFUuIVRMl3x8B_KuxIBKXW/view?usp=drivesdk","OFFER LETTER")</f>
        <v>OFFER LETTER</v>
      </c>
      <c r="S1279" s="11" t="s">
        <v>7140</v>
      </c>
    </row>
    <row r="1280" ht="22.5" customHeight="1">
      <c r="A1280" s="10">
        <v>46263.63353306713</v>
      </c>
      <c r="B1280" s="11" t="s">
        <v>6699</v>
      </c>
      <c r="C1280" s="11" t="s">
        <v>195</v>
      </c>
      <c r="D1280" s="11" t="s">
        <v>68</v>
      </c>
      <c r="E1280" s="12">
        <v>46225.0</v>
      </c>
      <c r="F1280" s="12">
        <v>46262.0</v>
      </c>
      <c r="G1280" s="11" t="s">
        <v>7141</v>
      </c>
      <c r="H1280" s="11">
        <v>8.929890595E9</v>
      </c>
      <c r="I1280" s="11" t="s">
        <v>82</v>
      </c>
      <c r="J1280" s="11" t="s">
        <v>71</v>
      </c>
      <c r="K1280" s="11" t="s">
        <v>72</v>
      </c>
      <c r="L1280" s="11" t="s">
        <v>84</v>
      </c>
      <c r="M1280" s="11" t="s">
        <v>2655</v>
      </c>
      <c r="N1280" s="11" t="s">
        <v>198</v>
      </c>
      <c r="O1280" s="11" t="s">
        <v>71</v>
      </c>
      <c r="P1280" s="11" t="s">
        <v>7142</v>
      </c>
      <c r="Q1280" s="13" t="s">
        <v>7143</v>
      </c>
      <c r="R1280" s="14" t="str">
        <f>HYPERLINK("https://drive.google.com/file/d/1rYl3UDqyYH52SNtDLf1qFn4RoA2jgx8S/view?usp=drivesdk","OFFER LETTER")</f>
        <v>OFFER LETTER</v>
      </c>
      <c r="S1280" s="11" t="s">
        <v>7144</v>
      </c>
    </row>
    <row r="1281" ht="22.5" customHeight="1">
      <c r="A1281" s="10">
        <v>46263.63387959491</v>
      </c>
      <c r="B1281" s="11" t="s">
        <v>7145</v>
      </c>
      <c r="C1281" s="11" t="s">
        <v>195</v>
      </c>
      <c r="D1281" s="11" t="s">
        <v>108</v>
      </c>
      <c r="E1281" s="12">
        <v>46203.0</v>
      </c>
      <c r="F1281" s="12">
        <v>46264.0</v>
      </c>
      <c r="G1281" s="11" t="s">
        <v>7146</v>
      </c>
      <c r="H1281" s="11">
        <v>8.0076411424E10</v>
      </c>
      <c r="I1281" s="11" t="s">
        <v>82</v>
      </c>
      <c r="J1281" s="11" t="s">
        <v>71</v>
      </c>
      <c r="K1281" s="11" t="s">
        <v>72</v>
      </c>
      <c r="L1281" s="11" t="s">
        <v>131</v>
      </c>
      <c r="M1281" s="11" t="s">
        <v>7147</v>
      </c>
      <c r="N1281" s="11" t="s">
        <v>75</v>
      </c>
      <c r="O1281" s="11" t="s">
        <v>71</v>
      </c>
      <c r="P1281" s="11" t="s">
        <v>7148</v>
      </c>
      <c r="Q1281" s="13" t="s">
        <v>7149</v>
      </c>
      <c r="R1281" s="14" t="str">
        <f>HYPERLINK("https://drive.google.com/file/d/15Kqon3mRQAq2_iEPQm5-BYEPTJPDmpjX/view?usp=drivesdk","OFFER LETTER")</f>
        <v>OFFER LETTER</v>
      </c>
      <c r="S1281" s="11" t="s">
        <v>7150</v>
      </c>
    </row>
    <row r="1282" ht="22.5" customHeight="1">
      <c r="A1282" s="10">
        <v>46263.633953530094</v>
      </c>
      <c r="B1282" s="11" t="s">
        <v>7145</v>
      </c>
      <c r="C1282" s="11" t="s">
        <v>195</v>
      </c>
      <c r="D1282" s="11" t="s">
        <v>108</v>
      </c>
      <c r="E1282" s="12">
        <v>46203.0</v>
      </c>
      <c r="F1282" s="12">
        <v>46264.0</v>
      </c>
      <c r="G1282" s="11" t="s">
        <v>7146</v>
      </c>
      <c r="H1282" s="11">
        <v>8.0076411424E10</v>
      </c>
      <c r="I1282" s="11" t="s">
        <v>82</v>
      </c>
      <c r="J1282" s="11" t="s">
        <v>71</v>
      </c>
      <c r="K1282" s="11" t="s">
        <v>72</v>
      </c>
      <c r="L1282" s="11" t="s">
        <v>131</v>
      </c>
      <c r="M1282" s="11" t="s">
        <v>7147</v>
      </c>
      <c r="N1282" s="11" t="s">
        <v>75</v>
      </c>
      <c r="O1282" s="11" t="s">
        <v>71</v>
      </c>
      <c r="P1282" s="11" t="s">
        <v>7151</v>
      </c>
      <c r="Q1282" s="13" t="s">
        <v>7152</v>
      </c>
      <c r="R1282" s="14" t="str">
        <f>HYPERLINK("https://drive.google.com/file/d/1YJj75ev6MB2cgM46zAy0KLkJqatGmYVX/view?usp=drivesdk","OFFER LETTER")</f>
        <v>OFFER LETTER</v>
      </c>
      <c r="S1282" s="11" t="s">
        <v>7153</v>
      </c>
    </row>
    <row r="1283" ht="22.5" customHeight="1">
      <c r="A1283" s="10">
        <v>46263.63470456019</v>
      </c>
      <c r="B1283" s="11" t="s">
        <v>7154</v>
      </c>
      <c r="C1283" s="11" t="s">
        <v>195</v>
      </c>
      <c r="D1283" s="11" t="s">
        <v>238</v>
      </c>
      <c r="E1283" s="12">
        <v>46266.0</v>
      </c>
      <c r="F1283" s="12">
        <v>46357.0</v>
      </c>
      <c r="G1283" s="11" t="s">
        <v>7155</v>
      </c>
      <c r="H1283" s="11">
        <v>8.172975428E9</v>
      </c>
      <c r="I1283" s="11" t="s">
        <v>70</v>
      </c>
      <c r="J1283" s="11" t="s">
        <v>71</v>
      </c>
      <c r="K1283" s="11" t="s">
        <v>72</v>
      </c>
      <c r="L1283" s="11" t="s">
        <v>131</v>
      </c>
      <c r="M1283" s="11" t="s">
        <v>7156</v>
      </c>
      <c r="N1283" s="11" t="s">
        <v>75</v>
      </c>
      <c r="O1283" s="11" t="s">
        <v>130</v>
      </c>
      <c r="P1283" s="11" t="s">
        <v>7157</v>
      </c>
      <c r="Q1283" s="13" t="s">
        <v>7158</v>
      </c>
      <c r="R1283" s="14" t="str">
        <f>HYPERLINK("https://drive.google.com/file/d/1qVtOyoGVHbQ6HMwVrTVYVFE5QqyeXME0/view?usp=drivesdk","OFFER LETTER")</f>
        <v>OFFER LETTER</v>
      </c>
      <c r="S1283" s="11" t="s">
        <v>7159</v>
      </c>
    </row>
    <row r="1284" ht="22.5" customHeight="1">
      <c r="A1284" s="10">
        <v>46263.64045672453</v>
      </c>
      <c r="B1284" s="11" t="s">
        <v>7160</v>
      </c>
      <c r="C1284" s="11" t="s">
        <v>67</v>
      </c>
      <c r="D1284" s="11" t="s">
        <v>929</v>
      </c>
      <c r="E1284" s="12">
        <v>46263.0</v>
      </c>
      <c r="F1284" s="12">
        <v>46446.0</v>
      </c>
      <c r="G1284" s="11" t="s">
        <v>7161</v>
      </c>
      <c r="H1284" s="11">
        <v>9.118224645E9</v>
      </c>
      <c r="I1284" s="11" t="s">
        <v>70</v>
      </c>
      <c r="J1284" s="11" t="s">
        <v>71</v>
      </c>
      <c r="K1284" s="11" t="s">
        <v>72</v>
      </c>
      <c r="L1284" s="11" t="s">
        <v>131</v>
      </c>
      <c r="M1284" s="11" t="s">
        <v>7162</v>
      </c>
      <c r="N1284" s="11" t="s">
        <v>155</v>
      </c>
      <c r="O1284" s="11" t="s">
        <v>71</v>
      </c>
      <c r="P1284" s="11" t="s">
        <v>7163</v>
      </c>
      <c r="Q1284" s="13" t="s">
        <v>7164</v>
      </c>
      <c r="R1284" s="14" t="str">
        <f>HYPERLINK("https://drive.google.com/file/d/1Xt3GKLrAxd2uy1GYzq5m7aHVSbnCUkjU/view?usp=drivesdk","OFFER LETTER")</f>
        <v>OFFER LETTER</v>
      </c>
      <c r="S1284" s="11" t="s">
        <v>7165</v>
      </c>
    </row>
    <row r="1285" ht="22.5" customHeight="1">
      <c r="A1285" s="10">
        <v>46263.64184628472</v>
      </c>
      <c r="B1285" s="11" t="s">
        <v>7166</v>
      </c>
      <c r="C1285" s="11" t="s">
        <v>91</v>
      </c>
      <c r="D1285" s="11" t="s">
        <v>68</v>
      </c>
      <c r="E1285" s="12">
        <v>46296.0</v>
      </c>
      <c r="F1285" s="12">
        <v>46326.0</v>
      </c>
      <c r="G1285" s="11" t="s">
        <v>7167</v>
      </c>
      <c r="H1285" s="11">
        <v>9.103515145E9</v>
      </c>
      <c r="I1285" s="11" t="s">
        <v>82</v>
      </c>
      <c r="J1285" s="11" t="s">
        <v>83</v>
      </c>
      <c r="K1285" s="11" t="s">
        <v>72</v>
      </c>
      <c r="L1285" s="11" t="s">
        <v>357</v>
      </c>
      <c r="M1285" s="11" t="s">
        <v>7168</v>
      </c>
      <c r="N1285" s="11" t="s">
        <v>320</v>
      </c>
      <c r="O1285" s="11" t="s">
        <v>71</v>
      </c>
      <c r="P1285" s="11" t="s">
        <v>7169</v>
      </c>
      <c r="Q1285" s="13" t="s">
        <v>7170</v>
      </c>
      <c r="R1285" s="14" t="str">
        <f>HYPERLINK("https://drive.google.com/file/d/1vx_gTHAYU6F1xy_co21XjsFQJ6Ua7Szk/view?usp=drivesdk","OFFER LETTER")</f>
        <v>OFFER LETTER</v>
      </c>
      <c r="S1285" s="11" t="s">
        <v>7171</v>
      </c>
    </row>
    <row r="1286" ht="22.5" customHeight="1">
      <c r="A1286" s="10">
        <v>46263.64744431713</v>
      </c>
      <c r="B1286" s="11" t="s">
        <v>7172</v>
      </c>
      <c r="C1286" s="11" t="s">
        <v>67</v>
      </c>
      <c r="D1286" s="11" t="s">
        <v>238</v>
      </c>
      <c r="E1286" s="12">
        <v>46023.0</v>
      </c>
      <c r="F1286" s="12">
        <v>46113.0</v>
      </c>
      <c r="G1286" s="11" t="s">
        <v>7173</v>
      </c>
      <c r="H1286" s="11">
        <v>8.074032735E9</v>
      </c>
      <c r="I1286" s="11" t="s">
        <v>70</v>
      </c>
      <c r="J1286" s="11" t="s">
        <v>71</v>
      </c>
      <c r="K1286" s="11" t="s">
        <v>72</v>
      </c>
      <c r="L1286" s="11" t="s">
        <v>131</v>
      </c>
      <c r="M1286" s="11" t="s">
        <v>7174</v>
      </c>
      <c r="N1286" s="11" t="s">
        <v>86</v>
      </c>
      <c r="O1286" s="11" t="s">
        <v>71</v>
      </c>
      <c r="P1286" s="11" t="s">
        <v>7175</v>
      </c>
      <c r="Q1286" s="13" t="s">
        <v>7176</v>
      </c>
      <c r="R1286" s="14" t="str">
        <f>HYPERLINK("https://drive.google.com/file/d/1T1Ilc9ZtRn3XLPdb7cG6nqVcxdSqCazh/view?usp=drivesdk","OFFER LETTER")</f>
        <v>OFFER LETTER</v>
      </c>
      <c r="S1286" s="11" t="s">
        <v>7177</v>
      </c>
    </row>
    <row r="1287" ht="22.5" customHeight="1">
      <c r="A1287" s="10">
        <v>46263.65479002315</v>
      </c>
      <c r="B1287" s="11" t="s">
        <v>7178</v>
      </c>
      <c r="C1287" s="11" t="s">
        <v>173</v>
      </c>
      <c r="D1287" s="11" t="s">
        <v>68</v>
      </c>
      <c r="E1287" s="12">
        <v>46228.0</v>
      </c>
      <c r="F1287" s="12">
        <v>46259.0</v>
      </c>
      <c r="G1287" s="11" t="s">
        <v>7179</v>
      </c>
      <c r="H1287" s="11">
        <v>9.818447826E9</v>
      </c>
      <c r="I1287" s="11" t="s">
        <v>82</v>
      </c>
      <c r="J1287" s="11" t="s">
        <v>71</v>
      </c>
      <c r="K1287" s="11" t="s">
        <v>72</v>
      </c>
      <c r="L1287" s="11" t="s">
        <v>84</v>
      </c>
      <c r="M1287" s="11" t="s">
        <v>5124</v>
      </c>
      <c r="N1287" s="11" t="s">
        <v>86</v>
      </c>
      <c r="O1287" s="11" t="s">
        <v>71</v>
      </c>
      <c r="P1287" s="11" t="s">
        <v>7180</v>
      </c>
      <c r="Q1287" s="13" t="s">
        <v>7181</v>
      </c>
      <c r="R1287" s="14" t="str">
        <f>HYPERLINK("https://drive.google.com/file/d/1qnEJtzq3QtBAuiFXv_AnNq1WkZMsyc6r/view?usp=drivesdk","OFFER LETTER")</f>
        <v>OFFER LETTER</v>
      </c>
      <c r="S1287" s="11" t="s">
        <v>7182</v>
      </c>
    </row>
    <row r="1288" ht="22.5" customHeight="1">
      <c r="A1288" s="10">
        <v>46263.65975346065</v>
      </c>
      <c r="B1288" s="11" t="s">
        <v>7183</v>
      </c>
      <c r="C1288" s="11" t="s">
        <v>237</v>
      </c>
      <c r="D1288" s="11" t="s">
        <v>68</v>
      </c>
      <c r="E1288" s="12">
        <v>46262.0</v>
      </c>
      <c r="F1288" s="12">
        <v>46293.0</v>
      </c>
      <c r="G1288" s="11" t="s">
        <v>7184</v>
      </c>
      <c r="H1288" s="11">
        <v>9.025386687E9</v>
      </c>
      <c r="I1288" s="11" t="s">
        <v>82</v>
      </c>
      <c r="J1288" s="11" t="s">
        <v>71</v>
      </c>
      <c r="K1288" s="11" t="s">
        <v>72</v>
      </c>
      <c r="L1288" s="11" t="s">
        <v>84</v>
      </c>
      <c r="M1288" s="11" t="s">
        <v>7185</v>
      </c>
      <c r="N1288" s="11" t="s">
        <v>86</v>
      </c>
      <c r="O1288" s="11" t="s">
        <v>71</v>
      </c>
      <c r="P1288" s="11" t="s">
        <v>7186</v>
      </c>
      <c r="Q1288" s="13" t="s">
        <v>7187</v>
      </c>
      <c r="R1288" s="14" t="str">
        <f>HYPERLINK("https://drive.google.com/file/d/1-F2YjoMcsA3zjIniaN6xHAjZ8kBCGBZC/view?usp=drivesdk","OFFER LETTER")</f>
        <v>OFFER LETTER</v>
      </c>
      <c r="S1288" s="11" t="s">
        <v>7188</v>
      </c>
    </row>
    <row r="1289" ht="22.5" customHeight="1">
      <c r="A1289" s="10">
        <v>46263.659766261575</v>
      </c>
      <c r="B1289" s="11" t="s">
        <v>7189</v>
      </c>
      <c r="C1289" s="11" t="s">
        <v>128</v>
      </c>
      <c r="D1289" s="11" t="s">
        <v>68</v>
      </c>
      <c r="E1289" s="12">
        <v>46266.0</v>
      </c>
      <c r="F1289" s="12">
        <v>46295.0</v>
      </c>
      <c r="G1289" s="11" t="s">
        <v>7190</v>
      </c>
      <c r="H1289" s="17" t="s">
        <v>7191</v>
      </c>
      <c r="I1289" s="11" t="s">
        <v>70</v>
      </c>
      <c r="J1289" s="11" t="s">
        <v>71</v>
      </c>
      <c r="K1289" s="11" t="s">
        <v>72</v>
      </c>
      <c r="L1289" s="11" t="s">
        <v>131</v>
      </c>
      <c r="M1289" s="11" t="s">
        <v>7192</v>
      </c>
      <c r="N1289" s="11" t="s">
        <v>655</v>
      </c>
      <c r="O1289" s="11" t="s">
        <v>71</v>
      </c>
      <c r="P1289" s="11" t="s">
        <v>7193</v>
      </c>
      <c r="Q1289" s="13" t="s">
        <v>7194</v>
      </c>
      <c r="R1289" s="14" t="str">
        <f>HYPERLINK("https://drive.google.com/file/d/12HM4zSw4grzO7SDJR7s-cA5rrjYQC2yw/view?usp=drivesdk","OFFER LETTER")</f>
        <v>OFFER LETTER</v>
      </c>
      <c r="S1289" s="11" t="s">
        <v>7188</v>
      </c>
    </row>
    <row r="1290" ht="22.5" customHeight="1">
      <c r="A1290" s="10">
        <v>46263.66095447917</v>
      </c>
      <c r="B1290" s="11" t="s">
        <v>7195</v>
      </c>
      <c r="C1290" s="11" t="s">
        <v>91</v>
      </c>
      <c r="D1290" s="11" t="s">
        <v>68</v>
      </c>
      <c r="E1290" s="12">
        <v>46237.0</v>
      </c>
      <c r="F1290" s="12">
        <v>46268.0</v>
      </c>
      <c r="G1290" s="11" t="s">
        <v>7196</v>
      </c>
      <c r="H1290" s="11">
        <v>7.709107804E9</v>
      </c>
      <c r="I1290" s="11" t="s">
        <v>82</v>
      </c>
      <c r="J1290" s="11" t="s">
        <v>71</v>
      </c>
      <c r="K1290" s="11" t="s">
        <v>72</v>
      </c>
      <c r="L1290" s="11" t="s">
        <v>84</v>
      </c>
      <c r="M1290" s="11" t="s">
        <v>7197</v>
      </c>
      <c r="N1290" s="11" t="s">
        <v>75</v>
      </c>
      <c r="O1290" s="11" t="s">
        <v>71</v>
      </c>
      <c r="P1290" s="11" t="s">
        <v>7198</v>
      </c>
      <c r="Q1290" s="13" t="s">
        <v>7199</v>
      </c>
      <c r="R1290" s="14" t="str">
        <f>HYPERLINK("https://drive.google.com/file/d/1frdOXHYybNDTvpkazm79Wq13e5oyr4q-/view?usp=drivesdk","OFFER LETTER")</f>
        <v>OFFER LETTER</v>
      </c>
      <c r="S1290" s="11" t="s">
        <v>7200</v>
      </c>
    </row>
    <row r="1291" ht="22.5" customHeight="1">
      <c r="A1291" s="10">
        <v>46263.66429912037</v>
      </c>
      <c r="B1291" s="11" t="s">
        <v>7201</v>
      </c>
      <c r="C1291" s="11" t="s">
        <v>173</v>
      </c>
      <c r="D1291" s="11" t="s">
        <v>68</v>
      </c>
      <c r="E1291" s="12">
        <v>46186.0</v>
      </c>
      <c r="F1291" s="12">
        <v>46219.0</v>
      </c>
      <c r="G1291" s="11" t="s">
        <v>7202</v>
      </c>
      <c r="H1291" s="11">
        <v>8.840021714E9</v>
      </c>
      <c r="I1291" s="11" t="s">
        <v>82</v>
      </c>
      <c r="J1291" s="11" t="s">
        <v>71</v>
      </c>
      <c r="K1291" s="11" t="s">
        <v>72</v>
      </c>
      <c r="L1291" s="11" t="s">
        <v>84</v>
      </c>
      <c r="M1291" s="11" t="s">
        <v>2710</v>
      </c>
      <c r="N1291" s="11" t="s">
        <v>86</v>
      </c>
      <c r="O1291" s="11" t="s">
        <v>71</v>
      </c>
      <c r="P1291" s="11" t="s">
        <v>7203</v>
      </c>
      <c r="Q1291" s="13" t="s">
        <v>7204</v>
      </c>
      <c r="R1291" s="14" t="str">
        <f>HYPERLINK("https://drive.google.com/file/d/18t4uDtDPd24FLi7wJ8PvGDDBHt5v6esS/view?usp=drivesdk","OFFER LETTER")</f>
        <v>OFFER LETTER</v>
      </c>
      <c r="S1291" s="11" t="s">
        <v>7205</v>
      </c>
    </row>
    <row r="1292" ht="22.5" customHeight="1">
      <c r="A1292" s="10">
        <v>46263.6753974537</v>
      </c>
      <c r="B1292" s="11" t="s">
        <v>7206</v>
      </c>
      <c r="C1292" s="11" t="s">
        <v>259</v>
      </c>
      <c r="D1292" s="11" t="s">
        <v>68</v>
      </c>
      <c r="E1292" s="12">
        <v>46296.0</v>
      </c>
      <c r="F1292" s="12">
        <v>46326.0</v>
      </c>
      <c r="G1292" s="11" t="s">
        <v>7207</v>
      </c>
      <c r="H1292" s="11">
        <v>8.448211961E9</v>
      </c>
      <c r="I1292" s="11" t="s">
        <v>82</v>
      </c>
      <c r="J1292" s="11" t="s">
        <v>71</v>
      </c>
      <c r="K1292" s="11" t="s">
        <v>72</v>
      </c>
      <c r="L1292" s="11" t="s">
        <v>357</v>
      </c>
      <c r="M1292" s="11" t="s">
        <v>7208</v>
      </c>
      <c r="N1292" s="11" t="s">
        <v>86</v>
      </c>
      <c r="O1292" s="11" t="s">
        <v>71</v>
      </c>
      <c r="P1292" s="11" t="s">
        <v>7209</v>
      </c>
      <c r="Q1292" s="13" t="s">
        <v>7210</v>
      </c>
      <c r="R1292" s="14" t="str">
        <f>HYPERLINK("https://drive.google.com/file/d/1i5BycrLwULGzyAM3JMzQwJAwtcK1yUlg/view?usp=drivesdk","OFFER LETTER")</f>
        <v>OFFER LETTER</v>
      </c>
      <c r="S1292" s="11" t="s">
        <v>7211</v>
      </c>
    </row>
    <row r="1293" ht="22.5" customHeight="1">
      <c r="A1293" s="10">
        <v>46263.679464456014</v>
      </c>
      <c r="B1293" s="11" t="s">
        <v>7212</v>
      </c>
      <c r="C1293" s="11" t="s">
        <v>195</v>
      </c>
      <c r="D1293" s="11" t="s">
        <v>68</v>
      </c>
      <c r="E1293" s="12">
        <v>46230.0</v>
      </c>
      <c r="F1293" s="12">
        <v>46261.0</v>
      </c>
      <c r="G1293" s="11" t="s">
        <v>7213</v>
      </c>
      <c r="H1293" s="11">
        <v>8.103807082E9</v>
      </c>
      <c r="I1293" s="11" t="s">
        <v>82</v>
      </c>
      <c r="J1293" s="11" t="s">
        <v>71</v>
      </c>
      <c r="K1293" s="11" t="s">
        <v>72</v>
      </c>
      <c r="L1293" s="11" t="s">
        <v>84</v>
      </c>
      <c r="M1293" s="11" t="s">
        <v>1073</v>
      </c>
      <c r="N1293" s="11" t="s">
        <v>86</v>
      </c>
      <c r="O1293" s="11" t="s">
        <v>71</v>
      </c>
      <c r="P1293" s="11" t="s">
        <v>7214</v>
      </c>
      <c r="Q1293" s="13" t="s">
        <v>7215</v>
      </c>
      <c r="R1293" s="14" t="str">
        <f>HYPERLINK("https://drive.google.com/file/d/1LOdJmmmLHW18LhzxtF74Mj4HMPiroR42/view?usp=drivesdk","OFFER LETTER")</f>
        <v>OFFER LETTER</v>
      </c>
      <c r="S1293" s="11" t="s">
        <v>7216</v>
      </c>
    </row>
    <row r="1294" ht="22.5" customHeight="1">
      <c r="A1294" s="10">
        <v>46263.68384</v>
      </c>
      <c r="B1294" s="11" t="s">
        <v>7217</v>
      </c>
      <c r="C1294" s="11" t="s">
        <v>195</v>
      </c>
      <c r="D1294" s="11" t="s">
        <v>68</v>
      </c>
      <c r="E1294" s="12">
        <v>46263.0</v>
      </c>
      <c r="F1294" s="12">
        <v>46272.0</v>
      </c>
      <c r="G1294" s="11" t="s">
        <v>7218</v>
      </c>
      <c r="H1294" s="11">
        <v>8.590532697E9</v>
      </c>
      <c r="I1294" s="11" t="s">
        <v>82</v>
      </c>
      <c r="J1294" s="11" t="s">
        <v>71</v>
      </c>
      <c r="K1294" s="13" t="s">
        <v>674</v>
      </c>
      <c r="L1294" s="11" t="s">
        <v>73</v>
      </c>
      <c r="M1294" s="11" t="s">
        <v>7219</v>
      </c>
      <c r="N1294" s="11" t="s">
        <v>7220</v>
      </c>
      <c r="O1294" s="11" t="s">
        <v>71</v>
      </c>
      <c r="P1294" s="11" t="s">
        <v>7221</v>
      </c>
      <c r="Q1294" s="13" t="s">
        <v>7222</v>
      </c>
      <c r="R1294" s="14" t="str">
        <f>HYPERLINK("https://drive.google.com/file/d/1ch3gg2JrxVV7iIUReZwmT_rAKoITpjDB/view?usp=drivesdk","OFFER LETTER")</f>
        <v>OFFER LETTER</v>
      </c>
      <c r="S1294" s="11" t="s">
        <v>7223</v>
      </c>
    </row>
    <row r="1295" ht="22.5" customHeight="1">
      <c r="A1295" s="10">
        <v>46263.71217053241</v>
      </c>
      <c r="B1295" s="11" t="s">
        <v>7224</v>
      </c>
      <c r="C1295" s="11" t="s">
        <v>91</v>
      </c>
      <c r="D1295" s="11" t="s">
        <v>108</v>
      </c>
      <c r="E1295" s="12">
        <v>46174.0</v>
      </c>
      <c r="F1295" s="12">
        <v>46235.0</v>
      </c>
      <c r="G1295" s="11" t="s">
        <v>7225</v>
      </c>
      <c r="H1295" s="11">
        <v>9.548019995E9</v>
      </c>
      <c r="I1295" s="11" t="s">
        <v>82</v>
      </c>
      <c r="J1295" s="11" t="s">
        <v>130</v>
      </c>
      <c r="K1295" s="11" t="s">
        <v>72</v>
      </c>
      <c r="L1295" s="11" t="s">
        <v>131</v>
      </c>
      <c r="M1295" s="11" t="s">
        <v>6910</v>
      </c>
      <c r="N1295" s="11" t="s">
        <v>75</v>
      </c>
      <c r="O1295" s="11" t="s">
        <v>71</v>
      </c>
      <c r="P1295" s="11" t="s">
        <v>7226</v>
      </c>
      <c r="Q1295" s="13" t="s">
        <v>7227</v>
      </c>
      <c r="R1295" s="14" t="str">
        <f>HYPERLINK("https://drive.google.com/file/d/1fSjhPvH-Fh0EavtQjBX_WN4uk6mt-qL1/view?usp=drivesdk","OFFER LETTER")</f>
        <v>OFFER LETTER</v>
      </c>
      <c r="S1295" s="11" t="s">
        <v>7228</v>
      </c>
    </row>
    <row r="1296" ht="22.5" customHeight="1">
      <c r="A1296" s="10">
        <v>46263.7161662037</v>
      </c>
      <c r="B1296" s="11" t="s">
        <v>7229</v>
      </c>
      <c r="C1296" s="11" t="s">
        <v>107</v>
      </c>
      <c r="D1296" s="11" t="s">
        <v>68</v>
      </c>
      <c r="E1296" s="12">
        <v>46263.0</v>
      </c>
      <c r="F1296" s="12">
        <v>46294.0</v>
      </c>
      <c r="G1296" s="11" t="s">
        <v>7230</v>
      </c>
      <c r="H1296" s="11">
        <v>9.153979082E9</v>
      </c>
      <c r="I1296" s="11" t="s">
        <v>82</v>
      </c>
      <c r="J1296" s="11" t="s">
        <v>83</v>
      </c>
      <c r="K1296" s="11" t="s">
        <v>110</v>
      </c>
      <c r="L1296" s="11" t="s">
        <v>73</v>
      </c>
      <c r="M1296" s="11" t="s">
        <v>5158</v>
      </c>
      <c r="N1296" s="11" t="s">
        <v>219</v>
      </c>
      <c r="O1296" s="11" t="s">
        <v>71</v>
      </c>
      <c r="P1296" s="11" t="s">
        <v>7231</v>
      </c>
      <c r="Q1296" s="13" t="s">
        <v>7232</v>
      </c>
      <c r="R1296" s="14" t="str">
        <f>HYPERLINK("https://drive.google.com/file/d/1ZtQSMn57wWCVSTAjg7E_vAvFaNT314OL/view?usp=drivesdk","OFFER LETTER")</f>
        <v>OFFER LETTER</v>
      </c>
      <c r="S1296" s="11" t="s">
        <v>7233</v>
      </c>
    </row>
    <row r="1297" ht="22.5" customHeight="1">
      <c r="A1297" s="10">
        <v>46263.72197186343</v>
      </c>
      <c r="B1297" s="11" t="s">
        <v>7234</v>
      </c>
      <c r="C1297" s="11" t="s">
        <v>173</v>
      </c>
      <c r="D1297" s="11" t="s">
        <v>68</v>
      </c>
      <c r="E1297" s="12">
        <v>46266.0</v>
      </c>
      <c r="F1297" s="12">
        <v>46295.0</v>
      </c>
      <c r="G1297" s="11" t="s">
        <v>7235</v>
      </c>
      <c r="H1297" s="11">
        <v>9.045377434E9</v>
      </c>
      <c r="I1297" s="11" t="s">
        <v>82</v>
      </c>
      <c r="J1297" s="11" t="s">
        <v>83</v>
      </c>
      <c r="K1297" s="11" t="s">
        <v>72</v>
      </c>
      <c r="L1297" s="11" t="s">
        <v>131</v>
      </c>
      <c r="M1297" s="11" t="s">
        <v>7236</v>
      </c>
      <c r="N1297" s="11" t="s">
        <v>47</v>
      </c>
      <c r="O1297" s="11" t="s">
        <v>71</v>
      </c>
      <c r="P1297" s="11" t="s">
        <v>7237</v>
      </c>
      <c r="Q1297" s="13" t="s">
        <v>7238</v>
      </c>
      <c r="R1297" s="14" t="str">
        <f>HYPERLINK("https://drive.google.com/file/d/1SPubCe_tEdqejTtSq6KPfWwYbdu2JD69/view?usp=drivesdk","OFFER LETTER")</f>
        <v>OFFER LETTER</v>
      </c>
      <c r="S1297" s="11" t="s">
        <v>7239</v>
      </c>
    </row>
    <row r="1298" ht="22.5" customHeight="1">
      <c r="A1298" s="10">
        <v>46263.72810876157</v>
      </c>
      <c r="B1298" s="11" t="s">
        <v>7201</v>
      </c>
      <c r="C1298" s="11" t="s">
        <v>173</v>
      </c>
      <c r="D1298" s="11" t="s">
        <v>68</v>
      </c>
      <c r="E1298" s="12">
        <v>46186.0</v>
      </c>
      <c r="F1298" s="12">
        <v>46219.0</v>
      </c>
      <c r="G1298" s="11" t="s">
        <v>7202</v>
      </c>
      <c r="H1298" s="11">
        <v>8.840021714E9</v>
      </c>
      <c r="I1298" s="11" t="s">
        <v>82</v>
      </c>
      <c r="J1298" s="11" t="s">
        <v>71</v>
      </c>
      <c r="K1298" s="11" t="s">
        <v>72</v>
      </c>
      <c r="L1298" s="11" t="s">
        <v>84</v>
      </c>
      <c r="M1298" s="11" t="s">
        <v>7240</v>
      </c>
      <c r="N1298" s="11" t="s">
        <v>86</v>
      </c>
      <c r="O1298" s="11" t="s">
        <v>71</v>
      </c>
      <c r="P1298" s="11" t="s">
        <v>7241</v>
      </c>
      <c r="Q1298" s="13" t="s">
        <v>7242</v>
      </c>
      <c r="R1298" s="14" t="str">
        <f>HYPERLINK("https://drive.google.com/file/d/1x7ZFPaNMPldFc7BcGzK5rLAdUYoxQzOl/view?usp=drivesdk","OFFER LETTER")</f>
        <v>OFFER LETTER</v>
      </c>
      <c r="S1298" s="11" t="s">
        <v>7243</v>
      </c>
    </row>
    <row r="1299" ht="22.5" customHeight="1">
      <c r="A1299" s="10">
        <v>46263.73207359954</v>
      </c>
      <c r="B1299" s="11" t="s">
        <v>7244</v>
      </c>
      <c r="C1299" s="11" t="s">
        <v>195</v>
      </c>
      <c r="D1299" s="11" t="s">
        <v>68</v>
      </c>
      <c r="E1299" s="12">
        <v>46285.0</v>
      </c>
      <c r="F1299" s="12">
        <v>46315.0</v>
      </c>
      <c r="G1299" s="11" t="s">
        <v>7245</v>
      </c>
      <c r="H1299" s="11">
        <v>8.815358034E9</v>
      </c>
      <c r="I1299" s="11" t="s">
        <v>82</v>
      </c>
      <c r="J1299" s="11" t="s">
        <v>71</v>
      </c>
      <c r="K1299" s="11" t="s">
        <v>72</v>
      </c>
      <c r="L1299" s="11" t="s">
        <v>73</v>
      </c>
      <c r="M1299" s="11" t="s">
        <v>7246</v>
      </c>
      <c r="N1299" s="11" t="s">
        <v>241</v>
      </c>
      <c r="O1299" s="11" t="s">
        <v>71</v>
      </c>
      <c r="P1299" s="11" t="s">
        <v>7247</v>
      </c>
      <c r="Q1299" s="13" t="s">
        <v>7248</v>
      </c>
      <c r="R1299" s="14" t="str">
        <f>HYPERLINK("https://drive.google.com/file/d/1wb0NZOfvKltXxFA087wDj_y6kLEH7xXL/view?usp=drivesdk","OFFER LETTER")</f>
        <v>OFFER LETTER</v>
      </c>
      <c r="S1299" s="11" t="s">
        <v>7249</v>
      </c>
    </row>
    <row r="1300" ht="22.5" customHeight="1">
      <c r="A1300" s="10">
        <v>46263.73348101852</v>
      </c>
      <c r="B1300" s="11" t="s">
        <v>7250</v>
      </c>
      <c r="C1300" s="11" t="s">
        <v>195</v>
      </c>
      <c r="D1300" s="11" t="s">
        <v>68</v>
      </c>
      <c r="E1300" s="12">
        <v>46296.0</v>
      </c>
      <c r="F1300" s="12">
        <v>46327.0</v>
      </c>
      <c r="G1300" s="11" t="s">
        <v>7251</v>
      </c>
      <c r="H1300" s="11">
        <v>8.307976669E9</v>
      </c>
      <c r="I1300" s="11" t="s">
        <v>70</v>
      </c>
      <c r="J1300" s="11" t="s">
        <v>71</v>
      </c>
      <c r="K1300" s="13" t="s">
        <v>674</v>
      </c>
      <c r="L1300" s="11" t="s">
        <v>84</v>
      </c>
      <c r="M1300" s="11" t="s">
        <v>7252</v>
      </c>
      <c r="N1300" s="11" t="s">
        <v>75</v>
      </c>
      <c r="O1300" s="11" t="s">
        <v>71</v>
      </c>
      <c r="P1300" s="11" t="s">
        <v>7253</v>
      </c>
      <c r="Q1300" s="13" t="s">
        <v>7254</v>
      </c>
      <c r="R1300" s="14" t="str">
        <f>HYPERLINK("https://drive.google.com/file/d/13Ws8DwvVl06RgvbE9SE4knRcO1U1Cctg/view?usp=drivesdk","OFFER LETTER")</f>
        <v>OFFER LETTER</v>
      </c>
      <c r="S1300" s="11" t="s">
        <v>7255</v>
      </c>
    </row>
    <row r="1301" ht="22.5" customHeight="1">
      <c r="A1301" s="10">
        <v>46263.73742445602</v>
      </c>
      <c r="B1301" s="11" t="s">
        <v>5897</v>
      </c>
      <c r="C1301" s="11" t="s">
        <v>107</v>
      </c>
      <c r="D1301" s="11" t="s">
        <v>108</v>
      </c>
      <c r="E1301" s="12">
        <v>46259.0</v>
      </c>
      <c r="F1301" s="12">
        <v>46320.0</v>
      </c>
      <c r="G1301" s="11" t="s">
        <v>5898</v>
      </c>
      <c r="H1301" s="11">
        <v>9.87437997E9</v>
      </c>
      <c r="I1301" s="11" t="s">
        <v>70</v>
      </c>
      <c r="K1301" s="11" t="s">
        <v>72</v>
      </c>
      <c r="L1301" s="11" t="s">
        <v>73</v>
      </c>
      <c r="M1301" s="11" t="s">
        <v>7256</v>
      </c>
      <c r="N1301" s="11" t="s">
        <v>226</v>
      </c>
      <c r="O1301" s="11" t="s">
        <v>71</v>
      </c>
      <c r="P1301" s="11" t="s">
        <v>7257</v>
      </c>
      <c r="Q1301" s="13" t="s">
        <v>7258</v>
      </c>
      <c r="R1301" s="14" t="str">
        <f>HYPERLINK("https://drive.google.com/file/d/1zeCwgiyJz_J1udRXbdjD8VdrPOg3Ntq6/view?usp=drivesdk","OFFER LETTER")</f>
        <v>OFFER LETTER</v>
      </c>
      <c r="S1301" s="11" t="s">
        <v>7259</v>
      </c>
    </row>
    <row r="1302" ht="22.5" customHeight="1">
      <c r="A1302" s="10">
        <v>46263.74662291667</v>
      </c>
      <c r="B1302" s="11" t="s">
        <v>7260</v>
      </c>
      <c r="C1302" s="11" t="s">
        <v>128</v>
      </c>
      <c r="D1302" s="11" t="s">
        <v>68</v>
      </c>
      <c r="E1302" s="12">
        <v>46232.0</v>
      </c>
      <c r="F1302" s="12">
        <v>46263.0</v>
      </c>
      <c r="G1302" s="11" t="s">
        <v>7261</v>
      </c>
      <c r="H1302" s="11">
        <v>6.201924794E9</v>
      </c>
      <c r="I1302" s="11" t="s">
        <v>70</v>
      </c>
      <c r="J1302" s="11" t="s">
        <v>71</v>
      </c>
      <c r="K1302" s="11" t="s">
        <v>72</v>
      </c>
      <c r="L1302" s="11" t="s">
        <v>73</v>
      </c>
      <c r="M1302" s="11" t="s">
        <v>7262</v>
      </c>
      <c r="N1302" s="11" t="s">
        <v>86</v>
      </c>
      <c r="O1302" s="11" t="s">
        <v>71</v>
      </c>
      <c r="P1302" s="11" t="s">
        <v>7263</v>
      </c>
      <c r="Q1302" s="13" t="s">
        <v>7264</v>
      </c>
      <c r="R1302" s="14" t="str">
        <f>HYPERLINK("https://drive.google.com/file/d/1OAcaHjw0nDTX7IXdUyS-220XENwY6JCH/view?usp=drivesdk","OFFER LETTER")</f>
        <v>OFFER LETTER</v>
      </c>
      <c r="S1302" s="11" t="s">
        <v>7265</v>
      </c>
    </row>
    <row r="1303" ht="22.5" customHeight="1">
      <c r="A1303" s="10">
        <v>46263.74878927083</v>
      </c>
      <c r="B1303" s="11" t="s">
        <v>6992</v>
      </c>
      <c r="C1303" s="11" t="s">
        <v>259</v>
      </c>
      <c r="D1303" s="11" t="s">
        <v>68</v>
      </c>
      <c r="E1303" s="12">
        <v>46263.0</v>
      </c>
      <c r="F1303" s="12">
        <v>46294.0</v>
      </c>
      <c r="G1303" s="11" t="s">
        <v>6993</v>
      </c>
      <c r="H1303" s="11">
        <v>6.302049459E9</v>
      </c>
      <c r="I1303" s="11" t="s">
        <v>82</v>
      </c>
      <c r="J1303" s="11" t="s">
        <v>71</v>
      </c>
      <c r="K1303" s="11" t="s">
        <v>72</v>
      </c>
      <c r="L1303" s="11" t="s">
        <v>73</v>
      </c>
      <c r="M1303" s="11" t="s">
        <v>6994</v>
      </c>
      <c r="N1303" s="11" t="s">
        <v>241</v>
      </c>
      <c r="O1303" s="11" t="s">
        <v>71</v>
      </c>
      <c r="P1303" s="11" t="s">
        <v>7266</v>
      </c>
      <c r="Q1303" s="13" t="s">
        <v>7267</v>
      </c>
      <c r="R1303" s="14" t="str">
        <f>HYPERLINK("https://drive.google.com/file/d/1bLK-UhEQfaFSHuPqH6NnaxtISOxALkVi/view?usp=drivesdk","OFFER LETTER")</f>
        <v>OFFER LETTER</v>
      </c>
      <c r="S1303" s="11" t="s">
        <v>7268</v>
      </c>
    </row>
    <row r="1304" ht="22.5" customHeight="1">
      <c r="A1304" s="10">
        <v>46263.77241719907</v>
      </c>
      <c r="B1304" s="11" t="s">
        <v>7269</v>
      </c>
      <c r="C1304" s="11" t="s">
        <v>107</v>
      </c>
      <c r="D1304" s="11" t="s">
        <v>68</v>
      </c>
      <c r="E1304" s="12">
        <v>46263.0</v>
      </c>
      <c r="F1304" s="12">
        <v>46294.0</v>
      </c>
      <c r="G1304" s="11" t="s">
        <v>7270</v>
      </c>
      <c r="H1304" s="11">
        <v>7.697171422E9</v>
      </c>
      <c r="I1304" s="11" t="s">
        <v>82</v>
      </c>
      <c r="J1304" s="11" t="s">
        <v>71</v>
      </c>
      <c r="K1304" s="11" t="s">
        <v>72</v>
      </c>
      <c r="L1304" s="11" t="s">
        <v>131</v>
      </c>
      <c r="M1304" s="11" t="s">
        <v>7271</v>
      </c>
      <c r="N1304" s="11" t="s">
        <v>241</v>
      </c>
      <c r="O1304" s="11" t="s">
        <v>71</v>
      </c>
      <c r="P1304" s="11" t="s">
        <v>7272</v>
      </c>
      <c r="Q1304" s="13" t="s">
        <v>7273</v>
      </c>
      <c r="R1304" s="14" t="str">
        <f>HYPERLINK("https://drive.google.com/file/d/1KzIkZJyp9S13s0CDMmo2wzP0TQMNlr8p/view?usp=drivesdk","OFFER LETTER")</f>
        <v>OFFER LETTER</v>
      </c>
      <c r="S1304" s="11" t="s">
        <v>7274</v>
      </c>
    </row>
    <row r="1305" ht="22.5" customHeight="1">
      <c r="A1305" s="10">
        <v>46263.773881354165</v>
      </c>
      <c r="B1305" s="11" t="s">
        <v>7275</v>
      </c>
      <c r="C1305" s="11" t="s">
        <v>237</v>
      </c>
      <c r="D1305" s="11" t="s">
        <v>68</v>
      </c>
      <c r="E1305" s="12">
        <v>46263.0</v>
      </c>
      <c r="F1305" s="12">
        <v>46294.0</v>
      </c>
      <c r="G1305" s="11" t="s">
        <v>7276</v>
      </c>
      <c r="H1305" s="11">
        <v>9.309003447E9</v>
      </c>
      <c r="I1305" s="11" t="s">
        <v>70</v>
      </c>
      <c r="J1305" s="11" t="s">
        <v>71</v>
      </c>
      <c r="K1305" s="11" t="s">
        <v>72</v>
      </c>
      <c r="L1305" s="11" t="s">
        <v>73</v>
      </c>
      <c r="M1305" s="11" t="s">
        <v>7277</v>
      </c>
      <c r="N1305" s="11" t="s">
        <v>75</v>
      </c>
      <c r="O1305" s="11" t="s">
        <v>71</v>
      </c>
      <c r="P1305" s="11" t="s">
        <v>7278</v>
      </c>
      <c r="Q1305" s="13" t="s">
        <v>7279</v>
      </c>
      <c r="R1305" s="14" t="str">
        <f>HYPERLINK("https://drive.google.com/file/d/1lNKvfk_2kue8Aj2f5y32xIN6eebOYEx9/view?usp=drivesdk","OFFER LETTER")</f>
        <v>OFFER LETTER</v>
      </c>
      <c r="S1305" s="11" t="s">
        <v>7280</v>
      </c>
    </row>
    <row r="1306" ht="22.5" customHeight="1">
      <c r="A1306" s="10">
        <v>46263.77740907407</v>
      </c>
      <c r="B1306" s="11" t="s">
        <v>7281</v>
      </c>
      <c r="C1306" s="11" t="s">
        <v>1200</v>
      </c>
      <c r="D1306" s="11" t="s">
        <v>68</v>
      </c>
      <c r="E1306" s="12">
        <v>46204.0</v>
      </c>
      <c r="F1306" s="12">
        <v>46233.0</v>
      </c>
      <c r="G1306" s="11" t="s">
        <v>7282</v>
      </c>
      <c r="H1306" s="11">
        <v>9.315374102E9</v>
      </c>
      <c r="I1306" s="11" t="s">
        <v>82</v>
      </c>
      <c r="J1306" s="11" t="s">
        <v>71</v>
      </c>
      <c r="K1306" s="11" t="s">
        <v>72</v>
      </c>
      <c r="L1306" s="11" t="s">
        <v>84</v>
      </c>
      <c r="M1306" s="11" t="s">
        <v>7283</v>
      </c>
      <c r="N1306" s="11" t="s">
        <v>3319</v>
      </c>
      <c r="O1306" s="11" t="s">
        <v>71</v>
      </c>
      <c r="P1306" s="11" t="s">
        <v>7284</v>
      </c>
      <c r="Q1306" s="13" t="s">
        <v>7285</v>
      </c>
      <c r="R1306" s="14" t="str">
        <f>HYPERLINK("https://drive.google.com/file/d/1mffgwzX51GDUgY-YIDNpq2Q_JKZesXQZ/view?usp=drivesdk","OFFER LETTER")</f>
        <v>OFFER LETTER</v>
      </c>
      <c r="S1306" s="11" t="s">
        <v>7286</v>
      </c>
    </row>
    <row r="1307" ht="22.5" customHeight="1">
      <c r="A1307" s="10">
        <v>46263.77798627315</v>
      </c>
      <c r="B1307" s="11" t="s">
        <v>7287</v>
      </c>
      <c r="C1307" s="11" t="s">
        <v>128</v>
      </c>
      <c r="D1307" s="11" t="s">
        <v>68</v>
      </c>
      <c r="E1307" s="12">
        <v>46177.0</v>
      </c>
      <c r="F1307" s="12">
        <v>46207.0</v>
      </c>
      <c r="G1307" s="11" t="s">
        <v>7288</v>
      </c>
      <c r="H1307" s="11">
        <v>6.397501536E9</v>
      </c>
      <c r="I1307" s="11" t="s">
        <v>82</v>
      </c>
      <c r="J1307" s="11" t="s">
        <v>71</v>
      </c>
      <c r="K1307" s="11" t="s">
        <v>72</v>
      </c>
      <c r="L1307" s="11" t="s">
        <v>84</v>
      </c>
      <c r="M1307" s="11" t="s">
        <v>886</v>
      </c>
      <c r="N1307" s="11" t="s">
        <v>75</v>
      </c>
      <c r="O1307" s="11" t="s">
        <v>71</v>
      </c>
      <c r="P1307" s="11" t="s">
        <v>7289</v>
      </c>
      <c r="Q1307" s="13" t="s">
        <v>7290</v>
      </c>
      <c r="R1307" s="14" t="str">
        <f>HYPERLINK("https://drive.google.com/file/d/11Hmvli9KQR3_vg6ibPohMjO2zGfnfh34/view?usp=drivesdk","OFFER LETTER")</f>
        <v>OFFER LETTER</v>
      </c>
      <c r="S1307" s="11" t="s">
        <v>7291</v>
      </c>
    </row>
    <row r="1308" ht="22.5" customHeight="1">
      <c r="A1308" s="10">
        <v>46263.78228890046</v>
      </c>
      <c r="B1308" s="11" t="s">
        <v>7292</v>
      </c>
      <c r="C1308" s="11" t="s">
        <v>195</v>
      </c>
      <c r="D1308" s="11" t="s">
        <v>68</v>
      </c>
      <c r="E1308" s="12">
        <v>46271.0</v>
      </c>
      <c r="F1308" s="12">
        <v>46301.0</v>
      </c>
      <c r="G1308" s="11" t="s">
        <v>7293</v>
      </c>
      <c r="H1308" s="11">
        <v>9.014835599E9</v>
      </c>
      <c r="I1308" s="11" t="s">
        <v>82</v>
      </c>
      <c r="J1308" s="11" t="s">
        <v>71</v>
      </c>
      <c r="K1308" s="11" t="s">
        <v>72</v>
      </c>
      <c r="L1308" s="11" t="s">
        <v>84</v>
      </c>
      <c r="M1308" s="11" t="s">
        <v>7294</v>
      </c>
      <c r="N1308" s="11" t="s">
        <v>75</v>
      </c>
      <c r="O1308" s="11" t="s">
        <v>71</v>
      </c>
      <c r="P1308" s="11" t="s">
        <v>7295</v>
      </c>
      <c r="Q1308" s="13" t="s">
        <v>7296</v>
      </c>
      <c r="R1308" s="14" t="str">
        <f>HYPERLINK("https://drive.google.com/file/d/1hYSvQmAliHp_ICQTKsNmPeQJAqUYFjBL/view?usp=drivesdk","OFFER LETTER")</f>
        <v>OFFER LETTER</v>
      </c>
      <c r="S1308" s="11" t="s">
        <v>7297</v>
      </c>
    </row>
    <row r="1309" ht="22.5" customHeight="1">
      <c r="A1309" s="10">
        <v>46263.78386041667</v>
      </c>
      <c r="B1309" s="11" t="s">
        <v>7292</v>
      </c>
      <c r="C1309" s="11" t="s">
        <v>195</v>
      </c>
      <c r="D1309" s="11" t="s">
        <v>68</v>
      </c>
      <c r="E1309" s="12">
        <v>46271.0</v>
      </c>
      <c r="F1309" s="12">
        <v>46301.0</v>
      </c>
      <c r="G1309" s="11" t="s">
        <v>7293</v>
      </c>
      <c r="H1309" s="11">
        <v>9.014835599E9</v>
      </c>
      <c r="I1309" s="11" t="s">
        <v>82</v>
      </c>
      <c r="J1309" s="11" t="s">
        <v>71</v>
      </c>
      <c r="K1309" s="11" t="s">
        <v>72</v>
      </c>
      <c r="L1309" s="11" t="s">
        <v>84</v>
      </c>
      <c r="M1309" s="11" t="s">
        <v>7294</v>
      </c>
      <c r="N1309" s="11" t="s">
        <v>75</v>
      </c>
      <c r="O1309" s="11" t="s">
        <v>71</v>
      </c>
      <c r="P1309" s="11" t="s">
        <v>7298</v>
      </c>
      <c r="Q1309" s="13" t="s">
        <v>7299</v>
      </c>
      <c r="R1309" s="14" t="str">
        <f>HYPERLINK("https://drive.google.com/file/d/1d7gK873syallYgKndCEJc5OwbR9FNPBj/view?usp=drivesdk","OFFER LETTER")</f>
        <v>OFFER LETTER</v>
      </c>
      <c r="S1309" s="11" t="s">
        <v>7300</v>
      </c>
    </row>
    <row r="1310" ht="22.5" customHeight="1">
      <c r="A1310" s="10">
        <v>46263.791124745374</v>
      </c>
      <c r="B1310" s="11" t="s">
        <v>7301</v>
      </c>
      <c r="C1310" s="11" t="s">
        <v>91</v>
      </c>
      <c r="D1310" s="11" t="s">
        <v>68</v>
      </c>
      <c r="E1310" s="12">
        <v>46235.0</v>
      </c>
      <c r="F1310" s="12">
        <v>46264.0</v>
      </c>
      <c r="G1310" s="11" t="s">
        <v>7302</v>
      </c>
      <c r="H1310" s="11" t="s">
        <v>7303</v>
      </c>
      <c r="I1310" s="11" t="s">
        <v>70</v>
      </c>
      <c r="J1310" s="11" t="s">
        <v>83</v>
      </c>
      <c r="K1310" s="11" t="s">
        <v>72</v>
      </c>
      <c r="L1310" s="11" t="s">
        <v>84</v>
      </c>
      <c r="M1310" s="11" t="s">
        <v>6005</v>
      </c>
      <c r="N1310" s="11" t="s">
        <v>86</v>
      </c>
      <c r="O1310" s="11" t="s">
        <v>71</v>
      </c>
      <c r="P1310" s="11" t="s">
        <v>7304</v>
      </c>
      <c r="Q1310" s="13" t="s">
        <v>7305</v>
      </c>
      <c r="R1310" s="14" t="str">
        <f>HYPERLINK("https://drive.google.com/file/d/1-e0JjdOJL770i0LUsNVaF_npLbORV2x0/view?usp=drivesdk","OFFER LETTER")</f>
        <v>OFFER LETTER</v>
      </c>
      <c r="S1310" s="11" t="s">
        <v>7306</v>
      </c>
    </row>
    <row r="1311" ht="22.5" customHeight="1">
      <c r="A1311" s="10">
        <v>46263.793817673606</v>
      </c>
      <c r="B1311" s="11" t="s">
        <v>7307</v>
      </c>
      <c r="C1311" s="11" t="s">
        <v>128</v>
      </c>
      <c r="D1311" s="11" t="s">
        <v>68</v>
      </c>
      <c r="E1311" s="12">
        <v>46263.0</v>
      </c>
      <c r="F1311" s="12">
        <v>46293.0</v>
      </c>
      <c r="G1311" s="11" t="s">
        <v>7308</v>
      </c>
      <c r="H1311" s="11">
        <v>7.908073167E9</v>
      </c>
      <c r="I1311" s="11" t="s">
        <v>70</v>
      </c>
      <c r="J1311" s="11" t="s">
        <v>71</v>
      </c>
      <c r="K1311" s="11" t="s">
        <v>72</v>
      </c>
      <c r="L1311" s="11" t="s">
        <v>131</v>
      </c>
      <c r="M1311" s="11" t="s">
        <v>7309</v>
      </c>
      <c r="N1311" s="11" t="s">
        <v>241</v>
      </c>
      <c r="O1311" s="11" t="s">
        <v>71</v>
      </c>
      <c r="P1311" s="11" t="s">
        <v>7310</v>
      </c>
      <c r="Q1311" s="13" t="s">
        <v>7311</v>
      </c>
      <c r="R1311" s="14" t="str">
        <f>HYPERLINK("https://drive.google.com/file/d/14pg0eu80oQDdna5tsI4mlki8XMO5jpcm/view?usp=drivesdk","OFFER LETTER")</f>
        <v>OFFER LETTER</v>
      </c>
      <c r="S1311" s="11" t="s">
        <v>7312</v>
      </c>
    </row>
    <row r="1312" ht="22.5" customHeight="1">
      <c r="A1312" s="10">
        <v>46263.795396817135</v>
      </c>
      <c r="B1312" s="11" t="s">
        <v>7313</v>
      </c>
      <c r="C1312" s="11" t="s">
        <v>173</v>
      </c>
      <c r="D1312" s="11" t="s">
        <v>68</v>
      </c>
      <c r="E1312" s="12">
        <v>46263.0</v>
      </c>
      <c r="F1312" s="12">
        <v>46294.0</v>
      </c>
      <c r="G1312" s="11" t="s">
        <v>7314</v>
      </c>
      <c r="H1312" s="11">
        <v>9.122403864E9</v>
      </c>
      <c r="I1312" s="11" t="s">
        <v>82</v>
      </c>
      <c r="J1312" s="11" t="s">
        <v>71</v>
      </c>
      <c r="K1312" s="11" t="s">
        <v>72</v>
      </c>
      <c r="L1312" s="11" t="s">
        <v>84</v>
      </c>
      <c r="M1312" s="11" t="s">
        <v>301</v>
      </c>
      <c r="N1312" s="11" t="s">
        <v>86</v>
      </c>
      <c r="O1312" s="11" t="s">
        <v>263</v>
      </c>
      <c r="P1312" s="11" t="s">
        <v>7315</v>
      </c>
      <c r="Q1312" s="13" t="s">
        <v>7316</v>
      </c>
      <c r="R1312" s="14" t="str">
        <f>HYPERLINK("https://drive.google.com/file/d/1GvRASb2_KPeaDgHvuuixwxi1w1-95IbP/view?usp=drivesdk","OFFER LETTER")</f>
        <v>OFFER LETTER</v>
      </c>
      <c r="S1312" s="11" t="s">
        <v>7317</v>
      </c>
    </row>
    <row r="1313" ht="22.5" customHeight="1">
      <c r="A1313" s="10">
        <v>46263.797740775466</v>
      </c>
      <c r="B1313" s="11" t="s">
        <v>7318</v>
      </c>
      <c r="C1313" s="11" t="s">
        <v>195</v>
      </c>
      <c r="D1313" s="11" t="s">
        <v>68</v>
      </c>
      <c r="E1313" s="12">
        <v>46235.0</v>
      </c>
      <c r="F1313" s="12">
        <v>46236.0</v>
      </c>
      <c r="G1313" s="11" t="s">
        <v>7319</v>
      </c>
      <c r="H1313" s="11">
        <v>8.354914839E9</v>
      </c>
      <c r="I1313" s="11" t="s">
        <v>82</v>
      </c>
      <c r="J1313" s="11" t="s">
        <v>71</v>
      </c>
      <c r="K1313" s="11" t="s">
        <v>72</v>
      </c>
      <c r="L1313" s="11" t="s">
        <v>73</v>
      </c>
      <c r="M1313" s="11" t="s">
        <v>2535</v>
      </c>
      <c r="N1313" s="11" t="s">
        <v>86</v>
      </c>
      <c r="O1313" s="11" t="s">
        <v>71</v>
      </c>
      <c r="P1313" s="11" t="s">
        <v>7320</v>
      </c>
      <c r="Q1313" s="13" t="s">
        <v>7321</v>
      </c>
      <c r="R1313" s="14" t="str">
        <f>HYPERLINK("https://drive.google.com/file/d/1i74a1ptWzmYjvRtl-51iWfNviNwnrxQb/view?usp=drivesdk","OFFER LETTER")</f>
        <v>OFFER LETTER</v>
      </c>
      <c r="S1313" s="11" t="s">
        <v>7322</v>
      </c>
    </row>
    <row r="1314" ht="22.5" customHeight="1">
      <c r="A1314" s="10">
        <v>46263.802708993055</v>
      </c>
      <c r="B1314" s="11" t="s">
        <v>7323</v>
      </c>
      <c r="C1314" s="11" t="s">
        <v>128</v>
      </c>
      <c r="D1314" s="11" t="s">
        <v>68</v>
      </c>
      <c r="E1314" s="12">
        <v>46200.0</v>
      </c>
      <c r="F1314" s="12">
        <v>46230.0</v>
      </c>
      <c r="G1314" s="11" t="s">
        <v>7324</v>
      </c>
      <c r="H1314" s="11">
        <v>9.760405333E9</v>
      </c>
      <c r="I1314" s="11" t="s">
        <v>82</v>
      </c>
      <c r="J1314" s="11" t="s">
        <v>71</v>
      </c>
      <c r="K1314" s="11" t="s">
        <v>72</v>
      </c>
      <c r="L1314" s="11" t="s">
        <v>84</v>
      </c>
      <c r="M1314" s="11" t="s">
        <v>7325</v>
      </c>
      <c r="N1314" s="11" t="s">
        <v>655</v>
      </c>
      <c r="O1314" s="11" t="s">
        <v>71</v>
      </c>
      <c r="P1314" s="11" t="s">
        <v>7326</v>
      </c>
      <c r="Q1314" s="13" t="s">
        <v>7327</v>
      </c>
      <c r="R1314" s="14" t="str">
        <f>HYPERLINK("https://drive.google.com/file/d/10dnUbiWcbEPQlJzFl7V-gxViqm9zzO_7/view?usp=drivesdk","OFFER LETTER")</f>
        <v>OFFER LETTER</v>
      </c>
      <c r="S1314" s="11" t="s">
        <v>7328</v>
      </c>
    </row>
    <row r="1315" ht="22.5" customHeight="1">
      <c r="A1315" s="10">
        <v>46263.80601695602</v>
      </c>
      <c r="B1315" s="11" t="s">
        <v>7329</v>
      </c>
      <c r="C1315" s="11" t="s">
        <v>195</v>
      </c>
      <c r="D1315" s="11" t="s">
        <v>68</v>
      </c>
      <c r="E1315" s="12">
        <v>46263.0</v>
      </c>
      <c r="F1315" s="12">
        <v>46294.0</v>
      </c>
      <c r="G1315" s="11" t="s">
        <v>7330</v>
      </c>
      <c r="H1315" s="11">
        <v>7.358901403E9</v>
      </c>
      <c r="I1315" s="11" t="s">
        <v>82</v>
      </c>
      <c r="J1315" s="11" t="s">
        <v>83</v>
      </c>
      <c r="K1315" s="11" t="s">
        <v>72</v>
      </c>
      <c r="L1315" s="11" t="s">
        <v>84</v>
      </c>
      <c r="M1315" s="11" t="s">
        <v>7331</v>
      </c>
      <c r="N1315" s="11" t="s">
        <v>75</v>
      </c>
      <c r="O1315" s="11" t="s">
        <v>71</v>
      </c>
      <c r="P1315" s="11" t="s">
        <v>7332</v>
      </c>
      <c r="Q1315" s="13" t="s">
        <v>7333</v>
      </c>
      <c r="R1315" s="14" t="str">
        <f>HYPERLINK("https://drive.google.com/file/d/14diwCwU4YREC-EnNK2cBOSt-4GjTONbV/view?usp=drivesdk","OFFER LETTER")</f>
        <v>OFFER LETTER</v>
      </c>
      <c r="S1315" s="11" t="s">
        <v>7334</v>
      </c>
    </row>
    <row r="1316" ht="22.5" customHeight="1">
      <c r="A1316" s="10">
        <v>46263.80813060185</v>
      </c>
      <c r="B1316" s="11" t="s">
        <v>7335</v>
      </c>
      <c r="C1316" s="11" t="s">
        <v>80</v>
      </c>
      <c r="D1316" s="11" t="s">
        <v>68</v>
      </c>
      <c r="E1316" s="12">
        <v>46244.0</v>
      </c>
      <c r="F1316" s="12">
        <v>46275.0</v>
      </c>
      <c r="G1316" s="11" t="s">
        <v>7336</v>
      </c>
      <c r="H1316" s="11">
        <v>9.606158829E9</v>
      </c>
      <c r="I1316" s="11" t="s">
        <v>82</v>
      </c>
      <c r="J1316" s="11" t="s">
        <v>71</v>
      </c>
      <c r="K1316" s="11" t="s">
        <v>72</v>
      </c>
      <c r="L1316" s="11" t="s">
        <v>73</v>
      </c>
      <c r="M1316" s="11" t="s">
        <v>7337</v>
      </c>
      <c r="N1316" s="11" t="s">
        <v>86</v>
      </c>
      <c r="O1316" s="11" t="s">
        <v>71</v>
      </c>
      <c r="P1316" s="11" t="s">
        <v>7338</v>
      </c>
      <c r="Q1316" s="13" t="s">
        <v>7339</v>
      </c>
      <c r="R1316" s="14" t="str">
        <f>HYPERLINK("https://drive.google.com/file/d/1hojN07629Q4pa9zyqCVOsNQwZfvuEyLY/view?usp=drivesdk","OFFER LETTER")</f>
        <v>OFFER LETTER</v>
      </c>
      <c r="S1316" s="11" t="s">
        <v>7340</v>
      </c>
    </row>
    <row r="1317" ht="22.5" customHeight="1">
      <c r="A1317" s="10">
        <v>46263.8098237963</v>
      </c>
      <c r="B1317" s="11" t="s">
        <v>7341</v>
      </c>
      <c r="C1317" s="11" t="s">
        <v>298</v>
      </c>
      <c r="D1317" s="11" t="s">
        <v>238</v>
      </c>
      <c r="E1317" s="12">
        <v>46160.0</v>
      </c>
      <c r="F1317" s="12">
        <v>46251.0</v>
      </c>
      <c r="G1317" s="11" t="s">
        <v>7342</v>
      </c>
      <c r="H1317" s="11">
        <v>8.126191265E9</v>
      </c>
      <c r="I1317" s="11" t="s">
        <v>82</v>
      </c>
      <c r="J1317" s="11" t="s">
        <v>71</v>
      </c>
      <c r="K1317" s="11" t="s">
        <v>72</v>
      </c>
      <c r="L1317" s="11" t="s">
        <v>131</v>
      </c>
      <c r="M1317" s="11" t="s">
        <v>6910</v>
      </c>
      <c r="N1317" s="11" t="s">
        <v>86</v>
      </c>
      <c r="O1317" s="11" t="s">
        <v>71</v>
      </c>
      <c r="P1317" s="11" t="s">
        <v>7343</v>
      </c>
      <c r="Q1317" s="13" t="s">
        <v>7344</v>
      </c>
      <c r="R1317" s="14" t="str">
        <f>HYPERLINK("https://drive.google.com/file/d/1dNVVEC-6hZxe2Ou8ywl5G4yPEOVWuDOx/view?usp=drivesdk","OFFER LETTER")</f>
        <v>OFFER LETTER</v>
      </c>
      <c r="S1317" s="11" t="s">
        <v>7345</v>
      </c>
    </row>
    <row r="1318" ht="22.5" customHeight="1">
      <c r="A1318" s="10">
        <v>46263.81262372685</v>
      </c>
      <c r="B1318" s="11" t="s">
        <v>7346</v>
      </c>
      <c r="C1318" s="11" t="s">
        <v>195</v>
      </c>
      <c r="D1318" s="11" t="s">
        <v>108</v>
      </c>
      <c r="E1318" s="12">
        <v>46183.0</v>
      </c>
      <c r="F1318" s="12">
        <v>46244.0</v>
      </c>
      <c r="G1318" s="11" t="s">
        <v>7347</v>
      </c>
      <c r="H1318" s="11">
        <v>9.548377942E9</v>
      </c>
      <c r="I1318" s="11" t="s">
        <v>82</v>
      </c>
      <c r="J1318" s="11" t="s">
        <v>71</v>
      </c>
      <c r="K1318" s="11" t="s">
        <v>72</v>
      </c>
      <c r="L1318" s="11" t="s">
        <v>131</v>
      </c>
      <c r="M1318" s="11" t="s">
        <v>493</v>
      </c>
      <c r="N1318" s="11" t="s">
        <v>75</v>
      </c>
      <c r="O1318" s="11" t="s">
        <v>71</v>
      </c>
      <c r="P1318" s="11" t="s">
        <v>7348</v>
      </c>
      <c r="Q1318" s="13" t="s">
        <v>7349</v>
      </c>
      <c r="R1318" s="14" t="str">
        <f>HYPERLINK("https://drive.google.com/file/d/1h6IohC4r0hOh60tnU5XxNhXkfIhSICqt/view?usp=drivesdk","OFFER LETTER")</f>
        <v>OFFER LETTER</v>
      </c>
      <c r="S1318" s="11" t="s">
        <v>7350</v>
      </c>
    </row>
    <row r="1319" ht="22.5" customHeight="1">
      <c r="A1319" s="10">
        <v>46263.81847707176</v>
      </c>
      <c r="B1319" s="11" t="s">
        <v>7351</v>
      </c>
      <c r="C1319" s="11" t="s">
        <v>107</v>
      </c>
      <c r="D1319" s="11" t="s">
        <v>68</v>
      </c>
      <c r="E1319" s="12">
        <v>46263.0</v>
      </c>
      <c r="F1319" s="12">
        <v>46294.0</v>
      </c>
      <c r="G1319" s="11" t="s">
        <v>7352</v>
      </c>
      <c r="H1319" s="11">
        <v>9.703054321E9</v>
      </c>
      <c r="I1319" s="11" t="s">
        <v>70</v>
      </c>
      <c r="J1319" s="11" t="s">
        <v>71</v>
      </c>
      <c r="K1319" s="11" t="s">
        <v>72</v>
      </c>
      <c r="L1319" s="11" t="s">
        <v>73</v>
      </c>
      <c r="M1319" s="11" t="s">
        <v>7353</v>
      </c>
      <c r="N1319" s="11" t="s">
        <v>198</v>
      </c>
      <c r="O1319" s="11" t="s">
        <v>71</v>
      </c>
      <c r="P1319" s="11" t="s">
        <v>7354</v>
      </c>
      <c r="Q1319" s="13" t="s">
        <v>7355</v>
      </c>
      <c r="R1319" s="14" t="str">
        <f>HYPERLINK("https://drive.google.com/file/d/1Vmxt9rjR8kdieezs6B5YSV6VGcnBobIi/view?usp=drivesdk","OFFER LETTER")</f>
        <v>OFFER LETTER</v>
      </c>
      <c r="S1319" s="11" t="s">
        <v>7356</v>
      </c>
    </row>
    <row r="1320" ht="22.5" customHeight="1">
      <c r="A1320" s="10">
        <v>46263.819622511575</v>
      </c>
      <c r="B1320" s="11" t="s">
        <v>7357</v>
      </c>
      <c r="C1320" s="11" t="s">
        <v>173</v>
      </c>
      <c r="D1320" s="11" t="s">
        <v>68</v>
      </c>
      <c r="E1320" s="12">
        <v>46263.0</v>
      </c>
      <c r="F1320" s="12">
        <v>46294.0</v>
      </c>
      <c r="G1320" s="11" t="s">
        <v>7358</v>
      </c>
      <c r="H1320" s="11">
        <v>8.977798655E9</v>
      </c>
      <c r="I1320" s="11" t="s">
        <v>82</v>
      </c>
      <c r="J1320" s="11" t="s">
        <v>71</v>
      </c>
      <c r="K1320" s="11" t="s">
        <v>72</v>
      </c>
      <c r="L1320" s="11" t="s">
        <v>73</v>
      </c>
      <c r="M1320" s="11" t="s">
        <v>7359</v>
      </c>
      <c r="N1320" s="11" t="s">
        <v>86</v>
      </c>
      <c r="O1320" s="11" t="s">
        <v>71</v>
      </c>
      <c r="P1320" s="11" t="s">
        <v>7360</v>
      </c>
      <c r="Q1320" s="13" t="s">
        <v>7361</v>
      </c>
      <c r="R1320" s="14" t="str">
        <f>HYPERLINK("https://drive.google.com/file/d/1qj4fi55tash4ExeNJA8wigbPQ74s6FcJ/view?usp=drivesdk","OFFER LETTER")</f>
        <v>OFFER LETTER</v>
      </c>
      <c r="S1320" s="11" t="s">
        <v>7362</v>
      </c>
    </row>
    <row r="1321" ht="22.5" customHeight="1">
      <c r="A1321" s="10">
        <v>46263.820723530094</v>
      </c>
      <c r="B1321" s="11" t="s">
        <v>7363</v>
      </c>
      <c r="C1321" s="11" t="s">
        <v>259</v>
      </c>
      <c r="D1321" s="11" t="s">
        <v>108</v>
      </c>
      <c r="E1321" s="12">
        <v>46266.0</v>
      </c>
      <c r="F1321" s="12">
        <v>46326.0</v>
      </c>
      <c r="G1321" s="11" t="s">
        <v>7364</v>
      </c>
      <c r="H1321" s="11">
        <v>9.493866075E9</v>
      </c>
      <c r="I1321" s="11" t="s">
        <v>70</v>
      </c>
      <c r="J1321" s="11" t="s">
        <v>71</v>
      </c>
      <c r="K1321" s="11" t="s">
        <v>356</v>
      </c>
      <c r="L1321" s="11" t="s">
        <v>357</v>
      </c>
      <c r="M1321" s="11" t="s">
        <v>419</v>
      </c>
      <c r="N1321" s="11" t="s">
        <v>198</v>
      </c>
      <c r="O1321" s="11" t="s">
        <v>71</v>
      </c>
      <c r="P1321" s="11" t="s">
        <v>7365</v>
      </c>
      <c r="Q1321" s="13" t="s">
        <v>7366</v>
      </c>
      <c r="R1321" s="14" t="str">
        <f>HYPERLINK("https://drive.google.com/file/d/1i6EGbUuopfZXMNiYOCgDDOkl2uCPuDCe/view?usp=drivesdk","OFFER LETTER")</f>
        <v>OFFER LETTER</v>
      </c>
      <c r="S1321" s="11" t="s">
        <v>7367</v>
      </c>
    </row>
    <row r="1322" ht="22.5" customHeight="1">
      <c r="A1322" s="10">
        <v>46263.82183898149</v>
      </c>
      <c r="B1322" s="11" t="s">
        <v>7368</v>
      </c>
      <c r="C1322" s="11" t="s">
        <v>173</v>
      </c>
      <c r="D1322" s="11" t="s">
        <v>108</v>
      </c>
      <c r="E1322" s="12">
        <v>46202.0</v>
      </c>
      <c r="F1322" s="12">
        <v>46263.0</v>
      </c>
      <c r="G1322" s="11" t="s">
        <v>7369</v>
      </c>
      <c r="H1322" s="11">
        <v>8.979391663E9</v>
      </c>
      <c r="I1322" s="11" t="s">
        <v>82</v>
      </c>
      <c r="J1322" s="11" t="s">
        <v>71</v>
      </c>
      <c r="K1322" s="11" t="s">
        <v>72</v>
      </c>
      <c r="L1322" s="11" t="s">
        <v>131</v>
      </c>
      <c r="M1322" s="11" t="s">
        <v>7370</v>
      </c>
      <c r="N1322" s="11" t="s">
        <v>655</v>
      </c>
      <c r="O1322" s="11" t="s">
        <v>71</v>
      </c>
      <c r="P1322" s="11" t="s">
        <v>7371</v>
      </c>
      <c r="Q1322" s="13" t="s">
        <v>7372</v>
      </c>
      <c r="R1322" s="14" t="str">
        <f>HYPERLINK("https://drive.google.com/file/d/1x7Xufn1w_hgKbI1VJxjh4ZoDUPR5v5JQ/view?usp=drivesdk","OFFER LETTER")</f>
        <v>OFFER LETTER</v>
      </c>
      <c r="S1322" s="11" t="s">
        <v>7373</v>
      </c>
    </row>
    <row r="1323" ht="22.5" customHeight="1">
      <c r="A1323" s="10">
        <v>46263.82284260417</v>
      </c>
      <c r="B1323" s="11" t="s">
        <v>7374</v>
      </c>
      <c r="C1323" s="11" t="s">
        <v>596</v>
      </c>
      <c r="D1323" s="11" t="s">
        <v>108</v>
      </c>
      <c r="E1323" s="12">
        <v>46184.0</v>
      </c>
      <c r="F1323" s="12">
        <v>46245.0</v>
      </c>
      <c r="G1323" s="11" t="s">
        <v>7375</v>
      </c>
      <c r="H1323" s="11">
        <v>7.505613641E9</v>
      </c>
      <c r="I1323" s="11" t="s">
        <v>82</v>
      </c>
      <c r="J1323" s="11" t="s">
        <v>71</v>
      </c>
      <c r="K1323" s="11" t="s">
        <v>72</v>
      </c>
      <c r="L1323" s="11" t="s">
        <v>131</v>
      </c>
      <c r="M1323" s="11" t="s">
        <v>7376</v>
      </c>
      <c r="N1323" s="11" t="s">
        <v>86</v>
      </c>
      <c r="O1323" s="11" t="s">
        <v>71</v>
      </c>
      <c r="P1323" s="11" t="s">
        <v>7377</v>
      </c>
      <c r="Q1323" s="13" t="s">
        <v>7378</v>
      </c>
      <c r="R1323" s="14" t="str">
        <f>HYPERLINK("https://drive.google.com/file/d/1a2YshiLl3lMrguzxWvYXiyok7ZF1O1Cq/view?usp=drivesdk","OFFER LETTER")</f>
        <v>OFFER LETTER</v>
      </c>
      <c r="S1323" s="11" t="s">
        <v>7379</v>
      </c>
    </row>
    <row r="1324" ht="22.5" customHeight="1">
      <c r="A1324" s="10">
        <v>46263.829531724536</v>
      </c>
      <c r="B1324" s="11" t="s">
        <v>7380</v>
      </c>
      <c r="C1324" s="11" t="s">
        <v>1320</v>
      </c>
      <c r="D1324" s="11" t="s">
        <v>68</v>
      </c>
      <c r="E1324" s="12">
        <v>46263.0</v>
      </c>
      <c r="F1324" s="12">
        <v>46263.0</v>
      </c>
      <c r="G1324" s="11" t="s">
        <v>7381</v>
      </c>
      <c r="H1324" s="11">
        <v>8.722564277E9</v>
      </c>
      <c r="I1324" s="11" t="s">
        <v>70</v>
      </c>
      <c r="J1324" s="11" t="s">
        <v>71</v>
      </c>
      <c r="K1324" s="11" t="s">
        <v>72</v>
      </c>
      <c r="L1324" s="11" t="s">
        <v>131</v>
      </c>
      <c r="M1324" s="11" t="s">
        <v>7382</v>
      </c>
      <c r="N1324" s="11" t="s">
        <v>75</v>
      </c>
      <c r="O1324" s="11" t="s">
        <v>71</v>
      </c>
      <c r="P1324" s="11" t="s">
        <v>7383</v>
      </c>
      <c r="Q1324" s="13" t="s">
        <v>7384</v>
      </c>
      <c r="R1324" s="14" t="str">
        <f>HYPERLINK("https://drive.google.com/file/d/1jAepuB6YKqXxiZawKEPZQSYY6ab6md7e/view?usp=drivesdk","OFFER LETTER")</f>
        <v>OFFER LETTER</v>
      </c>
      <c r="S1324" s="11" t="s">
        <v>7385</v>
      </c>
    </row>
    <row r="1325" ht="22.5" customHeight="1">
      <c r="A1325" s="10">
        <v>46263.83022451389</v>
      </c>
      <c r="B1325" s="11" t="s">
        <v>3611</v>
      </c>
      <c r="C1325" s="11" t="s">
        <v>128</v>
      </c>
      <c r="D1325" s="11" t="s">
        <v>108</v>
      </c>
      <c r="E1325" s="12">
        <v>46178.0</v>
      </c>
      <c r="F1325" s="12">
        <v>46238.0</v>
      </c>
      <c r="G1325" s="11" t="s">
        <v>7386</v>
      </c>
      <c r="H1325" s="11">
        <v>8.5975424E8</v>
      </c>
      <c r="I1325" s="11" t="s">
        <v>82</v>
      </c>
      <c r="J1325" s="11" t="s">
        <v>71</v>
      </c>
      <c r="K1325" s="11" t="s">
        <v>72</v>
      </c>
      <c r="L1325" s="11" t="s">
        <v>84</v>
      </c>
      <c r="M1325" s="11" t="s">
        <v>886</v>
      </c>
      <c r="N1325" s="11" t="s">
        <v>75</v>
      </c>
      <c r="O1325" s="11" t="s">
        <v>71</v>
      </c>
      <c r="P1325" s="11" t="s">
        <v>7387</v>
      </c>
      <c r="Q1325" s="13" t="s">
        <v>7388</v>
      </c>
      <c r="R1325" s="14" t="str">
        <f>HYPERLINK("https://drive.google.com/file/d/1bRHNKg0sBkVpwCHxF45KX8z5DuuVrQb2/view?usp=drivesdk","OFFER LETTER")</f>
        <v>OFFER LETTER</v>
      </c>
      <c r="S1325" s="11" t="s">
        <v>7389</v>
      </c>
    </row>
    <row r="1326" ht="22.5" customHeight="1">
      <c r="A1326" s="10">
        <v>46263.83035362269</v>
      </c>
      <c r="B1326" s="11" t="s">
        <v>7390</v>
      </c>
      <c r="C1326" s="11" t="s">
        <v>173</v>
      </c>
      <c r="D1326" s="11" t="s">
        <v>68</v>
      </c>
      <c r="E1326" s="12">
        <v>46263.0</v>
      </c>
      <c r="F1326" s="12">
        <v>46295.0</v>
      </c>
      <c r="G1326" s="11" t="s">
        <v>7391</v>
      </c>
      <c r="H1326" s="11">
        <v>7.276679068E9</v>
      </c>
      <c r="I1326" s="11" t="s">
        <v>82</v>
      </c>
      <c r="J1326" s="11" t="s">
        <v>71</v>
      </c>
      <c r="K1326" s="11" t="s">
        <v>110</v>
      </c>
      <c r="L1326" s="11" t="s">
        <v>247</v>
      </c>
      <c r="M1326" s="11" t="s">
        <v>7392</v>
      </c>
      <c r="N1326" s="11" t="s">
        <v>241</v>
      </c>
      <c r="O1326" s="11" t="s">
        <v>71</v>
      </c>
      <c r="P1326" s="11" t="s">
        <v>7393</v>
      </c>
      <c r="Q1326" s="13" t="s">
        <v>7394</v>
      </c>
      <c r="R1326" s="14" t="str">
        <f>HYPERLINK("https://drive.google.com/file/d/1anq9cKHvCV1nC1LV8-CnZ7Df9gh3z-qN/view?usp=drivesdk","OFFER LETTER")</f>
        <v>OFFER LETTER</v>
      </c>
      <c r="S1326" s="11" t="s">
        <v>7395</v>
      </c>
    </row>
    <row r="1327" ht="22.5" customHeight="1">
      <c r="A1327" s="10">
        <v>46263.83301740741</v>
      </c>
      <c r="B1327" s="11" t="s">
        <v>7396</v>
      </c>
      <c r="C1327" s="11" t="s">
        <v>173</v>
      </c>
      <c r="D1327" s="11" t="s">
        <v>68</v>
      </c>
      <c r="E1327" s="12">
        <v>46259.0</v>
      </c>
      <c r="F1327" s="12">
        <v>46259.0</v>
      </c>
      <c r="G1327" s="11" t="s">
        <v>7397</v>
      </c>
      <c r="H1327" s="11">
        <v>9.520534552E9</v>
      </c>
      <c r="I1327" s="11" t="s">
        <v>82</v>
      </c>
      <c r="J1327" s="11" t="s">
        <v>71</v>
      </c>
      <c r="K1327" s="11" t="s">
        <v>72</v>
      </c>
      <c r="L1327" s="11" t="s">
        <v>131</v>
      </c>
      <c r="M1327" s="11" t="s">
        <v>493</v>
      </c>
      <c r="N1327" s="11" t="s">
        <v>86</v>
      </c>
      <c r="O1327" s="11" t="s">
        <v>71</v>
      </c>
      <c r="P1327" s="11" t="s">
        <v>7398</v>
      </c>
      <c r="Q1327" s="13" t="s">
        <v>7399</v>
      </c>
      <c r="R1327" s="14" t="str">
        <f>HYPERLINK("https://drive.google.com/file/d/1b0N1_ZuCfnh3HDBgpRaOSt42-BTRcti5/view?usp=drivesdk","OFFER LETTER")</f>
        <v>OFFER LETTER</v>
      </c>
      <c r="S1327" s="11" t="s">
        <v>7400</v>
      </c>
    </row>
    <row r="1328" ht="22.5" customHeight="1">
      <c r="A1328" s="10">
        <v>46263.834300428236</v>
      </c>
      <c r="B1328" s="11" t="s">
        <v>7401</v>
      </c>
      <c r="C1328" s="11" t="s">
        <v>195</v>
      </c>
      <c r="D1328" s="11" t="s">
        <v>68</v>
      </c>
      <c r="E1328" s="12">
        <v>46232.0</v>
      </c>
      <c r="F1328" s="12">
        <v>46262.0</v>
      </c>
      <c r="G1328" s="11" t="s">
        <v>7402</v>
      </c>
      <c r="H1328" s="17" t="s">
        <v>7403</v>
      </c>
      <c r="I1328" s="11" t="s">
        <v>82</v>
      </c>
      <c r="J1328" s="11" t="s">
        <v>71</v>
      </c>
      <c r="K1328" s="11" t="s">
        <v>72</v>
      </c>
      <c r="L1328" s="11" t="s">
        <v>84</v>
      </c>
      <c r="M1328" s="11" t="s">
        <v>2655</v>
      </c>
      <c r="N1328" s="11" t="s">
        <v>86</v>
      </c>
      <c r="O1328" s="11" t="s">
        <v>71</v>
      </c>
      <c r="P1328" s="11" t="s">
        <v>7404</v>
      </c>
      <c r="Q1328" s="13" t="s">
        <v>7405</v>
      </c>
      <c r="R1328" s="14" t="str">
        <f>HYPERLINK("https://drive.google.com/file/d/1zuhYbqUb3TIVm6eJfrO99oIVOAaO-QKO/view?usp=drivesdk","OFFER LETTER")</f>
        <v>OFFER LETTER</v>
      </c>
      <c r="S1328" s="11" t="s">
        <v>7406</v>
      </c>
    </row>
    <row r="1329" ht="22.5" customHeight="1">
      <c r="A1329" s="10">
        <v>46263.83572834491</v>
      </c>
      <c r="B1329" s="11" t="s">
        <v>7396</v>
      </c>
      <c r="C1329" s="11" t="s">
        <v>173</v>
      </c>
      <c r="D1329" s="11" t="s">
        <v>68</v>
      </c>
      <c r="E1329" s="12">
        <v>46228.0</v>
      </c>
      <c r="F1329" s="12">
        <v>46259.0</v>
      </c>
      <c r="G1329" s="11" t="s">
        <v>7397</v>
      </c>
      <c r="H1329" s="11">
        <v>9.520534552E9</v>
      </c>
      <c r="I1329" s="11" t="s">
        <v>82</v>
      </c>
      <c r="J1329" s="11" t="s">
        <v>83</v>
      </c>
      <c r="K1329" s="11" t="s">
        <v>72</v>
      </c>
      <c r="L1329" s="11" t="s">
        <v>131</v>
      </c>
      <c r="M1329" s="11" t="s">
        <v>493</v>
      </c>
      <c r="N1329" s="11" t="s">
        <v>86</v>
      </c>
      <c r="O1329" s="11" t="s">
        <v>71</v>
      </c>
      <c r="P1329" s="11" t="s">
        <v>7407</v>
      </c>
      <c r="Q1329" s="13" t="s">
        <v>7408</v>
      </c>
      <c r="R1329" s="14" t="str">
        <f>HYPERLINK("https://drive.google.com/file/d/1yildTrEOmrULZm5sfbgu-VAHGz4N-kS_/view?usp=drivesdk","OFFER LETTER")</f>
        <v>OFFER LETTER</v>
      </c>
      <c r="S1329" s="11" t="s">
        <v>7409</v>
      </c>
    </row>
    <row r="1330" ht="22.5" customHeight="1">
      <c r="A1330" s="10">
        <v>46263.83668923611</v>
      </c>
      <c r="B1330" s="11" t="s">
        <v>3629</v>
      </c>
      <c r="C1330" s="11" t="s">
        <v>742</v>
      </c>
      <c r="D1330" s="11" t="s">
        <v>68</v>
      </c>
      <c r="E1330" s="12">
        <v>46177.0</v>
      </c>
      <c r="F1330" s="12">
        <v>46178.0</v>
      </c>
      <c r="G1330" s="11" t="s">
        <v>3612</v>
      </c>
      <c r="H1330" s="11">
        <v>8.59725424E9</v>
      </c>
      <c r="I1330" s="11" t="s">
        <v>82</v>
      </c>
      <c r="J1330" s="11" t="s">
        <v>71</v>
      </c>
      <c r="K1330" s="11" t="s">
        <v>72</v>
      </c>
      <c r="L1330" s="11" t="s">
        <v>84</v>
      </c>
      <c r="M1330" s="11" t="s">
        <v>886</v>
      </c>
      <c r="N1330" s="11" t="s">
        <v>75</v>
      </c>
      <c r="O1330" s="11" t="s">
        <v>130</v>
      </c>
      <c r="P1330" s="11" t="s">
        <v>7410</v>
      </c>
      <c r="Q1330" s="13" t="s">
        <v>7411</v>
      </c>
      <c r="R1330" s="14" t="str">
        <f>HYPERLINK("https://drive.google.com/file/d/1qtz70liA6Pmcm5a2-KLTyS2rkUXDIa66/view?usp=drivesdk","OFFER LETTER")</f>
        <v>OFFER LETTER</v>
      </c>
      <c r="S1330" s="11" t="s">
        <v>7412</v>
      </c>
    </row>
    <row r="1331" ht="22.5" customHeight="1">
      <c r="A1331" s="10">
        <v>46263.84342443287</v>
      </c>
      <c r="B1331" s="11" t="s">
        <v>7413</v>
      </c>
      <c r="C1331" s="11" t="s">
        <v>195</v>
      </c>
      <c r="D1331" s="11" t="s">
        <v>108</v>
      </c>
      <c r="E1331" s="12">
        <v>46193.0</v>
      </c>
      <c r="F1331" s="12">
        <v>46254.0</v>
      </c>
      <c r="G1331" s="11" t="s">
        <v>7414</v>
      </c>
      <c r="H1331" s="11">
        <v>6.395712391E9</v>
      </c>
      <c r="I1331" s="11" t="s">
        <v>70</v>
      </c>
      <c r="J1331" s="11" t="s">
        <v>83</v>
      </c>
      <c r="K1331" s="11" t="s">
        <v>72</v>
      </c>
      <c r="L1331" s="11" t="s">
        <v>131</v>
      </c>
      <c r="M1331" s="11" t="s">
        <v>493</v>
      </c>
      <c r="N1331" s="11" t="s">
        <v>86</v>
      </c>
      <c r="O1331" s="11" t="s">
        <v>71</v>
      </c>
      <c r="P1331" s="11" t="s">
        <v>7415</v>
      </c>
      <c r="Q1331" s="13" t="s">
        <v>7416</v>
      </c>
      <c r="R1331" s="14" t="str">
        <f>HYPERLINK("https://drive.google.com/file/d/1cuBzu1IoFPQ8mZk5Vy0hu9DeAGiIXcmS/view?usp=drivesdk","OFFER LETTER")</f>
        <v>OFFER LETTER</v>
      </c>
      <c r="S1331" s="11" t="s">
        <v>7417</v>
      </c>
    </row>
    <row r="1332" ht="22.5" customHeight="1">
      <c r="A1332" s="10">
        <v>46263.8441331713</v>
      </c>
      <c r="B1332" s="11" t="s">
        <v>7374</v>
      </c>
      <c r="C1332" s="11" t="s">
        <v>195</v>
      </c>
      <c r="D1332" s="11" t="s">
        <v>108</v>
      </c>
      <c r="E1332" s="12">
        <v>46184.0</v>
      </c>
      <c r="F1332" s="12">
        <v>46245.0</v>
      </c>
      <c r="G1332" s="11" t="s">
        <v>7375</v>
      </c>
      <c r="H1332" s="11">
        <v>7.505613641E9</v>
      </c>
      <c r="I1332" s="11" t="s">
        <v>82</v>
      </c>
      <c r="J1332" s="11" t="s">
        <v>71</v>
      </c>
      <c r="K1332" s="11" t="s">
        <v>72</v>
      </c>
      <c r="L1332" s="11" t="s">
        <v>131</v>
      </c>
      <c r="M1332" s="11" t="s">
        <v>7376</v>
      </c>
      <c r="N1332" s="11" t="s">
        <v>86</v>
      </c>
      <c r="O1332" s="11" t="s">
        <v>71</v>
      </c>
      <c r="P1332" s="11" t="s">
        <v>7418</v>
      </c>
      <c r="Q1332" s="13" t="s">
        <v>7419</v>
      </c>
      <c r="R1332" s="14" t="str">
        <f>HYPERLINK("https://drive.google.com/file/d/1gdJhwkyeezj8RhJeM6LyWP9LZ9EKCzKh/view?usp=drivesdk","OFFER LETTER")</f>
        <v>OFFER LETTER</v>
      </c>
      <c r="S1332" s="11" t="s">
        <v>7420</v>
      </c>
    </row>
    <row r="1333" ht="22.5" customHeight="1">
      <c r="A1333" s="10">
        <v>46263.846608321765</v>
      </c>
      <c r="B1333" s="11" t="s">
        <v>6992</v>
      </c>
      <c r="C1333" s="11" t="s">
        <v>259</v>
      </c>
      <c r="D1333" s="11" t="s">
        <v>68</v>
      </c>
      <c r="E1333" s="12">
        <v>46263.0</v>
      </c>
      <c r="F1333" s="12">
        <v>46294.0</v>
      </c>
      <c r="G1333" s="11" t="s">
        <v>6993</v>
      </c>
      <c r="H1333" s="11">
        <v>6.302049459E9</v>
      </c>
      <c r="I1333" s="11" t="s">
        <v>82</v>
      </c>
      <c r="J1333" s="11" t="s">
        <v>71</v>
      </c>
      <c r="K1333" s="11" t="s">
        <v>72</v>
      </c>
      <c r="L1333" s="11" t="s">
        <v>73</v>
      </c>
      <c r="M1333" s="11" t="s">
        <v>6994</v>
      </c>
      <c r="N1333" s="11" t="s">
        <v>241</v>
      </c>
      <c r="O1333" s="11" t="s">
        <v>71</v>
      </c>
      <c r="P1333" s="11" t="s">
        <v>7421</v>
      </c>
      <c r="Q1333" s="13" t="s">
        <v>7422</v>
      </c>
      <c r="R1333" s="14" t="str">
        <f>HYPERLINK("https://drive.google.com/file/d/1dr55ybA67K5eG4bK2rmJH9tCsc7FTCD7/view?usp=drivesdk","OFFER LETTER")</f>
        <v>OFFER LETTER</v>
      </c>
      <c r="S1333" s="11" t="s">
        <v>7423</v>
      </c>
    </row>
    <row r="1334" ht="22.5" customHeight="1">
      <c r="A1334" s="10">
        <v>46263.85003740741</v>
      </c>
      <c r="B1334" s="11" t="s">
        <v>7424</v>
      </c>
      <c r="C1334" s="11" t="s">
        <v>91</v>
      </c>
      <c r="D1334" s="11" t="s">
        <v>68</v>
      </c>
      <c r="E1334" s="12">
        <v>46266.0</v>
      </c>
      <c r="F1334" s="12">
        <v>46295.0</v>
      </c>
      <c r="G1334" s="11" t="s">
        <v>7425</v>
      </c>
      <c r="H1334" s="11">
        <v>8.208482707E9</v>
      </c>
      <c r="I1334" s="11" t="s">
        <v>70</v>
      </c>
      <c r="J1334" s="11" t="s">
        <v>71</v>
      </c>
      <c r="K1334" s="11" t="s">
        <v>110</v>
      </c>
      <c r="L1334" s="11" t="s">
        <v>73</v>
      </c>
      <c r="M1334" s="11" t="s">
        <v>7426</v>
      </c>
      <c r="N1334" s="11" t="s">
        <v>241</v>
      </c>
      <c r="O1334" s="11" t="s">
        <v>71</v>
      </c>
      <c r="P1334" s="11" t="s">
        <v>7427</v>
      </c>
      <c r="Q1334" s="13" t="s">
        <v>7428</v>
      </c>
      <c r="R1334" s="14" t="str">
        <f>HYPERLINK("https://drive.google.com/file/d/1pyuAuAXmTNDPLwEv-Fgs5HHl_n0ZFxOu/view?usp=drivesdk","OFFER LETTER")</f>
        <v>OFFER LETTER</v>
      </c>
      <c r="S1334" s="11" t="s">
        <v>7429</v>
      </c>
    </row>
    <row r="1335" ht="22.5" customHeight="1">
      <c r="A1335" s="10">
        <v>46263.85096239584</v>
      </c>
      <c r="B1335" s="11" t="s">
        <v>7430</v>
      </c>
      <c r="C1335" s="11" t="s">
        <v>107</v>
      </c>
      <c r="D1335" s="11" t="s">
        <v>68</v>
      </c>
      <c r="E1335" s="12">
        <v>46266.0</v>
      </c>
      <c r="F1335" s="12">
        <v>46326.0</v>
      </c>
      <c r="G1335" s="11" t="s">
        <v>7431</v>
      </c>
      <c r="H1335" s="11">
        <v>7.426986646E9</v>
      </c>
      <c r="I1335" s="11" t="s">
        <v>82</v>
      </c>
      <c r="J1335" s="11" t="s">
        <v>130</v>
      </c>
      <c r="K1335" s="11" t="s">
        <v>167</v>
      </c>
      <c r="L1335" s="11" t="s">
        <v>73</v>
      </c>
      <c r="M1335" s="11" t="s">
        <v>7432</v>
      </c>
      <c r="N1335" s="11" t="s">
        <v>241</v>
      </c>
      <c r="O1335" s="11" t="s">
        <v>71</v>
      </c>
      <c r="P1335" s="11" t="s">
        <v>7433</v>
      </c>
      <c r="Q1335" s="13" t="s">
        <v>7434</v>
      </c>
      <c r="R1335" s="14" t="str">
        <f>HYPERLINK("https://drive.google.com/file/d/11MYRO4gVsZqoY6kaS01U_DyrSvUyzUGg/view?usp=drivesdk","OFFER LETTER")</f>
        <v>OFFER LETTER</v>
      </c>
      <c r="S1335" s="11" t="s">
        <v>7435</v>
      </c>
    </row>
    <row r="1336" ht="22.5" customHeight="1">
      <c r="A1336" s="10">
        <v>46263.85134841435</v>
      </c>
      <c r="B1336" s="11" t="s">
        <v>7436</v>
      </c>
      <c r="C1336" s="11" t="s">
        <v>128</v>
      </c>
      <c r="D1336" s="11" t="s">
        <v>68</v>
      </c>
      <c r="E1336" s="12">
        <v>46266.0</v>
      </c>
      <c r="F1336" s="12">
        <v>46295.0</v>
      </c>
      <c r="G1336" s="11" t="s">
        <v>7437</v>
      </c>
      <c r="H1336" s="11">
        <v>8.168901682E9</v>
      </c>
      <c r="I1336" s="11" t="s">
        <v>82</v>
      </c>
      <c r="J1336" s="11" t="s">
        <v>71</v>
      </c>
      <c r="K1336" s="11" t="s">
        <v>72</v>
      </c>
      <c r="L1336" s="11" t="s">
        <v>73</v>
      </c>
      <c r="M1336" s="11" t="s">
        <v>7438</v>
      </c>
      <c r="N1336" s="11" t="s">
        <v>155</v>
      </c>
      <c r="O1336" s="11" t="s">
        <v>71</v>
      </c>
      <c r="P1336" s="11" t="s">
        <v>7439</v>
      </c>
      <c r="Q1336" s="13" t="s">
        <v>7440</v>
      </c>
      <c r="R1336" s="14" t="str">
        <f>HYPERLINK("https://drive.google.com/file/d/1-4U92B45RTzQBK4x-W5ZtEGNlpNkaICN/view?usp=drivesdk","OFFER LETTER")</f>
        <v>OFFER LETTER</v>
      </c>
      <c r="S1336" s="11" t="s">
        <v>7441</v>
      </c>
    </row>
    <row r="1337" ht="22.5" customHeight="1">
      <c r="A1337" s="10">
        <v>46263.85263807871</v>
      </c>
      <c r="B1337" s="11" t="s">
        <v>7442</v>
      </c>
      <c r="C1337" s="11" t="s">
        <v>173</v>
      </c>
      <c r="D1337" s="11" t="s">
        <v>68</v>
      </c>
      <c r="E1337" s="12">
        <v>46263.0</v>
      </c>
      <c r="F1337" s="12">
        <v>46294.0</v>
      </c>
      <c r="G1337" s="11" t="s">
        <v>7443</v>
      </c>
      <c r="H1337" s="11">
        <v>8.328096899E9</v>
      </c>
      <c r="I1337" s="11" t="s">
        <v>82</v>
      </c>
      <c r="J1337" s="11" t="s">
        <v>71</v>
      </c>
      <c r="K1337" s="11" t="s">
        <v>72</v>
      </c>
      <c r="L1337" s="11" t="s">
        <v>73</v>
      </c>
      <c r="M1337" s="11" t="s">
        <v>7444</v>
      </c>
      <c r="N1337" s="11" t="s">
        <v>75</v>
      </c>
      <c r="O1337" s="11" t="s">
        <v>71</v>
      </c>
      <c r="P1337" s="11" t="s">
        <v>7445</v>
      </c>
      <c r="Q1337" s="13" t="s">
        <v>7446</v>
      </c>
      <c r="R1337" s="14" t="str">
        <f>HYPERLINK("https://drive.google.com/file/d/1aQIWa_iElI31Pgeu_1BZ9T1SYah7tql_/view?usp=drivesdk","OFFER LETTER")</f>
        <v>OFFER LETTER</v>
      </c>
      <c r="S1337" s="11" t="s">
        <v>7447</v>
      </c>
    </row>
    <row r="1338" ht="22.5" customHeight="1">
      <c r="A1338" s="10">
        <v>46263.85324747685</v>
      </c>
      <c r="B1338" s="11" t="s">
        <v>7448</v>
      </c>
      <c r="C1338" s="11" t="s">
        <v>298</v>
      </c>
      <c r="D1338" s="11" t="s">
        <v>68</v>
      </c>
      <c r="E1338" s="12">
        <v>46263.0</v>
      </c>
      <c r="F1338" s="12">
        <v>46294.0</v>
      </c>
      <c r="G1338" s="11" t="s">
        <v>7449</v>
      </c>
      <c r="H1338" s="11">
        <v>7.083986229E9</v>
      </c>
      <c r="I1338" s="11" t="s">
        <v>82</v>
      </c>
      <c r="J1338" s="11" t="s">
        <v>71</v>
      </c>
      <c r="K1338" s="11" t="s">
        <v>356</v>
      </c>
      <c r="L1338" s="11" t="s">
        <v>84</v>
      </c>
      <c r="M1338" s="11" t="s">
        <v>7450</v>
      </c>
      <c r="N1338" s="11" t="s">
        <v>75</v>
      </c>
      <c r="O1338" s="11" t="s">
        <v>71</v>
      </c>
      <c r="P1338" s="11" t="s">
        <v>7451</v>
      </c>
      <c r="Q1338" s="13" t="s">
        <v>7452</v>
      </c>
      <c r="R1338" s="14" t="str">
        <f>HYPERLINK("https://drive.google.com/file/d/1oFC7FU3dGOB561Qq8i9P6JfyTRH7tWLZ/view?usp=drivesdk","OFFER LETTER")</f>
        <v>OFFER LETTER</v>
      </c>
      <c r="S1338" s="11" t="s">
        <v>7453</v>
      </c>
    </row>
    <row r="1339" ht="22.5" customHeight="1">
      <c r="A1339" s="10">
        <v>46263.85335263889</v>
      </c>
      <c r="B1339" s="11" t="s">
        <v>3599</v>
      </c>
      <c r="C1339" s="11" t="s">
        <v>259</v>
      </c>
      <c r="D1339" s="11" t="s">
        <v>68</v>
      </c>
      <c r="E1339" s="12">
        <v>46266.0</v>
      </c>
      <c r="F1339" s="12">
        <v>46296.0</v>
      </c>
      <c r="G1339" s="11" t="s">
        <v>3600</v>
      </c>
      <c r="H1339" s="11">
        <v>9.398800106E9</v>
      </c>
      <c r="I1339" s="11" t="s">
        <v>70</v>
      </c>
      <c r="J1339" s="11" t="s">
        <v>71</v>
      </c>
      <c r="K1339" s="11" t="s">
        <v>72</v>
      </c>
      <c r="L1339" s="11" t="s">
        <v>131</v>
      </c>
      <c r="M1339" s="11" t="s">
        <v>7454</v>
      </c>
      <c r="N1339" s="11" t="s">
        <v>630</v>
      </c>
      <c r="O1339" s="11" t="s">
        <v>71</v>
      </c>
      <c r="P1339" s="11" t="s">
        <v>7455</v>
      </c>
      <c r="Q1339" s="13" t="s">
        <v>7456</v>
      </c>
      <c r="R1339" s="14" t="str">
        <f>HYPERLINK("https://drive.google.com/file/d/19DHPcar1zdIXf2VqK6FSCtzW80bMIZ2h/view?usp=drivesdk","OFFER LETTER")</f>
        <v>OFFER LETTER</v>
      </c>
      <c r="S1339" s="11" t="s">
        <v>7457</v>
      </c>
    </row>
    <row r="1340" ht="22.5" customHeight="1">
      <c r="A1340" s="10">
        <v>46263.85490173611</v>
      </c>
      <c r="B1340" s="11" t="s">
        <v>7436</v>
      </c>
      <c r="C1340" s="11" t="s">
        <v>128</v>
      </c>
      <c r="D1340" s="11" t="s">
        <v>68</v>
      </c>
      <c r="E1340" s="12">
        <v>46266.0</v>
      </c>
      <c r="F1340" s="12">
        <v>46295.0</v>
      </c>
      <c r="G1340" s="11" t="s">
        <v>7437</v>
      </c>
      <c r="H1340" s="11">
        <v>8.168901682E9</v>
      </c>
      <c r="I1340" s="11" t="s">
        <v>82</v>
      </c>
      <c r="J1340" s="11" t="s">
        <v>71</v>
      </c>
      <c r="K1340" s="11" t="s">
        <v>72</v>
      </c>
      <c r="L1340" s="11" t="s">
        <v>73</v>
      </c>
      <c r="M1340" s="11" t="s">
        <v>7438</v>
      </c>
      <c r="N1340" s="11" t="s">
        <v>155</v>
      </c>
      <c r="O1340" s="11" t="s">
        <v>71</v>
      </c>
      <c r="P1340" s="11" t="s">
        <v>7458</v>
      </c>
      <c r="Q1340" s="13" t="s">
        <v>7459</v>
      </c>
      <c r="R1340" s="14" t="str">
        <f>HYPERLINK("https://drive.google.com/file/d/1awv3ZJTRlhS4-mvr-EmnxgfrmSNE34Pe/view?usp=drivesdk","OFFER LETTER")</f>
        <v>OFFER LETTER</v>
      </c>
      <c r="S1340" s="11" t="s">
        <v>7460</v>
      </c>
    </row>
    <row r="1341" ht="22.5" customHeight="1">
      <c r="A1341" s="10">
        <v>46263.8553591088</v>
      </c>
      <c r="B1341" s="11" t="s">
        <v>7461</v>
      </c>
      <c r="C1341" s="11" t="s">
        <v>80</v>
      </c>
      <c r="D1341" s="11" t="s">
        <v>68</v>
      </c>
      <c r="E1341" s="12">
        <v>46235.0</v>
      </c>
      <c r="F1341" s="12">
        <v>46265.0</v>
      </c>
      <c r="G1341" s="11" t="s">
        <v>7462</v>
      </c>
      <c r="H1341" s="11">
        <v>8.072504171E9</v>
      </c>
      <c r="I1341" s="11" t="s">
        <v>82</v>
      </c>
      <c r="J1341" s="11" t="s">
        <v>71</v>
      </c>
      <c r="K1341" s="11" t="s">
        <v>72</v>
      </c>
      <c r="L1341" s="11" t="s">
        <v>84</v>
      </c>
      <c r="M1341" s="11" t="s">
        <v>7463</v>
      </c>
      <c r="N1341" s="11" t="s">
        <v>2736</v>
      </c>
      <c r="O1341" s="11" t="s">
        <v>71</v>
      </c>
      <c r="P1341" s="11" t="s">
        <v>7464</v>
      </c>
      <c r="Q1341" s="13" t="s">
        <v>7465</v>
      </c>
      <c r="R1341" s="14" t="str">
        <f>HYPERLINK("https://drive.google.com/file/d/14L0-TCpxRtFPG77DRym1oqh8PgHzr1cG/view?usp=drivesdk","OFFER LETTER")</f>
        <v>OFFER LETTER</v>
      </c>
      <c r="S1341" s="11" t="s">
        <v>7466</v>
      </c>
    </row>
    <row r="1342" ht="22.5" customHeight="1">
      <c r="A1342" s="10">
        <v>46263.855818449076</v>
      </c>
      <c r="B1342" s="11" t="s">
        <v>7467</v>
      </c>
      <c r="C1342" s="11" t="s">
        <v>67</v>
      </c>
      <c r="D1342" s="11" t="s">
        <v>108</v>
      </c>
      <c r="E1342" s="12">
        <v>46158.0</v>
      </c>
      <c r="F1342" s="12">
        <v>46220.0</v>
      </c>
      <c r="G1342" s="11" t="s">
        <v>7468</v>
      </c>
      <c r="H1342" s="11">
        <v>9.849201194E9</v>
      </c>
      <c r="I1342" s="11" t="s">
        <v>82</v>
      </c>
      <c r="J1342" s="11" t="s">
        <v>71</v>
      </c>
      <c r="K1342" s="11" t="s">
        <v>72</v>
      </c>
      <c r="L1342" s="11" t="s">
        <v>131</v>
      </c>
      <c r="M1342" s="11" t="s">
        <v>7469</v>
      </c>
      <c r="N1342" s="11" t="s">
        <v>75</v>
      </c>
      <c r="O1342" s="11" t="s">
        <v>71</v>
      </c>
      <c r="P1342" s="11" t="s">
        <v>7470</v>
      </c>
      <c r="Q1342" s="13" t="s">
        <v>7471</v>
      </c>
      <c r="R1342" s="14" t="str">
        <f>HYPERLINK("https://drive.google.com/file/d/1B1eBvSUlaw5SVpV906FsgCF0QAlib6D1/view?usp=drivesdk","OFFER LETTER")</f>
        <v>OFFER LETTER</v>
      </c>
      <c r="S1342" s="11" t="s">
        <v>7472</v>
      </c>
    </row>
    <row r="1343" ht="22.5" customHeight="1">
      <c r="A1343" s="10">
        <v>46263.85624641203</v>
      </c>
      <c r="B1343" s="11" t="s">
        <v>7473</v>
      </c>
      <c r="C1343" s="11" t="s">
        <v>195</v>
      </c>
      <c r="D1343" s="11" t="s">
        <v>108</v>
      </c>
      <c r="E1343" s="12">
        <v>46266.0</v>
      </c>
      <c r="F1343" s="12">
        <v>46326.0</v>
      </c>
      <c r="G1343" s="11" t="s">
        <v>7474</v>
      </c>
      <c r="H1343" s="11">
        <v>7.275020999E9</v>
      </c>
      <c r="I1343" s="11" t="s">
        <v>70</v>
      </c>
      <c r="J1343" s="11" t="s">
        <v>71</v>
      </c>
      <c r="K1343" s="11" t="s">
        <v>72</v>
      </c>
      <c r="L1343" s="11" t="s">
        <v>247</v>
      </c>
      <c r="M1343" s="11" t="s">
        <v>7475</v>
      </c>
      <c r="N1343" s="11" t="s">
        <v>241</v>
      </c>
      <c r="O1343" s="11" t="s">
        <v>71</v>
      </c>
      <c r="P1343" s="11" t="s">
        <v>7476</v>
      </c>
      <c r="Q1343" s="13" t="s">
        <v>7477</v>
      </c>
      <c r="R1343" s="14" t="str">
        <f>HYPERLINK("https://drive.google.com/file/d/1QqVf8SgGJp7pQVCcSau2gMv8ucM1b-rF/view?usp=drivesdk","OFFER LETTER")</f>
        <v>OFFER LETTER</v>
      </c>
      <c r="S1343" s="11" t="s">
        <v>7478</v>
      </c>
    </row>
    <row r="1344" ht="22.5" customHeight="1">
      <c r="A1344" s="10">
        <v>46263.85687555556</v>
      </c>
      <c r="B1344" s="11" t="s">
        <v>7479</v>
      </c>
      <c r="C1344" s="11" t="s">
        <v>259</v>
      </c>
      <c r="D1344" s="11" t="s">
        <v>68</v>
      </c>
      <c r="E1344" s="12">
        <v>46264.0</v>
      </c>
      <c r="F1344" s="12">
        <v>46295.0</v>
      </c>
      <c r="G1344" s="11" t="s">
        <v>7480</v>
      </c>
      <c r="H1344" s="11">
        <v>8.125513135E9</v>
      </c>
      <c r="I1344" s="11" t="s">
        <v>82</v>
      </c>
      <c r="J1344" s="11" t="s">
        <v>71</v>
      </c>
      <c r="K1344" s="11" t="s">
        <v>72</v>
      </c>
      <c r="L1344" s="11" t="s">
        <v>131</v>
      </c>
      <c r="M1344" s="11" t="s">
        <v>7481</v>
      </c>
      <c r="N1344" s="11" t="s">
        <v>75</v>
      </c>
      <c r="O1344" s="11" t="s">
        <v>71</v>
      </c>
      <c r="P1344" s="11" t="s">
        <v>7482</v>
      </c>
      <c r="Q1344" s="13" t="s">
        <v>7483</v>
      </c>
      <c r="R1344" s="14" t="str">
        <f>HYPERLINK("https://drive.google.com/file/d/1Ybp2aQQ2L8rEXFWw5X_rAy4uWbtWDX6n/view?usp=drivesdk","OFFER LETTER")</f>
        <v>OFFER LETTER</v>
      </c>
      <c r="S1344" s="11" t="s">
        <v>7484</v>
      </c>
    </row>
    <row r="1345" ht="22.5" customHeight="1">
      <c r="A1345" s="10">
        <v>46263.8579490625</v>
      </c>
      <c r="B1345" s="11" t="s">
        <v>7485</v>
      </c>
      <c r="C1345" s="11" t="s">
        <v>173</v>
      </c>
      <c r="D1345" s="11" t="s">
        <v>68</v>
      </c>
      <c r="E1345" s="12">
        <v>46266.0</v>
      </c>
      <c r="F1345" s="12">
        <v>46295.0</v>
      </c>
      <c r="G1345" s="11" t="s">
        <v>7486</v>
      </c>
      <c r="H1345" s="11">
        <v>9.334751661E9</v>
      </c>
      <c r="I1345" s="11" t="s">
        <v>82</v>
      </c>
      <c r="J1345" s="11" t="s">
        <v>71</v>
      </c>
      <c r="K1345" s="11" t="s">
        <v>72</v>
      </c>
      <c r="L1345" s="11" t="s">
        <v>247</v>
      </c>
      <c r="M1345" s="11" t="s">
        <v>7487</v>
      </c>
      <c r="N1345" s="11" t="s">
        <v>75</v>
      </c>
      <c r="O1345" s="11" t="s">
        <v>71</v>
      </c>
      <c r="P1345" s="11" t="s">
        <v>7488</v>
      </c>
      <c r="Q1345" s="13" t="s">
        <v>7489</v>
      </c>
      <c r="R1345" s="14" t="str">
        <f>HYPERLINK("https://drive.google.com/file/d/1BIIFNUQc1v6F1SQAdszvoSvVQyO7ffNT/view?usp=drivesdk","OFFER LETTER")</f>
        <v>OFFER LETTER</v>
      </c>
      <c r="S1345" s="11" t="s">
        <v>7490</v>
      </c>
    </row>
    <row r="1346" ht="22.5" customHeight="1">
      <c r="A1346" s="10">
        <v>46263.85869987268</v>
      </c>
      <c r="B1346" s="11" t="s">
        <v>7491</v>
      </c>
      <c r="C1346" s="11" t="s">
        <v>195</v>
      </c>
      <c r="D1346" s="11" t="s">
        <v>68</v>
      </c>
      <c r="E1346" s="12">
        <v>46174.0</v>
      </c>
      <c r="F1346" s="12">
        <v>46235.0</v>
      </c>
      <c r="G1346" s="11" t="s">
        <v>7492</v>
      </c>
      <c r="H1346" s="11">
        <v>9.695305266E9</v>
      </c>
      <c r="I1346" s="11" t="s">
        <v>82</v>
      </c>
      <c r="J1346" s="11" t="s">
        <v>71</v>
      </c>
      <c r="K1346" s="11" t="s">
        <v>72</v>
      </c>
      <c r="L1346" s="11" t="s">
        <v>73</v>
      </c>
      <c r="M1346" s="11" t="s">
        <v>886</v>
      </c>
      <c r="N1346" s="11" t="s">
        <v>86</v>
      </c>
      <c r="O1346" s="11" t="s">
        <v>71</v>
      </c>
      <c r="P1346" s="11" t="s">
        <v>7493</v>
      </c>
      <c r="Q1346" s="13" t="s">
        <v>7494</v>
      </c>
      <c r="R1346" s="14" t="str">
        <f>HYPERLINK("https://drive.google.com/file/d/1NzX3rddkUv8FShdrf9gwi_TtmV4GKaAT/view?usp=drivesdk","OFFER LETTER")</f>
        <v>OFFER LETTER</v>
      </c>
      <c r="S1346" s="11" t="s">
        <v>7495</v>
      </c>
    </row>
    <row r="1347" ht="22.5" customHeight="1">
      <c r="A1347" s="10">
        <v>46263.85920520833</v>
      </c>
      <c r="B1347" s="11" t="s">
        <v>2775</v>
      </c>
      <c r="C1347" s="11" t="s">
        <v>2591</v>
      </c>
      <c r="D1347" s="11" t="s">
        <v>108</v>
      </c>
      <c r="E1347" s="12">
        <v>46263.0</v>
      </c>
      <c r="F1347" s="12">
        <v>46324.0</v>
      </c>
      <c r="G1347" s="11" t="s">
        <v>7496</v>
      </c>
      <c r="H1347" s="11">
        <v>6.207061923E9</v>
      </c>
      <c r="I1347" s="11" t="s">
        <v>82</v>
      </c>
      <c r="J1347" s="11" t="s">
        <v>71</v>
      </c>
      <c r="K1347" s="11" t="s">
        <v>72</v>
      </c>
      <c r="L1347" s="11" t="s">
        <v>131</v>
      </c>
      <c r="M1347" s="11" t="s">
        <v>7497</v>
      </c>
      <c r="N1347" s="11" t="s">
        <v>7498</v>
      </c>
      <c r="O1347" s="11" t="s">
        <v>71</v>
      </c>
      <c r="P1347" s="11" t="s">
        <v>7499</v>
      </c>
      <c r="Q1347" s="13" t="s">
        <v>7500</v>
      </c>
      <c r="R1347" s="14" t="str">
        <f>HYPERLINK("https://drive.google.com/file/d/1gALEQfJz6xn-hXieuGLc3xeJmTKsqRJ8/view?usp=drivesdk","OFFER LETTER")</f>
        <v>OFFER LETTER</v>
      </c>
      <c r="S1347" s="11" t="s">
        <v>7501</v>
      </c>
    </row>
    <row r="1348" ht="22.5" customHeight="1">
      <c r="A1348" s="10">
        <v>46263.85932481481</v>
      </c>
      <c r="B1348" s="11" t="s">
        <v>7502</v>
      </c>
      <c r="C1348" s="11" t="s">
        <v>195</v>
      </c>
      <c r="D1348" s="11" t="s">
        <v>68</v>
      </c>
      <c r="E1348" s="12">
        <v>46266.0</v>
      </c>
      <c r="F1348" s="12">
        <v>46295.0</v>
      </c>
      <c r="G1348" s="11" t="s">
        <v>7503</v>
      </c>
      <c r="H1348" s="11">
        <v>8.092426983E9</v>
      </c>
      <c r="I1348" s="11" t="s">
        <v>82</v>
      </c>
      <c r="J1348" s="11" t="s">
        <v>83</v>
      </c>
      <c r="K1348" s="11" t="s">
        <v>110</v>
      </c>
      <c r="L1348" s="11" t="s">
        <v>73</v>
      </c>
      <c r="M1348" s="11" t="s">
        <v>7504</v>
      </c>
      <c r="N1348" s="11" t="s">
        <v>241</v>
      </c>
      <c r="O1348" s="11" t="s">
        <v>71</v>
      </c>
      <c r="P1348" s="11" t="s">
        <v>7505</v>
      </c>
      <c r="Q1348" s="13" t="s">
        <v>7506</v>
      </c>
      <c r="R1348" s="14" t="str">
        <f>HYPERLINK("https://drive.google.com/file/d/1N-vIBElusorVne8MkQ7jxH0O5IdNrAgu/view?usp=drivesdk","OFFER LETTER")</f>
        <v>OFFER LETTER</v>
      </c>
      <c r="S1348" s="11" t="s">
        <v>7507</v>
      </c>
    </row>
    <row r="1349" ht="22.5" customHeight="1">
      <c r="A1349" s="10">
        <v>46263.860179386575</v>
      </c>
      <c r="B1349" s="11" t="s">
        <v>7508</v>
      </c>
      <c r="C1349" s="11" t="s">
        <v>195</v>
      </c>
      <c r="D1349" s="11" t="s">
        <v>68</v>
      </c>
      <c r="E1349" s="12">
        <v>46266.0</v>
      </c>
      <c r="F1349" s="12">
        <v>46295.0</v>
      </c>
      <c r="G1349" s="11" t="s">
        <v>7509</v>
      </c>
      <c r="H1349" s="11">
        <v>9.677430812E9</v>
      </c>
      <c r="I1349" s="11" t="s">
        <v>82</v>
      </c>
      <c r="J1349" s="11" t="s">
        <v>130</v>
      </c>
      <c r="K1349" s="11" t="s">
        <v>72</v>
      </c>
      <c r="L1349" s="11" t="s">
        <v>131</v>
      </c>
      <c r="M1349" s="11" t="s">
        <v>7510</v>
      </c>
      <c r="N1349" s="11" t="s">
        <v>86</v>
      </c>
      <c r="O1349" s="11" t="s">
        <v>71</v>
      </c>
      <c r="P1349" s="11" t="s">
        <v>7511</v>
      </c>
      <c r="Q1349" s="13" t="s">
        <v>7512</v>
      </c>
      <c r="R1349" s="14" t="str">
        <f>HYPERLINK("https://drive.google.com/file/d/1U8f_rzAjT2jAM1Ec6E8Aag-5icjr-Nxs/view?usp=drivesdk","OFFER LETTER")</f>
        <v>OFFER LETTER</v>
      </c>
      <c r="S1349" s="11" t="s">
        <v>7513</v>
      </c>
    </row>
    <row r="1350" ht="22.5" customHeight="1">
      <c r="A1350" s="10">
        <v>46263.8650340625</v>
      </c>
      <c r="B1350" s="11" t="s">
        <v>7514</v>
      </c>
      <c r="C1350" s="11" t="s">
        <v>80</v>
      </c>
      <c r="D1350" s="11" t="s">
        <v>68</v>
      </c>
      <c r="E1350" s="12">
        <v>46266.0</v>
      </c>
      <c r="F1350" s="12">
        <v>46296.0</v>
      </c>
      <c r="G1350" s="11" t="s">
        <v>7515</v>
      </c>
      <c r="H1350" s="11">
        <v>9.573912244E9</v>
      </c>
      <c r="I1350" s="11" t="s">
        <v>70</v>
      </c>
      <c r="K1350" s="11" t="s">
        <v>72</v>
      </c>
      <c r="L1350" s="11" t="s">
        <v>73</v>
      </c>
      <c r="M1350" s="11" t="s">
        <v>7516</v>
      </c>
      <c r="N1350" s="11" t="s">
        <v>75</v>
      </c>
      <c r="O1350" s="11" t="s">
        <v>71</v>
      </c>
      <c r="P1350" s="11" t="s">
        <v>7517</v>
      </c>
      <c r="Q1350" s="13" t="s">
        <v>7518</v>
      </c>
      <c r="R1350" s="14" t="str">
        <f>HYPERLINK("https://drive.google.com/file/d/1dd6x0g3FURGINo8IE1qbtE4fT5pOvy5j/view?usp=drivesdk","OFFER LETTER")</f>
        <v>OFFER LETTER</v>
      </c>
      <c r="S1350" s="11" t="s">
        <v>7519</v>
      </c>
    </row>
    <row r="1351" ht="22.5" customHeight="1">
      <c r="A1351" s="10">
        <v>46263.86585376157</v>
      </c>
      <c r="B1351" s="11" t="s">
        <v>7520</v>
      </c>
      <c r="C1351" s="11" t="s">
        <v>298</v>
      </c>
      <c r="D1351" s="11" t="s">
        <v>68</v>
      </c>
      <c r="E1351" s="12">
        <v>46263.0</v>
      </c>
      <c r="F1351" s="12">
        <v>46294.0</v>
      </c>
      <c r="G1351" s="11" t="s">
        <v>7521</v>
      </c>
      <c r="H1351" s="11">
        <v>8.610765459E9</v>
      </c>
      <c r="I1351" s="11" t="s">
        <v>70</v>
      </c>
      <c r="J1351" s="11" t="s">
        <v>71</v>
      </c>
      <c r="K1351" s="11" t="s">
        <v>110</v>
      </c>
      <c r="L1351" s="11" t="s">
        <v>73</v>
      </c>
      <c r="M1351" s="11" t="s">
        <v>7522</v>
      </c>
      <c r="N1351" s="11" t="s">
        <v>241</v>
      </c>
      <c r="O1351" s="11" t="s">
        <v>71</v>
      </c>
      <c r="P1351" s="11" t="s">
        <v>7523</v>
      </c>
      <c r="Q1351" s="13" t="s">
        <v>7524</v>
      </c>
      <c r="R1351" s="14" t="str">
        <f>HYPERLINK("https://drive.google.com/file/d/1HiafGUW9q3E4CJDpb6GOPu61enIYT2BD/view?usp=drivesdk","OFFER LETTER")</f>
        <v>OFFER LETTER</v>
      </c>
      <c r="S1351" s="11" t="s">
        <v>7525</v>
      </c>
    </row>
    <row r="1352" ht="22.5" customHeight="1">
      <c r="A1352" s="10">
        <v>46263.869595752316</v>
      </c>
      <c r="B1352" s="11" t="s">
        <v>7526</v>
      </c>
      <c r="C1352" s="11" t="s">
        <v>91</v>
      </c>
      <c r="D1352" s="11" t="s">
        <v>108</v>
      </c>
      <c r="E1352" s="12">
        <v>46266.0</v>
      </c>
      <c r="F1352" s="12">
        <v>46327.0</v>
      </c>
      <c r="G1352" s="11" t="s">
        <v>7527</v>
      </c>
      <c r="H1352" s="11">
        <v>9.39251657E9</v>
      </c>
      <c r="I1352" s="11" t="s">
        <v>82</v>
      </c>
      <c r="J1352" s="11" t="s">
        <v>71</v>
      </c>
      <c r="K1352" s="11" t="s">
        <v>72</v>
      </c>
      <c r="L1352" s="11" t="s">
        <v>131</v>
      </c>
      <c r="M1352" s="11" t="s">
        <v>3857</v>
      </c>
      <c r="N1352" s="11" t="s">
        <v>241</v>
      </c>
      <c r="O1352" s="11" t="s">
        <v>71</v>
      </c>
      <c r="P1352" s="11" t="s">
        <v>7528</v>
      </c>
      <c r="Q1352" s="13" t="s">
        <v>7529</v>
      </c>
      <c r="R1352" s="14" t="str">
        <f>HYPERLINK("https://drive.google.com/file/d/1yH9Z2c1E2o42nULkoiJWhtAyMjE5dCjw/view?usp=drivesdk","OFFER LETTER")</f>
        <v>OFFER LETTER</v>
      </c>
      <c r="S1352" s="11" t="s">
        <v>7530</v>
      </c>
    </row>
    <row r="1353" ht="22.5" customHeight="1">
      <c r="A1353" s="10">
        <v>46263.86968671296</v>
      </c>
      <c r="B1353" s="11" t="s">
        <v>7531</v>
      </c>
      <c r="C1353" s="11" t="s">
        <v>80</v>
      </c>
      <c r="D1353" s="11" t="s">
        <v>68</v>
      </c>
      <c r="E1353" s="12">
        <v>46266.0</v>
      </c>
      <c r="F1353" s="12">
        <v>46296.0</v>
      </c>
      <c r="G1353" s="11" t="s">
        <v>7515</v>
      </c>
      <c r="H1353" s="11">
        <v>9.573912244E9</v>
      </c>
      <c r="I1353" s="11" t="s">
        <v>70</v>
      </c>
      <c r="J1353" s="11" t="s">
        <v>83</v>
      </c>
      <c r="K1353" s="11" t="s">
        <v>72</v>
      </c>
      <c r="L1353" s="11" t="s">
        <v>73</v>
      </c>
      <c r="M1353" s="11" t="s">
        <v>7516</v>
      </c>
      <c r="N1353" s="11" t="s">
        <v>75</v>
      </c>
      <c r="O1353" s="11" t="s">
        <v>71</v>
      </c>
      <c r="P1353" s="11" t="s">
        <v>7532</v>
      </c>
      <c r="Q1353" s="13" t="s">
        <v>7533</v>
      </c>
      <c r="R1353" s="14" t="str">
        <f>HYPERLINK("https://drive.google.com/file/d/1jg8NLKHIxCh-3g6KrrZVjs7zvcnAYT9F/view?usp=drivesdk","OFFER LETTER")</f>
        <v>OFFER LETTER</v>
      </c>
      <c r="S1353" s="11" t="s">
        <v>7534</v>
      </c>
    </row>
    <row r="1354" ht="22.5" customHeight="1">
      <c r="A1354" s="10">
        <v>46263.87194793981</v>
      </c>
      <c r="B1354" s="11" t="s">
        <v>7535</v>
      </c>
      <c r="C1354" s="11" t="s">
        <v>195</v>
      </c>
      <c r="D1354" s="11" t="s">
        <v>68</v>
      </c>
      <c r="E1354" s="12">
        <v>46263.0</v>
      </c>
      <c r="F1354" s="12">
        <v>46294.0</v>
      </c>
      <c r="G1354" s="11" t="s">
        <v>7536</v>
      </c>
      <c r="H1354" s="11">
        <v>9.597734081E9</v>
      </c>
      <c r="I1354" s="11" t="s">
        <v>82</v>
      </c>
      <c r="J1354" s="11" t="s">
        <v>71</v>
      </c>
      <c r="K1354" s="11" t="s">
        <v>72</v>
      </c>
      <c r="L1354" s="11" t="s">
        <v>73</v>
      </c>
      <c r="M1354" s="11" t="s">
        <v>7537</v>
      </c>
      <c r="N1354" s="11" t="s">
        <v>241</v>
      </c>
      <c r="O1354" s="11" t="s">
        <v>71</v>
      </c>
      <c r="P1354" s="11" t="s">
        <v>7538</v>
      </c>
      <c r="Q1354" s="13" t="s">
        <v>7539</v>
      </c>
      <c r="R1354" s="14" t="str">
        <f>HYPERLINK("https://drive.google.com/file/d/1gGUKr7EuPQtUKoyBYsbpxAvwpGT3I0CK/view?usp=drivesdk","OFFER LETTER")</f>
        <v>OFFER LETTER</v>
      </c>
      <c r="S1354" s="11" t="s">
        <v>7540</v>
      </c>
    </row>
    <row r="1355" ht="22.5" customHeight="1">
      <c r="A1355" s="10">
        <v>46263.872235393515</v>
      </c>
      <c r="B1355" s="11" t="s">
        <v>7541</v>
      </c>
      <c r="C1355" s="11" t="s">
        <v>128</v>
      </c>
      <c r="D1355" s="11" t="s">
        <v>68</v>
      </c>
      <c r="E1355" s="12">
        <v>46213.0</v>
      </c>
      <c r="F1355" s="12">
        <v>46244.0</v>
      </c>
      <c r="G1355" s="11" t="s">
        <v>7542</v>
      </c>
      <c r="H1355" s="11">
        <v>9.36801306E9</v>
      </c>
      <c r="I1355" s="11" t="s">
        <v>82</v>
      </c>
      <c r="J1355" s="11" t="s">
        <v>130</v>
      </c>
      <c r="K1355" s="11" t="s">
        <v>72</v>
      </c>
      <c r="L1355" s="11" t="s">
        <v>84</v>
      </c>
      <c r="M1355" s="11" t="s">
        <v>7543</v>
      </c>
      <c r="N1355" s="11" t="s">
        <v>86</v>
      </c>
      <c r="O1355" s="11" t="s">
        <v>71</v>
      </c>
      <c r="P1355" s="11" t="s">
        <v>7544</v>
      </c>
      <c r="Q1355" s="13" t="s">
        <v>7545</v>
      </c>
      <c r="R1355" s="14" t="str">
        <f>HYPERLINK("https://drive.google.com/file/d/1buBSNzVMgLpIQoZwmqjssRL7O-vU77Fx/view?usp=drivesdk","OFFER LETTER")</f>
        <v>OFFER LETTER</v>
      </c>
      <c r="S1355" s="11" t="s">
        <v>7546</v>
      </c>
    </row>
    <row r="1356" ht="22.5" customHeight="1">
      <c r="A1356" s="10">
        <v>46263.87324065973</v>
      </c>
      <c r="B1356" s="11" t="s">
        <v>7547</v>
      </c>
      <c r="C1356" s="11" t="s">
        <v>173</v>
      </c>
      <c r="D1356" s="11" t="s">
        <v>68</v>
      </c>
      <c r="E1356" s="12">
        <v>46186.0</v>
      </c>
      <c r="F1356" s="12">
        <v>46219.0</v>
      </c>
      <c r="G1356" s="11" t="s">
        <v>7548</v>
      </c>
      <c r="H1356" s="11">
        <v>9.580113108E9</v>
      </c>
      <c r="I1356" s="11" t="s">
        <v>82</v>
      </c>
      <c r="J1356" s="11" t="s">
        <v>71</v>
      </c>
      <c r="K1356" s="11" t="s">
        <v>72</v>
      </c>
      <c r="L1356" s="11" t="s">
        <v>84</v>
      </c>
      <c r="M1356" s="11" t="s">
        <v>2655</v>
      </c>
      <c r="N1356" s="11" t="s">
        <v>86</v>
      </c>
      <c r="O1356" s="11" t="s">
        <v>71</v>
      </c>
      <c r="P1356" s="11" t="s">
        <v>7549</v>
      </c>
      <c r="Q1356" s="13" t="s">
        <v>7550</v>
      </c>
      <c r="R1356" s="14" t="str">
        <f>HYPERLINK("https://drive.google.com/file/d/1xWEJ96JxKjtvqbTHwRXhPGHye3fAsEbg/view?usp=drivesdk","OFFER LETTER")</f>
        <v>OFFER LETTER</v>
      </c>
      <c r="S1356" s="11" t="s">
        <v>7551</v>
      </c>
    </row>
    <row r="1357" ht="22.5" customHeight="1">
      <c r="A1357" s="10">
        <v>46263.87479021991</v>
      </c>
      <c r="B1357" s="11" t="s">
        <v>7552</v>
      </c>
      <c r="C1357" s="11" t="s">
        <v>173</v>
      </c>
      <c r="D1357" s="11" t="s">
        <v>68</v>
      </c>
      <c r="E1357" s="12">
        <v>46207.0</v>
      </c>
      <c r="F1357" s="12">
        <v>46238.0</v>
      </c>
      <c r="G1357" s="11" t="s">
        <v>7553</v>
      </c>
      <c r="H1357" s="11">
        <v>8.881991817E9</v>
      </c>
      <c r="I1357" s="11" t="s">
        <v>82</v>
      </c>
      <c r="J1357" s="11" t="s">
        <v>71</v>
      </c>
      <c r="K1357" s="11" t="s">
        <v>72</v>
      </c>
      <c r="L1357" s="11" t="s">
        <v>84</v>
      </c>
      <c r="M1357" s="11" t="s">
        <v>7554</v>
      </c>
      <c r="N1357" s="11" t="s">
        <v>936</v>
      </c>
      <c r="O1357" s="11" t="s">
        <v>71</v>
      </c>
      <c r="P1357" s="11" t="s">
        <v>7555</v>
      </c>
      <c r="Q1357" s="13" t="s">
        <v>7556</v>
      </c>
      <c r="R1357" s="14" t="str">
        <f>HYPERLINK("https://drive.google.com/file/d/1df9dcXS6GrAEsieUx0ASSuX8u4SrKjQ9/view?usp=drivesdk","OFFER LETTER")</f>
        <v>OFFER LETTER</v>
      </c>
      <c r="S1357" s="11" t="s">
        <v>7557</v>
      </c>
    </row>
    <row r="1358" ht="22.5" customHeight="1">
      <c r="A1358" s="10">
        <v>46263.878185821755</v>
      </c>
      <c r="B1358" s="11" t="s">
        <v>7558</v>
      </c>
      <c r="C1358" s="11" t="s">
        <v>195</v>
      </c>
      <c r="D1358" s="11" t="s">
        <v>68</v>
      </c>
      <c r="E1358" s="12">
        <v>46263.0</v>
      </c>
      <c r="F1358" s="12">
        <v>46293.0</v>
      </c>
      <c r="G1358" s="11" t="s">
        <v>7559</v>
      </c>
      <c r="H1358" s="11">
        <v>8.523833661E9</v>
      </c>
      <c r="I1358" s="11" t="s">
        <v>70</v>
      </c>
      <c r="J1358" s="11" t="s">
        <v>71</v>
      </c>
      <c r="K1358" s="11" t="s">
        <v>72</v>
      </c>
      <c r="L1358" s="11" t="s">
        <v>73</v>
      </c>
      <c r="M1358" s="11" t="s">
        <v>7560</v>
      </c>
      <c r="N1358" s="11" t="s">
        <v>155</v>
      </c>
      <c r="O1358" s="11" t="s">
        <v>71</v>
      </c>
      <c r="P1358" s="11" t="s">
        <v>7561</v>
      </c>
      <c r="Q1358" s="13" t="s">
        <v>7562</v>
      </c>
      <c r="R1358" s="14" t="str">
        <f>HYPERLINK("https://drive.google.com/file/d/1ktggMjni0Vdlh3G2LWnKhNOh8wwFAZEg/view?usp=drivesdk","OFFER LETTER")</f>
        <v>OFFER LETTER</v>
      </c>
      <c r="S1358" s="11" t="s">
        <v>7563</v>
      </c>
    </row>
    <row r="1359" ht="22.5" customHeight="1">
      <c r="A1359" s="10">
        <v>46263.878523935186</v>
      </c>
      <c r="B1359" s="11" t="s">
        <v>7535</v>
      </c>
      <c r="C1359" s="11" t="s">
        <v>195</v>
      </c>
      <c r="D1359" s="11" t="s">
        <v>68</v>
      </c>
      <c r="E1359" s="12">
        <v>46263.0</v>
      </c>
      <c r="F1359" s="12">
        <v>46294.0</v>
      </c>
      <c r="G1359" s="11" t="s">
        <v>7536</v>
      </c>
      <c r="H1359" s="11">
        <v>9.597734081E9</v>
      </c>
      <c r="I1359" s="11" t="s">
        <v>82</v>
      </c>
      <c r="J1359" s="11" t="s">
        <v>71</v>
      </c>
      <c r="K1359" s="11" t="s">
        <v>72</v>
      </c>
      <c r="L1359" s="11" t="s">
        <v>73</v>
      </c>
      <c r="M1359" s="11" t="s">
        <v>7537</v>
      </c>
      <c r="N1359" s="11" t="s">
        <v>241</v>
      </c>
      <c r="O1359" s="11" t="s">
        <v>71</v>
      </c>
      <c r="P1359" s="11" t="s">
        <v>7564</v>
      </c>
      <c r="Q1359" s="13" t="s">
        <v>7565</v>
      </c>
      <c r="R1359" s="14" t="str">
        <f>HYPERLINK("https://drive.google.com/file/d/1qLeM2H-5Y3YBO-JFpZf0plmgFGuU0oRV/view?usp=drivesdk","OFFER LETTER")</f>
        <v>OFFER LETTER</v>
      </c>
      <c r="S1359" s="11" t="s">
        <v>7566</v>
      </c>
    </row>
    <row r="1360" ht="22.5" customHeight="1">
      <c r="A1360" s="10">
        <v>46263.87859958333</v>
      </c>
      <c r="B1360" s="11" t="s">
        <v>7567</v>
      </c>
      <c r="C1360" s="11" t="s">
        <v>195</v>
      </c>
      <c r="D1360" s="11" t="s">
        <v>68</v>
      </c>
      <c r="E1360" s="12">
        <v>46264.0</v>
      </c>
      <c r="F1360" s="12">
        <v>46295.0</v>
      </c>
      <c r="G1360" s="11" t="s">
        <v>7568</v>
      </c>
      <c r="H1360" s="11">
        <v>7.003385207E9</v>
      </c>
      <c r="I1360" s="11" t="s">
        <v>82</v>
      </c>
      <c r="J1360" s="11" t="s">
        <v>71</v>
      </c>
      <c r="K1360" s="11" t="s">
        <v>72</v>
      </c>
      <c r="L1360" s="11" t="s">
        <v>84</v>
      </c>
      <c r="M1360" s="11" t="s">
        <v>7569</v>
      </c>
      <c r="N1360" s="11" t="s">
        <v>75</v>
      </c>
      <c r="O1360" s="11" t="s">
        <v>71</v>
      </c>
      <c r="P1360" s="11" t="s">
        <v>7570</v>
      </c>
      <c r="Q1360" s="13" t="s">
        <v>7571</v>
      </c>
      <c r="R1360" s="14" t="str">
        <f>HYPERLINK("https://drive.google.com/file/d/1R-UOF_YGjTu1PlH5yFyPzEnmc9x0WQNx/view?usp=drivesdk","OFFER LETTER")</f>
        <v>OFFER LETTER</v>
      </c>
      <c r="S1360" s="11" t="s">
        <v>7572</v>
      </c>
    </row>
    <row r="1361" ht="22.5" customHeight="1">
      <c r="A1361" s="10">
        <v>46263.88066569444</v>
      </c>
      <c r="B1361" s="11" t="s">
        <v>7573</v>
      </c>
      <c r="C1361" s="11" t="s">
        <v>298</v>
      </c>
      <c r="D1361" s="11" t="s">
        <v>68</v>
      </c>
      <c r="E1361" s="12">
        <v>46266.0</v>
      </c>
      <c r="F1361" s="12">
        <v>46295.0</v>
      </c>
      <c r="G1361" s="11" t="s">
        <v>7574</v>
      </c>
      <c r="H1361" s="11">
        <v>9.843880855E9</v>
      </c>
      <c r="I1361" s="11" t="s">
        <v>70</v>
      </c>
      <c r="J1361" s="11" t="s">
        <v>83</v>
      </c>
      <c r="K1361" s="11" t="s">
        <v>72</v>
      </c>
      <c r="L1361" s="11" t="s">
        <v>131</v>
      </c>
      <c r="M1361" s="11" t="s">
        <v>7575</v>
      </c>
      <c r="N1361" s="11" t="s">
        <v>1533</v>
      </c>
      <c r="O1361" s="11" t="s">
        <v>71</v>
      </c>
      <c r="P1361" s="11" t="s">
        <v>7576</v>
      </c>
      <c r="Q1361" s="13" t="s">
        <v>7577</v>
      </c>
      <c r="R1361" s="14" t="str">
        <f>HYPERLINK("https://drive.google.com/file/d/1KeySoy9ZDzRhMmgjcO31bKT5OnioQy6-/view?usp=drivesdk","OFFER LETTER")</f>
        <v>OFFER LETTER</v>
      </c>
      <c r="S1361" s="11" t="s">
        <v>7578</v>
      </c>
    </row>
    <row r="1362" ht="22.5" customHeight="1">
      <c r="A1362" s="10">
        <v>46263.883372013894</v>
      </c>
      <c r="B1362" s="11" t="s">
        <v>7579</v>
      </c>
      <c r="C1362" s="11" t="s">
        <v>91</v>
      </c>
      <c r="D1362" s="11" t="s">
        <v>68</v>
      </c>
      <c r="E1362" s="12">
        <v>46280.0</v>
      </c>
      <c r="F1362" s="12">
        <v>46309.0</v>
      </c>
      <c r="G1362" s="11" t="s">
        <v>7580</v>
      </c>
      <c r="H1362" s="11" t="s">
        <v>7581</v>
      </c>
      <c r="I1362" s="11" t="s">
        <v>70</v>
      </c>
      <c r="J1362" s="11" t="s">
        <v>71</v>
      </c>
      <c r="K1362" s="11" t="s">
        <v>72</v>
      </c>
      <c r="L1362" s="11" t="s">
        <v>73</v>
      </c>
      <c r="M1362" s="11" t="s">
        <v>7582</v>
      </c>
      <c r="N1362" s="11" t="s">
        <v>241</v>
      </c>
      <c r="O1362" s="11" t="s">
        <v>71</v>
      </c>
      <c r="P1362" s="11" t="s">
        <v>7583</v>
      </c>
      <c r="Q1362" s="13" t="s">
        <v>7584</v>
      </c>
      <c r="R1362" s="14" t="str">
        <f>HYPERLINK("https://drive.google.com/file/d/1hbQkWNh4cwrItt8BVysSLiTlJi5t7j7z/view?usp=drivesdk","OFFER LETTER")</f>
        <v>OFFER LETTER</v>
      </c>
      <c r="S1362" s="11" t="s">
        <v>7585</v>
      </c>
    </row>
    <row r="1363" ht="22.5" customHeight="1">
      <c r="A1363" s="10">
        <v>46263.88704693287</v>
      </c>
      <c r="B1363" s="11" t="s">
        <v>7579</v>
      </c>
      <c r="C1363" s="11" t="s">
        <v>91</v>
      </c>
      <c r="D1363" s="11" t="s">
        <v>68</v>
      </c>
      <c r="E1363" s="12">
        <v>46280.0</v>
      </c>
      <c r="F1363" s="12">
        <v>46309.0</v>
      </c>
      <c r="G1363" s="11" t="s">
        <v>7580</v>
      </c>
      <c r="H1363" s="11" t="s">
        <v>7581</v>
      </c>
      <c r="I1363" s="11" t="s">
        <v>70</v>
      </c>
      <c r="J1363" s="11" t="s">
        <v>71</v>
      </c>
      <c r="K1363" s="11" t="s">
        <v>72</v>
      </c>
      <c r="L1363" s="11" t="s">
        <v>73</v>
      </c>
      <c r="M1363" s="11" t="s">
        <v>7582</v>
      </c>
      <c r="N1363" s="11" t="s">
        <v>241</v>
      </c>
      <c r="O1363" s="11" t="s">
        <v>71</v>
      </c>
      <c r="P1363" s="11" t="s">
        <v>7586</v>
      </c>
      <c r="Q1363" s="13" t="s">
        <v>7587</v>
      </c>
      <c r="R1363" s="14" t="str">
        <f>HYPERLINK("https://drive.google.com/file/d/1NrnfNhid6Fz9b_NK0-xUw97aNNyIxr4i/view?usp=drivesdk","OFFER LETTER")</f>
        <v>OFFER LETTER</v>
      </c>
      <c r="S1363" s="11" t="s">
        <v>7588</v>
      </c>
    </row>
    <row r="1364" ht="22.5" customHeight="1">
      <c r="A1364" s="10">
        <v>46263.8926997338</v>
      </c>
      <c r="B1364" s="11" t="s">
        <v>7589</v>
      </c>
      <c r="C1364" s="11" t="s">
        <v>195</v>
      </c>
      <c r="D1364" s="11" t="s">
        <v>68</v>
      </c>
      <c r="E1364" s="12">
        <v>45866.0</v>
      </c>
      <c r="F1364" s="12">
        <v>46262.0</v>
      </c>
      <c r="G1364" s="11" t="s">
        <v>7590</v>
      </c>
      <c r="H1364" s="11">
        <v>8.299214612E9</v>
      </c>
      <c r="I1364" s="11" t="s">
        <v>82</v>
      </c>
      <c r="J1364" s="11" t="s">
        <v>71</v>
      </c>
      <c r="K1364" s="11" t="s">
        <v>72</v>
      </c>
      <c r="L1364" s="11" t="s">
        <v>84</v>
      </c>
      <c r="M1364" s="11" t="s">
        <v>7591</v>
      </c>
      <c r="N1364" s="11" t="s">
        <v>86</v>
      </c>
      <c r="O1364" s="11" t="s">
        <v>71</v>
      </c>
      <c r="P1364" s="11" t="s">
        <v>7592</v>
      </c>
      <c r="Q1364" s="13" t="s">
        <v>7593</v>
      </c>
      <c r="R1364" s="14" t="str">
        <f>HYPERLINK("https://drive.google.com/file/d/154Wg7Xb4BddhO9QnNGemRP0EgFGmgdGv/view?usp=drivesdk","OFFER LETTER")</f>
        <v>OFFER LETTER</v>
      </c>
      <c r="S1364" s="11" t="s">
        <v>7594</v>
      </c>
    </row>
    <row r="1365" ht="22.5" customHeight="1">
      <c r="A1365" s="10">
        <v>46263.89324280093</v>
      </c>
      <c r="B1365" s="11" t="s">
        <v>7595</v>
      </c>
      <c r="C1365" s="11" t="s">
        <v>298</v>
      </c>
      <c r="D1365" s="11" t="s">
        <v>68</v>
      </c>
      <c r="E1365" s="12">
        <v>46280.0</v>
      </c>
      <c r="F1365" s="12">
        <v>46310.0</v>
      </c>
      <c r="G1365" s="11" t="s">
        <v>7596</v>
      </c>
      <c r="H1365" s="11">
        <v>8.088336302E9</v>
      </c>
      <c r="I1365" s="11" t="s">
        <v>70</v>
      </c>
      <c r="J1365" s="11" t="s">
        <v>71</v>
      </c>
      <c r="K1365" s="11" t="s">
        <v>72</v>
      </c>
      <c r="L1365" s="11" t="s">
        <v>131</v>
      </c>
      <c r="M1365" s="11" t="s">
        <v>7597</v>
      </c>
      <c r="N1365" s="11" t="s">
        <v>75</v>
      </c>
      <c r="O1365" s="11" t="s">
        <v>71</v>
      </c>
      <c r="P1365" s="11" t="s">
        <v>7598</v>
      </c>
      <c r="Q1365" s="13" t="s">
        <v>7599</v>
      </c>
      <c r="R1365" s="14" t="str">
        <f>HYPERLINK("https://drive.google.com/file/d/1NP2KTk3Cp5hkrgSZpBZti6eQj6eOQw7i/view?usp=drivesdk","OFFER LETTER")</f>
        <v>OFFER LETTER</v>
      </c>
      <c r="S1365" s="11" t="s">
        <v>7600</v>
      </c>
    </row>
    <row r="1366" ht="22.5" customHeight="1">
      <c r="A1366" s="10">
        <v>46263.893421064815</v>
      </c>
      <c r="B1366" s="11" t="s">
        <v>7601</v>
      </c>
      <c r="C1366" s="11" t="s">
        <v>128</v>
      </c>
      <c r="D1366" s="11" t="s">
        <v>68</v>
      </c>
      <c r="E1366" s="12">
        <v>46266.0</v>
      </c>
      <c r="F1366" s="12">
        <v>46295.0</v>
      </c>
      <c r="G1366" s="11" t="s">
        <v>7602</v>
      </c>
      <c r="H1366" s="11">
        <v>8.918686121E9</v>
      </c>
      <c r="I1366" s="11" t="s">
        <v>82</v>
      </c>
      <c r="J1366" s="11" t="s">
        <v>71</v>
      </c>
      <c r="K1366" s="11" t="s">
        <v>72</v>
      </c>
      <c r="L1366" s="11" t="s">
        <v>73</v>
      </c>
      <c r="M1366" s="11" t="s">
        <v>7603</v>
      </c>
      <c r="N1366" s="11" t="s">
        <v>241</v>
      </c>
      <c r="O1366" s="11" t="s">
        <v>71</v>
      </c>
      <c r="P1366" s="11" t="s">
        <v>7604</v>
      </c>
      <c r="Q1366" s="13" t="s">
        <v>7605</v>
      </c>
      <c r="R1366" s="14" t="str">
        <f>HYPERLINK("https://drive.google.com/file/d/1fKlR_OaMCdaEoncpk0qUz7PBBaK6UL48/view?usp=drivesdk","OFFER LETTER")</f>
        <v>OFFER LETTER</v>
      </c>
      <c r="S1366" s="11" t="s">
        <v>7606</v>
      </c>
    </row>
    <row r="1367" ht="22.5" customHeight="1">
      <c r="A1367" s="10">
        <v>46263.90055086806</v>
      </c>
      <c r="B1367" s="11" t="s">
        <v>7607</v>
      </c>
      <c r="C1367" s="11" t="s">
        <v>107</v>
      </c>
      <c r="D1367" s="11" t="s">
        <v>68</v>
      </c>
      <c r="E1367" s="12">
        <v>46244.0</v>
      </c>
      <c r="F1367" s="12">
        <v>46275.0</v>
      </c>
      <c r="G1367" s="11" t="s">
        <v>7608</v>
      </c>
      <c r="H1367" s="11">
        <v>9.9813614E9</v>
      </c>
      <c r="I1367" s="11" t="s">
        <v>70</v>
      </c>
      <c r="J1367" s="11" t="s">
        <v>71</v>
      </c>
      <c r="K1367" s="11" t="s">
        <v>72</v>
      </c>
      <c r="L1367" s="11" t="s">
        <v>131</v>
      </c>
      <c r="M1367" s="11" t="s">
        <v>7609</v>
      </c>
      <c r="N1367" s="11" t="s">
        <v>75</v>
      </c>
      <c r="O1367" s="11" t="s">
        <v>71</v>
      </c>
      <c r="P1367" s="11" t="s">
        <v>7610</v>
      </c>
      <c r="Q1367" s="13" t="s">
        <v>7611</v>
      </c>
      <c r="R1367" s="14" t="str">
        <f>HYPERLINK("https://drive.google.com/file/d/1ek8fhgPzYtRhznH3lSsS99vWKDNQwuJE/view?usp=drivesdk","OFFER LETTER")</f>
        <v>OFFER LETTER</v>
      </c>
      <c r="S1367" s="11" t="s">
        <v>7612</v>
      </c>
    </row>
    <row r="1368" ht="22.5" customHeight="1">
      <c r="A1368" s="10">
        <v>46263.90472157407</v>
      </c>
      <c r="B1368" s="11" t="s">
        <v>7613</v>
      </c>
      <c r="C1368" s="11" t="s">
        <v>91</v>
      </c>
      <c r="D1368" s="11" t="s">
        <v>68</v>
      </c>
      <c r="E1368" s="12">
        <v>46266.0</v>
      </c>
      <c r="F1368" s="12">
        <v>46295.0</v>
      </c>
      <c r="G1368" s="11" t="s">
        <v>7614</v>
      </c>
      <c r="H1368" s="17" t="s">
        <v>7615</v>
      </c>
      <c r="I1368" s="11" t="s">
        <v>70</v>
      </c>
      <c r="J1368" s="11" t="s">
        <v>71</v>
      </c>
      <c r="K1368" s="11" t="s">
        <v>72</v>
      </c>
      <c r="L1368" s="11" t="s">
        <v>73</v>
      </c>
      <c r="M1368" s="11" t="s">
        <v>7616</v>
      </c>
      <c r="N1368" s="11" t="s">
        <v>198</v>
      </c>
      <c r="O1368" s="11" t="s">
        <v>71</v>
      </c>
      <c r="P1368" s="11" t="s">
        <v>7617</v>
      </c>
      <c r="Q1368" s="13" t="s">
        <v>7618</v>
      </c>
      <c r="R1368" s="14" t="str">
        <f>HYPERLINK("https://drive.google.com/file/d/1zGLUTGQvUvGlOtNaa0WC9_q4JXAi9o4i/view?usp=drivesdk","OFFER LETTER")</f>
        <v>OFFER LETTER</v>
      </c>
      <c r="S1368" s="11" t="s">
        <v>7619</v>
      </c>
    </row>
    <row r="1369" ht="22.5" customHeight="1">
      <c r="A1369" s="10">
        <v>46263.906888854166</v>
      </c>
      <c r="B1369" s="11" t="s">
        <v>7613</v>
      </c>
      <c r="C1369" s="11" t="s">
        <v>91</v>
      </c>
      <c r="D1369" s="11" t="s">
        <v>68</v>
      </c>
      <c r="E1369" s="12">
        <v>46266.0</v>
      </c>
      <c r="F1369" s="12">
        <v>46295.0</v>
      </c>
      <c r="G1369" s="11" t="s">
        <v>7614</v>
      </c>
      <c r="H1369" s="11">
        <v>7.971245791E9</v>
      </c>
      <c r="I1369" s="11" t="s">
        <v>70</v>
      </c>
      <c r="J1369" s="11" t="s">
        <v>71</v>
      </c>
      <c r="K1369" s="11" t="s">
        <v>72</v>
      </c>
      <c r="L1369" s="11" t="s">
        <v>73</v>
      </c>
      <c r="M1369" s="11" t="s">
        <v>7616</v>
      </c>
      <c r="N1369" s="11" t="s">
        <v>4248</v>
      </c>
      <c r="O1369" s="11" t="s">
        <v>71</v>
      </c>
      <c r="P1369" s="11" t="s">
        <v>7620</v>
      </c>
      <c r="Q1369" s="13" t="s">
        <v>7621</v>
      </c>
      <c r="R1369" s="14" t="str">
        <f>HYPERLINK("https://drive.google.com/file/d/17mdCL5IU9BewB5lHxLkj6sy38WIva9kI/view?usp=drivesdk","OFFER LETTER")</f>
        <v>OFFER LETTER</v>
      </c>
      <c r="S1369" s="11" t="s">
        <v>7622</v>
      </c>
    </row>
    <row r="1370" ht="22.5" customHeight="1">
      <c r="A1370" s="10">
        <v>46263.908005578705</v>
      </c>
      <c r="B1370" s="11" t="s">
        <v>7623</v>
      </c>
      <c r="C1370" s="11" t="s">
        <v>128</v>
      </c>
      <c r="D1370" s="11" t="s">
        <v>68</v>
      </c>
      <c r="E1370" s="12">
        <v>46264.0</v>
      </c>
      <c r="F1370" s="12">
        <v>46295.0</v>
      </c>
      <c r="G1370" s="11" t="s">
        <v>7624</v>
      </c>
      <c r="H1370" s="11">
        <v>7.588866533E9</v>
      </c>
      <c r="I1370" s="11" t="s">
        <v>70</v>
      </c>
      <c r="J1370" s="11" t="s">
        <v>83</v>
      </c>
      <c r="K1370" s="11" t="s">
        <v>1028</v>
      </c>
      <c r="L1370" s="11" t="s">
        <v>84</v>
      </c>
      <c r="M1370" s="11" t="s">
        <v>7625</v>
      </c>
      <c r="N1370" s="11" t="s">
        <v>75</v>
      </c>
      <c r="O1370" s="11" t="s">
        <v>263</v>
      </c>
      <c r="P1370" s="11" t="s">
        <v>7626</v>
      </c>
      <c r="Q1370" s="13" t="s">
        <v>7627</v>
      </c>
      <c r="R1370" s="14" t="str">
        <f>HYPERLINK("https://drive.google.com/file/d/1PzcTVgCAQCkyxUsvc2W-Hob0qkheTQ6r/view?usp=drivesdk","OFFER LETTER")</f>
        <v>OFFER LETTER</v>
      </c>
      <c r="S1370" s="11" t="s">
        <v>7628</v>
      </c>
    </row>
    <row r="1371" ht="22.5" customHeight="1">
      <c r="A1371" s="10">
        <v>46263.91030484954</v>
      </c>
      <c r="B1371" s="11" t="s">
        <v>7629</v>
      </c>
      <c r="C1371" s="11" t="s">
        <v>195</v>
      </c>
      <c r="D1371" s="11" t="s">
        <v>68</v>
      </c>
      <c r="E1371" s="12">
        <v>46249.0</v>
      </c>
      <c r="F1371" s="12">
        <v>46280.0</v>
      </c>
      <c r="G1371" s="11" t="s">
        <v>7630</v>
      </c>
      <c r="H1371" s="11">
        <v>9.480615692E9</v>
      </c>
      <c r="I1371" s="11" t="s">
        <v>70</v>
      </c>
      <c r="J1371" s="11" t="s">
        <v>71</v>
      </c>
      <c r="K1371" s="11" t="s">
        <v>72</v>
      </c>
      <c r="L1371" s="11" t="s">
        <v>73</v>
      </c>
      <c r="M1371" s="11" t="s">
        <v>7631</v>
      </c>
      <c r="N1371" s="11" t="s">
        <v>75</v>
      </c>
      <c r="O1371" s="11" t="s">
        <v>71</v>
      </c>
      <c r="P1371" s="11" t="s">
        <v>7632</v>
      </c>
      <c r="Q1371" s="13" t="s">
        <v>7633</v>
      </c>
      <c r="R1371" s="14" t="str">
        <f>HYPERLINK("https://drive.google.com/file/d/1kjiCe91Vdx2cDcmjGLMuSziKfUQ2uwzc/view?usp=drivesdk","OFFER LETTER")</f>
        <v>OFFER LETTER</v>
      </c>
      <c r="S1371" s="11" t="s">
        <v>7634</v>
      </c>
    </row>
    <row r="1372" ht="22.5" customHeight="1">
      <c r="A1372" s="10">
        <v>46263.915168217594</v>
      </c>
      <c r="B1372" s="11" t="s">
        <v>7635</v>
      </c>
      <c r="C1372" s="11" t="s">
        <v>298</v>
      </c>
      <c r="D1372" s="11" t="s">
        <v>68</v>
      </c>
      <c r="E1372" s="12">
        <v>46028.0</v>
      </c>
      <c r="F1372" s="12">
        <v>46029.0</v>
      </c>
      <c r="G1372" s="11" t="s">
        <v>7636</v>
      </c>
      <c r="H1372" s="11">
        <v>9.145858109E9</v>
      </c>
      <c r="I1372" s="11" t="s">
        <v>82</v>
      </c>
      <c r="J1372" s="11" t="s">
        <v>71</v>
      </c>
      <c r="K1372" s="11" t="s">
        <v>72</v>
      </c>
      <c r="L1372" s="11" t="s">
        <v>84</v>
      </c>
      <c r="M1372" s="11" t="s">
        <v>7637</v>
      </c>
      <c r="N1372" s="11" t="s">
        <v>198</v>
      </c>
      <c r="O1372" s="11" t="s">
        <v>71</v>
      </c>
      <c r="P1372" s="11" t="s">
        <v>7638</v>
      </c>
      <c r="Q1372" s="13" t="s">
        <v>7639</v>
      </c>
      <c r="R1372" s="14" t="str">
        <f>HYPERLINK("https://drive.google.com/file/d/15QMa5ErKsDG4osKvu2P0sNJ3zgW2SWyQ/view?usp=drivesdk","OFFER LETTER")</f>
        <v>OFFER LETTER</v>
      </c>
      <c r="S1372" s="11" t="s">
        <v>7640</v>
      </c>
    </row>
    <row r="1373" ht="22.5" customHeight="1">
      <c r="A1373" s="10">
        <v>46263.91685807871</v>
      </c>
      <c r="B1373" s="11" t="s">
        <v>435</v>
      </c>
      <c r="C1373" s="11" t="s">
        <v>173</v>
      </c>
      <c r="D1373" s="11" t="s">
        <v>68</v>
      </c>
      <c r="E1373" s="12">
        <v>46231.0</v>
      </c>
      <c r="F1373" s="12">
        <v>46263.0</v>
      </c>
      <c r="G1373" s="11" t="s">
        <v>7641</v>
      </c>
      <c r="H1373" s="11">
        <v>6.206032648E9</v>
      </c>
      <c r="I1373" s="11" t="s">
        <v>82</v>
      </c>
      <c r="J1373" s="11" t="s">
        <v>71</v>
      </c>
      <c r="K1373" s="11" t="s">
        <v>72</v>
      </c>
      <c r="L1373" s="11" t="s">
        <v>84</v>
      </c>
      <c r="M1373" s="11" t="s">
        <v>7642</v>
      </c>
      <c r="N1373" s="11" t="s">
        <v>75</v>
      </c>
      <c r="O1373" s="11" t="s">
        <v>71</v>
      </c>
      <c r="P1373" s="11" t="s">
        <v>7643</v>
      </c>
      <c r="Q1373" s="13" t="s">
        <v>7644</v>
      </c>
      <c r="R1373" s="14" t="str">
        <f>HYPERLINK("https://drive.google.com/file/d/1WrLPUbv9uhqKJNEIZWSy7_QzBwib4Li-/view?usp=drivesdk","OFFER LETTER")</f>
        <v>OFFER LETTER</v>
      </c>
      <c r="S1373" s="11" t="s">
        <v>7645</v>
      </c>
    </row>
    <row r="1374" ht="22.5" customHeight="1">
      <c r="A1374" s="10">
        <v>46263.91908295139</v>
      </c>
      <c r="B1374" s="11" t="s">
        <v>7646</v>
      </c>
      <c r="C1374" s="11" t="s">
        <v>173</v>
      </c>
      <c r="D1374" s="11" t="s">
        <v>108</v>
      </c>
      <c r="E1374" s="12">
        <v>46263.0</v>
      </c>
      <c r="F1374" s="12">
        <v>46324.0</v>
      </c>
      <c r="G1374" s="11" t="s">
        <v>7647</v>
      </c>
      <c r="H1374" s="11">
        <v>7.090319178E9</v>
      </c>
      <c r="I1374" s="11" t="s">
        <v>70</v>
      </c>
      <c r="J1374" s="11" t="s">
        <v>71</v>
      </c>
      <c r="K1374" s="11" t="s">
        <v>72</v>
      </c>
      <c r="L1374" s="11" t="s">
        <v>131</v>
      </c>
      <c r="M1374" s="11" t="s">
        <v>7648</v>
      </c>
      <c r="N1374" s="11" t="s">
        <v>241</v>
      </c>
      <c r="O1374" s="11" t="s">
        <v>71</v>
      </c>
      <c r="P1374" s="11" t="s">
        <v>7649</v>
      </c>
      <c r="Q1374" s="13" t="s">
        <v>7650</v>
      </c>
      <c r="R1374" s="14" t="str">
        <f>HYPERLINK("https://drive.google.com/file/d/1BAZKmni30NR3-KXeGt2PYApGmN4QS2NU/view?usp=drivesdk","OFFER LETTER")</f>
        <v>OFFER LETTER</v>
      </c>
      <c r="S1374" s="11" t="s">
        <v>7651</v>
      </c>
    </row>
    <row r="1375" ht="22.5" customHeight="1">
      <c r="A1375" s="10">
        <v>46263.92006895834</v>
      </c>
      <c r="B1375" s="11" t="s">
        <v>7652</v>
      </c>
      <c r="C1375" s="11" t="s">
        <v>173</v>
      </c>
      <c r="D1375" s="11" t="s">
        <v>68</v>
      </c>
      <c r="E1375" s="12">
        <v>46229.0</v>
      </c>
      <c r="F1375" s="12">
        <v>46260.0</v>
      </c>
      <c r="G1375" s="11" t="s">
        <v>7653</v>
      </c>
      <c r="H1375" s="11">
        <v>7.983485038E9</v>
      </c>
      <c r="I1375" s="11" t="s">
        <v>82</v>
      </c>
      <c r="J1375" s="11" t="s">
        <v>83</v>
      </c>
      <c r="K1375" s="11" t="s">
        <v>72</v>
      </c>
      <c r="L1375" s="11" t="s">
        <v>131</v>
      </c>
      <c r="M1375" s="11" t="s">
        <v>493</v>
      </c>
      <c r="N1375" s="11" t="s">
        <v>241</v>
      </c>
      <c r="O1375" s="11" t="s">
        <v>71</v>
      </c>
      <c r="P1375" s="11" t="s">
        <v>7654</v>
      </c>
      <c r="Q1375" s="13" t="s">
        <v>7655</v>
      </c>
      <c r="R1375" s="14" t="str">
        <f>HYPERLINK("https://drive.google.com/file/d/1Ac8ykBULK0PAelchfUFyRQJgvQyPBmWt/view?usp=drivesdk","OFFER LETTER")</f>
        <v>OFFER LETTER</v>
      </c>
      <c r="S1375" s="11" t="s">
        <v>7656</v>
      </c>
    </row>
    <row r="1376" ht="22.5" customHeight="1">
      <c r="A1376" s="10">
        <v>46263.92081246528</v>
      </c>
      <c r="B1376" s="11" t="s">
        <v>7657</v>
      </c>
      <c r="C1376" s="11" t="s">
        <v>173</v>
      </c>
      <c r="D1376" s="11" t="s">
        <v>68</v>
      </c>
      <c r="E1376" s="12">
        <v>46231.0</v>
      </c>
      <c r="F1376" s="12">
        <v>46263.0</v>
      </c>
      <c r="G1376" s="11" t="s">
        <v>7641</v>
      </c>
      <c r="H1376" s="11">
        <v>6.206032648E9</v>
      </c>
      <c r="I1376" s="11" t="s">
        <v>82</v>
      </c>
      <c r="J1376" s="11" t="s">
        <v>71</v>
      </c>
      <c r="K1376" s="11" t="s">
        <v>72</v>
      </c>
      <c r="L1376" s="11" t="s">
        <v>84</v>
      </c>
      <c r="M1376" s="11" t="s">
        <v>2021</v>
      </c>
      <c r="N1376" s="11" t="s">
        <v>75</v>
      </c>
      <c r="O1376" s="11" t="s">
        <v>71</v>
      </c>
      <c r="P1376" s="11" t="s">
        <v>7658</v>
      </c>
      <c r="Q1376" s="13" t="s">
        <v>7659</v>
      </c>
      <c r="R1376" s="14" t="str">
        <f>HYPERLINK("https://drive.google.com/file/d/1gTp1x6ZoNko-z88lk-7pkTYklU7GDvr3/view?usp=drivesdk","OFFER LETTER")</f>
        <v>OFFER LETTER</v>
      </c>
      <c r="S1376" s="11" t="s">
        <v>7660</v>
      </c>
    </row>
    <row r="1377" ht="22.5" customHeight="1">
      <c r="A1377" s="10">
        <v>46263.92481858796</v>
      </c>
      <c r="B1377" s="11" t="s">
        <v>7661</v>
      </c>
      <c r="C1377" s="11" t="s">
        <v>173</v>
      </c>
      <c r="D1377" s="11" t="s">
        <v>68</v>
      </c>
      <c r="E1377" s="12">
        <v>46263.0</v>
      </c>
      <c r="F1377" s="12">
        <v>46294.0</v>
      </c>
      <c r="G1377" s="11" t="s">
        <v>7662</v>
      </c>
      <c r="H1377" s="11">
        <v>7.004398297E9</v>
      </c>
      <c r="I1377" s="11" t="s">
        <v>82</v>
      </c>
      <c r="J1377" s="11" t="s">
        <v>71</v>
      </c>
      <c r="K1377" s="11" t="s">
        <v>167</v>
      </c>
      <c r="L1377" s="11" t="s">
        <v>73</v>
      </c>
      <c r="M1377" s="11" t="s">
        <v>7663</v>
      </c>
      <c r="N1377" s="11" t="s">
        <v>75</v>
      </c>
      <c r="O1377" s="11" t="s">
        <v>71</v>
      </c>
      <c r="P1377" s="11" t="s">
        <v>7664</v>
      </c>
      <c r="Q1377" s="13" t="s">
        <v>7665</v>
      </c>
      <c r="R1377" s="14" t="str">
        <f>HYPERLINK("https://drive.google.com/file/d/1vyryM2SRuON1mUddNWsTjZD77ZprYkj8/view?usp=drivesdk","OFFER LETTER")</f>
        <v>OFFER LETTER</v>
      </c>
      <c r="S1377" s="11" t="s">
        <v>7666</v>
      </c>
    </row>
    <row r="1378" ht="22.5" customHeight="1">
      <c r="A1378" s="10">
        <v>46263.92747783565</v>
      </c>
      <c r="B1378" s="11" t="s">
        <v>130</v>
      </c>
      <c r="C1378" s="11" t="s">
        <v>173</v>
      </c>
      <c r="D1378" s="11" t="s">
        <v>68</v>
      </c>
      <c r="E1378" s="12">
        <v>46263.0</v>
      </c>
      <c r="F1378" s="12">
        <v>46294.0</v>
      </c>
      <c r="G1378" s="11" t="s">
        <v>7662</v>
      </c>
      <c r="H1378" s="11">
        <v>7.004398297E9</v>
      </c>
      <c r="I1378" s="11" t="s">
        <v>82</v>
      </c>
      <c r="J1378" s="11" t="s">
        <v>71</v>
      </c>
      <c r="K1378" s="11" t="s">
        <v>167</v>
      </c>
      <c r="L1378" s="11" t="s">
        <v>247</v>
      </c>
      <c r="M1378" s="11" t="s">
        <v>7667</v>
      </c>
      <c r="N1378" s="11" t="s">
        <v>75</v>
      </c>
      <c r="O1378" s="11" t="s">
        <v>263</v>
      </c>
      <c r="P1378" s="11" t="s">
        <v>7668</v>
      </c>
      <c r="Q1378" s="13" t="s">
        <v>7669</v>
      </c>
      <c r="R1378" s="14" t="str">
        <f>HYPERLINK("https://drive.google.com/file/d/1fD9PXSS56fhHbTvvc4KfqprBSS6UmFje/view?usp=drivesdk","OFFER LETTER")</f>
        <v>OFFER LETTER</v>
      </c>
      <c r="S1378" s="11" t="s">
        <v>7670</v>
      </c>
    </row>
    <row r="1379" ht="22.5" customHeight="1">
      <c r="A1379" s="10">
        <v>46263.92838412037</v>
      </c>
      <c r="B1379" s="11" t="s">
        <v>7671</v>
      </c>
      <c r="C1379" s="11" t="s">
        <v>128</v>
      </c>
      <c r="D1379" s="11" t="s">
        <v>68</v>
      </c>
      <c r="E1379" s="12">
        <v>46263.0</v>
      </c>
      <c r="F1379" s="12">
        <v>46294.0</v>
      </c>
      <c r="G1379" s="11" t="s">
        <v>7672</v>
      </c>
      <c r="H1379" s="11">
        <v>7.397805602E9</v>
      </c>
      <c r="I1379" s="11" t="s">
        <v>82</v>
      </c>
      <c r="J1379" s="11" t="s">
        <v>71</v>
      </c>
      <c r="K1379" s="11" t="s">
        <v>72</v>
      </c>
      <c r="L1379" s="11" t="s">
        <v>73</v>
      </c>
      <c r="M1379" s="11" t="s">
        <v>7673</v>
      </c>
      <c r="N1379" s="11" t="s">
        <v>241</v>
      </c>
      <c r="O1379" s="11" t="s">
        <v>71</v>
      </c>
      <c r="P1379" s="11" t="s">
        <v>7674</v>
      </c>
      <c r="Q1379" s="13" t="s">
        <v>7675</v>
      </c>
      <c r="R1379" s="14" t="str">
        <f>HYPERLINK("https://drive.google.com/file/d/1mB_8s8e-VBLDT5n3deoMI2DJDPuAYSM6/view?usp=drivesdk","OFFER LETTER")</f>
        <v>OFFER LETTER</v>
      </c>
      <c r="S1379" s="11" t="s">
        <v>7676</v>
      </c>
    </row>
    <row r="1380" ht="22.5" customHeight="1">
      <c r="A1380" s="10">
        <v>46263.92909863426</v>
      </c>
      <c r="B1380" s="11" t="s">
        <v>7677</v>
      </c>
      <c r="C1380" s="11" t="s">
        <v>128</v>
      </c>
      <c r="D1380" s="11" t="s">
        <v>68</v>
      </c>
      <c r="E1380" s="12">
        <v>46240.0</v>
      </c>
      <c r="F1380" s="12">
        <v>46241.0</v>
      </c>
      <c r="G1380" s="11" t="s">
        <v>7678</v>
      </c>
      <c r="H1380" s="11">
        <v>7.631280374E9</v>
      </c>
      <c r="I1380" s="11" t="s">
        <v>82</v>
      </c>
      <c r="J1380" s="11" t="s">
        <v>71</v>
      </c>
      <c r="K1380" s="11" t="s">
        <v>72</v>
      </c>
      <c r="L1380" s="11" t="s">
        <v>84</v>
      </c>
      <c r="M1380" s="11" t="s">
        <v>2535</v>
      </c>
      <c r="N1380" s="11" t="s">
        <v>86</v>
      </c>
      <c r="O1380" s="11" t="s">
        <v>71</v>
      </c>
      <c r="P1380" s="11" t="s">
        <v>7679</v>
      </c>
      <c r="Q1380" s="13" t="s">
        <v>7680</v>
      </c>
      <c r="R1380" s="14" t="str">
        <f>HYPERLINK("https://drive.google.com/file/d/1acwoaPk4S8TTuZpsNrQGKhgbOoer54cE/view?usp=drivesdk","OFFER LETTER")</f>
        <v>OFFER LETTER</v>
      </c>
      <c r="S1380" s="11" t="s">
        <v>7681</v>
      </c>
    </row>
    <row r="1381" ht="22.5" customHeight="1">
      <c r="A1381" s="10">
        <v>46263.92944179398</v>
      </c>
      <c r="B1381" s="11" t="s">
        <v>7682</v>
      </c>
      <c r="C1381" s="11" t="s">
        <v>91</v>
      </c>
      <c r="D1381" s="11" t="s">
        <v>68</v>
      </c>
      <c r="E1381" s="12">
        <v>46264.0</v>
      </c>
      <c r="F1381" s="12">
        <v>46295.0</v>
      </c>
      <c r="G1381" s="11" t="s">
        <v>7683</v>
      </c>
      <c r="H1381" s="11">
        <v>7.006198244E9</v>
      </c>
      <c r="I1381" s="11" t="s">
        <v>82</v>
      </c>
      <c r="J1381" s="11" t="s">
        <v>71</v>
      </c>
      <c r="K1381" s="11" t="s">
        <v>356</v>
      </c>
      <c r="L1381" s="11" t="s">
        <v>84</v>
      </c>
      <c r="M1381" s="11" t="s">
        <v>7684</v>
      </c>
      <c r="N1381" s="11" t="s">
        <v>75</v>
      </c>
      <c r="O1381" s="11" t="s">
        <v>71</v>
      </c>
      <c r="P1381" s="11" t="s">
        <v>7685</v>
      </c>
      <c r="Q1381" s="13" t="s">
        <v>7686</v>
      </c>
      <c r="R1381" s="14" t="str">
        <f>HYPERLINK("https://drive.google.com/file/d/1DJPKVFL8OS61VPAufYIlhtGUrnWnoUiu/view?usp=drivesdk","OFFER LETTER")</f>
        <v>OFFER LETTER</v>
      </c>
      <c r="S1381" s="11" t="s">
        <v>7687</v>
      </c>
    </row>
    <row r="1382" ht="22.5" customHeight="1">
      <c r="A1382" s="10">
        <v>46263.93002576389</v>
      </c>
      <c r="B1382" s="11" t="s">
        <v>7688</v>
      </c>
      <c r="C1382" s="11" t="s">
        <v>173</v>
      </c>
      <c r="D1382" s="11" t="s">
        <v>68</v>
      </c>
      <c r="E1382" s="12">
        <v>46174.0</v>
      </c>
      <c r="F1382" s="12">
        <v>46203.0</v>
      </c>
      <c r="G1382" s="11" t="s">
        <v>7689</v>
      </c>
      <c r="H1382" s="11">
        <v>6.307497015E9</v>
      </c>
      <c r="I1382" s="11" t="s">
        <v>82</v>
      </c>
      <c r="J1382" s="11" t="s">
        <v>71</v>
      </c>
      <c r="K1382" s="11" t="s">
        <v>72</v>
      </c>
      <c r="L1382" s="11" t="s">
        <v>84</v>
      </c>
      <c r="M1382" s="11" t="s">
        <v>849</v>
      </c>
      <c r="N1382" s="11" t="s">
        <v>226</v>
      </c>
      <c r="O1382" s="11" t="s">
        <v>71</v>
      </c>
      <c r="P1382" s="11" t="s">
        <v>7690</v>
      </c>
      <c r="Q1382" s="13" t="s">
        <v>7691</v>
      </c>
      <c r="R1382" s="14" t="str">
        <f>HYPERLINK("https://drive.google.com/file/d/15tVdFqq5b7hVP0_B9Ls9inh6ZPV5Ce5p/view?usp=drivesdk","OFFER LETTER")</f>
        <v>OFFER LETTER</v>
      </c>
      <c r="S1382" s="11" t="s">
        <v>7692</v>
      </c>
    </row>
    <row r="1383" ht="22.5" customHeight="1">
      <c r="A1383" s="10">
        <v>46263.93394545139</v>
      </c>
      <c r="B1383" s="11" t="s">
        <v>7693</v>
      </c>
      <c r="C1383" s="11" t="s">
        <v>195</v>
      </c>
      <c r="D1383" s="11" t="s">
        <v>108</v>
      </c>
      <c r="E1383" s="12">
        <v>46198.0</v>
      </c>
      <c r="F1383" s="12">
        <v>46259.0</v>
      </c>
      <c r="G1383" s="11" t="s">
        <v>7694</v>
      </c>
      <c r="H1383" s="11">
        <v>9.027290026E9</v>
      </c>
      <c r="I1383" s="11" t="s">
        <v>82</v>
      </c>
      <c r="J1383" s="11" t="s">
        <v>71</v>
      </c>
      <c r="K1383" s="11" t="s">
        <v>72</v>
      </c>
      <c r="L1383" s="11" t="s">
        <v>131</v>
      </c>
      <c r="M1383" s="11" t="s">
        <v>493</v>
      </c>
      <c r="N1383" s="11" t="s">
        <v>86</v>
      </c>
      <c r="O1383" s="11" t="s">
        <v>71</v>
      </c>
      <c r="P1383" s="11" t="s">
        <v>7695</v>
      </c>
      <c r="Q1383" s="13" t="s">
        <v>7696</v>
      </c>
      <c r="R1383" s="14" t="str">
        <f>HYPERLINK("https://drive.google.com/file/d/1jEfOJK6koSUvBSR58ParrOz4rG6MNjKn/view?usp=drivesdk","OFFER LETTER")</f>
        <v>OFFER LETTER</v>
      </c>
      <c r="S1383" s="11" t="s">
        <v>7697</v>
      </c>
    </row>
    <row r="1384" ht="22.5" customHeight="1">
      <c r="A1384" s="10">
        <v>46263.93508318287</v>
      </c>
      <c r="B1384" s="11" t="s">
        <v>7698</v>
      </c>
      <c r="C1384" s="11" t="s">
        <v>80</v>
      </c>
      <c r="D1384" s="11" t="s">
        <v>68</v>
      </c>
      <c r="E1384" s="12">
        <v>46263.0</v>
      </c>
      <c r="F1384" s="12">
        <v>46294.0</v>
      </c>
      <c r="G1384" s="11" t="s">
        <v>7699</v>
      </c>
      <c r="H1384" s="11">
        <v>8.525822699E9</v>
      </c>
      <c r="I1384" s="11" t="s">
        <v>70</v>
      </c>
      <c r="J1384" s="11" t="s">
        <v>71</v>
      </c>
      <c r="K1384" s="11" t="s">
        <v>72</v>
      </c>
      <c r="L1384" s="11" t="s">
        <v>131</v>
      </c>
      <c r="M1384" s="11" t="s">
        <v>7700</v>
      </c>
      <c r="N1384" s="11" t="s">
        <v>86</v>
      </c>
      <c r="O1384" s="11" t="s">
        <v>71</v>
      </c>
      <c r="P1384" s="11" t="s">
        <v>7701</v>
      </c>
      <c r="Q1384" s="13" t="s">
        <v>7702</v>
      </c>
      <c r="R1384" s="14" t="str">
        <f>HYPERLINK("https://drive.google.com/file/d/12yeSghqpQWZfVUNRBv2xzxRqMnv-3ZX6/view?usp=drivesdk","OFFER LETTER")</f>
        <v>OFFER LETTER</v>
      </c>
      <c r="S1384" s="11" t="s">
        <v>7703</v>
      </c>
    </row>
    <row r="1385" ht="22.5" customHeight="1">
      <c r="A1385" s="10">
        <v>46263.936995069445</v>
      </c>
      <c r="B1385" s="11" t="s">
        <v>7704</v>
      </c>
      <c r="C1385" s="11" t="s">
        <v>91</v>
      </c>
      <c r="D1385" s="11" t="s">
        <v>238</v>
      </c>
      <c r="E1385" s="12">
        <v>46270.0</v>
      </c>
      <c r="F1385" s="12">
        <v>46331.0</v>
      </c>
      <c r="G1385" s="11" t="s">
        <v>7705</v>
      </c>
      <c r="H1385" s="11">
        <v>9.731511283E9</v>
      </c>
      <c r="I1385" s="11" t="s">
        <v>70</v>
      </c>
      <c r="J1385" s="11" t="s">
        <v>71</v>
      </c>
      <c r="K1385" s="11" t="s">
        <v>72</v>
      </c>
      <c r="L1385" s="11" t="s">
        <v>131</v>
      </c>
      <c r="M1385" s="11" t="s">
        <v>7706</v>
      </c>
      <c r="N1385" s="11" t="s">
        <v>241</v>
      </c>
      <c r="O1385" s="11" t="s">
        <v>71</v>
      </c>
      <c r="P1385" s="11" t="s">
        <v>7707</v>
      </c>
      <c r="Q1385" s="13" t="s">
        <v>7708</v>
      </c>
      <c r="R1385" s="14" t="str">
        <f>HYPERLINK("https://drive.google.com/file/d/1Kasca5Z04-S3-VazAQXMphF0WdjAn-01/view?usp=drivesdk","OFFER LETTER")</f>
        <v>OFFER LETTER</v>
      </c>
      <c r="S1385" s="11" t="s">
        <v>7709</v>
      </c>
    </row>
    <row r="1386" ht="22.5" customHeight="1">
      <c r="A1386" s="10">
        <v>46263.93863738426</v>
      </c>
      <c r="B1386" s="11" t="s">
        <v>7698</v>
      </c>
      <c r="C1386" s="11" t="s">
        <v>80</v>
      </c>
      <c r="D1386" s="11" t="s">
        <v>68</v>
      </c>
      <c r="E1386" s="12">
        <v>46263.0</v>
      </c>
      <c r="F1386" s="12">
        <v>46294.0</v>
      </c>
      <c r="G1386" s="11" t="s">
        <v>7699</v>
      </c>
      <c r="H1386" s="11">
        <v>8.525822699E9</v>
      </c>
      <c r="I1386" s="11" t="s">
        <v>70</v>
      </c>
      <c r="J1386" s="11" t="s">
        <v>71</v>
      </c>
      <c r="K1386" s="11" t="s">
        <v>72</v>
      </c>
      <c r="L1386" s="11" t="s">
        <v>131</v>
      </c>
      <c r="M1386" s="11" t="s">
        <v>7710</v>
      </c>
      <c r="N1386" s="11" t="s">
        <v>86</v>
      </c>
      <c r="O1386" s="11" t="s">
        <v>71</v>
      </c>
      <c r="P1386" s="11" t="s">
        <v>7711</v>
      </c>
      <c r="Q1386" s="13" t="s">
        <v>7712</v>
      </c>
      <c r="R1386" s="14" t="str">
        <f>HYPERLINK("https://drive.google.com/file/d/1XRzcAbrkx11VihVipMqbopSLqXqmI2qp/view?usp=drivesdk","OFFER LETTER")</f>
        <v>OFFER LETTER</v>
      </c>
      <c r="S1386" s="11" t="s">
        <v>7713</v>
      </c>
    </row>
    <row r="1387" ht="22.5" customHeight="1">
      <c r="A1387" s="10">
        <v>46263.93982756944</v>
      </c>
      <c r="B1387" s="11" t="s">
        <v>7698</v>
      </c>
      <c r="C1387" s="11" t="s">
        <v>80</v>
      </c>
      <c r="D1387" s="11" t="s">
        <v>68</v>
      </c>
      <c r="E1387" s="12">
        <v>46263.0</v>
      </c>
      <c r="F1387" s="12">
        <v>46294.0</v>
      </c>
      <c r="G1387" s="11" t="s">
        <v>7699</v>
      </c>
      <c r="H1387" s="11">
        <v>8.525822699E9</v>
      </c>
      <c r="I1387" s="11" t="s">
        <v>70</v>
      </c>
      <c r="J1387" s="11" t="s">
        <v>71</v>
      </c>
      <c r="K1387" s="11" t="s">
        <v>72</v>
      </c>
      <c r="L1387" s="11" t="s">
        <v>131</v>
      </c>
      <c r="M1387" s="11" t="s">
        <v>7710</v>
      </c>
      <c r="N1387" s="11" t="s">
        <v>86</v>
      </c>
      <c r="O1387" s="11" t="s">
        <v>71</v>
      </c>
      <c r="P1387" s="11" t="s">
        <v>7714</v>
      </c>
      <c r="Q1387" s="13" t="s">
        <v>7715</v>
      </c>
      <c r="R1387" s="14" t="str">
        <f>HYPERLINK("https://drive.google.com/file/d/1tut3sc_QkQQfGH9LzVMCzafgLp2k50EI/view?usp=drivesdk","OFFER LETTER")</f>
        <v>OFFER LETTER</v>
      </c>
      <c r="S1387" s="11" t="s">
        <v>7716</v>
      </c>
    </row>
    <row r="1388" ht="22.5" customHeight="1">
      <c r="A1388" s="10">
        <v>46263.94660026621</v>
      </c>
      <c r="B1388" s="11" t="s">
        <v>7717</v>
      </c>
      <c r="C1388" s="11" t="s">
        <v>742</v>
      </c>
      <c r="D1388" s="11" t="s">
        <v>68</v>
      </c>
      <c r="E1388" s="12">
        <v>46266.0</v>
      </c>
      <c r="F1388" s="12">
        <v>46296.0</v>
      </c>
      <c r="G1388" s="11" t="s">
        <v>7718</v>
      </c>
      <c r="H1388" s="17" t="s">
        <v>7719</v>
      </c>
      <c r="I1388" s="11" t="s">
        <v>70</v>
      </c>
      <c r="J1388" s="11" t="s">
        <v>71</v>
      </c>
      <c r="K1388" s="11" t="s">
        <v>72</v>
      </c>
      <c r="L1388" s="11" t="s">
        <v>73</v>
      </c>
      <c r="M1388" s="11" t="s">
        <v>7720</v>
      </c>
      <c r="N1388" s="11" t="s">
        <v>1641</v>
      </c>
      <c r="O1388" s="11" t="s">
        <v>71</v>
      </c>
      <c r="P1388" s="11" t="s">
        <v>7721</v>
      </c>
      <c r="Q1388" s="13" t="s">
        <v>7722</v>
      </c>
      <c r="R1388" s="14" t="str">
        <f>HYPERLINK("https://drive.google.com/file/d/1HhuJmp3qiWXWhXsiIW_eE_4FVfZ41Dhl/view?usp=drivesdk","OFFER LETTER")</f>
        <v>OFFER LETTER</v>
      </c>
      <c r="S1388" s="11" t="s">
        <v>7723</v>
      </c>
    </row>
    <row r="1389" ht="22.5" customHeight="1">
      <c r="A1389" s="10">
        <v>46263.94977810185</v>
      </c>
      <c r="B1389" s="11" t="s">
        <v>7724</v>
      </c>
      <c r="C1389" s="11" t="s">
        <v>173</v>
      </c>
      <c r="D1389" s="11" t="s">
        <v>68</v>
      </c>
      <c r="E1389" s="12">
        <v>46231.0</v>
      </c>
      <c r="F1389" s="12">
        <v>46263.0</v>
      </c>
      <c r="G1389" s="11" t="s">
        <v>7725</v>
      </c>
      <c r="H1389" s="11">
        <v>8.081003448E9</v>
      </c>
      <c r="I1389" s="11" t="s">
        <v>82</v>
      </c>
      <c r="J1389" s="11" t="s">
        <v>71</v>
      </c>
      <c r="K1389" s="11" t="s">
        <v>72</v>
      </c>
      <c r="L1389" s="11" t="s">
        <v>84</v>
      </c>
      <c r="M1389" s="11" t="s">
        <v>7642</v>
      </c>
      <c r="N1389" s="11" t="s">
        <v>75</v>
      </c>
      <c r="O1389" s="11" t="s">
        <v>71</v>
      </c>
      <c r="P1389" s="11" t="s">
        <v>7726</v>
      </c>
      <c r="Q1389" s="13" t="s">
        <v>7727</v>
      </c>
      <c r="R1389" s="14" t="str">
        <f>HYPERLINK("https://drive.google.com/file/d/1WfXAFkaJYt9qY_UiCl36gsqdIMTnAOij/view?usp=drivesdk","OFFER LETTER")</f>
        <v>OFFER LETTER</v>
      </c>
      <c r="S1389" s="11" t="s">
        <v>7728</v>
      </c>
    </row>
    <row r="1390" ht="22.5" customHeight="1">
      <c r="A1390" s="10">
        <v>46263.95394979167</v>
      </c>
      <c r="B1390" s="11" t="s">
        <v>7729</v>
      </c>
      <c r="C1390" s="11" t="s">
        <v>173</v>
      </c>
      <c r="D1390" s="11" t="s">
        <v>68</v>
      </c>
      <c r="E1390" s="12">
        <v>46232.0</v>
      </c>
      <c r="F1390" s="12">
        <v>46263.0</v>
      </c>
      <c r="G1390" s="11" t="s">
        <v>7730</v>
      </c>
      <c r="H1390" s="11">
        <v>8.287315787E9</v>
      </c>
      <c r="I1390" s="11" t="s">
        <v>82</v>
      </c>
      <c r="J1390" s="11" t="s">
        <v>71</v>
      </c>
      <c r="K1390" s="11" t="s">
        <v>72</v>
      </c>
      <c r="L1390" s="11" t="s">
        <v>84</v>
      </c>
      <c r="M1390" s="11" t="s">
        <v>2655</v>
      </c>
      <c r="N1390" s="11" t="s">
        <v>86</v>
      </c>
      <c r="O1390" s="11" t="s">
        <v>71</v>
      </c>
      <c r="P1390" s="11" t="s">
        <v>7731</v>
      </c>
      <c r="Q1390" s="13" t="s">
        <v>7732</v>
      </c>
      <c r="R1390" s="14" t="str">
        <f>HYPERLINK("https://drive.google.com/file/d/13AYj23H5tcDjf1kRjJ2-9DIk0tkMG5YA/view?usp=drivesdk","OFFER LETTER")</f>
        <v>OFFER LETTER</v>
      </c>
      <c r="S1390" s="11" t="s">
        <v>7733</v>
      </c>
    </row>
    <row r="1391" ht="22.5" customHeight="1">
      <c r="A1391" s="10">
        <v>46263.95442016204</v>
      </c>
      <c r="B1391" s="11" t="s">
        <v>7734</v>
      </c>
      <c r="C1391" s="11" t="s">
        <v>1320</v>
      </c>
      <c r="D1391" s="11" t="s">
        <v>68</v>
      </c>
      <c r="E1391" s="12">
        <v>46263.0</v>
      </c>
      <c r="F1391" s="12">
        <v>46294.0</v>
      </c>
      <c r="G1391" s="11" t="s">
        <v>7735</v>
      </c>
      <c r="H1391" s="11">
        <v>7.051725169E9</v>
      </c>
      <c r="I1391" s="11" t="s">
        <v>82</v>
      </c>
      <c r="J1391" s="11" t="s">
        <v>71</v>
      </c>
      <c r="K1391" s="11" t="s">
        <v>356</v>
      </c>
      <c r="L1391" s="11" t="s">
        <v>131</v>
      </c>
      <c r="M1391" s="11" t="s">
        <v>7736</v>
      </c>
      <c r="N1391" s="11" t="s">
        <v>75</v>
      </c>
      <c r="O1391" s="11" t="s">
        <v>71</v>
      </c>
      <c r="P1391" s="11" t="s">
        <v>7737</v>
      </c>
      <c r="Q1391" s="13" t="s">
        <v>7738</v>
      </c>
      <c r="R1391" s="14" t="str">
        <f>HYPERLINK("https://drive.google.com/file/d/1aR5e2GsWYk-wnTnFUIrBMkkQzbWjZTE5/view?usp=drivesdk","OFFER LETTER")</f>
        <v>OFFER LETTER</v>
      </c>
      <c r="S1391" s="11" t="s">
        <v>7739</v>
      </c>
    </row>
    <row r="1392" ht="22.5" customHeight="1">
      <c r="A1392" s="10">
        <v>46263.957702569445</v>
      </c>
      <c r="B1392" s="11" t="s">
        <v>7740</v>
      </c>
      <c r="C1392" s="11" t="s">
        <v>80</v>
      </c>
      <c r="D1392" s="11" t="s">
        <v>68</v>
      </c>
      <c r="E1392" s="12">
        <v>46204.0</v>
      </c>
      <c r="F1392" s="12">
        <v>46234.0</v>
      </c>
      <c r="G1392" s="11" t="s">
        <v>7741</v>
      </c>
      <c r="H1392" s="11">
        <v>8.265099092E9</v>
      </c>
      <c r="I1392" s="11" t="s">
        <v>70</v>
      </c>
      <c r="J1392" s="11" t="s">
        <v>71</v>
      </c>
      <c r="K1392" s="11" t="s">
        <v>72</v>
      </c>
      <c r="L1392" s="11" t="s">
        <v>131</v>
      </c>
      <c r="M1392" s="11" t="s">
        <v>7742</v>
      </c>
      <c r="N1392" s="11" t="s">
        <v>75</v>
      </c>
      <c r="O1392" s="11" t="s">
        <v>71</v>
      </c>
      <c r="P1392" s="11" t="s">
        <v>7743</v>
      </c>
      <c r="Q1392" s="13" t="s">
        <v>7744</v>
      </c>
      <c r="R1392" s="14" t="str">
        <f>HYPERLINK("https://drive.google.com/file/d/1BHmPw6mjGvgcpO-3RBDI4vGsEpppr302/view?usp=drivesdk","OFFER LETTER")</f>
        <v>OFFER LETTER</v>
      </c>
      <c r="S1392" s="11" t="s">
        <v>7745</v>
      </c>
    </row>
    <row r="1393" ht="22.5" customHeight="1">
      <c r="A1393" s="10">
        <v>46263.95876873843</v>
      </c>
      <c r="B1393" s="11" t="s">
        <v>7746</v>
      </c>
      <c r="C1393" s="11" t="s">
        <v>173</v>
      </c>
      <c r="D1393" s="11" t="s">
        <v>68</v>
      </c>
      <c r="E1393" s="12">
        <v>46223.0</v>
      </c>
      <c r="F1393" s="12">
        <v>46253.0</v>
      </c>
      <c r="G1393" s="11" t="s">
        <v>7747</v>
      </c>
      <c r="H1393" s="11">
        <v>7.979778466E9</v>
      </c>
      <c r="I1393" s="11" t="s">
        <v>82</v>
      </c>
      <c r="J1393" s="11" t="s">
        <v>71</v>
      </c>
      <c r="K1393" s="11" t="s">
        <v>72</v>
      </c>
      <c r="L1393" s="11" t="s">
        <v>84</v>
      </c>
      <c r="M1393" s="11" t="s">
        <v>7748</v>
      </c>
      <c r="N1393" s="11" t="s">
        <v>86</v>
      </c>
      <c r="O1393" s="11" t="s">
        <v>71</v>
      </c>
      <c r="P1393" s="11" t="s">
        <v>7749</v>
      </c>
      <c r="Q1393" s="13" t="s">
        <v>7750</v>
      </c>
      <c r="R1393" s="14" t="str">
        <f>HYPERLINK("https://drive.google.com/file/d/1xLEyzY3V-JpqKLupm2AQnL_eQqhiAZUc/view?usp=drivesdk","OFFER LETTER")</f>
        <v>OFFER LETTER</v>
      </c>
      <c r="S1393" s="11" t="s">
        <v>7751</v>
      </c>
    </row>
    <row r="1394" ht="22.5" customHeight="1">
      <c r="A1394" s="10">
        <v>46263.95888196759</v>
      </c>
      <c r="B1394" s="11" t="s">
        <v>7752</v>
      </c>
      <c r="C1394" s="11" t="s">
        <v>195</v>
      </c>
      <c r="D1394" s="11" t="s">
        <v>68</v>
      </c>
      <c r="E1394" s="12">
        <v>46263.0</v>
      </c>
      <c r="F1394" s="12">
        <v>46294.0</v>
      </c>
      <c r="G1394" s="11" t="s">
        <v>7753</v>
      </c>
      <c r="H1394" s="11">
        <v>9.392097994E9</v>
      </c>
      <c r="I1394" s="11" t="s">
        <v>82</v>
      </c>
      <c r="J1394" s="11" t="s">
        <v>71</v>
      </c>
      <c r="K1394" s="11" t="s">
        <v>72</v>
      </c>
      <c r="L1394" s="11" t="s">
        <v>84</v>
      </c>
      <c r="M1394" s="11" t="s">
        <v>7754</v>
      </c>
      <c r="N1394" s="11" t="s">
        <v>75</v>
      </c>
      <c r="O1394" s="11" t="s">
        <v>71</v>
      </c>
      <c r="P1394" s="11" t="s">
        <v>7755</v>
      </c>
      <c r="Q1394" s="13" t="s">
        <v>7756</v>
      </c>
      <c r="R1394" s="14" t="str">
        <f>HYPERLINK("https://drive.google.com/file/d/1q-wtjnbBBlGSEJrGKOwxGhAXGrl3vp8J/view?usp=drivesdk","OFFER LETTER")</f>
        <v>OFFER LETTER</v>
      </c>
      <c r="S1394" s="11" t="s">
        <v>7757</v>
      </c>
    </row>
    <row r="1395" ht="22.5" customHeight="1">
      <c r="A1395" s="10">
        <v>46263.9619502662</v>
      </c>
      <c r="B1395" s="11" t="s">
        <v>7758</v>
      </c>
      <c r="C1395" s="11" t="s">
        <v>173</v>
      </c>
      <c r="D1395" s="11" t="s">
        <v>68</v>
      </c>
      <c r="E1395" s="12">
        <v>46235.0</v>
      </c>
      <c r="F1395" s="12">
        <v>46263.0</v>
      </c>
      <c r="G1395" s="11" t="s">
        <v>7759</v>
      </c>
      <c r="H1395" s="11">
        <v>9.100412204E9</v>
      </c>
      <c r="I1395" s="11" t="s">
        <v>70</v>
      </c>
      <c r="J1395" s="11" t="s">
        <v>71</v>
      </c>
      <c r="K1395" s="11" t="s">
        <v>72</v>
      </c>
      <c r="L1395" s="11" t="s">
        <v>131</v>
      </c>
      <c r="M1395" s="11" t="s">
        <v>7760</v>
      </c>
      <c r="N1395" s="11" t="s">
        <v>241</v>
      </c>
      <c r="O1395" s="11" t="s">
        <v>71</v>
      </c>
      <c r="P1395" s="11" t="s">
        <v>7761</v>
      </c>
      <c r="Q1395" s="13" t="s">
        <v>7762</v>
      </c>
      <c r="R1395" s="14" t="str">
        <f>HYPERLINK("https://drive.google.com/file/d/1iGv1A9-ntgkv6JYKSsUjzOq_aI_iXGus/view?usp=drivesdk","OFFER LETTER")</f>
        <v>OFFER LETTER</v>
      </c>
      <c r="S1395" s="11" t="s">
        <v>7763</v>
      </c>
    </row>
    <row r="1396" ht="22.5" customHeight="1">
      <c r="A1396" s="10">
        <v>46263.963906273144</v>
      </c>
      <c r="B1396" s="11" t="s">
        <v>7346</v>
      </c>
      <c r="C1396" s="11" t="s">
        <v>195</v>
      </c>
      <c r="D1396" s="11" t="s">
        <v>108</v>
      </c>
      <c r="E1396" s="12">
        <v>46183.0</v>
      </c>
      <c r="F1396" s="12">
        <v>46975.0</v>
      </c>
      <c r="G1396" s="11" t="s">
        <v>7347</v>
      </c>
      <c r="H1396" s="11">
        <v>9.548377942E9</v>
      </c>
      <c r="I1396" s="11" t="s">
        <v>82</v>
      </c>
      <c r="J1396" s="11" t="s">
        <v>71</v>
      </c>
      <c r="K1396" s="11" t="s">
        <v>72</v>
      </c>
      <c r="L1396" s="11" t="s">
        <v>131</v>
      </c>
      <c r="M1396" s="11" t="s">
        <v>493</v>
      </c>
      <c r="N1396" s="11" t="s">
        <v>75</v>
      </c>
      <c r="O1396" s="11" t="s">
        <v>71</v>
      </c>
      <c r="P1396" s="11" t="s">
        <v>7764</v>
      </c>
      <c r="Q1396" s="13" t="s">
        <v>7765</v>
      </c>
      <c r="R1396" s="14" t="str">
        <f>HYPERLINK("https://drive.google.com/file/d/1mXYYBF8ErpYRJY4zgtuEkMF3vvbV6Lwv/view?usp=drivesdk","OFFER LETTER")</f>
        <v>OFFER LETTER</v>
      </c>
      <c r="S1396" s="11" t="s">
        <v>7766</v>
      </c>
    </row>
    <row r="1397" ht="22.5" customHeight="1">
      <c r="A1397" s="10">
        <v>46263.97165519676</v>
      </c>
      <c r="B1397" s="11" t="s">
        <v>7767</v>
      </c>
      <c r="C1397" s="11" t="s">
        <v>107</v>
      </c>
      <c r="D1397" s="11" t="s">
        <v>68</v>
      </c>
      <c r="E1397" s="12">
        <v>46266.0</v>
      </c>
      <c r="F1397" s="12">
        <v>46295.0</v>
      </c>
      <c r="G1397" s="11" t="s">
        <v>7768</v>
      </c>
      <c r="H1397" s="11">
        <v>9.893150158E9</v>
      </c>
      <c r="I1397" s="11" t="s">
        <v>82</v>
      </c>
      <c r="J1397" s="11" t="s">
        <v>71</v>
      </c>
      <c r="K1397" s="11" t="s">
        <v>167</v>
      </c>
      <c r="L1397" s="11" t="s">
        <v>84</v>
      </c>
      <c r="M1397" s="11" t="s">
        <v>7769</v>
      </c>
      <c r="N1397" s="11" t="s">
        <v>75</v>
      </c>
      <c r="O1397" s="11" t="s">
        <v>71</v>
      </c>
      <c r="P1397" s="11" t="s">
        <v>7770</v>
      </c>
      <c r="Q1397" s="13" t="s">
        <v>7771</v>
      </c>
      <c r="R1397" s="14" t="str">
        <f>HYPERLINK("https://drive.google.com/file/d/1LbDEeFnmZA8I4t_7YBiNIbHJR7GKi7j8/view?usp=drivesdk","OFFER LETTER")</f>
        <v>OFFER LETTER</v>
      </c>
      <c r="S1397" s="11" t="s">
        <v>7772</v>
      </c>
    </row>
    <row r="1398" ht="22.5" customHeight="1">
      <c r="A1398" s="10">
        <v>46263.974740694444</v>
      </c>
      <c r="B1398" s="11" t="s">
        <v>7773</v>
      </c>
      <c r="C1398" s="11" t="s">
        <v>173</v>
      </c>
      <c r="D1398" s="11" t="s">
        <v>68</v>
      </c>
      <c r="E1398" s="12">
        <v>46228.0</v>
      </c>
      <c r="F1398" s="12">
        <v>46259.0</v>
      </c>
      <c r="G1398" s="11" t="s">
        <v>7774</v>
      </c>
      <c r="H1398" s="11">
        <v>9.424522072E9</v>
      </c>
      <c r="I1398" s="11" t="s">
        <v>82</v>
      </c>
      <c r="J1398" s="11" t="s">
        <v>83</v>
      </c>
      <c r="K1398" s="11" t="s">
        <v>72</v>
      </c>
      <c r="L1398" s="11" t="s">
        <v>84</v>
      </c>
      <c r="M1398" s="11" t="s">
        <v>1322</v>
      </c>
      <c r="N1398" s="11" t="s">
        <v>86</v>
      </c>
      <c r="O1398" s="11" t="s">
        <v>71</v>
      </c>
      <c r="P1398" s="11" t="s">
        <v>7775</v>
      </c>
      <c r="Q1398" s="13" t="s">
        <v>7776</v>
      </c>
      <c r="R1398" s="14" t="str">
        <f>HYPERLINK("https://drive.google.com/file/d/1WG91BCVw7tMeMDlf0-fjFFLVJMDJLZ2I/view?usp=drivesdk","OFFER LETTER")</f>
        <v>OFFER LETTER</v>
      </c>
      <c r="S1398" s="11" t="s">
        <v>7777</v>
      </c>
    </row>
    <row r="1399" ht="22.5" customHeight="1">
      <c r="A1399" s="10">
        <v>46263.974776041665</v>
      </c>
      <c r="B1399" s="11" t="s">
        <v>7778</v>
      </c>
      <c r="C1399" s="11" t="s">
        <v>107</v>
      </c>
      <c r="D1399" s="11" t="s">
        <v>68</v>
      </c>
      <c r="E1399" s="12">
        <v>46266.0</v>
      </c>
      <c r="F1399" s="12">
        <v>46326.0</v>
      </c>
      <c r="G1399" s="11" t="s">
        <v>7431</v>
      </c>
      <c r="H1399" s="11">
        <v>7.426986646E9</v>
      </c>
      <c r="I1399" s="11" t="s">
        <v>82</v>
      </c>
      <c r="J1399" s="11" t="s">
        <v>130</v>
      </c>
      <c r="K1399" s="11" t="s">
        <v>167</v>
      </c>
      <c r="L1399" s="11" t="s">
        <v>73</v>
      </c>
      <c r="M1399" s="11" t="s">
        <v>7432</v>
      </c>
      <c r="N1399" s="11" t="s">
        <v>241</v>
      </c>
      <c r="O1399" s="11" t="s">
        <v>71</v>
      </c>
      <c r="P1399" s="11" t="s">
        <v>7779</v>
      </c>
      <c r="Q1399" s="13" t="s">
        <v>7780</v>
      </c>
      <c r="R1399" s="14" t="str">
        <f>HYPERLINK("https://drive.google.com/file/d/1BmEm74QDR3_QZkLbzQtFipGN-6fEi0GF/view?usp=drivesdk","OFFER LETTER")</f>
        <v>OFFER LETTER</v>
      </c>
      <c r="S1399" s="11" t="s">
        <v>7781</v>
      </c>
    </row>
    <row r="1400" ht="22.5" customHeight="1">
      <c r="A1400" s="10">
        <v>46263.975330243054</v>
      </c>
      <c r="B1400" s="11" t="s">
        <v>7782</v>
      </c>
      <c r="C1400" s="11" t="s">
        <v>107</v>
      </c>
      <c r="D1400" s="11" t="s">
        <v>108</v>
      </c>
      <c r="E1400" s="12">
        <v>46170.0</v>
      </c>
      <c r="F1400" s="12">
        <v>46231.0</v>
      </c>
      <c r="G1400" s="11" t="s">
        <v>7783</v>
      </c>
      <c r="H1400" s="11">
        <v>8.897149814E9</v>
      </c>
      <c r="I1400" s="11" t="s">
        <v>82</v>
      </c>
      <c r="J1400" s="11" t="s">
        <v>71</v>
      </c>
      <c r="K1400" s="11" t="s">
        <v>72</v>
      </c>
      <c r="L1400" s="11" t="s">
        <v>73</v>
      </c>
      <c r="M1400" s="11" t="s">
        <v>2299</v>
      </c>
      <c r="N1400" s="11" t="s">
        <v>198</v>
      </c>
      <c r="O1400" s="11" t="s">
        <v>71</v>
      </c>
      <c r="P1400" s="11" t="s">
        <v>7784</v>
      </c>
      <c r="Q1400" s="13" t="s">
        <v>7785</v>
      </c>
      <c r="R1400" s="14" t="str">
        <f>HYPERLINK("https://drive.google.com/file/d/117a0uRTWURv4ul3WQp7WUMjweNDwCuaB/view?usp=drivesdk","OFFER LETTER")</f>
        <v>OFFER LETTER</v>
      </c>
      <c r="S1400" s="11" t="s">
        <v>7786</v>
      </c>
    </row>
    <row r="1401" ht="22.5" customHeight="1">
      <c r="A1401" s="10">
        <v>46263.97535197917</v>
      </c>
      <c r="B1401" s="11" t="s">
        <v>7787</v>
      </c>
      <c r="C1401" s="11" t="s">
        <v>195</v>
      </c>
      <c r="D1401" s="11" t="s">
        <v>68</v>
      </c>
      <c r="E1401" s="12">
        <v>46198.0</v>
      </c>
      <c r="F1401" s="12">
        <v>46228.0</v>
      </c>
      <c r="G1401" s="11" t="s">
        <v>7788</v>
      </c>
      <c r="H1401" s="11">
        <v>9.871342292E9</v>
      </c>
      <c r="I1401" s="11" t="s">
        <v>82</v>
      </c>
      <c r="J1401" s="11" t="s">
        <v>71</v>
      </c>
      <c r="K1401" s="11" t="s">
        <v>72</v>
      </c>
      <c r="L1401" s="11" t="s">
        <v>84</v>
      </c>
      <c r="M1401" s="11" t="s">
        <v>7789</v>
      </c>
      <c r="N1401" s="11" t="s">
        <v>86</v>
      </c>
      <c r="O1401" s="11" t="s">
        <v>71</v>
      </c>
      <c r="P1401" s="11" t="s">
        <v>7790</v>
      </c>
      <c r="Q1401" s="13" t="s">
        <v>7791</v>
      </c>
      <c r="R1401" s="14" t="str">
        <f>HYPERLINK("https://drive.google.com/file/d/11H2ZBypcxd0nawE3aaTT9BXvIh0gPcEz/view?usp=drivesdk","OFFER LETTER")</f>
        <v>OFFER LETTER</v>
      </c>
      <c r="S1401" s="11" t="s">
        <v>7792</v>
      </c>
    </row>
    <row r="1402" ht="22.5" customHeight="1">
      <c r="A1402" s="10">
        <v>46263.976697499995</v>
      </c>
      <c r="B1402" s="11" t="s">
        <v>7793</v>
      </c>
      <c r="C1402" s="11" t="s">
        <v>195</v>
      </c>
      <c r="D1402" s="11" t="s">
        <v>68</v>
      </c>
      <c r="E1402" s="12">
        <v>46266.0</v>
      </c>
      <c r="F1402" s="12">
        <v>46296.0</v>
      </c>
      <c r="G1402" s="11" t="s">
        <v>7794</v>
      </c>
      <c r="H1402" s="11">
        <v>7.075977543E9</v>
      </c>
      <c r="I1402" s="11" t="s">
        <v>70</v>
      </c>
      <c r="J1402" s="11" t="s">
        <v>71</v>
      </c>
      <c r="K1402" s="11" t="s">
        <v>72</v>
      </c>
      <c r="L1402" s="11" t="s">
        <v>73</v>
      </c>
      <c r="M1402" s="11" t="s">
        <v>7795</v>
      </c>
      <c r="N1402" s="11" t="s">
        <v>1641</v>
      </c>
      <c r="O1402" s="11" t="s">
        <v>71</v>
      </c>
      <c r="P1402" s="11" t="s">
        <v>7796</v>
      </c>
      <c r="Q1402" s="13" t="s">
        <v>7797</v>
      </c>
      <c r="R1402" s="14" t="str">
        <f>HYPERLINK("https://drive.google.com/file/d/1G7SPF4avGxdGWrZj4lVrTI6SfZrvmEMN/view?usp=drivesdk","OFFER LETTER")</f>
        <v>OFFER LETTER</v>
      </c>
      <c r="S1402" s="11" t="s">
        <v>7798</v>
      </c>
    </row>
    <row r="1403" ht="22.5" customHeight="1">
      <c r="A1403" s="10">
        <v>46263.98038800926</v>
      </c>
      <c r="B1403" s="11" t="s">
        <v>7799</v>
      </c>
      <c r="C1403" s="11" t="s">
        <v>91</v>
      </c>
      <c r="D1403" s="11" t="s">
        <v>929</v>
      </c>
      <c r="E1403" s="12">
        <v>46297.0</v>
      </c>
      <c r="F1403" s="12">
        <v>46303.0</v>
      </c>
      <c r="G1403" s="11" t="s">
        <v>7800</v>
      </c>
      <c r="H1403" s="11">
        <v>9.339819049E9</v>
      </c>
      <c r="I1403" s="11" t="s">
        <v>82</v>
      </c>
      <c r="J1403" s="11" t="s">
        <v>71</v>
      </c>
      <c r="K1403" s="11" t="s">
        <v>72</v>
      </c>
      <c r="L1403" s="11" t="s">
        <v>73</v>
      </c>
      <c r="M1403" s="11" t="s">
        <v>886</v>
      </c>
      <c r="N1403" s="11" t="s">
        <v>655</v>
      </c>
      <c r="O1403" s="11" t="s">
        <v>71</v>
      </c>
      <c r="P1403" s="11" t="s">
        <v>7801</v>
      </c>
      <c r="Q1403" s="13" t="s">
        <v>7802</v>
      </c>
      <c r="R1403" s="14" t="str">
        <f>HYPERLINK("https://drive.google.com/file/d/1G0XLbjKTNbKGEnzyCkeK1wBmEJZahsD5/view?usp=drivesdk","OFFER LETTER")</f>
        <v>OFFER LETTER</v>
      </c>
      <c r="S1403" s="11" t="s">
        <v>7803</v>
      </c>
    </row>
    <row r="1404" ht="22.5" customHeight="1">
      <c r="A1404" s="10">
        <v>46263.98511966435</v>
      </c>
      <c r="B1404" s="11" t="s">
        <v>7804</v>
      </c>
      <c r="C1404" s="11" t="s">
        <v>173</v>
      </c>
      <c r="D1404" s="11" t="s">
        <v>68</v>
      </c>
      <c r="E1404" s="12">
        <v>46181.0</v>
      </c>
      <c r="F1404" s="12">
        <v>46211.0</v>
      </c>
      <c r="G1404" s="11" t="s">
        <v>7805</v>
      </c>
      <c r="H1404" s="11">
        <v>8.355006133E9</v>
      </c>
      <c r="I1404" s="11" t="s">
        <v>82</v>
      </c>
      <c r="J1404" s="11" t="s">
        <v>71</v>
      </c>
      <c r="K1404" s="11" t="s">
        <v>72</v>
      </c>
      <c r="L1404" s="11" t="s">
        <v>84</v>
      </c>
      <c r="M1404" s="11" t="s">
        <v>886</v>
      </c>
      <c r="N1404" s="11" t="s">
        <v>86</v>
      </c>
      <c r="O1404" s="11" t="s">
        <v>71</v>
      </c>
      <c r="P1404" s="11" t="s">
        <v>7806</v>
      </c>
      <c r="Q1404" s="13" t="s">
        <v>7807</v>
      </c>
      <c r="R1404" s="14" t="str">
        <f>HYPERLINK("https://drive.google.com/file/d/1q4jsu3FlEJfcoNJUIobJauGofg4MNwRy/view?usp=drivesdk","OFFER LETTER")</f>
        <v>OFFER LETTER</v>
      </c>
      <c r="S1404" s="11" t="s">
        <v>7808</v>
      </c>
    </row>
    <row r="1405" ht="22.5" customHeight="1">
      <c r="A1405" s="10">
        <v>46263.98793546297</v>
      </c>
      <c r="B1405" s="11" t="s">
        <v>7809</v>
      </c>
      <c r="C1405" s="11" t="s">
        <v>173</v>
      </c>
      <c r="D1405" s="11" t="s">
        <v>68</v>
      </c>
      <c r="E1405" s="12">
        <v>46224.0</v>
      </c>
      <c r="F1405" s="12">
        <v>46253.0</v>
      </c>
      <c r="G1405" s="11" t="s">
        <v>7810</v>
      </c>
      <c r="H1405" s="11">
        <v>7.060993929E9</v>
      </c>
      <c r="I1405" s="11" t="s">
        <v>82</v>
      </c>
      <c r="J1405" s="11" t="s">
        <v>71</v>
      </c>
      <c r="K1405" s="11" t="s">
        <v>72</v>
      </c>
      <c r="L1405" s="11" t="s">
        <v>131</v>
      </c>
      <c r="M1405" s="11" t="s">
        <v>493</v>
      </c>
      <c r="N1405" s="11" t="s">
        <v>655</v>
      </c>
      <c r="O1405" s="11" t="s">
        <v>71</v>
      </c>
      <c r="P1405" s="11" t="s">
        <v>7811</v>
      </c>
      <c r="Q1405" s="13" t="s">
        <v>7812</v>
      </c>
      <c r="R1405" s="14" t="str">
        <f>HYPERLINK("https://drive.google.com/file/d/1qCu6V5eUjw26d0jwJbt_a3hgR-n4YtMj/view?usp=drivesdk","OFFER LETTER")</f>
        <v>OFFER LETTER</v>
      </c>
      <c r="S1405" s="11" t="s">
        <v>7813</v>
      </c>
    </row>
    <row r="1406" ht="22.5" customHeight="1">
      <c r="A1406" s="10">
        <v>46263.994372256944</v>
      </c>
      <c r="B1406" s="11" t="s">
        <v>7814</v>
      </c>
      <c r="C1406" s="11" t="s">
        <v>298</v>
      </c>
      <c r="D1406" s="11" t="s">
        <v>68</v>
      </c>
      <c r="E1406" s="12">
        <v>46186.0</v>
      </c>
      <c r="F1406" s="12">
        <v>46216.0</v>
      </c>
      <c r="G1406" s="11" t="s">
        <v>7815</v>
      </c>
      <c r="H1406" s="11">
        <v>9.883748384E9</v>
      </c>
      <c r="I1406" s="11" t="s">
        <v>82</v>
      </c>
      <c r="J1406" s="11" t="s">
        <v>71</v>
      </c>
      <c r="K1406" s="11" t="s">
        <v>72</v>
      </c>
      <c r="L1406" s="11" t="s">
        <v>84</v>
      </c>
      <c r="M1406" s="11" t="s">
        <v>2655</v>
      </c>
      <c r="N1406" s="11" t="s">
        <v>630</v>
      </c>
      <c r="O1406" s="11" t="s">
        <v>71</v>
      </c>
      <c r="P1406" s="11" t="s">
        <v>7816</v>
      </c>
      <c r="Q1406" s="13" t="s">
        <v>7817</v>
      </c>
      <c r="R1406" s="14" t="str">
        <f>HYPERLINK("https://drive.google.com/file/d/1CbarSd2lhGjE4N2UnpZrNHoR8rn88utr/view?usp=drivesdk","OFFER LETTER")</f>
        <v>OFFER LETTER</v>
      </c>
      <c r="S1406" s="11" t="s">
        <v>7818</v>
      </c>
    </row>
    <row r="1407" ht="22.5" customHeight="1">
      <c r="A1407" s="10">
        <v>46263.99671753473</v>
      </c>
      <c r="B1407" s="11" t="s">
        <v>7819</v>
      </c>
      <c r="C1407" s="11" t="s">
        <v>195</v>
      </c>
      <c r="D1407" s="11" t="s">
        <v>238</v>
      </c>
      <c r="E1407" s="12">
        <v>46266.0</v>
      </c>
      <c r="F1407" s="12">
        <v>46356.0</v>
      </c>
      <c r="G1407" s="11" t="s">
        <v>7820</v>
      </c>
      <c r="H1407" s="11">
        <v>9.623107615E9</v>
      </c>
      <c r="I1407" s="11" t="s">
        <v>70</v>
      </c>
      <c r="J1407" s="11" t="s">
        <v>71</v>
      </c>
      <c r="K1407" s="11" t="s">
        <v>72</v>
      </c>
      <c r="L1407" s="11" t="s">
        <v>73</v>
      </c>
      <c r="M1407" s="11" t="s">
        <v>7821</v>
      </c>
      <c r="N1407" s="11" t="s">
        <v>241</v>
      </c>
      <c r="O1407" s="11" t="s">
        <v>71</v>
      </c>
      <c r="P1407" s="11" t="s">
        <v>7822</v>
      </c>
      <c r="Q1407" s="13" t="s">
        <v>7823</v>
      </c>
      <c r="R1407" s="14" t="str">
        <f>HYPERLINK("https://drive.google.com/file/d/1WdFO2l8-ZR_cJvKzQJ-wHy-Bccqu192w/view?usp=drivesdk","OFFER LETTER")</f>
        <v>OFFER LETTER</v>
      </c>
      <c r="S1407" s="11" t="s">
        <v>7824</v>
      </c>
    </row>
    <row r="1408" ht="22.5" customHeight="1">
      <c r="A1408" s="10">
        <v>46264.008079120365</v>
      </c>
      <c r="B1408" s="11" t="s">
        <v>7825</v>
      </c>
      <c r="C1408" s="11" t="s">
        <v>195</v>
      </c>
      <c r="D1408" s="11" t="s">
        <v>68</v>
      </c>
      <c r="E1408" s="12">
        <v>46220.0</v>
      </c>
      <c r="F1408" s="12">
        <v>46251.0</v>
      </c>
      <c r="G1408" s="11" t="s">
        <v>7826</v>
      </c>
      <c r="H1408" s="11">
        <v>8.052602201E9</v>
      </c>
      <c r="I1408" s="11" t="s">
        <v>82</v>
      </c>
      <c r="J1408" s="11" t="s">
        <v>71</v>
      </c>
      <c r="K1408" s="11" t="s">
        <v>72</v>
      </c>
      <c r="L1408" s="11" t="s">
        <v>84</v>
      </c>
      <c r="M1408" s="11" t="s">
        <v>7642</v>
      </c>
      <c r="N1408" s="11" t="s">
        <v>7827</v>
      </c>
      <c r="O1408" s="11" t="s">
        <v>71</v>
      </c>
      <c r="P1408" s="11" t="s">
        <v>7828</v>
      </c>
      <c r="Q1408" s="13" t="s">
        <v>7829</v>
      </c>
      <c r="R1408" s="14" t="str">
        <f>HYPERLINK("https://drive.google.com/file/d/1GPRJvsZUpYMNZvsgk2WvklONvrL_sJuG/view?usp=drivesdk","OFFER LETTER")</f>
        <v>OFFER LETTER</v>
      </c>
      <c r="S1408" s="11" t="s">
        <v>7830</v>
      </c>
    </row>
    <row r="1409" ht="22.5" customHeight="1">
      <c r="A1409" s="10">
        <v>46264.010619988425</v>
      </c>
      <c r="B1409" s="11" t="s">
        <v>7831</v>
      </c>
      <c r="C1409" s="11" t="s">
        <v>67</v>
      </c>
      <c r="D1409" s="11" t="s">
        <v>68</v>
      </c>
      <c r="E1409" s="12">
        <v>46235.0</v>
      </c>
      <c r="F1409" s="12">
        <v>46264.0</v>
      </c>
      <c r="G1409" s="11" t="s">
        <v>7832</v>
      </c>
      <c r="H1409" s="11">
        <v>8.470889512E9</v>
      </c>
      <c r="I1409" s="11" t="s">
        <v>82</v>
      </c>
      <c r="J1409" s="11" t="s">
        <v>71</v>
      </c>
      <c r="K1409" s="11" t="s">
        <v>72</v>
      </c>
      <c r="L1409" s="11" t="s">
        <v>84</v>
      </c>
      <c r="M1409" s="11" t="s">
        <v>886</v>
      </c>
      <c r="N1409" s="11" t="s">
        <v>86</v>
      </c>
      <c r="O1409" s="11" t="s">
        <v>71</v>
      </c>
      <c r="P1409" s="11" t="s">
        <v>7833</v>
      </c>
      <c r="Q1409" s="13" t="s">
        <v>7834</v>
      </c>
      <c r="R1409" s="14" t="str">
        <f>HYPERLINK("https://drive.google.com/file/d/1xvs1SdHBOAQEn75CK4SrEZv0bIMLUg5h/view?usp=drivesdk","OFFER LETTER")</f>
        <v>OFFER LETTER</v>
      </c>
      <c r="S1409" s="11" t="s">
        <v>7835</v>
      </c>
    </row>
    <row r="1410" ht="22.5" customHeight="1">
      <c r="A1410" s="10">
        <v>46264.02032038194</v>
      </c>
      <c r="B1410" s="11" t="s">
        <v>7836</v>
      </c>
      <c r="C1410" s="11" t="s">
        <v>259</v>
      </c>
      <c r="D1410" s="11" t="s">
        <v>68</v>
      </c>
      <c r="E1410" s="12">
        <v>46235.0</v>
      </c>
      <c r="F1410" s="12">
        <v>46264.0</v>
      </c>
      <c r="G1410" s="11" t="s">
        <v>7837</v>
      </c>
      <c r="H1410" s="11">
        <v>8.778964007E9</v>
      </c>
      <c r="I1410" s="11" t="s">
        <v>82</v>
      </c>
      <c r="J1410" s="11" t="s">
        <v>71</v>
      </c>
      <c r="K1410" s="11" t="s">
        <v>72</v>
      </c>
      <c r="L1410" s="11" t="s">
        <v>84</v>
      </c>
      <c r="M1410" s="11" t="s">
        <v>7463</v>
      </c>
      <c r="N1410" s="11" t="s">
        <v>86</v>
      </c>
      <c r="O1410" s="11" t="s">
        <v>71</v>
      </c>
      <c r="P1410" s="11" t="s">
        <v>7838</v>
      </c>
      <c r="Q1410" s="13" t="s">
        <v>7839</v>
      </c>
      <c r="R1410" s="14" t="str">
        <f>HYPERLINK("https://drive.google.com/file/d/1YOeljPSuO7d_ETnfK2qFPTwEzHEDLsuM/view?usp=drivesdk","OFFER LETTER")</f>
        <v>OFFER LETTER</v>
      </c>
      <c r="S1410" s="11" t="s">
        <v>7840</v>
      </c>
    </row>
    <row r="1411" ht="22.5" customHeight="1">
      <c r="A1411" s="10">
        <v>46264.022723981485</v>
      </c>
      <c r="B1411" s="11" t="s">
        <v>7841</v>
      </c>
      <c r="C1411" s="11" t="s">
        <v>173</v>
      </c>
      <c r="D1411" s="11" t="s">
        <v>68</v>
      </c>
      <c r="E1411" s="12">
        <v>46216.0</v>
      </c>
      <c r="F1411" s="12">
        <v>46244.0</v>
      </c>
      <c r="G1411" s="11" t="s">
        <v>7842</v>
      </c>
      <c r="H1411" s="11">
        <v>7.906763347E9</v>
      </c>
      <c r="I1411" s="11" t="s">
        <v>82</v>
      </c>
      <c r="J1411" s="11" t="s">
        <v>83</v>
      </c>
      <c r="K1411" s="11" t="s">
        <v>72</v>
      </c>
      <c r="L1411" s="11" t="s">
        <v>131</v>
      </c>
      <c r="M1411" s="11" t="s">
        <v>493</v>
      </c>
      <c r="N1411" s="11" t="s">
        <v>655</v>
      </c>
      <c r="O1411" s="11" t="s">
        <v>71</v>
      </c>
      <c r="P1411" s="11" t="s">
        <v>7843</v>
      </c>
      <c r="Q1411" s="13" t="s">
        <v>7844</v>
      </c>
      <c r="R1411" s="14" t="str">
        <f>HYPERLINK("https://drive.google.com/file/d/1q9fJL_nhe-wO6OQQLTrDOVCdtG5zUsmD/view?usp=drivesdk","OFFER LETTER")</f>
        <v>OFFER LETTER</v>
      </c>
      <c r="S1411" s="11" t="s">
        <v>7845</v>
      </c>
    </row>
    <row r="1412" ht="22.5" customHeight="1">
      <c r="A1412" s="10">
        <v>46264.02618417824</v>
      </c>
      <c r="B1412" s="11" t="s">
        <v>7846</v>
      </c>
      <c r="C1412" s="11" t="s">
        <v>173</v>
      </c>
      <c r="D1412" s="11" t="s">
        <v>68</v>
      </c>
      <c r="E1412" s="12">
        <v>46204.0</v>
      </c>
      <c r="F1412" s="12">
        <v>46234.0</v>
      </c>
      <c r="G1412" s="11" t="s">
        <v>7847</v>
      </c>
      <c r="H1412" s="11">
        <v>9.027100151E9</v>
      </c>
      <c r="I1412" s="11" t="s">
        <v>82</v>
      </c>
      <c r="J1412" s="11" t="s">
        <v>71</v>
      </c>
      <c r="K1412" s="11" t="s">
        <v>72</v>
      </c>
      <c r="L1412" s="11" t="s">
        <v>131</v>
      </c>
      <c r="M1412" s="11" t="s">
        <v>7848</v>
      </c>
      <c r="N1412" s="11" t="s">
        <v>86</v>
      </c>
      <c r="O1412" s="11" t="s">
        <v>71</v>
      </c>
      <c r="P1412" s="11" t="s">
        <v>7849</v>
      </c>
      <c r="Q1412" s="13" t="s">
        <v>7850</v>
      </c>
      <c r="R1412" s="14" t="str">
        <f>HYPERLINK("https://drive.google.com/file/d/1TYdrYEfubvTxGRkFFg-Ab_YhRItcqBdn/view?usp=drivesdk","OFFER LETTER")</f>
        <v>OFFER LETTER</v>
      </c>
      <c r="S1412" s="11" t="s">
        <v>7851</v>
      </c>
    </row>
    <row r="1413" ht="22.5" customHeight="1">
      <c r="A1413" s="10">
        <v>46264.03502136574</v>
      </c>
      <c r="B1413" s="11" t="s">
        <v>7852</v>
      </c>
      <c r="C1413" s="11" t="s">
        <v>195</v>
      </c>
      <c r="D1413" s="11" t="s">
        <v>108</v>
      </c>
      <c r="E1413" s="12">
        <v>46262.0</v>
      </c>
      <c r="F1413" s="12" t="s">
        <v>7853</v>
      </c>
      <c r="G1413" s="11" t="s">
        <v>7854</v>
      </c>
      <c r="H1413" s="11">
        <v>9.356804517E9</v>
      </c>
      <c r="I1413" s="11" t="s">
        <v>82</v>
      </c>
      <c r="J1413" s="11" t="s">
        <v>71</v>
      </c>
      <c r="K1413" s="11" t="s">
        <v>72</v>
      </c>
      <c r="L1413" s="11" t="s">
        <v>131</v>
      </c>
      <c r="M1413" s="11" t="s">
        <v>7855</v>
      </c>
      <c r="N1413" s="11" t="s">
        <v>86</v>
      </c>
      <c r="O1413" s="11" t="s">
        <v>71</v>
      </c>
      <c r="P1413" s="11" t="s">
        <v>7856</v>
      </c>
      <c r="Q1413" s="13" t="s">
        <v>7857</v>
      </c>
      <c r="R1413" s="14" t="str">
        <f>HYPERLINK("https://drive.google.com/file/d/17cjx429HBArXDmlaM9OHZvVckrY79r21/view?usp=drivesdk","OFFER LETTER")</f>
        <v>OFFER LETTER</v>
      </c>
      <c r="S1413" s="11" t="s">
        <v>7858</v>
      </c>
    </row>
    <row r="1414" ht="22.5" customHeight="1">
      <c r="A1414" s="10">
        <v>46264.03662315972</v>
      </c>
      <c r="B1414" s="11" t="s">
        <v>7859</v>
      </c>
      <c r="C1414" s="11" t="s">
        <v>1200</v>
      </c>
      <c r="D1414" s="11" t="s">
        <v>68</v>
      </c>
      <c r="E1414" s="12">
        <v>46208.0</v>
      </c>
      <c r="F1414" s="12">
        <v>46239.0</v>
      </c>
      <c r="G1414" s="11" t="s">
        <v>7860</v>
      </c>
      <c r="H1414" s="11">
        <v>9.47270167E9</v>
      </c>
      <c r="I1414" s="11" t="s">
        <v>70</v>
      </c>
      <c r="J1414" s="11" t="s">
        <v>71</v>
      </c>
      <c r="K1414" s="11" t="s">
        <v>72</v>
      </c>
      <c r="L1414" s="11" t="s">
        <v>84</v>
      </c>
      <c r="M1414" s="11" t="s">
        <v>1073</v>
      </c>
      <c r="N1414" s="11" t="s">
        <v>86</v>
      </c>
      <c r="O1414" s="11" t="s">
        <v>71</v>
      </c>
      <c r="P1414" s="11" t="s">
        <v>7861</v>
      </c>
      <c r="Q1414" s="13" t="s">
        <v>7862</v>
      </c>
      <c r="R1414" s="14" t="str">
        <f>HYPERLINK("https://drive.google.com/file/d/1jm601profNktuJqY07kmCMEIwa-PReAn/view?usp=drivesdk","OFFER LETTER")</f>
        <v>OFFER LETTER</v>
      </c>
      <c r="S1414" s="11" t="s">
        <v>7863</v>
      </c>
    </row>
    <row r="1415" ht="22.5" customHeight="1">
      <c r="A1415" s="10">
        <v>46264.043942743054</v>
      </c>
      <c r="B1415" s="11" t="s">
        <v>7864</v>
      </c>
      <c r="C1415" s="11" t="s">
        <v>298</v>
      </c>
      <c r="D1415" s="11" t="s">
        <v>238</v>
      </c>
      <c r="E1415" s="12">
        <v>46264.0</v>
      </c>
      <c r="F1415" s="12">
        <v>46356.0</v>
      </c>
      <c r="G1415" s="11" t="s">
        <v>7865</v>
      </c>
      <c r="H1415" s="11">
        <v>8.235070324E9</v>
      </c>
      <c r="I1415" s="11" t="s">
        <v>82</v>
      </c>
      <c r="J1415" s="11" t="s">
        <v>71</v>
      </c>
      <c r="K1415" s="11" t="s">
        <v>110</v>
      </c>
      <c r="L1415" s="11" t="s">
        <v>247</v>
      </c>
      <c r="M1415" s="11" t="s">
        <v>7866</v>
      </c>
      <c r="N1415" s="11" t="s">
        <v>75</v>
      </c>
      <c r="O1415" s="11" t="s">
        <v>71</v>
      </c>
      <c r="P1415" s="11" t="s">
        <v>7867</v>
      </c>
      <c r="Q1415" s="13" t="s">
        <v>7868</v>
      </c>
      <c r="R1415" s="14" t="str">
        <f>HYPERLINK("https://drive.google.com/file/d/124R7ceD46FBEoPxSmYH2KCJRu1GfHkL3/view?usp=drivesdk","OFFER LETTER")</f>
        <v>OFFER LETTER</v>
      </c>
      <c r="S1415" s="11" t="s">
        <v>7869</v>
      </c>
    </row>
    <row r="1416" ht="22.5" customHeight="1">
      <c r="A1416" s="10">
        <v>46264.05080052083</v>
      </c>
      <c r="B1416" s="11" t="s">
        <v>7870</v>
      </c>
      <c r="C1416" s="11" t="s">
        <v>1200</v>
      </c>
      <c r="D1416" s="11" t="s">
        <v>68</v>
      </c>
      <c r="E1416" s="12">
        <v>46210.0</v>
      </c>
      <c r="F1416" s="12">
        <v>46241.0</v>
      </c>
      <c r="G1416" s="11" t="s">
        <v>7871</v>
      </c>
      <c r="H1416" s="11">
        <v>7.028000022E9</v>
      </c>
      <c r="I1416" s="11" t="s">
        <v>70</v>
      </c>
      <c r="J1416" s="11" t="s">
        <v>71</v>
      </c>
      <c r="K1416" s="11" t="s">
        <v>72</v>
      </c>
      <c r="L1416" s="11" t="s">
        <v>84</v>
      </c>
      <c r="M1416" s="11" t="s">
        <v>886</v>
      </c>
      <c r="N1416" s="11" t="s">
        <v>155</v>
      </c>
      <c r="O1416" s="11" t="s">
        <v>71</v>
      </c>
      <c r="P1416" s="11" t="s">
        <v>7872</v>
      </c>
      <c r="Q1416" s="13" t="s">
        <v>7873</v>
      </c>
      <c r="R1416" s="14" t="str">
        <f>HYPERLINK("https://drive.google.com/file/d/1BW_KkowQrSXqqhUEUmrp8Nig6vn3uq_A/view?usp=drivesdk","OFFER LETTER")</f>
        <v>OFFER LETTER</v>
      </c>
      <c r="S1416" s="11" t="s">
        <v>7874</v>
      </c>
    </row>
    <row r="1417" ht="22.5" customHeight="1">
      <c r="A1417" s="10">
        <v>46264.058321261575</v>
      </c>
      <c r="B1417" s="11" t="s">
        <v>7875</v>
      </c>
      <c r="C1417" s="11" t="s">
        <v>91</v>
      </c>
      <c r="D1417" s="11" t="s">
        <v>68</v>
      </c>
      <c r="E1417" s="12">
        <v>46233.0</v>
      </c>
      <c r="F1417" s="12">
        <v>46264.0</v>
      </c>
      <c r="G1417" s="11" t="s">
        <v>7876</v>
      </c>
      <c r="H1417" s="11">
        <v>8.795658473E9</v>
      </c>
      <c r="I1417" s="11" t="s">
        <v>70</v>
      </c>
      <c r="J1417" s="11" t="s">
        <v>71</v>
      </c>
      <c r="K1417" s="11" t="s">
        <v>356</v>
      </c>
      <c r="L1417" s="11" t="s">
        <v>84</v>
      </c>
      <c r="M1417" s="11" t="s">
        <v>5124</v>
      </c>
      <c r="N1417" s="11" t="s">
        <v>936</v>
      </c>
      <c r="O1417" s="11" t="s">
        <v>71</v>
      </c>
      <c r="P1417" s="11" t="s">
        <v>7877</v>
      </c>
      <c r="Q1417" s="13" t="s">
        <v>7878</v>
      </c>
      <c r="R1417" s="14" t="str">
        <f>HYPERLINK("https://drive.google.com/file/d/1gmQbFiZ6fZtQDWz7CBHthR_BaHvge5WY/view?usp=drivesdk","OFFER LETTER")</f>
        <v>OFFER LETTER</v>
      </c>
      <c r="S1417" s="11" t="s">
        <v>7879</v>
      </c>
    </row>
    <row r="1418" ht="22.5" customHeight="1">
      <c r="A1418" s="10">
        <v>46264.070157939816</v>
      </c>
      <c r="B1418" s="11" t="s">
        <v>7864</v>
      </c>
      <c r="C1418" s="11" t="s">
        <v>298</v>
      </c>
      <c r="D1418" s="11" t="s">
        <v>238</v>
      </c>
      <c r="E1418" s="12">
        <v>46264.0</v>
      </c>
      <c r="F1418" s="12">
        <v>46356.0</v>
      </c>
      <c r="G1418" s="11" t="s">
        <v>7880</v>
      </c>
      <c r="H1418" s="11">
        <v>8.235070324E9</v>
      </c>
      <c r="I1418" s="11" t="s">
        <v>82</v>
      </c>
      <c r="J1418" s="11" t="s">
        <v>71</v>
      </c>
      <c r="K1418" s="11" t="s">
        <v>110</v>
      </c>
      <c r="L1418" s="11" t="s">
        <v>247</v>
      </c>
      <c r="M1418" s="11" t="s">
        <v>7866</v>
      </c>
      <c r="N1418" s="11" t="s">
        <v>75</v>
      </c>
      <c r="O1418" s="11" t="s">
        <v>71</v>
      </c>
      <c r="P1418" s="11" t="s">
        <v>7881</v>
      </c>
      <c r="Q1418" s="13" t="s">
        <v>7882</v>
      </c>
      <c r="R1418" s="14" t="str">
        <f>HYPERLINK("https://drive.google.com/file/d/1YFShZ5dPd-89PWliHCwL93V_yznbXaSq/view?usp=drivesdk","OFFER LETTER")</f>
        <v>OFFER LETTER</v>
      </c>
      <c r="S1418" s="11" t="s">
        <v>7883</v>
      </c>
    </row>
    <row r="1419" ht="22.5" customHeight="1">
      <c r="A1419" s="10">
        <v>46264.08080859954</v>
      </c>
      <c r="B1419" s="11" t="s">
        <v>7884</v>
      </c>
      <c r="C1419" s="11" t="s">
        <v>128</v>
      </c>
      <c r="D1419" s="11" t="s">
        <v>68</v>
      </c>
      <c r="E1419" s="12">
        <v>46234.0</v>
      </c>
      <c r="F1419" s="12">
        <v>46265.0</v>
      </c>
      <c r="G1419" s="11" t="s">
        <v>7885</v>
      </c>
      <c r="H1419" s="11">
        <v>7.405344656E9</v>
      </c>
      <c r="I1419" s="11" t="s">
        <v>70</v>
      </c>
      <c r="J1419" s="11" t="s">
        <v>71</v>
      </c>
      <c r="K1419" s="11" t="s">
        <v>72</v>
      </c>
      <c r="L1419" s="11" t="s">
        <v>84</v>
      </c>
      <c r="M1419" s="11" t="s">
        <v>560</v>
      </c>
      <c r="N1419" s="11" t="s">
        <v>86</v>
      </c>
      <c r="O1419" s="11" t="s">
        <v>71</v>
      </c>
      <c r="P1419" s="11" t="s">
        <v>7886</v>
      </c>
      <c r="Q1419" s="13" t="s">
        <v>7887</v>
      </c>
      <c r="R1419" s="14" t="str">
        <f>HYPERLINK("https://drive.google.com/file/d/1CRHVxx0ZrmrfZcDZhyfdffbNuIsKnkiJ/view?usp=drivesdk","OFFER LETTER")</f>
        <v>OFFER LETTER</v>
      </c>
      <c r="S1419" s="11" t="s">
        <v>7888</v>
      </c>
    </row>
    <row r="1420" ht="22.5" customHeight="1">
      <c r="A1420" s="10">
        <v>46264.087037627316</v>
      </c>
      <c r="B1420" s="11" t="s">
        <v>7889</v>
      </c>
      <c r="C1420" s="11" t="s">
        <v>91</v>
      </c>
      <c r="D1420" s="11" t="s">
        <v>68</v>
      </c>
      <c r="E1420" s="12">
        <v>46223.0</v>
      </c>
      <c r="F1420" s="12">
        <v>46254.0</v>
      </c>
      <c r="G1420" s="11" t="s">
        <v>7890</v>
      </c>
      <c r="H1420" s="11">
        <v>7.90546562E9</v>
      </c>
      <c r="I1420" s="11" t="s">
        <v>70</v>
      </c>
      <c r="J1420" s="11" t="s">
        <v>71</v>
      </c>
      <c r="K1420" s="11" t="s">
        <v>110</v>
      </c>
      <c r="L1420" s="11" t="s">
        <v>73</v>
      </c>
      <c r="M1420" s="11" t="s">
        <v>7891</v>
      </c>
      <c r="N1420" s="11" t="s">
        <v>86</v>
      </c>
      <c r="O1420" s="11" t="s">
        <v>71</v>
      </c>
      <c r="P1420" s="11" t="s">
        <v>7892</v>
      </c>
      <c r="Q1420" s="13" t="s">
        <v>7893</v>
      </c>
      <c r="R1420" s="14" t="str">
        <f>HYPERLINK("https://drive.google.com/file/d/1n1GmU2qQpHyYLHGhqvc1QC1RxTfCrT_b/view?usp=drivesdk","OFFER LETTER")</f>
        <v>OFFER LETTER</v>
      </c>
      <c r="S1420" s="11" t="s">
        <v>7894</v>
      </c>
    </row>
    <row r="1421" ht="22.5" customHeight="1">
      <c r="A1421" s="10">
        <v>46264.09598438657</v>
      </c>
      <c r="B1421" s="11" t="s">
        <v>7895</v>
      </c>
      <c r="C1421" s="11" t="s">
        <v>259</v>
      </c>
      <c r="D1421" s="11" t="s">
        <v>68</v>
      </c>
      <c r="E1421" s="12">
        <v>46219.0</v>
      </c>
      <c r="F1421" s="12">
        <v>46250.0</v>
      </c>
      <c r="G1421" s="11" t="s">
        <v>7896</v>
      </c>
      <c r="H1421" s="11">
        <v>9.897700236E9</v>
      </c>
      <c r="I1421" s="11" t="s">
        <v>82</v>
      </c>
      <c r="J1421" s="11" t="s">
        <v>71</v>
      </c>
      <c r="K1421" s="11" t="s">
        <v>72</v>
      </c>
      <c r="L1421" s="11" t="s">
        <v>84</v>
      </c>
      <c r="M1421" s="11" t="s">
        <v>7897</v>
      </c>
      <c r="N1421" s="11" t="s">
        <v>219</v>
      </c>
      <c r="O1421" s="11" t="s">
        <v>71</v>
      </c>
      <c r="P1421" s="11" t="s">
        <v>7898</v>
      </c>
      <c r="Q1421" s="13" t="s">
        <v>7899</v>
      </c>
      <c r="R1421" s="14" t="str">
        <f>HYPERLINK("https://drive.google.com/file/d/1kwc7_8lHHjBIYrQv-xKiz-WuH1cFDnPX/view?usp=drivesdk","OFFER LETTER")</f>
        <v>OFFER LETTER</v>
      </c>
      <c r="S1421" s="11" t="s">
        <v>7900</v>
      </c>
    </row>
    <row r="1422" ht="22.5" customHeight="1">
      <c r="A1422" s="10">
        <v>46264.15110604167</v>
      </c>
      <c r="B1422" s="11" t="s">
        <v>7901</v>
      </c>
      <c r="C1422" s="11" t="s">
        <v>195</v>
      </c>
      <c r="D1422" s="11" t="s">
        <v>68</v>
      </c>
      <c r="E1422" s="12">
        <v>46210.0</v>
      </c>
      <c r="F1422" s="12">
        <v>46241.0</v>
      </c>
      <c r="G1422" s="11" t="s">
        <v>7902</v>
      </c>
      <c r="H1422" s="11">
        <v>8.265953303E9</v>
      </c>
      <c r="I1422" s="11" t="s">
        <v>82</v>
      </c>
      <c r="J1422" s="11" t="s">
        <v>71</v>
      </c>
      <c r="K1422" s="11" t="s">
        <v>72</v>
      </c>
      <c r="L1422" s="11" t="s">
        <v>84</v>
      </c>
      <c r="M1422" s="11" t="s">
        <v>560</v>
      </c>
      <c r="N1422" s="11" t="s">
        <v>86</v>
      </c>
      <c r="O1422" s="11" t="s">
        <v>71</v>
      </c>
      <c r="P1422" s="11" t="s">
        <v>7903</v>
      </c>
      <c r="Q1422" s="13" t="s">
        <v>7904</v>
      </c>
      <c r="R1422" s="14" t="str">
        <f>HYPERLINK("https://drive.google.com/file/d/1L5WxsnJegczJSwswHK4mw-VivNUMKxay/view?usp=drivesdk","OFFER LETTER")</f>
        <v>OFFER LETTER</v>
      </c>
      <c r="S1422" s="11" t="s">
        <v>7905</v>
      </c>
    </row>
    <row r="1423" ht="22.5" customHeight="1">
      <c r="A1423" s="10">
        <v>46264.23521722222</v>
      </c>
      <c r="B1423" s="11" t="s">
        <v>7906</v>
      </c>
      <c r="C1423" s="11" t="s">
        <v>91</v>
      </c>
      <c r="D1423" s="11" t="s">
        <v>68</v>
      </c>
      <c r="E1423" s="12">
        <v>46214.0</v>
      </c>
      <c r="F1423" s="12">
        <v>46245.0</v>
      </c>
      <c r="G1423" s="11" t="s">
        <v>7907</v>
      </c>
      <c r="H1423" s="11">
        <v>6.206482151E9</v>
      </c>
      <c r="I1423" s="11" t="s">
        <v>70</v>
      </c>
      <c r="J1423" s="11" t="s">
        <v>71</v>
      </c>
      <c r="K1423" s="11" t="s">
        <v>72</v>
      </c>
      <c r="L1423" s="11" t="s">
        <v>84</v>
      </c>
      <c r="M1423" s="11" t="s">
        <v>7908</v>
      </c>
      <c r="N1423" s="11" t="s">
        <v>75</v>
      </c>
      <c r="O1423" s="11" t="s">
        <v>71</v>
      </c>
      <c r="P1423" s="11" t="s">
        <v>7909</v>
      </c>
      <c r="Q1423" s="13" t="s">
        <v>7910</v>
      </c>
      <c r="R1423" s="14" t="str">
        <f>HYPERLINK("https://drive.google.com/file/d/1nbkwBC2Yfji8L2vObJraf-yQ4D_kd7FU/view?usp=drivesdk","OFFER LETTER")</f>
        <v>OFFER LETTER</v>
      </c>
      <c r="S1423" s="11" t="s">
        <v>7911</v>
      </c>
    </row>
    <row r="1424" ht="22.5" customHeight="1">
      <c r="A1424" s="10">
        <v>46264.30711480324</v>
      </c>
      <c r="B1424" s="11" t="s">
        <v>7579</v>
      </c>
      <c r="C1424" s="11" t="s">
        <v>91</v>
      </c>
      <c r="D1424" s="11" t="s">
        <v>68</v>
      </c>
      <c r="E1424" s="12">
        <v>46280.0</v>
      </c>
      <c r="F1424" s="12">
        <v>46309.0</v>
      </c>
      <c r="G1424" s="11" t="s">
        <v>7580</v>
      </c>
      <c r="H1424" s="11" t="s">
        <v>7581</v>
      </c>
      <c r="I1424" s="11" t="s">
        <v>70</v>
      </c>
      <c r="J1424" s="11" t="s">
        <v>71</v>
      </c>
      <c r="K1424" s="11" t="s">
        <v>72</v>
      </c>
      <c r="L1424" s="11" t="s">
        <v>73</v>
      </c>
      <c r="M1424" s="11" t="s">
        <v>7582</v>
      </c>
      <c r="N1424" s="11" t="s">
        <v>241</v>
      </c>
      <c r="O1424" s="11" t="s">
        <v>71</v>
      </c>
      <c r="P1424" s="11" t="s">
        <v>7912</v>
      </c>
      <c r="Q1424" s="13" t="s">
        <v>7913</v>
      </c>
      <c r="R1424" s="14" t="str">
        <f>HYPERLINK("https://drive.google.com/file/d/1daHf70ldTmdlnyOoi1NlEIstZmkq2ELb/view?usp=drivesdk","OFFER LETTER")</f>
        <v>OFFER LETTER</v>
      </c>
      <c r="S1424" s="11" t="s">
        <v>7914</v>
      </c>
    </row>
    <row r="1425" ht="22.5" customHeight="1">
      <c r="A1425" s="10">
        <v>46264.36618923611</v>
      </c>
      <c r="B1425" s="11" t="s">
        <v>7915</v>
      </c>
      <c r="C1425" s="11" t="s">
        <v>173</v>
      </c>
      <c r="D1425" s="11" t="s">
        <v>108</v>
      </c>
      <c r="E1425" s="12">
        <v>46266.0</v>
      </c>
      <c r="F1425" s="12">
        <v>46326.0</v>
      </c>
      <c r="G1425" s="11" t="s">
        <v>7916</v>
      </c>
      <c r="H1425" s="11">
        <v>9.62649109E9</v>
      </c>
      <c r="I1425" s="11" t="s">
        <v>70</v>
      </c>
      <c r="J1425" s="11" t="s">
        <v>71</v>
      </c>
      <c r="K1425" s="11" t="s">
        <v>72</v>
      </c>
      <c r="L1425" s="11" t="s">
        <v>247</v>
      </c>
      <c r="M1425" s="11" t="s">
        <v>7917</v>
      </c>
      <c r="N1425" s="11" t="s">
        <v>241</v>
      </c>
      <c r="O1425" s="11" t="s">
        <v>71</v>
      </c>
      <c r="P1425" s="11" t="s">
        <v>7918</v>
      </c>
      <c r="Q1425" s="13" t="s">
        <v>7919</v>
      </c>
      <c r="R1425" s="14" t="str">
        <f>HYPERLINK("https://drive.google.com/file/d/1EgL7RRqxxhPKKAycPDL8FYLFFh2a8VaY/view?usp=drivesdk","OFFER LETTER")</f>
        <v>OFFER LETTER</v>
      </c>
      <c r="S1425" s="11" t="s">
        <v>7920</v>
      </c>
    </row>
    <row r="1426" ht="22.5" customHeight="1">
      <c r="A1426" s="10">
        <v>46264.375504027776</v>
      </c>
      <c r="B1426" s="11" t="s">
        <v>7921</v>
      </c>
      <c r="C1426" s="11" t="s">
        <v>195</v>
      </c>
      <c r="D1426" s="11" t="s">
        <v>68</v>
      </c>
      <c r="E1426" s="12">
        <v>46183.0</v>
      </c>
      <c r="F1426" s="12">
        <v>46213.0</v>
      </c>
      <c r="G1426" s="11" t="s">
        <v>7922</v>
      </c>
      <c r="H1426" s="11">
        <v>9.334063103E9</v>
      </c>
      <c r="I1426" s="11" t="s">
        <v>82</v>
      </c>
      <c r="J1426" s="11" t="s">
        <v>71</v>
      </c>
      <c r="K1426" s="11" t="s">
        <v>72</v>
      </c>
      <c r="L1426" s="11" t="s">
        <v>357</v>
      </c>
      <c r="M1426" s="11" t="s">
        <v>7923</v>
      </c>
      <c r="N1426" s="11" t="s">
        <v>1872</v>
      </c>
      <c r="O1426" s="11" t="s">
        <v>71</v>
      </c>
      <c r="P1426" s="11" t="s">
        <v>7924</v>
      </c>
      <c r="Q1426" s="13" t="s">
        <v>7925</v>
      </c>
      <c r="R1426" s="14" t="str">
        <f>HYPERLINK("https://drive.google.com/file/d/1q5VVduy8ndv5R74rpMYO8y8I_UFj2hep/view?usp=drivesdk","OFFER LETTER")</f>
        <v>OFFER LETTER</v>
      </c>
      <c r="S1426" s="11" t="s">
        <v>7926</v>
      </c>
    </row>
    <row r="1427" ht="22.5" customHeight="1">
      <c r="A1427" s="10">
        <v>46264.39245337963</v>
      </c>
      <c r="B1427" s="11" t="s">
        <v>7927</v>
      </c>
      <c r="C1427" s="11" t="s">
        <v>354</v>
      </c>
      <c r="D1427" s="11" t="s">
        <v>68</v>
      </c>
      <c r="E1427" s="12">
        <v>46235.0</v>
      </c>
      <c r="F1427" s="12">
        <v>46264.0</v>
      </c>
      <c r="G1427" s="11" t="s">
        <v>7928</v>
      </c>
      <c r="H1427" s="11">
        <v>6.385497668E9</v>
      </c>
      <c r="I1427" s="11" t="s">
        <v>82</v>
      </c>
      <c r="J1427" s="11" t="s">
        <v>83</v>
      </c>
      <c r="K1427" s="11" t="s">
        <v>72</v>
      </c>
      <c r="L1427" s="11" t="s">
        <v>84</v>
      </c>
      <c r="M1427" s="11" t="s">
        <v>6005</v>
      </c>
      <c r="N1427" s="11" t="s">
        <v>86</v>
      </c>
      <c r="O1427" s="11" t="s">
        <v>71</v>
      </c>
      <c r="P1427" s="11" t="s">
        <v>7929</v>
      </c>
      <c r="Q1427" s="13" t="s">
        <v>7930</v>
      </c>
      <c r="R1427" s="14" t="str">
        <f>HYPERLINK("https://drive.google.com/file/d/1FDXXNorhQkCpF7CrZgH0mJD7l0GNfJmx/view?usp=drivesdk","OFFER LETTER")</f>
        <v>OFFER LETTER</v>
      </c>
      <c r="S1427" s="11" t="s">
        <v>7931</v>
      </c>
    </row>
    <row r="1428" ht="22.5" customHeight="1">
      <c r="A1428" s="10">
        <v>46264.401321921294</v>
      </c>
      <c r="B1428" s="11" t="s">
        <v>7932</v>
      </c>
      <c r="C1428" s="11" t="s">
        <v>1320</v>
      </c>
      <c r="D1428" s="11" t="s">
        <v>68</v>
      </c>
      <c r="E1428" s="12">
        <v>46266.0</v>
      </c>
      <c r="F1428" s="12">
        <v>46296.0</v>
      </c>
      <c r="G1428" s="11" t="s">
        <v>7933</v>
      </c>
      <c r="H1428" s="11">
        <v>6.305153795E9</v>
      </c>
      <c r="I1428" s="11" t="s">
        <v>70</v>
      </c>
      <c r="J1428" s="11" t="s">
        <v>130</v>
      </c>
      <c r="K1428" s="11" t="s">
        <v>72</v>
      </c>
      <c r="L1428" s="11" t="s">
        <v>131</v>
      </c>
      <c r="M1428" s="11" t="s">
        <v>7934</v>
      </c>
      <c r="N1428" s="11" t="s">
        <v>1641</v>
      </c>
      <c r="O1428" s="11" t="s">
        <v>71</v>
      </c>
      <c r="P1428" s="11" t="s">
        <v>7935</v>
      </c>
      <c r="Q1428" s="13" t="s">
        <v>7936</v>
      </c>
      <c r="R1428" s="14" t="str">
        <f>HYPERLINK("https://drive.google.com/file/d/14u7TRJqaf-eZjulEybgjaVsDlNviEsJ-/view?usp=drivesdk","OFFER LETTER")</f>
        <v>OFFER LETTER</v>
      </c>
      <c r="S1428" s="11" t="s">
        <v>7937</v>
      </c>
    </row>
    <row r="1429" ht="22.5" customHeight="1">
      <c r="A1429" s="10">
        <v>46264.4154690162</v>
      </c>
      <c r="B1429" s="11" t="s">
        <v>7938</v>
      </c>
      <c r="C1429" s="11" t="s">
        <v>173</v>
      </c>
      <c r="D1429" s="11" t="s">
        <v>68</v>
      </c>
      <c r="E1429" s="12">
        <v>46204.0</v>
      </c>
      <c r="F1429" s="12">
        <v>46234.0</v>
      </c>
      <c r="G1429" s="11" t="s">
        <v>7939</v>
      </c>
      <c r="H1429" s="11">
        <v>6.201891159E9</v>
      </c>
      <c r="I1429" s="11" t="s">
        <v>82</v>
      </c>
      <c r="J1429" s="11" t="s">
        <v>71</v>
      </c>
      <c r="K1429" s="11" t="s">
        <v>72</v>
      </c>
      <c r="L1429" s="11" t="s">
        <v>84</v>
      </c>
      <c r="M1429" s="11" t="s">
        <v>849</v>
      </c>
      <c r="N1429" s="11" t="s">
        <v>75</v>
      </c>
      <c r="O1429" s="11" t="s">
        <v>71</v>
      </c>
      <c r="P1429" s="11" t="s">
        <v>7940</v>
      </c>
      <c r="Q1429" s="13" t="s">
        <v>7941</v>
      </c>
      <c r="R1429" s="14" t="str">
        <f>HYPERLINK("https://drive.google.com/file/d/1U6aWXSh0O6EUoDTZ9NCzDZGUXaYhOxVE/view?usp=drivesdk","OFFER LETTER")</f>
        <v>OFFER LETTER</v>
      </c>
      <c r="S1429" s="11" t="s">
        <v>7942</v>
      </c>
    </row>
    <row r="1430" ht="22.5" customHeight="1">
      <c r="A1430" s="10">
        <v>46264.43116325232</v>
      </c>
      <c r="B1430" s="11" t="s">
        <v>7943</v>
      </c>
      <c r="C1430" s="11" t="s">
        <v>173</v>
      </c>
      <c r="D1430" s="11" t="s">
        <v>68</v>
      </c>
      <c r="E1430" s="12">
        <v>46204.0</v>
      </c>
      <c r="F1430" s="12">
        <v>46234.0</v>
      </c>
      <c r="G1430" s="11" t="s">
        <v>7944</v>
      </c>
      <c r="H1430" s="11">
        <v>9.304406954E9</v>
      </c>
      <c r="I1430" s="11" t="s">
        <v>82</v>
      </c>
      <c r="J1430" s="11" t="s">
        <v>71</v>
      </c>
      <c r="K1430" s="11" t="s">
        <v>72</v>
      </c>
      <c r="L1430" s="11" t="s">
        <v>84</v>
      </c>
      <c r="M1430" s="11" t="s">
        <v>2535</v>
      </c>
      <c r="N1430" s="11" t="s">
        <v>75</v>
      </c>
      <c r="O1430" s="11" t="s">
        <v>71</v>
      </c>
      <c r="P1430" s="11" t="s">
        <v>7945</v>
      </c>
      <c r="Q1430" s="13" t="s">
        <v>7946</v>
      </c>
      <c r="R1430" s="14" t="str">
        <f>HYPERLINK("https://drive.google.com/file/d/1NTFBHhi1tyWsNOQqA2iLkPxTxxs-kG0a/view?usp=drivesdk","OFFER LETTER")</f>
        <v>OFFER LETTER</v>
      </c>
      <c r="S1430" s="11" t="s">
        <v>7947</v>
      </c>
    </row>
    <row r="1431" ht="22.5" customHeight="1">
      <c r="A1431" s="10">
        <v>46264.435015717594</v>
      </c>
      <c r="B1431" s="11" t="s">
        <v>7948</v>
      </c>
      <c r="C1431" s="11" t="s">
        <v>1320</v>
      </c>
      <c r="D1431" s="11" t="s">
        <v>68</v>
      </c>
      <c r="E1431" s="12">
        <v>46235.0</v>
      </c>
      <c r="F1431" s="12">
        <v>46266.0</v>
      </c>
      <c r="G1431" s="11" t="s">
        <v>7949</v>
      </c>
      <c r="H1431" s="11">
        <v>9.334273313E9</v>
      </c>
      <c r="I1431" s="11" t="s">
        <v>82</v>
      </c>
      <c r="J1431" s="11" t="s">
        <v>71</v>
      </c>
      <c r="K1431" s="11" t="s">
        <v>72</v>
      </c>
      <c r="L1431" s="11" t="s">
        <v>73</v>
      </c>
      <c r="M1431" s="11" t="s">
        <v>7950</v>
      </c>
      <c r="N1431" s="11" t="s">
        <v>241</v>
      </c>
      <c r="O1431" s="11" t="s">
        <v>71</v>
      </c>
      <c r="P1431" s="11" t="s">
        <v>7951</v>
      </c>
      <c r="Q1431" s="13" t="s">
        <v>7952</v>
      </c>
      <c r="R1431" s="14" t="str">
        <f>HYPERLINK("https://drive.google.com/file/d/184r1Vb0H_lbuoshFg011CKBCebZXYVdT/view?usp=drivesdk","OFFER LETTER")</f>
        <v>OFFER LETTER</v>
      </c>
      <c r="S1431" s="11" t="s">
        <v>7953</v>
      </c>
    </row>
    <row r="1432" ht="22.5" customHeight="1">
      <c r="A1432" s="10">
        <v>46264.44045309028</v>
      </c>
      <c r="B1432" s="11" t="s">
        <v>7346</v>
      </c>
      <c r="C1432" s="11" t="s">
        <v>195</v>
      </c>
      <c r="D1432" s="11" t="s">
        <v>108</v>
      </c>
      <c r="E1432" s="12">
        <v>46183.0</v>
      </c>
      <c r="F1432" s="12">
        <v>46244.0</v>
      </c>
      <c r="G1432" s="11" t="s">
        <v>7954</v>
      </c>
      <c r="H1432" s="11">
        <v>9.548377942E9</v>
      </c>
      <c r="I1432" s="11" t="s">
        <v>82</v>
      </c>
      <c r="J1432" s="11" t="s">
        <v>71</v>
      </c>
      <c r="K1432" s="11" t="s">
        <v>72</v>
      </c>
      <c r="L1432" s="11" t="s">
        <v>131</v>
      </c>
      <c r="M1432" s="11" t="s">
        <v>493</v>
      </c>
      <c r="N1432" s="11" t="s">
        <v>75</v>
      </c>
      <c r="O1432" s="11" t="s">
        <v>71</v>
      </c>
      <c r="P1432" s="11" t="s">
        <v>7955</v>
      </c>
      <c r="Q1432" s="13" t="s">
        <v>7956</v>
      </c>
      <c r="R1432" s="14" t="str">
        <f>HYPERLINK("https://drive.google.com/file/d/1J5l6zeLqhWlbfUc_WyrNgRUsDJKtNObK/view?usp=drivesdk","OFFER LETTER")</f>
        <v>OFFER LETTER</v>
      </c>
      <c r="S1432" s="11" t="s">
        <v>7957</v>
      </c>
    </row>
    <row r="1433" ht="22.5" customHeight="1">
      <c r="A1433" s="10">
        <v>46264.44678550926</v>
      </c>
      <c r="B1433" s="11" t="s">
        <v>7958</v>
      </c>
      <c r="C1433" s="11" t="s">
        <v>259</v>
      </c>
      <c r="D1433" s="11" t="s">
        <v>68</v>
      </c>
      <c r="E1433" s="12">
        <v>46265.0</v>
      </c>
      <c r="F1433" s="12">
        <v>46266.0</v>
      </c>
      <c r="G1433" s="11" t="s">
        <v>7959</v>
      </c>
      <c r="H1433" s="11">
        <v>9.529656371E9</v>
      </c>
      <c r="I1433" s="11" t="s">
        <v>70</v>
      </c>
      <c r="J1433" s="11" t="s">
        <v>71</v>
      </c>
      <c r="K1433" s="11" t="s">
        <v>72</v>
      </c>
      <c r="L1433" s="11" t="s">
        <v>73</v>
      </c>
      <c r="M1433" s="11" t="s">
        <v>7960</v>
      </c>
      <c r="N1433" s="11" t="s">
        <v>75</v>
      </c>
      <c r="O1433" s="11" t="s">
        <v>71</v>
      </c>
      <c r="P1433" s="11" t="s">
        <v>7961</v>
      </c>
      <c r="Q1433" s="13" t="s">
        <v>7962</v>
      </c>
      <c r="R1433" s="14" t="str">
        <f>HYPERLINK("https://drive.google.com/file/d/1NpiXWrvyivHWJ9rY_Qk9GByqVGhxiHWr/view?usp=drivesdk","OFFER LETTER")</f>
        <v>OFFER LETTER</v>
      </c>
      <c r="S1433" s="11" t="s">
        <v>7963</v>
      </c>
    </row>
    <row r="1434" ht="22.5" customHeight="1">
      <c r="A1434" s="10">
        <v>46264.46282826389</v>
      </c>
      <c r="B1434" s="11" t="s">
        <v>7964</v>
      </c>
      <c r="C1434" s="11" t="s">
        <v>259</v>
      </c>
      <c r="D1434" s="11" t="s">
        <v>68</v>
      </c>
      <c r="E1434" s="12">
        <v>46265.0</v>
      </c>
      <c r="F1434" s="12">
        <v>46296.0</v>
      </c>
      <c r="G1434" s="11" t="s">
        <v>7959</v>
      </c>
      <c r="H1434" s="11">
        <v>9.529656371E9</v>
      </c>
      <c r="I1434" s="11" t="s">
        <v>70</v>
      </c>
      <c r="J1434" s="11" t="s">
        <v>71</v>
      </c>
      <c r="K1434" s="11" t="s">
        <v>72</v>
      </c>
      <c r="L1434" s="11" t="s">
        <v>73</v>
      </c>
      <c r="M1434" s="11" t="s">
        <v>7965</v>
      </c>
      <c r="N1434" s="11" t="s">
        <v>75</v>
      </c>
      <c r="O1434" s="11" t="s">
        <v>71</v>
      </c>
      <c r="P1434" s="11" t="s">
        <v>7966</v>
      </c>
      <c r="Q1434" s="13" t="s">
        <v>7967</v>
      </c>
      <c r="R1434" s="14" t="str">
        <f>HYPERLINK("https://drive.google.com/file/d/1qdNdvv2GRTXrv63s34pqz8HBqjemvphg/view?usp=drivesdk","OFFER LETTER")</f>
        <v>OFFER LETTER</v>
      </c>
      <c r="S1434" s="11" t="s">
        <v>7968</v>
      </c>
    </row>
    <row r="1435" ht="22.5" customHeight="1">
      <c r="A1435" s="10">
        <v>46264.473946412036</v>
      </c>
      <c r="B1435" s="11" t="s">
        <v>7969</v>
      </c>
      <c r="C1435" s="11" t="s">
        <v>80</v>
      </c>
      <c r="D1435" s="11" t="s">
        <v>68</v>
      </c>
      <c r="E1435" s="12">
        <v>46264.0</v>
      </c>
      <c r="F1435" s="12">
        <v>46295.0</v>
      </c>
      <c r="G1435" s="11" t="s">
        <v>7970</v>
      </c>
      <c r="H1435" s="11">
        <v>9.022880964E9</v>
      </c>
      <c r="I1435" s="11" t="s">
        <v>70</v>
      </c>
      <c r="J1435" s="11" t="s">
        <v>83</v>
      </c>
      <c r="K1435" s="11" t="s">
        <v>72</v>
      </c>
      <c r="L1435" s="11" t="s">
        <v>73</v>
      </c>
      <c r="M1435" s="11" t="s">
        <v>7971</v>
      </c>
      <c r="N1435" s="11" t="s">
        <v>86</v>
      </c>
      <c r="O1435" s="11" t="s">
        <v>71</v>
      </c>
      <c r="P1435" s="11" t="s">
        <v>7972</v>
      </c>
      <c r="Q1435" s="13" t="s">
        <v>7973</v>
      </c>
      <c r="R1435" s="14" t="str">
        <f>HYPERLINK("https://drive.google.com/file/d/1ML4qUjkSBJhycl9emjLzXPLx-z0qbjZu/view?usp=drivesdk","OFFER LETTER")</f>
        <v>OFFER LETTER</v>
      </c>
      <c r="S1435" s="11" t="s">
        <v>7974</v>
      </c>
    </row>
    <row r="1436" ht="22.5" customHeight="1">
      <c r="A1436" s="10">
        <v>46264.47976957176</v>
      </c>
      <c r="B1436" s="11" t="s">
        <v>7969</v>
      </c>
      <c r="C1436" s="11" t="s">
        <v>80</v>
      </c>
      <c r="D1436" s="11" t="s">
        <v>68</v>
      </c>
      <c r="E1436" s="12">
        <v>46264.0</v>
      </c>
      <c r="F1436" s="12">
        <v>46295.0</v>
      </c>
      <c r="G1436" s="11" t="s">
        <v>7970</v>
      </c>
      <c r="H1436" s="11">
        <v>9.022880964E9</v>
      </c>
      <c r="I1436" s="11" t="s">
        <v>70</v>
      </c>
      <c r="J1436" s="11" t="s">
        <v>71</v>
      </c>
      <c r="K1436" s="11" t="s">
        <v>72</v>
      </c>
      <c r="L1436" s="11" t="s">
        <v>73</v>
      </c>
      <c r="M1436" s="11" t="s">
        <v>7975</v>
      </c>
      <c r="N1436" s="11" t="s">
        <v>86</v>
      </c>
      <c r="O1436" s="11" t="s">
        <v>71</v>
      </c>
      <c r="P1436" s="11" t="s">
        <v>7976</v>
      </c>
      <c r="Q1436" s="13" t="s">
        <v>7977</v>
      </c>
      <c r="R1436" s="14" t="str">
        <f>HYPERLINK("https://drive.google.com/file/d/1w9EX4pvfKJiz9_c-icmLpZZ1GMAwctSK/view?usp=drivesdk","OFFER LETTER")</f>
        <v>OFFER LETTER</v>
      </c>
      <c r="S1436" s="11" t="s">
        <v>7978</v>
      </c>
    </row>
    <row r="1437" ht="22.5" customHeight="1">
      <c r="A1437" s="10">
        <v>46264.502711134264</v>
      </c>
      <c r="B1437" s="11" t="s">
        <v>7979</v>
      </c>
      <c r="C1437" s="11" t="s">
        <v>128</v>
      </c>
      <c r="D1437" s="11" t="s">
        <v>68</v>
      </c>
      <c r="E1437" s="12">
        <v>46203.0</v>
      </c>
      <c r="F1437" s="12">
        <v>46234.0</v>
      </c>
      <c r="G1437" s="11" t="s">
        <v>7980</v>
      </c>
      <c r="H1437" s="11">
        <v>7.061319683E9</v>
      </c>
      <c r="I1437" s="11" t="s">
        <v>82</v>
      </c>
      <c r="J1437" s="11" t="s">
        <v>71</v>
      </c>
      <c r="K1437" s="11" t="s">
        <v>72</v>
      </c>
      <c r="L1437" s="11" t="s">
        <v>84</v>
      </c>
      <c r="M1437" s="11" t="s">
        <v>2535</v>
      </c>
      <c r="N1437" s="11" t="s">
        <v>75</v>
      </c>
      <c r="O1437" s="11" t="s">
        <v>71</v>
      </c>
      <c r="P1437" s="11" t="s">
        <v>7981</v>
      </c>
      <c r="Q1437" s="13" t="s">
        <v>7982</v>
      </c>
      <c r="R1437" s="14" t="str">
        <f>HYPERLINK("https://drive.google.com/file/d/1vSsS0XqF-1CeXpohI7jOrHfVHZ4lBvl3/view?usp=drivesdk","OFFER LETTER")</f>
        <v>OFFER LETTER</v>
      </c>
      <c r="S1437" s="11" t="s">
        <v>7983</v>
      </c>
    </row>
    <row r="1438" ht="22.5" customHeight="1">
      <c r="A1438" s="10">
        <v>46264.5050619213</v>
      </c>
      <c r="B1438" s="11" t="s">
        <v>7984</v>
      </c>
      <c r="C1438" s="11" t="s">
        <v>173</v>
      </c>
      <c r="D1438" s="11" t="s">
        <v>108</v>
      </c>
      <c r="E1438" s="12">
        <v>46174.0</v>
      </c>
      <c r="F1438" s="12">
        <v>46235.0</v>
      </c>
      <c r="G1438" s="11" t="s">
        <v>7985</v>
      </c>
      <c r="H1438" s="11">
        <v>8.445007043E9</v>
      </c>
      <c r="I1438" s="11" t="s">
        <v>82</v>
      </c>
      <c r="J1438" s="11" t="s">
        <v>71</v>
      </c>
      <c r="K1438" s="11" t="s">
        <v>72</v>
      </c>
      <c r="L1438" s="11" t="s">
        <v>131</v>
      </c>
      <c r="M1438" s="11" t="s">
        <v>493</v>
      </c>
      <c r="N1438" s="11" t="s">
        <v>75</v>
      </c>
      <c r="O1438" s="11" t="s">
        <v>71</v>
      </c>
      <c r="P1438" s="11" t="s">
        <v>7986</v>
      </c>
      <c r="Q1438" s="13" t="s">
        <v>7987</v>
      </c>
      <c r="R1438" s="14" t="str">
        <f>HYPERLINK("https://drive.google.com/file/d/1n6GMzj_yw5Q9oH0rf68xLfhRZg8s2lHh/view?usp=drivesdk","OFFER LETTER")</f>
        <v>OFFER LETTER</v>
      </c>
      <c r="S1438" s="11" t="s">
        <v>7988</v>
      </c>
    </row>
    <row r="1439" ht="22.5" customHeight="1">
      <c r="A1439" s="10">
        <v>46264.510478703705</v>
      </c>
      <c r="B1439" s="11" t="s">
        <v>7989</v>
      </c>
      <c r="C1439" s="11" t="s">
        <v>195</v>
      </c>
      <c r="D1439" s="11" t="s">
        <v>68</v>
      </c>
      <c r="E1439" s="12">
        <v>46174.0</v>
      </c>
      <c r="F1439" s="12">
        <v>46203.0</v>
      </c>
      <c r="G1439" s="11" t="s">
        <v>7990</v>
      </c>
      <c r="H1439" s="11">
        <v>9.368117186E9</v>
      </c>
      <c r="I1439" s="11" t="s">
        <v>82</v>
      </c>
      <c r="J1439" s="11" t="s">
        <v>130</v>
      </c>
      <c r="K1439" s="11" t="s">
        <v>72</v>
      </c>
      <c r="L1439" s="11" t="s">
        <v>73</v>
      </c>
      <c r="M1439" s="11" t="s">
        <v>886</v>
      </c>
      <c r="N1439" s="11" t="s">
        <v>75</v>
      </c>
      <c r="O1439" s="11" t="s">
        <v>263</v>
      </c>
      <c r="P1439" s="11" t="s">
        <v>7991</v>
      </c>
      <c r="Q1439" s="13" t="s">
        <v>7992</v>
      </c>
      <c r="R1439" s="14" t="str">
        <f>HYPERLINK("https://drive.google.com/file/d/1dR-gxPS0UJ-r3PNI2zHIq-gkIQ_YhAKA/view?usp=drivesdk","OFFER LETTER")</f>
        <v>OFFER LETTER</v>
      </c>
      <c r="S1439" s="11" t="s">
        <v>7993</v>
      </c>
    </row>
    <row r="1440" ht="22.5" customHeight="1">
      <c r="A1440" s="10">
        <v>46264.51604851852</v>
      </c>
      <c r="B1440" s="11" t="s">
        <v>7994</v>
      </c>
      <c r="C1440" s="11" t="s">
        <v>173</v>
      </c>
      <c r="D1440" s="11" t="s">
        <v>108</v>
      </c>
      <c r="E1440" s="12">
        <v>46174.0</v>
      </c>
      <c r="F1440" s="12">
        <v>46234.0</v>
      </c>
      <c r="G1440" s="11" t="s">
        <v>7995</v>
      </c>
      <c r="H1440" s="11">
        <v>8.630380005E9</v>
      </c>
      <c r="I1440" s="11" t="s">
        <v>82</v>
      </c>
      <c r="J1440" s="11" t="s">
        <v>83</v>
      </c>
      <c r="K1440" s="11" t="s">
        <v>72</v>
      </c>
      <c r="L1440" s="11" t="s">
        <v>131</v>
      </c>
      <c r="M1440" s="11" t="s">
        <v>493</v>
      </c>
      <c r="N1440" s="11" t="s">
        <v>86</v>
      </c>
      <c r="O1440" s="11" t="s">
        <v>71</v>
      </c>
      <c r="P1440" s="11" t="s">
        <v>7996</v>
      </c>
      <c r="Q1440" s="13" t="s">
        <v>7997</v>
      </c>
      <c r="R1440" s="14" t="str">
        <f>HYPERLINK("https://drive.google.com/file/d/1zeyjQS8WW3ISF7HRnB393PKWxaXRNQHl/view?usp=drivesdk","OFFER LETTER")</f>
        <v>OFFER LETTER</v>
      </c>
      <c r="S1440" s="11" t="s">
        <v>7998</v>
      </c>
    </row>
    <row r="1441" ht="22.5" customHeight="1">
      <c r="A1441" s="10">
        <v>46264.52069708334</v>
      </c>
      <c r="B1441" s="11" t="s">
        <v>7999</v>
      </c>
      <c r="C1441" s="11" t="s">
        <v>173</v>
      </c>
      <c r="D1441" s="11" t="s">
        <v>68</v>
      </c>
      <c r="E1441" s="12">
        <v>46264.0</v>
      </c>
      <c r="F1441" s="12">
        <v>46295.0</v>
      </c>
      <c r="G1441" s="11" t="s">
        <v>8000</v>
      </c>
      <c r="H1441" s="11">
        <v>8.968423018E9</v>
      </c>
      <c r="I1441" s="11" t="s">
        <v>70</v>
      </c>
      <c r="K1441" s="13" t="s">
        <v>443</v>
      </c>
      <c r="L1441" s="11" t="s">
        <v>247</v>
      </c>
      <c r="M1441" s="11" t="s">
        <v>8001</v>
      </c>
      <c r="N1441" s="11" t="s">
        <v>75</v>
      </c>
      <c r="O1441" s="11" t="s">
        <v>71</v>
      </c>
      <c r="P1441" s="11" t="s">
        <v>8002</v>
      </c>
      <c r="Q1441" s="13" t="s">
        <v>8003</v>
      </c>
      <c r="R1441" s="14" t="str">
        <f>HYPERLINK("https://drive.google.com/file/d/18BmJHZoC7AmN7fERfxFhEpYHEXNiGJfV/view?usp=drivesdk","OFFER LETTER")</f>
        <v>OFFER LETTER</v>
      </c>
      <c r="S1441" s="11" t="s">
        <v>8004</v>
      </c>
    </row>
    <row r="1442" ht="22.5" customHeight="1">
      <c r="A1442" s="10">
        <v>46264.523083645836</v>
      </c>
      <c r="B1442" s="11" t="s">
        <v>3500</v>
      </c>
      <c r="C1442" s="11" t="s">
        <v>1320</v>
      </c>
      <c r="D1442" s="11" t="s">
        <v>68</v>
      </c>
      <c r="E1442" s="12">
        <v>46258.0</v>
      </c>
      <c r="F1442" s="12">
        <v>46289.0</v>
      </c>
      <c r="G1442" s="11" t="s">
        <v>3501</v>
      </c>
      <c r="H1442" s="11">
        <v>8.143513468E9</v>
      </c>
      <c r="I1442" s="11" t="s">
        <v>70</v>
      </c>
      <c r="J1442" s="11" t="s">
        <v>71</v>
      </c>
      <c r="K1442" s="11" t="s">
        <v>72</v>
      </c>
      <c r="L1442" s="11" t="s">
        <v>73</v>
      </c>
      <c r="M1442" s="11" t="s">
        <v>3502</v>
      </c>
      <c r="N1442" s="11" t="s">
        <v>75</v>
      </c>
      <c r="O1442" s="11" t="s">
        <v>71</v>
      </c>
      <c r="P1442" s="11" t="s">
        <v>8005</v>
      </c>
      <c r="Q1442" s="13" t="s">
        <v>8006</v>
      </c>
      <c r="R1442" s="14" t="str">
        <f>HYPERLINK("https://drive.google.com/file/d/1_ppClgV9rM65dTNnRNhsApqgWYHAHRbD/view?usp=drivesdk","OFFER LETTER")</f>
        <v>OFFER LETTER</v>
      </c>
      <c r="S1442" s="11" t="s">
        <v>8007</v>
      </c>
    </row>
    <row r="1443" ht="22.5" customHeight="1">
      <c r="A1443" s="10">
        <v>46264.524322349534</v>
      </c>
      <c r="B1443" s="11" t="s">
        <v>8008</v>
      </c>
      <c r="C1443" s="11" t="s">
        <v>195</v>
      </c>
      <c r="D1443" s="11" t="s">
        <v>68</v>
      </c>
      <c r="E1443" s="12">
        <v>46270.0</v>
      </c>
      <c r="F1443" s="12">
        <v>46271.0</v>
      </c>
      <c r="G1443" s="11" t="s">
        <v>8009</v>
      </c>
      <c r="H1443" s="11">
        <v>8.527999021E9</v>
      </c>
      <c r="I1443" s="11" t="s">
        <v>70</v>
      </c>
      <c r="J1443" s="11" t="s">
        <v>71</v>
      </c>
      <c r="K1443" s="11" t="s">
        <v>72</v>
      </c>
      <c r="L1443" s="11" t="s">
        <v>131</v>
      </c>
      <c r="M1443" s="11" t="s">
        <v>8010</v>
      </c>
      <c r="N1443" s="11" t="s">
        <v>75</v>
      </c>
      <c r="O1443" s="11" t="s">
        <v>71</v>
      </c>
      <c r="P1443" s="11" t="s">
        <v>8011</v>
      </c>
      <c r="Q1443" s="13" t="s">
        <v>8012</v>
      </c>
      <c r="R1443" s="14" t="str">
        <f>HYPERLINK("https://drive.google.com/file/d/1dwAg4Gs2RpLbze73ZCpzeluWD8MuP2fx/view?usp=drivesdk","OFFER LETTER")</f>
        <v>OFFER LETTER</v>
      </c>
      <c r="S1443" s="11" t="s">
        <v>8013</v>
      </c>
    </row>
    <row r="1444" ht="22.5" customHeight="1">
      <c r="A1444" s="10">
        <v>46264.5360525</v>
      </c>
      <c r="B1444" s="11" t="s">
        <v>8014</v>
      </c>
      <c r="C1444" s="11" t="s">
        <v>195</v>
      </c>
      <c r="D1444" s="11" t="s">
        <v>68</v>
      </c>
      <c r="E1444" s="12">
        <v>46218.0</v>
      </c>
      <c r="F1444" s="12">
        <v>46249.0</v>
      </c>
      <c r="G1444" s="11" t="s">
        <v>8015</v>
      </c>
      <c r="H1444" s="11">
        <v>7.87739817E9</v>
      </c>
      <c r="I1444" s="11" t="s">
        <v>82</v>
      </c>
      <c r="J1444" s="11" t="s">
        <v>71</v>
      </c>
      <c r="K1444" s="11" t="s">
        <v>72</v>
      </c>
      <c r="L1444" s="11" t="s">
        <v>84</v>
      </c>
      <c r="M1444" s="11" t="s">
        <v>886</v>
      </c>
      <c r="N1444" s="11" t="s">
        <v>86</v>
      </c>
      <c r="O1444" s="11" t="s">
        <v>71</v>
      </c>
      <c r="P1444" s="11" t="s">
        <v>8016</v>
      </c>
      <c r="Q1444" s="13" t="s">
        <v>8017</v>
      </c>
      <c r="R1444" s="14" t="str">
        <f>HYPERLINK("https://drive.google.com/file/d/1qmLNiIhefLmIHH6K6lNNtcMB7ZStrmiH/view?usp=drivesdk","OFFER LETTER")</f>
        <v>OFFER LETTER</v>
      </c>
      <c r="S1444" s="11" t="s">
        <v>8018</v>
      </c>
    </row>
    <row r="1445" ht="22.5" customHeight="1">
      <c r="A1445" s="10">
        <v>46264.53855877314</v>
      </c>
      <c r="B1445" s="11" t="s">
        <v>8019</v>
      </c>
      <c r="C1445" s="11" t="s">
        <v>128</v>
      </c>
      <c r="D1445" s="11" t="s">
        <v>68</v>
      </c>
      <c r="E1445" s="12">
        <v>46204.0</v>
      </c>
      <c r="F1445" s="12">
        <v>46264.0</v>
      </c>
      <c r="G1445" s="11" t="s">
        <v>8020</v>
      </c>
      <c r="H1445" s="11">
        <v>9.810270926E9</v>
      </c>
      <c r="I1445" s="11" t="s">
        <v>70</v>
      </c>
      <c r="J1445" s="11" t="s">
        <v>71</v>
      </c>
      <c r="K1445" s="11" t="s">
        <v>72</v>
      </c>
      <c r="L1445" s="11" t="s">
        <v>84</v>
      </c>
      <c r="M1445" s="11" t="s">
        <v>886</v>
      </c>
      <c r="N1445" s="11" t="s">
        <v>86</v>
      </c>
      <c r="O1445" s="11" t="s">
        <v>71</v>
      </c>
      <c r="P1445" s="11" t="s">
        <v>8021</v>
      </c>
      <c r="Q1445" s="13" t="s">
        <v>8022</v>
      </c>
      <c r="R1445" s="14" t="str">
        <f>HYPERLINK("https://drive.google.com/file/d/1oGia4SH8n-azDzY2e92eWzBcBNUGwnLP/view?usp=drivesdk","OFFER LETTER")</f>
        <v>OFFER LETTER</v>
      </c>
      <c r="S1445" s="11" t="s">
        <v>8023</v>
      </c>
    </row>
    <row r="1446" ht="22.5" customHeight="1">
      <c r="A1446" s="10">
        <v>46264.53933366898</v>
      </c>
      <c r="B1446" s="11" t="s">
        <v>8024</v>
      </c>
      <c r="C1446" s="11" t="s">
        <v>173</v>
      </c>
      <c r="D1446" s="11" t="s">
        <v>108</v>
      </c>
      <c r="E1446" s="12">
        <v>46193.0</v>
      </c>
      <c r="F1446" s="12">
        <v>46254.0</v>
      </c>
      <c r="G1446" s="11" t="s">
        <v>8025</v>
      </c>
      <c r="H1446" s="17" t="s">
        <v>8026</v>
      </c>
      <c r="I1446" s="11" t="s">
        <v>70</v>
      </c>
      <c r="J1446" s="11" t="s">
        <v>71</v>
      </c>
      <c r="K1446" s="11" t="s">
        <v>72</v>
      </c>
      <c r="L1446" s="11" t="s">
        <v>131</v>
      </c>
      <c r="M1446" s="11" t="s">
        <v>493</v>
      </c>
      <c r="N1446" s="11" t="s">
        <v>86</v>
      </c>
      <c r="O1446" s="11" t="s">
        <v>71</v>
      </c>
      <c r="P1446" s="11" t="s">
        <v>8027</v>
      </c>
      <c r="Q1446" s="13" t="s">
        <v>8028</v>
      </c>
      <c r="R1446" s="14" t="str">
        <f>HYPERLINK("https://drive.google.com/file/d/1IbYrXt9GDcX6bNRDw8APfdW19UTXm3PZ/view?usp=drivesdk","OFFER LETTER")</f>
        <v>OFFER LETTER</v>
      </c>
      <c r="S1446" s="11" t="s">
        <v>8029</v>
      </c>
    </row>
    <row r="1447" ht="22.5" customHeight="1">
      <c r="A1447" s="10">
        <v>46264.53977171297</v>
      </c>
      <c r="B1447" s="11" t="s">
        <v>8030</v>
      </c>
      <c r="C1447" s="11" t="s">
        <v>80</v>
      </c>
      <c r="D1447" s="11" t="s">
        <v>68</v>
      </c>
      <c r="E1447" s="12">
        <v>46266.0</v>
      </c>
      <c r="F1447" s="12">
        <v>46295.0</v>
      </c>
      <c r="G1447" s="11" t="s">
        <v>8031</v>
      </c>
      <c r="H1447" s="11">
        <v>7.702791956E9</v>
      </c>
      <c r="I1447" s="11" t="s">
        <v>82</v>
      </c>
      <c r="J1447" s="11" t="s">
        <v>71</v>
      </c>
      <c r="K1447" s="11" t="s">
        <v>72</v>
      </c>
      <c r="L1447" s="11" t="s">
        <v>73</v>
      </c>
      <c r="M1447" s="11" t="s">
        <v>8032</v>
      </c>
      <c r="N1447" s="11" t="s">
        <v>86</v>
      </c>
      <c r="O1447" s="11" t="s">
        <v>71</v>
      </c>
      <c r="P1447" s="11" t="s">
        <v>8033</v>
      </c>
      <c r="Q1447" s="13" t="s">
        <v>8034</v>
      </c>
      <c r="R1447" s="14" t="str">
        <f>HYPERLINK("https://drive.google.com/file/d/1rhu3OFO81lo9zkrkAMtMxkgLgnroSf_V/view?usp=drivesdk","OFFER LETTER")</f>
        <v>OFFER LETTER</v>
      </c>
      <c r="S1447" s="11" t="s">
        <v>8035</v>
      </c>
    </row>
    <row r="1448" ht="22.5" customHeight="1">
      <c r="A1448" s="10">
        <v>46264.54216128473</v>
      </c>
      <c r="B1448" s="11" t="s">
        <v>8030</v>
      </c>
      <c r="C1448" s="11" t="s">
        <v>80</v>
      </c>
      <c r="D1448" s="11" t="s">
        <v>68</v>
      </c>
      <c r="E1448" s="12">
        <v>46266.0</v>
      </c>
      <c r="F1448" s="12">
        <v>46295.0</v>
      </c>
      <c r="G1448" s="11" t="s">
        <v>8031</v>
      </c>
      <c r="H1448" s="11">
        <v>7.702791956E9</v>
      </c>
      <c r="I1448" s="11" t="s">
        <v>82</v>
      </c>
      <c r="J1448" s="11" t="s">
        <v>83</v>
      </c>
      <c r="K1448" s="11" t="s">
        <v>72</v>
      </c>
      <c r="L1448" s="11" t="s">
        <v>73</v>
      </c>
      <c r="M1448" s="11" t="s">
        <v>8032</v>
      </c>
      <c r="N1448" s="11" t="s">
        <v>86</v>
      </c>
      <c r="O1448" s="11" t="s">
        <v>71</v>
      </c>
      <c r="P1448" s="11" t="s">
        <v>8036</v>
      </c>
      <c r="Q1448" s="13" t="s">
        <v>8037</v>
      </c>
      <c r="R1448" s="14" t="str">
        <f>HYPERLINK("https://drive.google.com/file/d/1ahicaH3tCVv5BthJVw4NQGrq9dYIf9q1/view?usp=drivesdk","OFFER LETTER")</f>
        <v>OFFER LETTER</v>
      </c>
      <c r="S1448" s="11" t="s">
        <v>8038</v>
      </c>
    </row>
    <row r="1449" ht="22.5" customHeight="1">
      <c r="A1449" s="10">
        <v>46264.543955243054</v>
      </c>
      <c r="B1449" s="11" t="s">
        <v>7921</v>
      </c>
      <c r="C1449" s="11" t="s">
        <v>195</v>
      </c>
      <c r="D1449" s="11" t="s">
        <v>68</v>
      </c>
      <c r="E1449" s="12">
        <v>46191.0</v>
      </c>
      <c r="F1449" s="12">
        <v>46221.0</v>
      </c>
      <c r="G1449" s="11" t="s">
        <v>8039</v>
      </c>
      <c r="H1449" s="11">
        <v>9.060923462E9</v>
      </c>
      <c r="I1449" s="11" t="s">
        <v>82</v>
      </c>
      <c r="J1449" s="11" t="s">
        <v>71</v>
      </c>
      <c r="K1449" s="11" t="s">
        <v>72</v>
      </c>
      <c r="L1449" s="11" t="s">
        <v>84</v>
      </c>
      <c r="M1449" s="11" t="s">
        <v>2535</v>
      </c>
      <c r="N1449" s="11" t="s">
        <v>241</v>
      </c>
      <c r="O1449" s="11" t="s">
        <v>71</v>
      </c>
      <c r="P1449" s="11" t="s">
        <v>8040</v>
      </c>
      <c r="Q1449" s="13" t="s">
        <v>8041</v>
      </c>
      <c r="R1449" s="14" t="str">
        <f>HYPERLINK("https://drive.google.com/file/d/1GVXGGbdX5H_XafsE_vUIuK9Ayd-UeHtH/view?usp=drivesdk","OFFER LETTER")</f>
        <v>OFFER LETTER</v>
      </c>
      <c r="S1449" s="11" t="s">
        <v>8042</v>
      </c>
    </row>
    <row r="1450" ht="22.5" customHeight="1">
      <c r="A1450" s="10">
        <v>46264.5458205787</v>
      </c>
      <c r="B1450" s="11" t="s">
        <v>8043</v>
      </c>
      <c r="C1450" s="11" t="s">
        <v>195</v>
      </c>
      <c r="D1450" s="11" t="s">
        <v>68</v>
      </c>
      <c r="E1450" s="12">
        <v>46186.0</v>
      </c>
      <c r="F1450" s="12">
        <v>46219.0</v>
      </c>
      <c r="G1450" s="11" t="s">
        <v>8044</v>
      </c>
      <c r="H1450" s="11">
        <v>8.2697736E9</v>
      </c>
      <c r="I1450" s="11" t="s">
        <v>82</v>
      </c>
      <c r="J1450" s="11" t="s">
        <v>71</v>
      </c>
      <c r="K1450" s="11" t="s">
        <v>72</v>
      </c>
      <c r="L1450" s="11" t="s">
        <v>84</v>
      </c>
      <c r="M1450" s="11" t="s">
        <v>1322</v>
      </c>
      <c r="N1450" s="11" t="s">
        <v>86</v>
      </c>
      <c r="O1450" s="11" t="s">
        <v>71</v>
      </c>
      <c r="P1450" s="11" t="s">
        <v>8045</v>
      </c>
      <c r="Q1450" s="13" t="s">
        <v>8046</v>
      </c>
      <c r="R1450" s="14" t="str">
        <f>HYPERLINK("https://drive.google.com/file/d/1YOFekZtne7KnE4Yjm_Z573HPvQ6OzWjj/view?usp=drivesdk","OFFER LETTER")</f>
        <v>OFFER LETTER</v>
      </c>
      <c r="S1450" s="11" t="s">
        <v>8047</v>
      </c>
    </row>
    <row r="1451" ht="22.5" customHeight="1">
      <c r="A1451" s="10">
        <v>46264.54733809028</v>
      </c>
      <c r="B1451" s="11" t="s">
        <v>7229</v>
      </c>
      <c r="C1451" s="11" t="s">
        <v>107</v>
      </c>
      <c r="D1451" s="11" t="s">
        <v>68</v>
      </c>
      <c r="E1451" s="12">
        <v>46263.0</v>
      </c>
      <c r="F1451" s="12">
        <v>46294.0</v>
      </c>
      <c r="G1451" s="11" t="s">
        <v>7230</v>
      </c>
      <c r="H1451" s="11">
        <v>9.153979082E9</v>
      </c>
      <c r="I1451" s="11" t="s">
        <v>82</v>
      </c>
      <c r="J1451" s="11" t="s">
        <v>71</v>
      </c>
      <c r="K1451" s="11" t="s">
        <v>110</v>
      </c>
      <c r="L1451" s="11" t="s">
        <v>73</v>
      </c>
      <c r="M1451" s="11" t="s">
        <v>5158</v>
      </c>
      <c r="N1451" s="11" t="s">
        <v>219</v>
      </c>
      <c r="O1451" s="11" t="s">
        <v>71</v>
      </c>
      <c r="P1451" s="11" t="s">
        <v>8048</v>
      </c>
      <c r="Q1451" s="13" t="s">
        <v>8049</v>
      </c>
      <c r="R1451" s="14" t="str">
        <f>HYPERLINK("https://drive.google.com/file/d/1tTAp1gHmdad8RnLSUsOsxGvhS_ehd9P3/view?usp=drivesdk","OFFER LETTER")</f>
        <v>OFFER LETTER</v>
      </c>
      <c r="S1451" s="11" t="s">
        <v>8050</v>
      </c>
    </row>
    <row r="1452" ht="22.5" customHeight="1">
      <c r="A1452" s="10">
        <v>46264.551370497684</v>
      </c>
      <c r="B1452" s="11" t="s">
        <v>8051</v>
      </c>
      <c r="C1452" s="11" t="s">
        <v>195</v>
      </c>
      <c r="D1452" s="11" t="s">
        <v>68</v>
      </c>
      <c r="E1452" s="12">
        <v>46235.0</v>
      </c>
      <c r="F1452" s="12">
        <v>46265.0</v>
      </c>
      <c r="G1452" s="11" t="s">
        <v>8052</v>
      </c>
      <c r="H1452" s="11">
        <v>9.410958227E9</v>
      </c>
      <c r="I1452" s="11" t="s">
        <v>82</v>
      </c>
      <c r="J1452" s="11" t="s">
        <v>71</v>
      </c>
      <c r="K1452" s="11" t="s">
        <v>72</v>
      </c>
      <c r="L1452" s="11" t="s">
        <v>131</v>
      </c>
      <c r="M1452" s="11" t="s">
        <v>2058</v>
      </c>
      <c r="N1452" s="11" t="s">
        <v>8053</v>
      </c>
      <c r="O1452" s="11" t="s">
        <v>71</v>
      </c>
      <c r="P1452" s="11" t="s">
        <v>8054</v>
      </c>
      <c r="Q1452" s="13" t="s">
        <v>8055</v>
      </c>
      <c r="R1452" s="14" t="str">
        <f>HYPERLINK("https://drive.google.com/file/d/1tsD590R8DqDOKIMQUEXS8BnP32xyu-ZI/view?usp=drivesdk","OFFER LETTER")</f>
        <v>OFFER LETTER</v>
      </c>
      <c r="S1452" s="11" t="s">
        <v>8056</v>
      </c>
    </row>
    <row r="1453" ht="22.5" customHeight="1">
      <c r="A1453" s="10">
        <v>46264.553843981485</v>
      </c>
      <c r="B1453" s="11" t="s">
        <v>8057</v>
      </c>
      <c r="C1453" s="11" t="s">
        <v>128</v>
      </c>
      <c r="D1453" s="11" t="s">
        <v>68</v>
      </c>
      <c r="E1453" s="12">
        <v>46266.0</v>
      </c>
      <c r="F1453" s="12">
        <v>46295.0</v>
      </c>
      <c r="G1453" s="11" t="s">
        <v>8058</v>
      </c>
      <c r="H1453" s="11">
        <v>9.389963757E9</v>
      </c>
      <c r="I1453" s="11" t="s">
        <v>70</v>
      </c>
      <c r="J1453" s="11" t="s">
        <v>71</v>
      </c>
      <c r="K1453" s="11" t="s">
        <v>72</v>
      </c>
      <c r="L1453" s="11" t="s">
        <v>73</v>
      </c>
      <c r="M1453" s="11" t="s">
        <v>8059</v>
      </c>
      <c r="N1453" s="11" t="s">
        <v>75</v>
      </c>
      <c r="O1453" s="11" t="s">
        <v>71</v>
      </c>
      <c r="P1453" s="11" t="s">
        <v>8060</v>
      </c>
      <c r="Q1453" s="13" t="s">
        <v>8061</v>
      </c>
      <c r="R1453" s="14" t="str">
        <f>HYPERLINK("https://drive.google.com/file/d/1maAulx4rPnKG8GhMnBtCmYQd2PS5BmsW/view?usp=drivesdk","OFFER LETTER")</f>
        <v>OFFER LETTER</v>
      </c>
      <c r="S1453" s="11" t="s">
        <v>8062</v>
      </c>
    </row>
    <row r="1454" ht="22.5" customHeight="1">
      <c r="A1454" s="10">
        <v>46264.55535966435</v>
      </c>
      <c r="B1454" s="11" t="s">
        <v>8063</v>
      </c>
      <c r="C1454" s="11" t="s">
        <v>259</v>
      </c>
      <c r="D1454" s="11" t="s">
        <v>108</v>
      </c>
      <c r="E1454" s="12">
        <v>46190.0</v>
      </c>
      <c r="F1454" s="12">
        <v>46251.0</v>
      </c>
      <c r="G1454" s="11" t="s">
        <v>8064</v>
      </c>
      <c r="H1454" s="11">
        <v>9.795991017E9</v>
      </c>
      <c r="I1454" s="11" t="s">
        <v>82</v>
      </c>
      <c r="J1454" s="11" t="s">
        <v>71</v>
      </c>
      <c r="K1454" s="11" t="s">
        <v>72</v>
      </c>
      <c r="L1454" s="11" t="s">
        <v>131</v>
      </c>
      <c r="M1454" s="11" t="s">
        <v>493</v>
      </c>
      <c r="N1454" s="11" t="s">
        <v>75</v>
      </c>
      <c r="O1454" s="11" t="s">
        <v>71</v>
      </c>
      <c r="P1454" s="11" t="s">
        <v>8065</v>
      </c>
      <c r="Q1454" s="13" t="s">
        <v>8066</v>
      </c>
      <c r="R1454" s="14" t="str">
        <f>HYPERLINK("https://drive.google.com/file/d/14MGiqQ0Z6Xw1I6thDQJPl-aUD-565cox/view?usp=drivesdk","OFFER LETTER")</f>
        <v>OFFER LETTER</v>
      </c>
      <c r="S1454" s="11" t="s">
        <v>8067</v>
      </c>
    </row>
    <row r="1455" ht="22.5" customHeight="1">
      <c r="A1455" s="10">
        <v>46264.556327881946</v>
      </c>
      <c r="B1455" s="11" t="s">
        <v>8068</v>
      </c>
      <c r="C1455" s="11" t="s">
        <v>80</v>
      </c>
      <c r="D1455" s="11" t="s">
        <v>68</v>
      </c>
      <c r="E1455" s="12">
        <v>46268.0</v>
      </c>
      <c r="F1455" s="12">
        <v>46298.0</v>
      </c>
      <c r="G1455" s="11" t="s">
        <v>8069</v>
      </c>
      <c r="H1455" s="11">
        <v>9.573825949E9</v>
      </c>
      <c r="I1455" s="11" t="s">
        <v>82</v>
      </c>
      <c r="J1455" s="11" t="s">
        <v>83</v>
      </c>
      <c r="K1455" s="11" t="s">
        <v>72</v>
      </c>
      <c r="L1455" s="11" t="s">
        <v>73</v>
      </c>
      <c r="M1455" s="11" t="s">
        <v>8070</v>
      </c>
      <c r="N1455" s="11" t="s">
        <v>655</v>
      </c>
      <c r="O1455" s="11" t="s">
        <v>71</v>
      </c>
      <c r="P1455" s="11" t="s">
        <v>8071</v>
      </c>
      <c r="Q1455" s="13" t="s">
        <v>8072</v>
      </c>
      <c r="R1455" s="14" t="str">
        <f>HYPERLINK("https://drive.google.com/file/d/1NULnOf7VxECW76X31AF7sD95bEELcWyx/view?usp=drivesdk","OFFER LETTER")</f>
        <v>OFFER LETTER</v>
      </c>
      <c r="S1455" s="11" t="s">
        <v>8073</v>
      </c>
    </row>
    <row r="1456" ht="22.5" customHeight="1">
      <c r="A1456" s="10">
        <v>46264.5583993287</v>
      </c>
      <c r="B1456" s="11" t="s">
        <v>8074</v>
      </c>
      <c r="C1456" s="11" t="s">
        <v>195</v>
      </c>
      <c r="D1456" s="11" t="s">
        <v>68</v>
      </c>
      <c r="E1456" s="12">
        <v>46204.0</v>
      </c>
      <c r="F1456" s="12">
        <v>46235.0</v>
      </c>
      <c r="G1456" s="11" t="s">
        <v>8075</v>
      </c>
      <c r="H1456" s="11">
        <v>8.446523401E9</v>
      </c>
      <c r="I1456" s="11" t="s">
        <v>82</v>
      </c>
      <c r="J1456" s="11" t="s">
        <v>83</v>
      </c>
      <c r="K1456" s="11" t="s">
        <v>1028</v>
      </c>
      <c r="L1456" s="11" t="s">
        <v>73</v>
      </c>
      <c r="M1456" s="11" t="s">
        <v>8076</v>
      </c>
      <c r="N1456" s="11" t="s">
        <v>86</v>
      </c>
      <c r="O1456" s="11" t="s">
        <v>71</v>
      </c>
      <c r="P1456" s="11" t="s">
        <v>8077</v>
      </c>
      <c r="Q1456" s="13" t="s">
        <v>8078</v>
      </c>
      <c r="R1456" s="14" t="str">
        <f>HYPERLINK("https://drive.google.com/file/d/1urFTmRPKXTIASc4VjGLUAI-87lSyTnY3/view?usp=drivesdk","OFFER LETTER")</f>
        <v>OFFER LETTER</v>
      </c>
      <c r="S1456" s="11" t="s">
        <v>8079</v>
      </c>
    </row>
    <row r="1457" ht="22.5" customHeight="1">
      <c r="A1457" s="10">
        <v>46264.55850020833</v>
      </c>
      <c r="B1457" s="11" t="s">
        <v>1656</v>
      </c>
      <c r="C1457" s="11" t="s">
        <v>173</v>
      </c>
      <c r="D1457" s="11" t="s">
        <v>68</v>
      </c>
      <c r="E1457" s="12">
        <v>46257.0</v>
      </c>
      <c r="F1457" s="12">
        <v>46288.0</v>
      </c>
      <c r="G1457" s="11" t="s">
        <v>1657</v>
      </c>
      <c r="H1457" s="11">
        <v>8.3031426E9</v>
      </c>
      <c r="I1457" s="11" t="s">
        <v>82</v>
      </c>
      <c r="J1457" s="11" t="s">
        <v>71</v>
      </c>
      <c r="K1457" s="11" t="s">
        <v>72</v>
      </c>
      <c r="L1457" s="11" t="s">
        <v>73</v>
      </c>
      <c r="M1457" s="11" t="s">
        <v>1658</v>
      </c>
      <c r="N1457" s="11" t="s">
        <v>75</v>
      </c>
      <c r="O1457" s="11" t="s">
        <v>71</v>
      </c>
      <c r="P1457" s="11" t="s">
        <v>8080</v>
      </c>
      <c r="Q1457" s="13" t="s">
        <v>8081</v>
      </c>
      <c r="R1457" s="14" t="str">
        <f>HYPERLINK("https://drive.google.com/file/d/1Ah46lAL12qc-6kmKkamSYpp39xQxz4Ak/view?usp=drivesdk","OFFER LETTER")</f>
        <v>OFFER LETTER</v>
      </c>
      <c r="S1457" s="11" t="s">
        <v>8082</v>
      </c>
    </row>
    <row r="1458" ht="22.5" customHeight="1">
      <c r="A1458" s="10">
        <v>46264.558725208335</v>
      </c>
      <c r="B1458" s="11" t="s">
        <v>8083</v>
      </c>
      <c r="C1458" s="11" t="s">
        <v>259</v>
      </c>
      <c r="D1458" s="11" t="s">
        <v>68</v>
      </c>
      <c r="E1458" s="12">
        <v>46265.0</v>
      </c>
      <c r="F1458" s="12">
        <v>46296.0</v>
      </c>
      <c r="G1458" s="11" t="s">
        <v>8084</v>
      </c>
      <c r="H1458" s="11">
        <v>7.909188795E9</v>
      </c>
      <c r="I1458" s="11" t="s">
        <v>82</v>
      </c>
      <c r="J1458" s="11" t="s">
        <v>71</v>
      </c>
      <c r="K1458" s="11" t="s">
        <v>110</v>
      </c>
      <c r="L1458" s="11" t="s">
        <v>73</v>
      </c>
      <c r="M1458" s="11" t="s">
        <v>8085</v>
      </c>
      <c r="N1458" s="11" t="s">
        <v>936</v>
      </c>
      <c r="O1458" s="11" t="s">
        <v>71</v>
      </c>
      <c r="P1458" s="11" t="s">
        <v>8086</v>
      </c>
      <c r="Q1458" s="13" t="s">
        <v>8087</v>
      </c>
      <c r="R1458" s="14" t="str">
        <f>HYPERLINK("https://drive.google.com/file/d/1CHmXScVNCrjIW6O1d98tzdVjMnvJEUDG/view?usp=drivesdk","OFFER LETTER")</f>
        <v>OFFER LETTER</v>
      </c>
      <c r="S1458" s="11" t="s">
        <v>8088</v>
      </c>
    </row>
    <row r="1459" ht="22.5" customHeight="1">
      <c r="A1459" s="10">
        <v>46264.55924664352</v>
      </c>
      <c r="B1459" s="11" t="s">
        <v>8089</v>
      </c>
      <c r="C1459" s="11" t="s">
        <v>173</v>
      </c>
      <c r="D1459" s="11" t="s">
        <v>68</v>
      </c>
      <c r="E1459" s="12">
        <v>46266.0</v>
      </c>
      <c r="F1459" s="12">
        <v>46295.0</v>
      </c>
      <c r="G1459" s="11" t="s">
        <v>8090</v>
      </c>
      <c r="H1459" s="11">
        <v>9.608058131E9</v>
      </c>
      <c r="I1459" s="11" t="s">
        <v>82</v>
      </c>
      <c r="J1459" s="11" t="s">
        <v>71</v>
      </c>
      <c r="K1459" s="11" t="s">
        <v>110</v>
      </c>
      <c r="L1459" s="11" t="s">
        <v>84</v>
      </c>
      <c r="M1459" s="11" t="s">
        <v>8091</v>
      </c>
      <c r="N1459" s="11" t="s">
        <v>241</v>
      </c>
      <c r="O1459" s="11" t="s">
        <v>71</v>
      </c>
      <c r="P1459" s="11" t="s">
        <v>8092</v>
      </c>
      <c r="Q1459" s="13" t="s">
        <v>8093</v>
      </c>
      <c r="R1459" s="14" t="str">
        <f>HYPERLINK("https://drive.google.com/file/d/18jgsAME0wImroaeQy2yEl-EFS1OKpcsv/view?usp=drivesdk","OFFER LETTER")</f>
        <v>OFFER LETTER</v>
      </c>
      <c r="S1459" s="11" t="s">
        <v>8094</v>
      </c>
    </row>
    <row r="1460" ht="22.5" customHeight="1">
      <c r="A1460" s="10">
        <v>46264.56012090278</v>
      </c>
      <c r="B1460" s="11" t="s">
        <v>7921</v>
      </c>
      <c r="C1460" s="11" t="s">
        <v>195</v>
      </c>
      <c r="D1460" s="11" t="s">
        <v>68</v>
      </c>
      <c r="E1460" s="12">
        <v>46191.0</v>
      </c>
      <c r="F1460" s="12">
        <v>46221.0</v>
      </c>
      <c r="G1460" s="11" t="s">
        <v>8039</v>
      </c>
      <c r="H1460" s="11">
        <v>9.060923462E9</v>
      </c>
      <c r="I1460" s="11" t="s">
        <v>82</v>
      </c>
      <c r="J1460" s="11" t="s">
        <v>71</v>
      </c>
      <c r="K1460" s="11" t="s">
        <v>72</v>
      </c>
      <c r="L1460" s="11" t="s">
        <v>84</v>
      </c>
      <c r="M1460" s="11" t="s">
        <v>2535</v>
      </c>
      <c r="N1460" s="11" t="s">
        <v>241</v>
      </c>
      <c r="O1460" s="11" t="s">
        <v>71</v>
      </c>
      <c r="P1460" s="11" t="s">
        <v>8095</v>
      </c>
      <c r="Q1460" s="13" t="s">
        <v>8096</v>
      </c>
      <c r="R1460" s="14" t="str">
        <f>HYPERLINK("https://drive.google.com/file/d/1gPfYf-WQHbPr0Ct0g5knwe0hHgUP7Eg_/view?usp=drivesdk","OFFER LETTER")</f>
        <v>OFFER LETTER</v>
      </c>
      <c r="S1460" s="11" t="s">
        <v>8097</v>
      </c>
    </row>
    <row r="1461" ht="22.5" customHeight="1">
      <c r="A1461" s="10">
        <v>46264.561534444445</v>
      </c>
      <c r="B1461" s="11" t="s">
        <v>8098</v>
      </c>
      <c r="C1461" s="11" t="s">
        <v>195</v>
      </c>
      <c r="D1461" s="11" t="s">
        <v>68</v>
      </c>
      <c r="E1461" s="12">
        <v>46198.0</v>
      </c>
      <c r="F1461" s="12">
        <v>46229.0</v>
      </c>
      <c r="G1461" s="11" t="s">
        <v>8099</v>
      </c>
      <c r="H1461" s="11">
        <v>9.3911659E9</v>
      </c>
      <c r="I1461" s="11" t="s">
        <v>70</v>
      </c>
      <c r="J1461" s="11" t="s">
        <v>71</v>
      </c>
      <c r="K1461" s="11" t="s">
        <v>72</v>
      </c>
      <c r="L1461" s="11" t="s">
        <v>84</v>
      </c>
      <c r="M1461" s="11" t="s">
        <v>1217</v>
      </c>
      <c r="N1461" s="11" t="s">
        <v>86</v>
      </c>
      <c r="O1461" s="11" t="s">
        <v>71</v>
      </c>
      <c r="P1461" s="11" t="s">
        <v>8100</v>
      </c>
      <c r="Q1461" s="13" t="s">
        <v>8101</v>
      </c>
      <c r="R1461" s="14" t="str">
        <f>HYPERLINK("https://drive.google.com/file/d/1VvG5NUvsdPGsSwpeQ88PlA6kQox6LSTl/view?usp=drivesdk","OFFER LETTER")</f>
        <v>OFFER LETTER</v>
      </c>
      <c r="S1461" s="11" t="s">
        <v>8102</v>
      </c>
    </row>
    <row r="1462" ht="22.5" customHeight="1">
      <c r="A1462" s="10">
        <v>46264.561670625</v>
      </c>
      <c r="B1462" s="11" t="s">
        <v>8103</v>
      </c>
      <c r="C1462" s="11" t="s">
        <v>80</v>
      </c>
      <c r="D1462" s="11" t="s">
        <v>68</v>
      </c>
      <c r="E1462" s="12">
        <v>46264.0</v>
      </c>
      <c r="F1462" s="12">
        <v>46295.0</v>
      </c>
      <c r="G1462" s="11" t="s">
        <v>8104</v>
      </c>
      <c r="H1462" s="11">
        <v>8.660768219E9</v>
      </c>
      <c r="I1462" s="11" t="s">
        <v>82</v>
      </c>
      <c r="J1462" s="11" t="s">
        <v>71</v>
      </c>
      <c r="K1462" s="11" t="s">
        <v>72</v>
      </c>
      <c r="L1462" s="11" t="s">
        <v>131</v>
      </c>
      <c r="M1462" s="11" t="s">
        <v>8105</v>
      </c>
      <c r="N1462" s="11" t="s">
        <v>155</v>
      </c>
      <c r="O1462" s="11" t="s">
        <v>71</v>
      </c>
      <c r="P1462" s="11" t="s">
        <v>8106</v>
      </c>
      <c r="Q1462" s="13" t="s">
        <v>8107</v>
      </c>
      <c r="R1462" s="14" t="str">
        <f>HYPERLINK("https://drive.google.com/file/d/1h6crcQCoamKbACcCGRSeCnSmJwX5OB3S/view?usp=drivesdk","OFFER LETTER")</f>
        <v>OFFER LETTER</v>
      </c>
      <c r="S1462" s="11" t="s">
        <v>8108</v>
      </c>
    </row>
    <row r="1463" ht="22.5" customHeight="1">
      <c r="A1463" s="10">
        <v>46264.5621791088</v>
      </c>
      <c r="B1463" s="11" t="s">
        <v>8109</v>
      </c>
      <c r="C1463" s="11" t="s">
        <v>173</v>
      </c>
      <c r="D1463" s="11" t="s">
        <v>68</v>
      </c>
      <c r="E1463" s="12">
        <v>46183.0</v>
      </c>
      <c r="F1463" s="12">
        <v>46223.0</v>
      </c>
      <c r="G1463" s="11" t="s">
        <v>8110</v>
      </c>
      <c r="H1463" s="11">
        <v>9.305952861E9</v>
      </c>
      <c r="I1463" s="11" t="s">
        <v>82</v>
      </c>
      <c r="J1463" s="11" t="s">
        <v>71</v>
      </c>
      <c r="K1463" s="11" t="s">
        <v>72</v>
      </c>
      <c r="L1463" s="11" t="s">
        <v>131</v>
      </c>
      <c r="M1463" s="11" t="s">
        <v>7848</v>
      </c>
      <c r="N1463" s="11" t="s">
        <v>8111</v>
      </c>
      <c r="O1463" s="11" t="s">
        <v>71</v>
      </c>
      <c r="P1463" s="11" t="s">
        <v>8112</v>
      </c>
      <c r="Q1463" s="13" t="s">
        <v>8113</v>
      </c>
      <c r="R1463" s="14" t="str">
        <f>HYPERLINK("https://drive.google.com/file/d/1mHfYWNjg29mL2OnVu0_HIQ9ZCg3B6K3O/view?usp=drivesdk","OFFER LETTER")</f>
        <v>OFFER LETTER</v>
      </c>
      <c r="S1463" s="11" t="s">
        <v>8114</v>
      </c>
    </row>
    <row r="1464" ht="22.5" customHeight="1">
      <c r="A1464" s="10">
        <v>46264.562528379625</v>
      </c>
      <c r="B1464" s="11" t="s">
        <v>3345</v>
      </c>
      <c r="C1464" s="11" t="s">
        <v>173</v>
      </c>
      <c r="D1464" s="11" t="s">
        <v>68</v>
      </c>
      <c r="E1464" s="12">
        <v>46232.0</v>
      </c>
      <c r="F1464" s="12">
        <v>46263.0</v>
      </c>
      <c r="G1464" s="11" t="s">
        <v>8115</v>
      </c>
      <c r="H1464" s="11">
        <v>9.608462176E9</v>
      </c>
      <c r="I1464" s="11" t="s">
        <v>82</v>
      </c>
      <c r="J1464" s="11" t="s">
        <v>71</v>
      </c>
      <c r="K1464" s="11" t="s">
        <v>72</v>
      </c>
      <c r="L1464" s="11" t="s">
        <v>84</v>
      </c>
      <c r="M1464" s="11" t="s">
        <v>886</v>
      </c>
      <c r="N1464" s="11" t="s">
        <v>86</v>
      </c>
      <c r="O1464" s="11" t="s">
        <v>71</v>
      </c>
      <c r="P1464" s="11" t="s">
        <v>8116</v>
      </c>
      <c r="Q1464" s="13" t="s">
        <v>8117</v>
      </c>
      <c r="R1464" s="14" t="str">
        <f>HYPERLINK("https://drive.google.com/file/d/1Co3h_tKpwjwilo7nR8kYS-wEqqk2V79N/view?usp=drivesdk","OFFER LETTER")</f>
        <v>OFFER LETTER</v>
      </c>
      <c r="S1464" s="11" t="s">
        <v>8118</v>
      </c>
    </row>
    <row r="1465" ht="22.5" customHeight="1">
      <c r="A1465" s="10">
        <v>46264.56293946759</v>
      </c>
      <c r="B1465" s="11" t="s">
        <v>8119</v>
      </c>
      <c r="C1465" s="11" t="s">
        <v>128</v>
      </c>
      <c r="D1465" s="11" t="s">
        <v>68</v>
      </c>
      <c r="E1465" s="12">
        <v>46264.0</v>
      </c>
      <c r="F1465" s="12">
        <v>46295.0</v>
      </c>
      <c r="G1465" s="11" t="s">
        <v>8120</v>
      </c>
      <c r="H1465" s="11">
        <v>9.171003011E9</v>
      </c>
      <c r="I1465" s="11" t="s">
        <v>82</v>
      </c>
      <c r="J1465" s="11" t="s">
        <v>71</v>
      </c>
      <c r="K1465" s="11" t="s">
        <v>72</v>
      </c>
      <c r="L1465" s="11" t="s">
        <v>247</v>
      </c>
      <c r="M1465" s="11" t="s">
        <v>8121</v>
      </c>
      <c r="N1465" s="11" t="s">
        <v>241</v>
      </c>
      <c r="O1465" s="11" t="s">
        <v>71</v>
      </c>
      <c r="P1465" s="11" t="s">
        <v>8122</v>
      </c>
      <c r="Q1465" s="13" t="s">
        <v>8123</v>
      </c>
      <c r="R1465" s="14" t="str">
        <f>HYPERLINK("https://drive.google.com/file/d/1FW6pP_MdYtyzlZWRR-_WI5Ga2ULFhpBi/view?usp=drivesdk","OFFER LETTER")</f>
        <v>OFFER LETTER</v>
      </c>
      <c r="S1465" s="11" t="s">
        <v>8118</v>
      </c>
    </row>
    <row r="1466" ht="22.5" customHeight="1">
      <c r="A1466" s="10">
        <v>46264.56304878472</v>
      </c>
      <c r="B1466" s="11" t="s">
        <v>8124</v>
      </c>
      <c r="C1466" s="11" t="s">
        <v>742</v>
      </c>
      <c r="D1466" s="11" t="s">
        <v>68</v>
      </c>
      <c r="E1466" s="12">
        <v>46264.0</v>
      </c>
      <c r="F1466" s="12">
        <v>46295.0</v>
      </c>
      <c r="G1466" s="11" t="s">
        <v>8125</v>
      </c>
      <c r="H1466" s="11">
        <v>9.83509099E9</v>
      </c>
      <c r="I1466" s="11" t="s">
        <v>82</v>
      </c>
      <c r="J1466" s="11" t="s">
        <v>71</v>
      </c>
      <c r="K1466" s="11" t="s">
        <v>72</v>
      </c>
      <c r="L1466" s="11" t="s">
        <v>84</v>
      </c>
      <c r="M1466" s="11" t="s">
        <v>8126</v>
      </c>
      <c r="N1466" s="11" t="s">
        <v>241</v>
      </c>
      <c r="O1466" s="11" t="s">
        <v>71</v>
      </c>
      <c r="P1466" s="11" t="s">
        <v>8127</v>
      </c>
      <c r="Q1466" s="13" t="s">
        <v>8128</v>
      </c>
      <c r="R1466" s="14" t="str">
        <f>HYPERLINK("https://drive.google.com/file/d/1UBDWZNCaUAdUTTGhtxtpewN6tfGBAfhy/view?usp=drivesdk","OFFER LETTER")</f>
        <v>OFFER LETTER</v>
      </c>
      <c r="S1466" s="11" t="s">
        <v>8129</v>
      </c>
    </row>
    <row r="1467" ht="22.5" customHeight="1">
      <c r="A1467" s="10">
        <v>46264.5641324537</v>
      </c>
      <c r="B1467" s="11" t="s">
        <v>8089</v>
      </c>
      <c r="C1467" s="11" t="s">
        <v>173</v>
      </c>
      <c r="D1467" s="11" t="s">
        <v>68</v>
      </c>
      <c r="E1467" s="12">
        <v>46235.0</v>
      </c>
      <c r="F1467" s="12">
        <v>46264.0</v>
      </c>
      <c r="G1467" s="11" t="s">
        <v>8090</v>
      </c>
      <c r="H1467" s="11">
        <v>9.608058131E9</v>
      </c>
      <c r="I1467" s="11" t="s">
        <v>82</v>
      </c>
      <c r="J1467" s="11" t="s">
        <v>71</v>
      </c>
      <c r="K1467" s="11" t="s">
        <v>110</v>
      </c>
      <c r="L1467" s="11" t="s">
        <v>84</v>
      </c>
      <c r="M1467" s="11" t="s">
        <v>8091</v>
      </c>
      <c r="N1467" s="11" t="s">
        <v>241</v>
      </c>
      <c r="O1467" s="11" t="s">
        <v>71</v>
      </c>
      <c r="P1467" s="11" t="s">
        <v>8130</v>
      </c>
      <c r="Q1467" s="13" t="s">
        <v>8131</v>
      </c>
      <c r="R1467" s="14" t="str">
        <f>HYPERLINK("https://drive.google.com/file/d/1AAk2obQykpDc2eEKsFQ3o8k0sjaonMT1/view?usp=drivesdk","OFFER LETTER")</f>
        <v>OFFER LETTER</v>
      </c>
      <c r="S1467" s="11" t="s">
        <v>8132</v>
      </c>
    </row>
    <row r="1468" ht="22.5" customHeight="1">
      <c r="A1468" s="10">
        <v>46264.566809525466</v>
      </c>
      <c r="B1468" s="11" t="s">
        <v>8133</v>
      </c>
      <c r="C1468" s="11" t="s">
        <v>237</v>
      </c>
      <c r="D1468" s="11" t="s">
        <v>68</v>
      </c>
      <c r="E1468" s="12">
        <v>46175.0</v>
      </c>
      <c r="F1468" s="12">
        <v>46267.0</v>
      </c>
      <c r="G1468" s="11" t="s">
        <v>8134</v>
      </c>
      <c r="H1468" s="11" t="s">
        <v>8135</v>
      </c>
      <c r="I1468" s="11" t="s">
        <v>82</v>
      </c>
      <c r="J1468" s="11" t="s">
        <v>71</v>
      </c>
      <c r="K1468" s="11" t="s">
        <v>72</v>
      </c>
      <c r="L1468" s="11" t="s">
        <v>84</v>
      </c>
      <c r="M1468" s="11" t="s">
        <v>6592</v>
      </c>
      <c r="N1468" s="11" t="s">
        <v>75</v>
      </c>
      <c r="O1468" s="11" t="s">
        <v>71</v>
      </c>
      <c r="P1468" s="11" t="s">
        <v>8136</v>
      </c>
      <c r="Q1468" s="13" t="s">
        <v>8137</v>
      </c>
      <c r="R1468" s="14" t="str">
        <f>HYPERLINK("https://drive.google.com/file/d/1sQ5qPnUYWoZei_YYz8bD4eO0hnBH6yRO/view?usp=drivesdk","OFFER LETTER")</f>
        <v>OFFER LETTER</v>
      </c>
      <c r="S1468" s="11" t="s">
        <v>8138</v>
      </c>
    </row>
    <row r="1469" ht="22.5" customHeight="1">
      <c r="A1469" s="10">
        <v>46264.56767128472</v>
      </c>
      <c r="B1469" s="11" t="s">
        <v>8139</v>
      </c>
      <c r="C1469" s="11" t="s">
        <v>128</v>
      </c>
      <c r="D1469" s="11" t="s">
        <v>108</v>
      </c>
      <c r="E1469" s="12">
        <v>46204.0</v>
      </c>
      <c r="F1469" s="12">
        <v>46264.0</v>
      </c>
      <c r="G1469" s="11" t="s">
        <v>8140</v>
      </c>
      <c r="H1469" s="11">
        <v>9.315406567E9</v>
      </c>
      <c r="I1469" s="11" t="s">
        <v>70</v>
      </c>
      <c r="J1469" s="11" t="s">
        <v>71</v>
      </c>
      <c r="K1469" s="11" t="s">
        <v>72</v>
      </c>
      <c r="L1469" s="11" t="s">
        <v>84</v>
      </c>
      <c r="M1469" s="11" t="s">
        <v>5961</v>
      </c>
      <c r="N1469" s="11" t="s">
        <v>75</v>
      </c>
      <c r="O1469" s="11" t="s">
        <v>71</v>
      </c>
      <c r="P1469" s="11" t="s">
        <v>8141</v>
      </c>
      <c r="Q1469" s="13" t="s">
        <v>8142</v>
      </c>
      <c r="R1469" s="14" t="str">
        <f>HYPERLINK("https://drive.google.com/file/d/1yYAWB4Z4mDzDvw_nysPE3yU-7a8nwlFH/view?usp=drivesdk","OFFER LETTER")</f>
        <v>OFFER LETTER</v>
      </c>
      <c r="S1469" s="11" t="s">
        <v>8143</v>
      </c>
    </row>
    <row r="1470" ht="22.5" customHeight="1">
      <c r="A1470" s="10">
        <v>46264.568444502314</v>
      </c>
      <c r="B1470" s="11" t="s">
        <v>2149</v>
      </c>
      <c r="C1470" s="11" t="s">
        <v>173</v>
      </c>
      <c r="D1470" s="11" t="s">
        <v>68</v>
      </c>
      <c r="E1470" s="12">
        <v>46232.0</v>
      </c>
      <c r="F1470" s="12">
        <v>46263.0</v>
      </c>
      <c r="G1470" s="11" t="s">
        <v>8115</v>
      </c>
      <c r="H1470" s="11">
        <v>9.608462176E9</v>
      </c>
      <c r="I1470" s="11" t="s">
        <v>82</v>
      </c>
      <c r="J1470" s="11" t="s">
        <v>71</v>
      </c>
      <c r="K1470" s="11" t="s">
        <v>72</v>
      </c>
      <c r="L1470" s="11" t="s">
        <v>84</v>
      </c>
      <c r="M1470" s="11" t="s">
        <v>886</v>
      </c>
      <c r="N1470" s="11" t="s">
        <v>86</v>
      </c>
      <c r="O1470" s="11" t="s">
        <v>71</v>
      </c>
      <c r="P1470" s="11" t="s">
        <v>8144</v>
      </c>
      <c r="Q1470" s="13" t="s">
        <v>8145</v>
      </c>
      <c r="R1470" s="14" t="str">
        <f>HYPERLINK("https://drive.google.com/file/d/1drWA0wCNHfYv_SMjmCQVwSh2MjnJP2LA/view?usp=drivesdk","OFFER LETTER")</f>
        <v>OFFER LETTER</v>
      </c>
      <c r="S1470" s="11" t="s">
        <v>8146</v>
      </c>
    </row>
    <row r="1471" ht="22.5" customHeight="1">
      <c r="A1471" s="10">
        <v>46264.569923206014</v>
      </c>
      <c r="B1471" s="11" t="s">
        <v>8147</v>
      </c>
      <c r="C1471" s="11" t="s">
        <v>195</v>
      </c>
      <c r="D1471" s="11" t="s">
        <v>68</v>
      </c>
      <c r="E1471" s="12">
        <v>46266.0</v>
      </c>
      <c r="F1471" s="12">
        <v>46296.0</v>
      </c>
      <c r="G1471" s="11" t="s">
        <v>8148</v>
      </c>
      <c r="H1471" s="11">
        <v>9.699282855E9</v>
      </c>
      <c r="I1471" s="11" t="s">
        <v>70</v>
      </c>
      <c r="J1471" s="11" t="s">
        <v>71</v>
      </c>
      <c r="K1471" s="11" t="s">
        <v>72</v>
      </c>
      <c r="L1471" s="11" t="s">
        <v>73</v>
      </c>
      <c r="M1471" s="11" t="s">
        <v>8149</v>
      </c>
      <c r="N1471" s="11" t="s">
        <v>241</v>
      </c>
      <c r="O1471" s="11" t="s">
        <v>71</v>
      </c>
      <c r="P1471" s="11" t="s">
        <v>8150</v>
      </c>
      <c r="Q1471" s="13" t="s">
        <v>8151</v>
      </c>
      <c r="R1471" s="14" t="str">
        <f>HYPERLINK("https://drive.google.com/file/d/18ii8EUvIZdGIcYQ6E60LUECPv2euDjuT/view?usp=drivesdk","OFFER LETTER")</f>
        <v>OFFER LETTER</v>
      </c>
      <c r="S1471" s="11" t="s">
        <v>8152</v>
      </c>
    </row>
    <row r="1472" ht="22.5" customHeight="1">
      <c r="A1472" s="10">
        <v>46264.570161550924</v>
      </c>
      <c r="B1472" s="11" t="s">
        <v>8153</v>
      </c>
      <c r="C1472" s="11" t="s">
        <v>107</v>
      </c>
      <c r="D1472" s="11" t="s">
        <v>68</v>
      </c>
      <c r="E1472" s="12">
        <v>46218.0</v>
      </c>
      <c r="F1472" s="12">
        <v>46249.0</v>
      </c>
      <c r="G1472" s="11" t="s">
        <v>8154</v>
      </c>
      <c r="H1472" s="11">
        <v>6.203490257E9</v>
      </c>
      <c r="I1472" s="11" t="s">
        <v>70</v>
      </c>
      <c r="J1472" s="11" t="s">
        <v>71</v>
      </c>
      <c r="K1472" s="11" t="s">
        <v>356</v>
      </c>
      <c r="L1472" s="11" t="s">
        <v>84</v>
      </c>
      <c r="M1472" s="11" t="s">
        <v>560</v>
      </c>
      <c r="N1472" s="11" t="s">
        <v>75</v>
      </c>
      <c r="O1472" s="11" t="s">
        <v>71</v>
      </c>
      <c r="P1472" s="11" t="s">
        <v>8155</v>
      </c>
      <c r="Q1472" s="13" t="s">
        <v>8156</v>
      </c>
      <c r="R1472" s="14" t="str">
        <f>HYPERLINK("https://drive.google.com/file/d/1ALZPEHkQoc8-rIxiGCPdxsakODtec03P/view?usp=drivesdk","OFFER LETTER")</f>
        <v>OFFER LETTER</v>
      </c>
      <c r="S1472" s="11" t="s">
        <v>8157</v>
      </c>
    </row>
    <row r="1473" ht="22.5" customHeight="1">
      <c r="A1473" s="10">
        <v>46264.571518425924</v>
      </c>
      <c r="B1473" s="11" t="s">
        <v>8158</v>
      </c>
      <c r="C1473" s="11" t="s">
        <v>195</v>
      </c>
      <c r="D1473" s="11" t="s">
        <v>68</v>
      </c>
      <c r="E1473" s="12">
        <v>46233.0</v>
      </c>
      <c r="F1473" s="12">
        <v>46264.0</v>
      </c>
      <c r="G1473" s="11" t="s">
        <v>8159</v>
      </c>
      <c r="H1473" s="11">
        <v>8.70782257E9</v>
      </c>
      <c r="I1473" s="11" t="s">
        <v>82</v>
      </c>
      <c r="J1473" s="11" t="s">
        <v>71</v>
      </c>
      <c r="K1473" s="11" t="s">
        <v>72</v>
      </c>
      <c r="L1473" s="11" t="s">
        <v>84</v>
      </c>
      <c r="M1473" s="11" t="s">
        <v>560</v>
      </c>
      <c r="N1473" s="11" t="s">
        <v>198</v>
      </c>
      <c r="O1473" s="11" t="s">
        <v>71</v>
      </c>
      <c r="P1473" s="11" t="s">
        <v>8160</v>
      </c>
      <c r="Q1473" s="13" t="s">
        <v>8161</v>
      </c>
      <c r="R1473" s="14" t="str">
        <f>HYPERLINK("https://drive.google.com/file/d/1UzKeJycYCdbcSyA_XBlJPbuJQBw_H13e/view?usp=drivesdk","OFFER LETTER")</f>
        <v>OFFER LETTER</v>
      </c>
      <c r="S1473" s="11" t="s">
        <v>8162</v>
      </c>
    </row>
    <row r="1474" ht="22.5" customHeight="1">
      <c r="A1474" s="10">
        <v>46264.57207844907</v>
      </c>
      <c r="B1474" s="11" t="s">
        <v>8147</v>
      </c>
      <c r="C1474" s="11" t="s">
        <v>195</v>
      </c>
      <c r="D1474" s="11" t="s">
        <v>68</v>
      </c>
      <c r="E1474" s="12">
        <v>46266.0</v>
      </c>
      <c r="F1474" s="12">
        <v>46296.0</v>
      </c>
      <c r="G1474" s="11" t="s">
        <v>8148</v>
      </c>
      <c r="H1474" s="11">
        <v>9.699282855E9</v>
      </c>
      <c r="I1474" s="11" t="s">
        <v>70</v>
      </c>
      <c r="J1474" s="11" t="s">
        <v>71</v>
      </c>
      <c r="K1474" s="11" t="s">
        <v>72</v>
      </c>
      <c r="L1474" s="11" t="s">
        <v>73</v>
      </c>
      <c r="M1474" s="11" t="s">
        <v>8149</v>
      </c>
      <c r="N1474" s="11" t="s">
        <v>241</v>
      </c>
      <c r="O1474" s="11" t="s">
        <v>71</v>
      </c>
      <c r="P1474" s="11" t="s">
        <v>8163</v>
      </c>
      <c r="Q1474" s="13" t="s">
        <v>8164</v>
      </c>
      <c r="R1474" s="14" t="str">
        <f>HYPERLINK("https://drive.google.com/file/d/10Qq64fsCuPuS8tTAW8l7kAICeP4uG9nl/view?usp=drivesdk","OFFER LETTER")</f>
        <v>OFFER LETTER</v>
      </c>
      <c r="S1474" s="11" t="s">
        <v>8165</v>
      </c>
    </row>
    <row r="1475" ht="22.5" customHeight="1">
      <c r="A1475" s="10">
        <v>46264.57228291666</v>
      </c>
      <c r="B1475" s="11" t="s">
        <v>8166</v>
      </c>
      <c r="C1475" s="11" t="s">
        <v>195</v>
      </c>
      <c r="D1475" s="11" t="s">
        <v>68</v>
      </c>
      <c r="E1475" s="12">
        <v>46225.0</v>
      </c>
      <c r="F1475" s="12">
        <v>46257.0</v>
      </c>
      <c r="G1475" s="11" t="s">
        <v>8167</v>
      </c>
      <c r="H1475" s="11">
        <v>9.329415052E9</v>
      </c>
      <c r="I1475" s="11" t="s">
        <v>82</v>
      </c>
      <c r="J1475" s="11" t="s">
        <v>71</v>
      </c>
      <c r="K1475" s="11" t="s">
        <v>72</v>
      </c>
      <c r="L1475" s="11" t="s">
        <v>84</v>
      </c>
      <c r="M1475" s="11" t="s">
        <v>2021</v>
      </c>
      <c r="N1475" s="11" t="s">
        <v>86</v>
      </c>
      <c r="O1475" s="11" t="s">
        <v>71</v>
      </c>
      <c r="P1475" s="11" t="s">
        <v>8168</v>
      </c>
      <c r="Q1475" s="13" t="s">
        <v>8169</v>
      </c>
      <c r="R1475" s="14" t="str">
        <f>HYPERLINK("https://drive.google.com/file/d/1eeXJZeGY6U17I5tPbPaqnifoqCZflojE/view?usp=drivesdk","OFFER LETTER")</f>
        <v>OFFER LETTER</v>
      </c>
      <c r="S1475" s="11" t="s">
        <v>8165</v>
      </c>
    </row>
    <row r="1476" ht="22.5" customHeight="1">
      <c r="A1476" s="10">
        <v>46264.572941516206</v>
      </c>
      <c r="B1476" s="11" t="s">
        <v>8170</v>
      </c>
      <c r="C1476" s="11" t="s">
        <v>128</v>
      </c>
      <c r="D1476" s="11" t="s">
        <v>68</v>
      </c>
      <c r="E1476" s="12">
        <v>46266.0</v>
      </c>
      <c r="F1476" s="12">
        <v>46295.0</v>
      </c>
      <c r="G1476" s="11" t="s">
        <v>8171</v>
      </c>
      <c r="H1476" s="11">
        <v>7.013722297E9</v>
      </c>
      <c r="I1476" s="11" t="s">
        <v>82</v>
      </c>
      <c r="J1476" s="11" t="s">
        <v>71</v>
      </c>
      <c r="K1476" s="11" t="s">
        <v>72</v>
      </c>
      <c r="L1476" s="11" t="s">
        <v>73</v>
      </c>
      <c r="M1476" s="11" t="s">
        <v>2883</v>
      </c>
      <c r="N1476" s="11" t="s">
        <v>86</v>
      </c>
      <c r="O1476" s="11" t="s">
        <v>71</v>
      </c>
      <c r="P1476" s="11" t="s">
        <v>8172</v>
      </c>
      <c r="Q1476" s="13" t="s">
        <v>8173</v>
      </c>
      <c r="R1476" s="14" t="str">
        <f>HYPERLINK("https://drive.google.com/file/d/1bDpQkZG3qiA4SVdx6gdc2UCAv0F5Bsn_/view?usp=drivesdk","OFFER LETTER")</f>
        <v>OFFER LETTER</v>
      </c>
      <c r="S1476" s="11" t="s">
        <v>8174</v>
      </c>
    </row>
    <row r="1477" ht="22.5" customHeight="1">
      <c r="A1477" s="10">
        <v>46264.572980439814</v>
      </c>
      <c r="B1477" s="11" t="s">
        <v>8175</v>
      </c>
      <c r="C1477" s="11" t="s">
        <v>195</v>
      </c>
      <c r="D1477" s="11" t="s">
        <v>108</v>
      </c>
      <c r="E1477" s="12">
        <v>46198.0</v>
      </c>
      <c r="F1477" s="12">
        <v>46259.0</v>
      </c>
      <c r="G1477" s="11" t="s">
        <v>8176</v>
      </c>
      <c r="H1477" s="17" t="s">
        <v>8177</v>
      </c>
      <c r="I1477" s="11" t="s">
        <v>82</v>
      </c>
      <c r="J1477" s="11" t="s">
        <v>71</v>
      </c>
      <c r="K1477" s="11" t="s">
        <v>72</v>
      </c>
      <c r="L1477" s="11" t="s">
        <v>131</v>
      </c>
      <c r="M1477" s="11" t="s">
        <v>8178</v>
      </c>
      <c r="N1477" s="11" t="s">
        <v>198</v>
      </c>
      <c r="O1477" s="11" t="s">
        <v>71</v>
      </c>
      <c r="P1477" s="11" t="s">
        <v>8179</v>
      </c>
      <c r="Q1477" s="13" t="s">
        <v>8180</v>
      </c>
      <c r="R1477" s="14" t="str">
        <f>HYPERLINK("https://drive.google.com/file/d/1OBa1ctZostVu9lGCfpvMsjdIFgo0wQrC/view?usp=drivesdk","OFFER LETTER")</f>
        <v>OFFER LETTER</v>
      </c>
      <c r="S1477" s="11" t="s">
        <v>8174</v>
      </c>
    </row>
    <row r="1478" ht="22.5" customHeight="1">
      <c r="A1478" s="10">
        <v>46264.57431090278</v>
      </c>
      <c r="B1478" s="11" t="s">
        <v>8181</v>
      </c>
      <c r="C1478" s="11" t="s">
        <v>173</v>
      </c>
      <c r="D1478" s="11" t="s">
        <v>68</v>
      </c>
      <c r="E1478" s="12">
        <v>46232.0</v>
      </c>
      <c r="F1478" s="12">
        <v>46263.0</v>
      </c>
      <c r="G1478" s="11" t="s">
        <v>8182</v>
      </c>
      <c r="H1478" s="11">
        <v>8.953442338E9</v>
      </c>
      <c r="I1478" s="11" t="s">
        <v>82</v>
      </c>
      <c r="J1478" s="11" t="s">
        <v>71</v>
      </c>
      <c r="K1478" s="11" t="s">
        <v>72</v>
      </c>
      <c r="L1478" s="11" t="s">
        <v>84</v>
      </c>
      <c r="M1478" s="11" t="s">
        <v>886</v>
      </c>
      <c r="N1478" s="11" t="s">
        <v>86</v>
      </c>
      <c r="O1478" s="11" t="s">
        <v>71</v>
      </c>
      <c r="P1478" s="11" t="s">
        <v>8183</v>
      </c>
      <c r="Q1478" s="13" t="s">
        <v>8184</v>
      </c>
      <c r="R1478" s="14" t="str">
        <f>HYPERLINK("https://drive.google.com/file/d/1Wf7I4bkh0lZy0WgJ0r4En3j2xuFFHZbB/view?usp=drivesdk","OFFER LETTER")</f>
        <v>OFFER LETTER</v>
      </c>
      <c r="S1478" s="11" t="s">
        <v>8185</v>
      </c>
    </row>
    <row r="1479" ht="22.5" customHeight="1">
      <c r="A1479" s="10">
        <v>46264.57635751157</v>
      </c>
      <c r="B1479" s="11" t="s">
        <v>8186</v>
      </c>
      <c r="C1479" s="11" t="s">
        <v>237</v>
      </c>
      <c r="D1479" s="11" t="s">
        <v>68</v>
      </c>
      <c r="E1479" s="12">
        <v>46264.0</v>
      </c>
      <c r="F1479" s="12">
        <v>46294.0</v>
      </c>
      <c r="G1479" s="11" t="s">
        <v>8187</v>
      </c>
      <c r="H1479" s="11">
        <v>7.82947529E9</v>
      </c>
      <c r="I1479" s="11" t="s">
        <v>82</v>
      </c>
      <c r="J1479" s="11" t="s">
        <v>71</v>
      </c>
      <c r="K1479" s="11" t="s">
        <v>72</v>
      </c>
      <c r="L1479" s="11" t="s">
        <v>84</v>
      </c>
      <c r="M1479" s="11" t="s">
        <v>8188</v>
      </c>
      <c r="N1479" s="11" t="s">
        <v>226</v>
      </c>
      <c r="O1479" s="11" t="s">
        <v>71</v>
      </c>
      <c r="P1479" s="11" t="s">
        <v>8189</v>
      </c>
      <c r="Q1479" s="13" t="s">
        <v>8190</v>
      </c>
      <c r="R1479" s="14" t="str">
        <f>HYPERLINK("https://drive.google.com/file/d/1kLEe12os5LXsGugNWDYAgGBEV0UEA103/view?usp=drivesdk","OFFER LETTER")</f>
        <v>OFFER LETTER</v>
      </c>
      <c r="S1479" s="11" t="s">
        <v>8191</v>
      </c>
    </row>
    <row r="1480" ht="22.5" customHeight="1">
      <c r="A1480" s="10">
        <v>46264.57730584491</v>
      </c>
      <c r="B1480" s="11" t="s">
        <v>7814</v>
      </c>
      <c r="C1480" s="11" t="s">
        <v>354</v>
      </c>
      <c r="D1480" s="11" t="s">
        <v>68</v>
      </c>
      <c r="E1480" s="12">
        <v>46185.0</v>
      </c>
      <c r="F1480" s="12">
        <v>46215.0</v>
      </c>
      <c r="G1480" s="11" t="s">
        <v>7815</v>
      </c>
      <c r="H1480" s="11">
        <v>9.883748384E9</v>
      </c>
      <c r="I1480" s="11" t="s">
        <v>82</v>
      </c>
      <c r="J1480" s="11" t="s">
        <v>71</v>
      </c>
      <c r="K1480" s="11" t="s">
        <v>72</v>
      </c>
      <c r="L1480" s="11" t="s">
        <v>84</v>
      </c>
      <c r="M1480" s="11" t="s">
        <v>2655</v>
      </c>
      <c r="N1480" s="11" t="s">
        <v>2778</v>
      </c>
      <c r="O1480" s="11" t="s">
        <v>71</v>
      </c>
      <c r="P1480" s="11" t="s">
        <v>8192</v>
      </c>
      <c r="Q1480" s="13" t="s">
        <v>8193</v>
      </c>
      <c r="R1480" s="14" t="str">
        <f>HYPERLINK("https://drive.google.com/file/d/1RCpSlyH8p9aYYmgDN7HyRYM7BZmK0IEu/view?usp=drivesdk","OFFER LETTER")</f>
        <v>OFFER LETTER</v>
      </c>
      <c r="S1480" s="11" t="s">
        <v>8194</v>
      </c>
    </row>
    <row r="1481" ht="22.5" customHeight="1">
      <c r="A1481" s="10">
        <v>46264.57740141204</v>
      </c>
      <c r="B1481" s="11" t="s">
        <v>8195</v>
      </c>
      <c r="C1481" s="11" t="s">
        <v>298</v>
      </c>
      <c r="D1481" s="11" t="s">
        <v>68</v>
      </c>
      <c r="E1481" s="12">
        <v>46265.0</v>
      </c>
      <c r="F1481" s="12">
        <v>46296.0</v>
      </c>
      <c r="G1481" s="11" t="s">
        <v>8196</v>
      </c>
      <c r="H1481" s="11">
        <v>6.284909669E9</v>
      </c>
      <c r="I1481" s="11" t="s">
        <v>82</v>
      </c>
      <c r="J1481" s="11" t="s">
        <v>83</v>
      </c>
      <c r="K1481" s="11" t="s">
        <v>72</v>
      </c>
      <c r="L1481" s="11" t="s">
        <v>73</v>
      </c>
      <c r="M1481" s="11" t="s">
        <v>8197</v>
      </c>
      <c r="N1481" s="11" t="s">
        <v>2854</v>
      </c>
      <c r="O1481" s="11" t="s">
        <v>71</v>
      </c>
      <c r="P1481" s="11" t="s">
        <v>8198</v>
      </c>
      <c r="Q1481" s="13" t="s">
        <v>8199</v>
      </c>
      <c r="R1481" s="14" t="str">
        <f>HYPERLINK("https://drive.google.com/file/d/17g7W7Qv-bycmgcpqaaQKoVqbql5PJ4Q-/view?usp=drivesdk","OFFER LETTER")</f>
        <v>OFFER LETTER</v>
      </c>
      <c r="S1481" s="11" t="s">
        <v>8194</v>
      </c>
    </row>
    <row r="1482" ht="22.5" customHeight="1">
      <c r="A1482" s="10">
        <v>46264.57741724537</v>
      </c>
      <c r="B1482" s="11" t="s">
        <v>8200</v>
      </c>
      <c r="C1482" s="11" t="s">
        <v>195</v>
      </c>
      <c r="D1482" s="11" t="s">
        <v>68</v>
      </c>
      <c r="E1482" s="12">
        <v>46188.0</v>
      </c>
      <c r="F1482" s="12">
        <v>46218.0</v>
      </c>
      <c r="G1482" s="11" t="s">
        <v>8201</v>
      </c>
      <c r="H1482" s="11">
        <v>9.234942253E9</v>
      </c>
      <c r="I1482" s="11" t="s">
        <v>82</v>
      </c>
      <c r="J1482" s="11" t="s">
        <v>71</v>
      </c>
      <c r="K1482" s="11" t="s">
        <v>72</v>
      </c>
      <c r="L1482" s="11" t="s">
        <v>84</v>
      </c>
      <c r="M1482" s="11" t="s">
        <v>8202</v>
      </c>
      <c r="N1482" s="11" t="s">
        <v>86</v>
      </c>
      <c r="O1482" s="11" t="s">
        <v>71</v>
      </c>
      <c r="P1482" s="11" t="s">
        <v>8203</v>
      </c>
      <c r="Q1482" s="13" t="s">
        <v>8204</v>
      </c>
      <c r="R1482" s="14" t="str">
        <f>HYPERLINK("https://drive.google.com/file/d/1xYSm0lYJ4sbGfYzRZjC8_Xz9h5NHtw1n/view?usp=drivesdk","OFFER LETTER")</f>
        <v>OFFER LETTER</v>
      </c>
      <c r="S1482" s="11" t="s">
        <v>8205</v>
      </c>
    </row>
    <row r="1483" ht="22.5" customHeight="1">
      <c r="A1483" s="10">
        <v>46264.577477025465</v>
      </c>
      <c r="B1483" s="11" t="s">
        <v>8206</v>
      </c>
      <c r="C1483" s="11" t="s">
        <v>173</v>
      </c>
      <c r="D1483" s="11" t="s">
        <v>68</v>
      </c>
      <c r="E1483" s="12">
        <v>46183.0</v>
      </c>
      <c r="F1483" s="12">
        <v>46183.0</v>
      </c>
      <c r="G1483" s="11" t="s">
        <v>8207</v>
      </c>
      <c r="H1483" s="11">
        <v>7.488685615E9</v>
      </c>
      <c r="I1483" s="11" t="s">
        <v>82</v>
      </c>
      <c r="J1483" s="11" t="s">
        <v>71</v>
      </c>
      <c r="K1483" s="11" t="s">
        <v>72</v>
      </c>
      <c r="L1483" s="11" t="s">
        <v>84</v>
      </c>
      <c r="M1483" s="11" t="s">
        <v>2655</v>
      </c>
      <c r="N1483" s="11" t="s">
        <v>86</v>
      </c>
      <c r="O1483" s="11" t="s">
        <v>71</v>
      </c>
      <c r="P1483" s="11" t="s">
        <v>8208</v>
      </c>
      <c r="Q1483" s="13" t="s">
        <v>8209</v>
      </c>
      <c r="R1483" s="14" t="str">
        <f>HYPERLINK("https://drive.google.com/file/d/1duNhblmW8Stp2UgUPikWR4Rs7Y2oSbKQ/view?usp=drivesdk","OFFER LETTER")</f>
        <v>OFFER LETTER</v>
      </c>
      <c r="S1483" s="11" t="s">
        <v>8194</v>
      </c>
    </row>
    <row r="1484" ht="22.5" customHeight="1">
      <c r="A1484" s="10">
        <v>46264.57782152778</v>
      </c>
      <c r="B1484" s="11" t="s">
        <v>8210</v>
      </c>
      <c r="C1484" s="11" t="s">
        <v>173</v>
      </c>
      <c r="D1484" s="11" t="s">
        <v>68</v>
      </c>
      <c r="E1484" s="12">
        <v>46185.0</v>
      </c>
      <c r="F1484" s="12">
        <v>46215.0</v>
      </c>
      <c r="G1484" s="11" t="s">
        <v>8211</v>
      </c>
      <c r="H1484" s="11">
        <v>7.905747021E9</v>
      </c>
      <c r="I1484" s="11" t="s">
        <v>82</v>
      </c>
      <c r="J1484" s="11" t="s">
        <v>71</v>
      </c>
      <c r="K1484" s="11" t="s">
        <v>72</v>
      </c>
      <c r="L1484" s="11" t="s">
        <v>84</v>
      </c>
      <c r="M1484" s="11" t="s">
        <v>8202</v>
      </c>
      <c r="N1484" s="11" t="s">
        <v>86</v>
      </c>
      <c r="O1484" s="11" t="s">
        <v>71</v>
      </c>
      <c r="P1484" s="11" t="s">
        <v>8212</v>
      </c>
      <c r="Q1484" s="13" t="s">
        <v>8213</v>
      </c>
      <c r="R1484" s="14" t="str">
        <f>HYPERLINK("https://drive.google.com/file/d/1PUGqJdUkl4BikCj8FxpP5kfDBLSHzk3Y/view?usp=drivesdk","OFFER LETTER")</f>
        <v>OFFER LETTER</v>
      </c>
      <c r="S1484" s="11" t="s">
        <v>8214</v>
      </c>
    </row>
    <row r="1485" ht="22.5" customHeight="1">
      <c r="A1485" s="10">
        <v>46264.57925603009</v>
      </c>
      <c r="B1485" s="11" t="s">
        <v>8215</v>
      </c>
      <c r="C1485" s="11" t="s">
        <v>1320</v>
      </c>
      <c r="D1485" s="11" t="s">
        <v>68</v>
      </c>
      <c r="E1485" s="12">
        <v>46181.0</v>
      </c>
      <c r="F1485" s="12">
        <v>46212.0</v>
      </c>
      <c r="G1485" s="11" t="s">
        <v>8216</v>
      </c>
      <c r="H1485" s="11">
        <v>8.305842463E9</v>
      </c>
      <c r="I1485" s="11" t="s">
        <v>82</v>
      </c>
      <c r="J1485" s="11" t="s">
        <v>71</v>
      </c>
      <c r="K1485" s="11" t="s">
        <v>72</v>
      </c>
      <c r="L1485" s="11" t="s">
        <v>84</v>
      </c>
      <c r="M1485" s="11" t="s">
        <v>2655</v>
      </c>
      <c r="N1485" s="11" t="s">
        <v>86</v>
      </c>
      <c r="O1485" s="11" t="s">
        <v>71</v>
      </c>
      <c r="P1485" s="11" t="s">
        <v>8217</v>
      </c>
      <c r="Q1485" s="13" t="s">
        <v>8218</v>
      </c>
      <c r="R1485" s="14" t="str">
        <f>HYPERLINK("https://drive.google.com/file/d/1HkuX3aJPtPcseszEM-ib1vGQpKHy1h8s/view?usp=drivesdk","OFFER LETTER")</f>
        <v>OFFER LETTER</v>
      </c>
      <c r="S1485" s="11" t="s">
        <v>8219</v>
      </c>
    </row>
    <row r="1486" ht="22.5" customHeight="1">
      <c r="A1486" s="10">
        <v>46264.58224604167</v>
      </c>
      <c r="B1486" s="11" t="s">
        <v>8220</v>
      </c>
      <c r="C1486" s="11" t="s">
        <v>173</v>
      </c>
      <c r="D1486" s="11" t="s">
        <v>8221</v>
      </c>
      <c r="E1486" s="12">
        <v>46252.0</v>
      </c>
      <c r="F1486" s="12">
        <v>46264.0</v>
      </c>
      <c r="G1486" s="11" t="s">
        <v>8222</v>
      </c>
      <c r="H1486" s="11">
        <v>8.847539844E9</v>
      </c>
      <c r="I1486" s="11" t="s">
        <v>70</v>
      </c>
      <c r="J1486" s="11" t="s">
        <v>71</v>
      </c>
      <c r="K1486" s="11" t="s">
        <v>167</v>
      </c>
      <c r="L1486" s="11" t="s">
        <v>73</v>
      </c>
      <c r="M1486" s="11" t="s">
        <v>8223</v>
      </c>
      <c r="N1486" s="11" t="s">
        <v>198</v>
      </c>
      <c r="O1486" s="11" t="s">
        <v>71</v>
      </c>
      <c r="P1486" s="11" t="s">
        <v>8224</v>
      </c>
      <c r="Q1486" s="13" t="s">
        <v>8225</v>
      </c>
      <c r="R1486" s="14" t="str">
        <f>HYPERLINK("https://drive.google.com/file/d/1kxFqBesPeasQVDTFc6XuCrqpwK4mum-L/view?usp=drivesdk","OFFER LETTER")</f>
        <v>OFFER LETTER</v>
      </c>
      <c r="S1486" s="11" t="s">
        <v>8226</v>
      </c>
    </row>
    <row r="1487" ht="22.5" customHeight="1">
      <c r="A1487" s="10">
        <v>46264.583522824076</v>
      </c>
      <c r="B1487" s="11" t="s">
        <v>8227</v>
      </c>
      <c r="C1487" s="11" t="s">
        <v>128</v>
      </c>
      <c r="D1487" s="11" t="s">
        <v>68</v>
      </c>
      <c r="E1487" s="12">
        <v>46175.0</v>
      </c>
      <c r="F1487" s="12">
        <v>46205.0</v>
      </c>
      <c r="G1487" s="11" t="s">
        <v>8228</v>
      </c>
      <c r="H1487" s="11" t="s">
        <v>8229</v>
      </c>
      <c r="I1487" s="11" t="s">
        <v>82</v>
      </c>
      <c r="J1487" s="11" t="s">
        <v>71</v>
      </c>
      <c r="K1487" s="11" t="s">
        <v>72</v>
      </c>
      <c r="L1487" s="11" t="s">
        <v>84</v>
      </c>
      <c r="M1487" s="11" t="s">
        <v>8230</v>
      </c>
      <c r="N1487" s="11" t="s">
        <v>75</v>
      </c>
      <c r="O1487" s="11" t="s">
        <v>71</v>
      </c>
      <c r="P1487" s="11" t="s">
        <v>8231</v>
      </c>
      <c r="Q1487" s="13" t="s">
        <v>8232</v>
      </c>
      <c r="R1487" s="14" t="str">
        <f>HYPERLINK("https://drive.google.com/file/d/1jMFDZpTnDq8DvZaWwu0AAuSwqWmkhMhZ/view?usp=drivesdk","OFFER LETTER")</f>
        <v>OFFER LETTER</v>
      </c>
      <c r="S1487" s="11" t="s">
        <v>8233</v>
      </c>
    </row>
    <row r="1488" ht="22.5" customHeight="1">
      <c r="A1488" s="10">
        <v>46264.586534270835</v>
      </c>
      <c r="B1488" s="11" t="s">
        <v>8234</v>
      </c>
      <c r="C1488" s="11" t="s">
        <v>128</v>
      </c>
      <c r="D1488" s="11" t="s">
        <v>68</v>
      </c>
      <c r="E1488" s="12">
        <v>46266.0</v>
      </c>
      <c r="F1488" s="12">
        <v>46295.0</v>
      </c>
      <c r="G1488" s="11" t="s">
        <v>8235</v>
      </c>
      <c r="H1488" s="11">
        <v>6.30976092E9</v>
      </c>
      <c r="I1488" s="11" t="s">
        <v>82</v>
      </c>
      <c r="J1488" s="11" t="s">
        <v>71</v>
      </c>
      <c r="K1488" s="11" t="s">
        <v>72</v>
      </c>
      <c r="L1488" s="11" t="s">
        <v>73</v>
      </c>
      <c r="M1488" s="11" t="s">
        <v>2895</v>
      </c>
      <c r="N1488" s="11" t="s">
        <v>241</v>
      </c>
      <c r="O1488" s="11" t="s">
        <v>71</v>
      </c>
      <c r="P1488" s="11" t="s">
        <v>8236</v>
      </c>
      <c r="Q1488" s="13" t="s">
        <v>8237</v>
      </c>
      <c r="R1488" s="14" t="str">
        <f>HYPERLINK("https://drive.google.com/file/d/1eXO5S9Y0hx6DpRKAdLPgebBfEmS0NDGP/view?usp=drivesdk","OFFER LETTER")</f>
        <v>OFFER LETTER</v>
      </c>
      <c r="S1488" s="11" t="s">
        <v>8238</v>
      </c>
    </row>
    <row r="1489" ht="22.5" customHeight="1">
      <c r="A1489" s="10">
        <v>46264.58745439815</v>
      </c>
      <c r="B1489" s="11" t="s">
        <v>8239</v>
      </c>
      <c r="C1489" s="11" t="s">
        <v>195</v>
      </c>
      <c r="D1489" s="11" t="s">
        <v>68</v>
      </c>
      <c r="E1489" s="12">
        <v>46218.0</v>
      </c>
      <c r="F1489" s="12">
        <v>46249.0</v>
      </c>
      <c r="G1489" s="11" t="s">
        <v>8240</v>
      </c>
      <c r="H1489" s="11">
        <v>7.428859434E9</v>
      </c>
      <c r="I1489" s="11" t="s">
        <v>70</v>
      </c>
      <c r="J1489" s="11" t="s">
        <v>71</v>
      </c>
      <c r="K1489" s="11" t="s">
        <v>72</v>
      </c>
      <c r="L1489" s="11" t="s">
        <v>84</v>
      </c>
      <c r="M1489" s="11" t="s">
        <v>4880</v>
      </c>
      <c r="N1489" s="11" t="s">
        <v>457</v>
      </c>
      <c r="O1489" s="11" t="s">
        <v>71</v>
      </c>
      <c r="P1489" s="11" t="s">
        <v>8241</v>
      </c>
      <c r="Q1489" s="13" t="s">
        <v>8242</v>
      </c>
      <c r="R1489" s="14" t="str">
        <f>HYPERLINK("https://drive.google.com/file/d/1eVkVHp_EKEDWeUnwLDvl2ARjId9w8Jec/view?usp=drivesdk","OFFER LETTER")</f>
        <v>OFFER LETTER</v>
      </c>
      <c r="S1489" s="11" t="s">
        <v>8243</v>
      </c>
    </row>
    <row r="1490" ht="22.5" customHeight="1">
      <c r="A1490" s="10">
        <v>46264.58835885416</v>
      </c>
      <c r="B1490" s="11" t="s">
        <v>8244</v>
      </c>
      <c r="C1490" s="11" t="s">
        <v>107</v>
      </c>
      <c r="D1490" s="11" t="s">
        <v>68</v>
      </c>
      <c r="E1490" s="12">
        <v>46220.0</v>
      </c>
      <c r="F1490" s="12">
        <v>46251.0</v>
      </c>
      <c r="G1490" s="11" t="s">
        <v>8245</v>
      </c>
      <c r="H1490" s="11">
        <v>9.334409847E9</v>
      </c>
      <c r="I1490" s="11" t="s">
        <v>70</v>
      </c>
      <c r="J1490" s="11" t="s">
        <v>71</v>
      </c>
      <c r="K1490" s="11" t="s">
        <v>356</v>
      </c>
      <c r="L1490" s="11" t="s">
        <v>84</v>
      </c>
      <c r="M1490" s="11" t="s">
        <v>1073</v>
      </c>
      <c r="N1490" s="11" t="s">
        <v>86</v>
      </c>
      <c r="O1490" s="11" t="s">
        <v>71</v>
      </c>
      <c r="P1490" s="11" t="s">
        <v>8246</v>
      </c>
      <c r="Q1490" s="13" t="s">
        <v>8247</v>
      </c>
      <c r="R1490" s="14" t="str">
        <f>HYPERLINK("https://drive.google.com/file/d/1rV2ht3qdLNZSq-cZd96bUopfc7RntiSH/view?usp=drivesdk","OFFER LETTER")</f>
        <v>OFFER LETTER</v>
      </c>
      <c r="S1490" s="11" t="s">
        <v>8248</v>
      </c>
    </row>
    <row r="1491" ht="22.5" customHeight="1">
      <c r="A1491" s="10">
        <v>46264.59109270833</v>
      </c>
      <c r="B1491" s="11" t="s">
        <v>8249</v>
      </c>
      <c r="C1491" s="11" t="s">
        <v>1320</v>
      </c>
      <c r="D1491" s="11" t="s">
        <v>238</v>
      </c>
      <c r="E1491" s="12">
        <v>46262.0</v>
      </c>
      <c r="F1491" s="12">
        <v>46349.0</v>
      </c>
      <c r="G1491" s="11" t="s">
        <v>8250</v>
      </c>
      <c r="H1491" s="11">
        <v>6.205909514E9</v>
      </c>
      <c r="I1491" s="11" t="s">
        <v>82</v>
      </c>
      <c r="J1491" s="11" t="s">
        <v>71</v>
      </c>
      <c r="K1491" s="11" t="s">
        <v>72</v>
      </c>
      <c r="L1491" s="11" t="s">
        <v>131</v>
      </c>
      <c r="M1491" s="11" t="s">
        <v>8251</v>
      </c>
      <c r="N1491" s="11" t="s">
        <v>75</v>
      </c>
      <c r="O1491" s="11" t="s">
        <v>263</v>
      </c>
      <c r="P1491" s="11" t="s">
        <v>8252</v>
      </c>
      <c r="Q1491" s="13" t="s">
        <v>8253</v>
      </c>
      <c r="R1491" s="14" t="str">
        <f>HYPERLINK("https://drive.google.com/file/d/1Wb755KgRL2Jb6TTXJtBVzGbfYBTrZR8_/view?usp=drivesdk","OFFER LETTER")</f>
        <v>OFFER LETTER</v>
      </c>
      <c r="S1491" s="11" t="s">
        <v>8254</v>
      </c>
    </row>
    <row r="1492" ht="22.5" customHeight="1">
      <c r="A1492" s="10">
        <v>46264.59463175926</v>
      </c>
      <c r="B1492" s="11" t="s">
        <v>8255</v>
      </c>
      <c r="C1492" s="11" t="s">
        <v>173</v>
      </c>
      <c r="D1492" s="11" t="s">
        <v>108</v>
      </c>
      <c r="E1492" s="12">
        <v>46183.0</v>
      </c>
      <c r="F1492" s="12">
        <v>46242.0</v>
      </c>
      <c r="G1492" s="11" t="s">
        <v>8256</v>
      </c>
      <c r="H1492" s="11">
        <v>9.153776595E9</v>
      </c>
      <c r="I1492" s="11" t="s">
        <v>82</v>
      </c>
      <c r="J1492" s="11" t="s">
        <v>71</v>
      </c>
      <c r="K1492" s="11" t="s">
        <v>72</v>
      </c>
      <c r="L1492" s="11" t="s">
        <v>131</v>
      </c>
      <c r="M1492" s="11" t="s">
        <v>2058</v>
      </c>
      <c r="N1492" s="11" t="s">
        <v>8257</v>
      </c>
      <c r="O1492" s="11" t="s">
        <v>71</v>
      </c>
      <c r="P1492" s="11" t="s">
        <v>8258</v>
      </c>
      <c r="Q1492" s="13" t="s">
        <v>8259</v>
      </c>
      <c r="R1492" s="14" t="str">
        <f>HYPERLINK("https://drive.google.com/file/d/1-Iu7PEZenYviJxk39LGFr4tJ0styZMbN/view?usp=drivesdk","OFFER LETTER")</f>
        <v>OFFER LETTER</v>
      </c>
      <c r="S1492" s="11" t="s">
        <v>8260</v>
      </c>
    </row>
    <row r="1493" ht="22.5" customHeight="1">
      <c r="A1493" s="10">
        <v>46264.5950690625</v>
      </c>
      <c r="B1493" s="11" t="s">
        <v>8261</v>
      </c>
      <c r="C1493" s="11" t="s">
        <v>195</v>
      </c>
      <c r="D1493" s="11" t="s">
        <v>68</v>
      </c>
      <c r="E1493" s="12">
        <v>46266.0</v>
      </c>
      <c r="F1493" s="12">
        <v>46295.0</v>
      </c>
      <c r="G1493" s="11" t="s">
        <v>8262</v>
      </c>
      <c r="H1493" s="11">
        <v>9.945994949E9</v>
      </c>
      <c r="I1493" s="11" t="s">
        <v>70</v>
      </c>
      <c r="J1493" s="11" t="s">
        <v>83</v>
      </c>
      <c r="K1493" s="11" t="s">
        <v>110</v>
      </c>
      <c r="L1493" s="11" t="s">
        <v>73</v>
      </c>
      <c r="M1493" s="11" t="s">
        <v>8263</v>
      </c>
      <c r="N1493" s="11" t="s">
        <v>1722</v>
      </c>
      <c r="O1493" s="11" t="s">
        <v>71</v>
      </c>
      <c r="P1493" s="11" t="s">
        <v>8264</v>
      </c>
      <c r="Q1493" s="13" t="s">
        <v>8265</v>
      </c>
      <c r="R1493" s="14" t="str">
        <f>HYPERLINK("https://drive.google.com/file/d/1B4vLuYLDehea4EvdX3awZ4KzzeNiTyvm/view?usp=drivesdk","OFFER LETTER")</f>
        <v>OFFER LETTER</v>
      </c>
      <c r="S1493" s="11" t="s">
        <v>8266</v>
      </c>
    </row>
    <row r="1494" ht="22.5" customHeight="1">
      <c r="A1494" s="10">
        <v>46264.59896175926</v>
      </c>
      <c r="B1494" s="11" t="s">
        <v>8255</v>
      </c>
      <c r="C1494" s="11" t="s">
        <v>173</v>
      </c>
      <c r="D1494" s="11" t="s">
        <v>68</v>
      </c>
      <c r="E1494" s="12">
        <v>46183.0</v>
      </c>
      <c r="F1494" s="12">
        <v>46223.0</v>
      </c>
      <c r="G1494" s="11" t="s">
        <v>8256</v>
      </c>
      <c r="H1494" s="11">
        <v>9.153776595E9</v>
      </c>
      <c r="I1494" s="11" t="s">
        <v>82</v>
      </c>
      <c r="J1494" s="11" t="s">
        <v>71</v>
      </c>
      <c r="K1494" s="11" t="s">
        <v>72</v>
      </c>
      <c r="L1494" s="11" t="s">
        <v>131</v>
      </c>
      <c r="M1494" s="11" t="s">
        <v>2058</v>
      </c>
      <c r="N1494" s="11" t="s">
        <v>8257</v>
      </c>
      <c r="O1494" s="11" t="s">
        <v>71</v>
      </c>
      <c r="P1494" s="11" t="s">
        <v>8267</v>
      </c>
      <c r="Q1494" s="13" t="s">
        <v>8268</v>
      </c>
      <c r="R1494" s="14" t="str">
        <f>HYPERLINK("https://drive.google.com/file/d/1ZnYYgoIpJmcOf7h20Ml31akTVHG6_SDw/view?usp=drivesdk","OFFER LETTER")</f>
        <v>OFFER LETTER</v>
      </c>
      <c r="S1494" s="11" t="s">
        <v>8269</v>
      </c>
    </row>
    <row r="1495" ht="22.5" customHeight="1">
      <c r="A1495" s="10">
        <v>46264.601352812504</v>
      </c>
      <c r="B1495" s="11" t="s">
        <v>8147</v>
      </c>
      <c r="C1495" s="11" t="s">
        <v>195</v>
      </c>
      <c r="D1495" s="11" t="s">
        <v>68</v>
      </c>
      <c r="E1495" s="12">
        <v>46239.0</v>
      </c>
      <c r="F1495" s="12">
        <v>46270.0</v>
      </c>
      <c r="G1495" s="11" t="s">
        <v>8148</v>
      </c>
      <c r="H1495" s="11">
        <v>9.699282855E9</v>
      </c>
      <c r="I1495" s="11" t="s">
        <v>70</v>
      </c>
      <c r="J1495" s="11" t="s">
        <v>71</v>
      </c>
      <c r="K1495" s="11" t="s">
        <v>72</v>
      </c>
      <c r="L1495" s="11" t="s">
        <v>73</v>
      </c>
      <c r="M1495" s="11" t="s">
        <v>8149</v>
      </c>
      <c r="N1495" s="11" t="s">
        <v>8270</v>
      </c>
      <c r="O1495" s="11" t="s">
        <v>71</v>
      </c>
      <c r="P1495" s="11" t="s">
        <v>8271</v>
      </c>
      <c r="Q1495" s="13" t="s">
        <v>8272</v>
      </c>
      <c r="R1495" s="14" t="str">
        <f>HYPERLINK("https://drive.google.com/file/d/19DFf742uh7uKMo9iWWeR1PVYhzRclORd/view?usp=drivesdk","OFFER LETTER")</f>
        <v>OFFER LETTER</v>
      </c>
      <c r="S1495" s="11" t="s">
        <v>8273</v>
      </c>
    </row>
    <row r="1496" ht="22.5" customHeight="1">
      <c r="A1496" s="10">
        <v>46264.601461053244</v>
      </c>
      <c r="B1496" s="11" t="s">
        <v>8274</v>
      </c>
      <c r="C1496" s="11" t="s">
        <v>128</v>
      </c>
      <c r="D1496" s="11" t="s">
        <v>68</v>
      </c>
      <c r="E1496" s="12">
        <v>46181.0</v>
      </c>
      <c r="F1496" s="12">
        <v>46211.0</v>
      </c>
      <c r="G1496" s="11" t="s">
        <v>8275</v>
      </c>
      <c r="H1496" s="11">
        <v>7.050959097E9</v>
      </c>
      <c r="I1496" s="11" t="s">
        <v>70</v>
      </c>
      <c r="J1496" s="11" t="s">
        <v>71</v>
      </c>
      <c r="K1496" s="11" t="s">
        <v>72</v>
      </c>
      <c r="L1496" s="11" t="s">
        <v>84</v>
      </c>
      <c r="M1496" s="11" t="s">
        <v>2535</v>
      </c>
      <c r="N1496" s="11" t="s">
        <v>86</v>
      </c>
      <c r="O1496" s="11" t="s">
        <v>71</v>
      </c>
      <c r="P1496" s="11" t="s">
        <v>8276</v>
      </c>
      <c r="Q1496" s="13" t="s">
        <v>8277</v>
      </c>
      <c r="R1496" s="14" t="str">
        <f>HYPERLINK("https://drive.google.com/file/d/1zz12_Qf7m8OPUKgTXvZewGFAQDXJ51LG/view?usp=drivesdk","OFFER LETTER")</f>
        <v>OFFER LETTER</v>
      </c>
      <c r="S1496" s="11" t="s">
        <v>8273</v>
      </c>
    </row>
    <row r="1497" ht="22.5" customHeight="1">
      <c r="A1497" s="10">
        <v>46264.60234921296</v>
      </c>
      <c r="B1497" s="11" t="s">
        <v>8278</v>
      </c>
      <c r="C1497" s="11" t="s">
        <v>195</v>
      </c>
      <c r="D1497" s="11" t="s">
        <v>68</v>
      </c>
      <c r="E1497" s="12">
        <v>46187.0</v>
      </c>
      <c r="F1497" s="12">
        <v>46217.0</v>
      </c>
      <c r="G1497" s="11" t="s">
        <v>8279</v>
      </c>
      <c r="H1497" s="11">
        <v>9.389732147E9</v>
      </c>
      <c r="I1497" s="11" t="s">
        <v>70</v>
      </c>
      <c r="J1497" s="11" t="s">
        <v>71</v>
      </c>
      <c r="K1497" s="11" t="s">
        <v>72</v>
      </c>
      <c r="L1497" s="11" t="s">
        <v>84</v>
      </c>
      <c r="M1497" s="11" t="s">
        <v>7789</v>
      </c>
      <c r="N1497" s="11" t="s">
        <v>86</v>
      </c>
      <c r="O1497" s="11" t="s">
        <v>71</v>
      </c>
      <c r="P1497" s="11" t="s">
        <v>8280</v>
      </c>
      <c r="Q1497" s="13" t="s">
        <v>8281</v>
      </c>
      <c r="R1497" s="14" t="str">
        <f>HYPERLINK("https://drive.google.com/file/d/14G6TUOGhzaPPlRH-ST7U9rUWKaanMAzY/view?usp=drivesdk","OFFER LETTER")</f>
        <v>OFFER LETTER</v>
      </c>
      <c r="S1497" s="11" t="s">
        <v>8282</v>
      </c>
    </row>
    <row r="1498" ht="22.5" customHeight="1">
      <c r="A1498" s="10">
        <v>46264.60248649305</v>
      </c>
      <c r="B1498" s="11" t="s">
        <v>8283</v>
      </c>
      <c r="C1498" s="11" t="s">
        <v>195</v>
      </c>
      <c r="D1498" s="11" t="s">
        <v>68</v>
      </c>
      <c r="E1498" s="12">
        <v>46204.0</v>
      </c>
      <c r="F1498" s="12">
        <v>46234.0</v>
      </c>
      <c r="G1498" s="11" t="s">
        <v>8284</v>
      </c>
      <c r="H1498" s="11">
        <v>7.461003641E9</v>
      </c>
      <c r="I1498" s="11" t="s">
        <v>82</v>
      </c>
      <c r="J1498" s="11" t="s">
        <v>71</v>
      </c>
      <c r="K1498" s="11" t="s">
        <v>72</v>
      </c>
      <c r="L1498" s="11" t="s">
        <v>84</v>
      </c>
      <c r="M1498" s="11" t="s">
        <v>886</v>
      </c>
      <c r="N1498" s="11" t="s">
        <v>75</v>
      </c>
      <c r="O1498" s="11" t="s">
        <v>71</v>
      </c>
      <c r="P1498" s="11" t="s">
        <v>8285</v>
      </c>
      <c r="Q1498" s="13" t="s">
        <v>8286</v>
      </c>
      <c r="R1498" s="14" t="str">
        <f>HYPERLINK("https://drive.google.com/file/d/1COGtUPhX657jgwmUDxkRSpsg0JDYFjZ5/view?usp=drivesdk","OFFER LETTER")</f>
        <v>OFFER LETTER</v>
      </c>
      <c r="S1498" s="11" t="s">
        <v>8282</v>
      </c>
    </row>
    <row r="1499" ht="22.5" customHeight="1">
      <c r="A1499" s="10">
        <v>46264.61263216435</v>
      </c>
      <c r="B1499" s="11" t="s">
        <v>8287</v>
      </c>
      <c r="C1499" s="11" t="s">
        <v>195</v>
      </c>
      <c r="D1499" s="11" t="s">
        <v>68</v>
      </c>
      <c r="E1499" s="12">
        <v>46266.0</v>
      </c>
      <c r="F1499" s="12">
        <v>46295.0</v>
      </c>
      <c r="G1499" s="11" t="s">
        <v>8288</v>
      </c>
      <c r="H1499" s="11">
        <v>9.566967938E9</v>
      </c>
      <c r="I1499" s="11" t="s">
        <v>82</v>
      </c>
      <c r="J1499" s="11" t="s">
        <v>71</v>
      </c>
      <c r="K1499" s="11" t="s">
        <v>72</v>
      </c>
      <c r="L1499" s="11" t="s">
        <v>131</v>
      </c>
      <c r="M1499" s="11" t="s">
        <v>8289</v>
      </c>
      <c r="N1499" s="11" t="s">
        <v>241</v>
      </c>
      <c r="O1499" s="11" t="s">
        <v>71</v>
      </c>
      <c r="P1499" s="11" t="s">
        <v>8290</v>
      </c>
      <c r="Q1499" s="13" t="s">
        <v>8291</v>
      </c>
      <c r="R1499" s="14" t="str">
        <f>HYPERLINK("https://drive.google.com/file/d/14FHWOaD88_kxalFNy2btx2ulvBRanlaE/view?usp=drivesdk","OFFER LETTER")</f>
        <v>OFFER LETTER</v>
      </c>
      <c r="S1499" s="11" t="s">
        <v>8292</v>
      </c>
    </row>
    <row r="1500" ht="22.5" customHeight="1">
      <c r="A1500" s="10">
        <v>46264.617255185185</v>
      </c>
      <c r="B1500" s="11" t="s">
        <v>8293</v>
      </c>
      <c r="C1500" s="11" t="s">
        <v>107</v>
      </c>
      <c r="D1500" s="11" t="s">
        <v>68</v>
      </c>
      <c r="E1500" s="12">
        <v>46266.0</v>
      </c>
      <c r="F1500" s="12">
        <v>46295.0</v>
      </c>
      <c r="G1500" s="11" t="s">
        <v>8294</v>
      </c>
      <c r="H1500" s="11">
        <v>8.432607788E9</v>
      </c>
      <c r="I1500" s="11" t="s">
        <v>82</v>
      </c>
      <c r="J1500" s="11" t="s">
        <v>71</v>
      </c>
      <c r="K1500" s="13" t="s">
        <v>443</v>
      </c>
      <c r="L1500" s="11" t="s">
        <v>247</v>
      </c>
      <c r="M1500" s="11" t="s">
        <v>8295</v>
      </c>
      <c r="N1500" s="11" t="s">
        <v>75</v>
      </c>
      <c r="O1500" s="11" t="s">
        <v>71</v>
      </c>
      <c r="P1500" s="11" t="s">
        <v>8296</v>
      </c>
      <c r="Q1500" s="13" t="s">
        <v>8297</v>
      </c>
      <c r="R1500" s="14" t="str">
        <f>HYPERLINK("https://drive.google.com/file/d/16Ilgt8l7cSbLWH8AiBrV1kq0V5VwEOOU/view?usp=drivesdk","OFFER LETTER")</f>
        <v>OFFER LETTER</v>
      </c>
      <c r="S1500" s="11" t="s">
        <v>8298</v>
      </c>
    </row>
    <row r="1501" ht="22.5" customHeight="1">
      <c r="A1501" s="10">
        <v>46264.62414299768</v>
      </c>
      <c r="B1501" s="11" t="s">
        <v>8299</v>
      </c>
      <c r="C1501" s="11" t="s">
        <v>128</v>
      </c>
      <c r="D1501" s="11" t="s">
        <v>68</v>
      </c>
      <c r="E1501" s="12">
        <v>46264.0</v>
      </c>
      <c r="F1501" s="12">
        <v>46295.0</v>
      </c>
      <c r="G1501" s="11" t="s">
        <v>8300</v>
      </c>
      <c r="H1501" s="11">
        <v>7.974661659E9</v>
      </c>
      <c r="I1501" s="11" t="s">
        <v>82</v>
      </c>
      <c r="J1501" s="11" t="s">
        <v>71</v>
      </c>
      <c r="K1501" s="11" t="s">
        <v>72</v>
      </c>
      <c r="L1501" s="11" t="s">
        <v>73</v>
      </c>
      <c r="M1501" s="11" t="s">
        <v>8301</v>
      </c>
      <c r="N1501" s="11" t="s">
        <v>655</v>
      </c>
      <c r="O1501" s="11" t="s">
        <v>71</v>
      </c>
      <c r="P1501" s="11" t="s">
        <v>8302</v>
      </c>
      <c r="Q1501" s="13" t="s">
        <v>8303</v>
      </c>
      <c r="R1501" s="14" t="str">
        <f>HYPERLINK("https://drive.google.com/file/d/1hDVMg1mL2pTfCkWhMjFolaLXWBR8YbNI/view?usp=drivesdk","OFFER LETTER")</f>
        <v>OFFER LETTER</v>
      </c>
      <c r="S1501" s="11" t="s">
        <v>8304</v>
      </c>
    </row>
    <row r="1502" ht="22.5" customHeight="1">
      <c r="A1502" s="10">
        <v>46264.62444436342</v>
      </c>
      <c r="B1502" s="11" t="s">
        <v>8305</v>
      </c>
      <c r="C1502" s="11" t="s">
        <v>128</v>
      </c>
      <c r="D1502" s="11" t="s">
        <v>68</v>
      </c>
      <c r="E1502" s="12">
        <v>46266.0</v>
      </c>
      <c r="F1502" s="12">
        <v>46295.0</v>
      </c>
      <c r="G1502" s="11" t="s">
        <v>8235</v>
      </c>
      <c r="H1502" s="11">
        <v>6.30976092E9</v>
      </c>
      <c r="I1502" s="11" t="s">
        <v>82</v>
      </c>
      <c r="J1502" s="11" t="s">
        <v>71</v>
      </c>
      <c r="K1502" s="11" t="s">
        <v>72</v>
      </c>
      <c r="L1502" s="11" t="s">
        <v>73</v>
      </c>
      <c r="M1502" s="11" t="s">
        <v>2369</v>
      </c>
      <c r="N1502" s="11" t="s">
        <v>241</v>
      </c>
      <c r="O1502" s="11" t="s">
        <v>71</v>
      </c>
      <c r="P1502" s="11" t="s">
        <v>8306</v>
      </c>
      <c r="Q1502" s="13" t="s">
        <v>8307</v>
      </c>
      <c r="R1502" s="14" t="str">
        <f>HYPERLINK("https://drive.google.com/file/d/16HSb5VPPih6ME1NhwcRNsOJMFpQ8-4Wy/view?usp=drivesdk","OFFER LETTER")</f>
        <v>OFFER LETTER</v>
      </c>
      <c r="S1502" s="11" t="s">
        <v>8304</v>
      </c>
    </row>
    <row r="1503" ht="22.5" customHeight="1">
      <c r="A1503" s="10">
        <v>46264.6278158912</v>
      </c>
      <c r="B1503" s="11" t="s">
        <v>8308</v>
      </c>
      <c r="C1503" s="11" t="s">
        <v>354</v>
      </c>
      <c r="D1503" s="11" t="s">
        <v>68</v>
      </c>
      <c r="E1503" s="12">
        <v>46218.0</v>
      </c>
      <c r="F1503" s="12">
        <v>46249.0</v>
      </c>
      <c r="G1503" s="11" t="s">
        <v>8309</v>
      </c>
      <c r="H1503" s="11">
        <v>9.11370753E9</v>
      </c>
      <c r="I1503" s="11" t="s">
        <v>82</v>
      </c>
      <c r="J1503" s="11" t="s">
        <v>71</v>
      </c>
      <c r="K1503" s="11" t="s">
        <v>72</v>
      </c>
      <c r="L1503" s="11" t="s">
        <v>84</v>
      </c>
      <c r="M1503" s="11" t="s">
        <v>8310</v>
      </c>
      <c r="N1503" s="11" t="s">
        <v>86</v>
      </c>
      <c r="O1503" s="11" t="s">
        <v>71</v>
      </c>
      <c r="P1503" s="11" t="s">
        <v>8311</v>
      </c>
      <c r="Q1503" s="13" t="s">
        <v>8312</v>
      </c>
      <c r="R1503" s="14" t="str">
        <f>HYPERLINK("https://drive.google.com/file/d/13_pSyky2rHWeR1_pEltadcMz_1gFtnsT/view?usp=drivesdk","OFFER LETTER")</f>
        <v>OFFER LETTER</v>
      </c>
      <c r="S1503" s="11" t="s">
        <v>8313</v>
      </c>
    </row>
    <row r="1504" ht="22.5" customHeight="1">
      <c r="A1504" s="10">
        <v>46264.62800326389</v>
      </c>
      <c r="B1504" s="11" t="s">
        <v>8314</v>
      </c>
      <c r="C1504" s="11" t="s">
        <v>67</v>
      </c>
      <c r="D1504" s="11" t="s">
        <v>68</v>
      </c>
      <c r="E1504" s="12">
        <v>46208.0</v>
      </c>
      <c r="F1504" s="12">
        <v>46239.0</v>
      </c>
      <c r="G1504" s="11" t="s">
        <v>8315</v>
      </c>
      <c r="H1504" s="11">
        <v>7.099415696E9</v>
      </c>
      <c r="I1504" s="11" t="s">
        <v>82</v>
      </c>
      <c r="J1504" s="11" t="s">
        <v>71</v>
      </c>
      <c r="K1504" s="11" t="s">
        <v>72</v>
      </c>
      <c r="L1504" s="11" t="s">
        <v>84</v>
      </c>
      <c r="M1504" s="11" t="s">
        <v>8316</v>
      </c>
      <c r="N1504" s="11" t="s">
        <v>86</v>
      </c>
      <c r="O1504" s="11" t="s">
        <v>71</v>
      </c>
      <c r="P1504" s="11" t="s">
        <v>8317</v>
      </c>
      <c r="Q1504" s="13" t="s">
        <v>8318</v>
      </c>
      <c r="R1504" s="14" t="str">
        <f>HYPERLINK("https://drive.google.com/file/d/1JJOY0iGPG3iXdBjGHty6sqHJ7B9ZpE0v/view?usp=drivesdk","OFFER LETTER")</f>
        <v>OFFER LETTER</v>
      </c>
      <c r="S1504" s="11" t="s">
        <v>8313</v>
      </c>
    </row>
    <row r="1505" ht="22.5" customHeight="1">
      <c r="A1505" s="10">
        <v>46264.62981996528</v>
      </c>
      <c r="B1505" s="11" t="s">
        <v>8008</v>
      </c>
      <c r="C1505" s="11" t="s">
        <v>195</v>
      </c>
      <c r="D1505" s="11" t="s">
        <v>68</v>
      </c>
      <c r="E1505" s="12">
        <v>46263.0</v>
      </c>
      <c r="F1505" s="12">
        <v>46292.0</v>
      </c>
      <c r="G1505" s="11" t="s">
        <v>8009</v>
      </c>
      <c r="H1505" s="11">
        <v>8.527999021E9</v>
      </c>
      <c r="I1505" s="11" t="s">
        <v>70</v>
      </c>
      <c r="J1505" s="11" t="s">
        <v>71</v>
      </c>
      <c r="K1505" s="11" t="s">
        <v>72</v>
      </c>
      <c r="L1505" s="11" t="s">
        <v>131</v>
      </c>
      <c r="M1505" s="11" t="s">
        <v>8010</v>
      </c>
      <c r="N1505" s="11" t="s">
        <v>75</v>
      </c>
      <c r="O1505" s="11" t="s">
        <v>71</v>
      </c>
      <c r="P1505" s="11" t="s">
        <v>8319</v>
      </c>
      <c r="Q1505" s="13" t="s">
        <v>8320</v>
      </c>
      <c r="R1505" s="14" t="str">
        <f>HYPERLINK("https://drive.google.com/file/d/1poRXXy_ZDhNH9X0SkERiQ3iL2hBTFQjT/view?usp=drivesdk","OFFER LETTER")</f>
        <v>OFFER LETTER</v>
      </c>
      <c r="S1505" s="11" t="s">
        <v>8321</v>
      </c>
    </row>
    <row r="1506" ht="22.5" customHeight="1">
      <c r="A1506" s="10">
        <v>46264.631530196755</v>
      </c>
      <c r="B1506" s="11" t="s">
        <v>8322</v>
      </c>
      <c r="C1506" s="11" t="s">
        <v>173</v>
      </c>
      <c r="D1506" s="11" t="s">
        <v>68</v>
      </c>
      <c r="E1506" s="12">
        <v>46264.0</v>
      </c>
      <c r="F1506" s="12">
        <v>46295.0</v>
      </c>
      <c r="G1506" s="11" t="s">
        <v>8323</v>
      </c>
      <c r="H1506" s="11">
        <v>7.993990706E9</v>
      </c>
      <c r="I1506" s="11" t="s">
        <v>70</v>
      </c>
      <c r="J1506" s="11" t="s">
        <v>71</v>
      </c>
      <c r="K1506" s="13" t="s">
        <v>443</v>
      </c>
      <c r="L1506" s="11" t="s">
        <v>73</v>
      </c>
      <c r="M1506" s="11" t="s">
        <v>8324</v>
      </c>
      <c r="N1506" s="11" t="s">
        <v>241</v>
      </c>
      <c r="O1506" s="11" t="s">
        <v>71</v>
      </c>
      <c r="P1506" s="11" t="s">
        <v>8325</v>
      </c>
      <c r="Q1506" s="13" t="s">
        <v>8326</v>
      </c>
      <c r="R1506" s="14" t="str">
        <f>HYPERLINK("https://drive.google.com/file/d/1ThYzmAB0NaKgcNYVmNuXANlyO_89Iauv/view?usp=drivesdk","OFFER LETTER")</f>
        <v>OFFER LETTER</v>
      </c>
      <c r="S1506" s="11" t="s">
        <v>8327</v>
      </c>
    </row>
    <row r="1507" ht="22.5" customHeight="1">
      <c r="A1507" s="10">
        <v>46264.633521296295</v>
      </c>
      <c r="B1507" s="11" t="s">
        <v>8328</v>
      </c>
      <c r="C1507" s="11" t="s">
        <v>195</v>
      </c>
      <c r="D1507" s="11" t="s">
        <v>68</v>
      </c>
      <c r="E1507" s="12">
        <v>46266.0</v>
      </c>
      <c r="F1507" s="12">
        <v>46295.0</v>
      </c>
      <c r="G1507" s="11" t="s">
        <v>8329</v>
      </c>
      <c r="H1507" s="11">
        <v>7.899732001E9</v>
      </c>
      <c r="I1507" s="11" t="s">
        <v>70</v>
      </c>
      <c r="J1507" s="11" t="s">
        <v>71</v>
      </c>
      <c r="K1507" s="11" t="s">
        <v>356</v>
      </c>
      <c r="L1507" s="11" t="s">
        <v>84</v>
      </c>
      <c r="M1507" s="11" t="s">
        <v>8330</v>
      </c>
      <c r="N1507" s="11" t="s">
        <v>86</v>
      </c>
      <c r="O1507" s="11" t="s">
        <v>71</v>
      </c>
      <c r="P1507" s="11" t="s">
        <v>8331</v>
      </c>
      <c r="Q1507" s="13" t="s">
        <v>8332</v>
      </c>
      <c r="R1507" s="14" t="str">
        <f>HYPERLINK("https://drive.google.com/file/d/10aAlvHG-OnYV-K8VH676GvHuV6IjV8_b/view?usp=drivesdk","OFFER LETTER")</f>
        <v>OFFER LETTER</v>
      </c>
      <c r="S1507" s="11" t="s">
        <v>8333</v>
      </c>
    </row>
    <row r="1508" ht="22.5" customHeight="1">
      <c r="A1508" s="10">
        <v>46264.63431146991</v>
      </c>
      <c r="B1508" s="11" t="s">
        <v>8334</v>
      </c>
      <c r="C1508" s="11" t="s">
        <v>173</v>
      </c>
      <c r="D1508" s="11" t="s">
        <v>68</v>
      </c>
      <c r="E1508" s="12">
        <v>46264.0</v>
      </c>
      <c r="F1508" s="12">
        <v>46295.0</v>
      </c>
      <c r="G1508" s="11" t="s">
        <v>8335</v>
      </c>
      <c r="H1508" s="11">
        <v>9.39094324E9</v>
      </c>
      <c r="I1508" s="11" t="s">
        <v>70</v>
      </c>
      <c r="J1508" s="11" t="s">
        <v>71</v>
      </c>
      <c r="K1508" s="13" t="s">
        <v>443</v>
      </c>
      <c r="L1508" s="11" t="s">
        <v>73</v>
      </c>
      <c r="M1508" s="11" t="s">
        <v>8324</v>
      </c>
      <c r="N1508" s="11" t="s">
        <v>241</v>
      </c>
      <c r="O1508" s="11" t="s">
        <v>71</v>
      </c>
      <c r="P1508" s="11" t="s">
        <v>8336</v>
      </c>
      <c r="Q1508" s="13" t="s">
        <v>8337</v>
      </c>
      <c r="R1508" s="14" t="str">
        <f>HYPERLINK("https://drive.google.com/file/d/1sfUwSO5UH_AwH676VvcIXv0XTG0xAx2H/view?usp=drivesdk","OFFER LETTER")</f>
        <v>OFFER LETTER</v>
      </c>
      <c r="S1508" s="11" t="s">
        <v>8338</v>
      </c>
    </row>
    <row r="1509" ht="22.5" customHeight="1">
      <c r="A1509" s="10">
        <v>46264.63723739583</v>
      </c>
      <c r="B1509" s="11" t="s">
        <v>8339</v>
      </c>
      <c r="C1509" s="11" t="s">
        <v>298</v>
      </c>
      <c r="D1509" s="11" t="s">
        <v>238</v>
      </c>
      <c r="E1509" s="12">
        <v>46296.0</v>
      </c>
      <c r="F1509" s="12">
        <v>46388.0</v>
      </c>
      <c r="G1509" s="11" t="s">
        <v>7061</v>
      </c>
      <c r="H1509" s="11">
        <v>9.737320296E9</v>
      </c>
      <c r="I1509" s="11" t="s">
        <v>82</v>
      </c>
      <c r="J1509" s="11" t="s">
        <v>71</v>
      </c>
      <c r="K1509" s="11" t="s">
        <v>110</v>
      </c>
      <c r="L1509" s="11" t="s">
        <v>73</v>
      </c>
      <c r="M1509" s="11" t="s">
        <v>8340</v>
      </c>
      <c r="N1509" s="11" t="s">
        <v>241</v>
      </c>
      <c r="O1509" s="11" t="s">
        <v>71</v>
      </c>
      <c r="P1509" s="11" t="s">
        <v>8341</v>
      </c>
      <c r="Q1509" s="13" t="s">
        <v>8342</v>
      </c>
      <c r="R1509" s="14" t="str">
        <f>HYPERLINK("https://drive.google.com/file/d/1RpwZIUMNZxtpLQc2XvIJ1IcGzLGadeJh/view?usp=drivesdk","OFFER LETTER")</f>
        <v>OFFER LETTER</v>
      </c>
      <c r="S1509" s="11" t="s">
        <v>8343</v>
      </c>
    </row>
    <row r="1510" ht="22.5" customHeight="1">
      <c r="A1510" s="10">
        <v>46264.63837539352</v>
      </c>
      <c r="B1510" s="11" t="s">
        <v>8274</v>
      </c>
      <c r="C1510" s="11" t="s">
        <v>128</v>
      </c>
      <c r="D1510" s="11" t="s">
        <v>68</v>
      </c>
      <c r="E1510" s="12">
        <v>46181.0</v>
      </c>
      <c r="F1510" s="12">
        <v>46211.0</v>
      </c>
      <c r="G1510" s="11" t="s">
        <v>8275</v>
      </c>
      <c r="H1510" s="11">
        <v>7.050959097E9</v>
      </c>
      <c r="I1510" s="11" t="s">
        <v>70</v>
      </c>
      <c r="J1510" s="11" t="s">
        <v>71</v>
      </c>
      <c r="K1510" s="11" t="s">
        <v>72</v>
      </c>
      <c r="L1510" s="11" t="s">
        <v>84</v>
      </c>
      <c r="M1510" s="11" t="s">
        <v>886</v>
      </c>
      <c r="N1510" s="11" t="s">
        <v>86</v>
      </c>
      <c r="O1510" s="11" t="s">
        <v>71</v>
      </c>
      <c r="P1510" s="11" t="s">
        <v>8344</v>
      </c>
      <c r="Q1510" s="13" t="s">
        <v>8345</v>
      </c>
      <c r="R1510" s="14" t="str">
        <f>HYPERLINK("https://drive.google.com/file/d/1S_Qrd97TcqbgKAlFOl5fxnFa4TD0gZN_/view?usp=drivesdk","OFFER LETTER")</f>
        <v>OFFER LETTER</v>
      </c>
      <c r="S1510" s="11" t="s">
        <v>8346</v>
      </c>
    </row>
    <row r="1511" ht="22.5" customHeight="1">
      <c r="A1511" s="10">
        <v>46264.64075318287</v>
      </c>
      <c r="B1511" s="11" t="s">
        <v>8347</v>
      </c>
      <c r="C1511" s="11" t="s">
        <v>67</v>
      </c>
      <c r="D1511" s="11" t="s">
        <v>68</v>
      </c>
      <c r="E1511" s="12">
        <v>46264.0</v>
      </c>
      <c r="F1511" s="12">
        <v>46295.0</v>
      </c>
      <c r="G1511" s="11" t="s">
        <v>8348</v>
      </c>
      <c r="H1511" s="11">
        <v>9.339353274E9</v>
      </c>
      <c r="I1511" s="11" t="s">
        <v>82</v>
      </c>
      <c r="J1511" s="11" t="s">
        <v>71</v>
      </c>
      <c r="K1511" s="11" t="s">
        <v>72</v>
      </c>
      <c r="L1511" s="11" t="s">
        <v>73</v>
      </c>
      <c r="M1511" s="11" t="s">
        <v>8349</v>
      </c>
      <c r="N1511" s="11" t="s">
        <v>241</v>
      </c>
      <c r="O1511" s="11" t="s">
        <v>71</v>
      </c>
      <c r="P1511" s="11" t="s">
        <v>8350</v>
      </c>
      <c r="Q1511" s="13" t="s">
        <v>8351</v>
      </c>
      <c r="R1511" s="14" t="str">
        <f>HYPERLINK("https://drive.google.com/file/d/1LYT51ee_cDSpasjxRNiKC8DJqxqhHbQJ/view?usp=drivesdk","OFFER LETTER")</f>
        <v>OFFER LETTER</v>
      </c>
      <c r="S1511" s="11" t="s">
        <v>8352</v>
      </c>
    </row>
    <row r="1512" ht="22.5" customHeight="1">
      <c r="A1512" s="10">
        <v>46264.641309212966</v>
      </c>
      <c r="B1512" s="11" t="s">
        <v>8353</v>
      </c>
      <c r="C1512" s="11" t="s">
        <v>173</v>
      </c>
      <c r="D1512" s="11" t="s">
        <v>68</v>
      </c>
      <c r="E1512" s="12">
        <v>46264.0</v>
      </c>
      <c r="F1512" s="12">
        <v>46295.0</v>
      </c>
      <c r="G1512" s="11" t="s">
        <v>8354</v>
      </c>
      <c r="H1512" s="11">
        <v>9.624825085E9</v>
      </c>
      <c r="I1512" s="11" t="s">
        <v>82</v>
      </c>
      <c r="J1512" s="11" t="s">
        <v>71</v>
      </c>
      <c r="K1512" s="11" t="s">
        <v>110</v>
      </c>
      <c r="L1512" s="11" t="s">
        <v>73</v>
      </c>
      <c r="M1512" s="11" t="s">
        <v>8355</v>
      </c>
      <c r="N1512" s="11" t="s">
        <v>241</v>
      </c>
      <c r="O1512" s="11" t="s">
        <v>71</v>
      </c>
      <c r="P1512" s="11" t="s">
        <v>8356</v>
      </c>
      <c r="Q1512" s="13" t="s">
        <v>8357</v>
      </c>
      <c r="R1512" s="14" t="str">
        <f>HYPERLINK("https://drive.google.com/file/d/1ymUe9B3xd0DZKdfGahxpVk1aamyjy2Su/view?usp=drivesdk","OFFER LETTER")</f>
        <v>OFFER LETTER</v>
      </c>
      <c r="S1512" s="11" t="s">
        <v>8358</v>
      </c>
    </row>
    <row r="1513" ht="22.5" customHeight="1">
      <c r="A1513" s="10">
        <v>46264.643317187496</v>
      </c>
      <c r="B1513" s="11" t="s">
        <v>8359</v>
      </c>
      <c r="C1513" s="11" t="s">
        <v>128</v>
      </c>
      <c r="D1513" s="11" t="s">
        <v>68</v>
      </c>
      <c r="E1513" s="12">
        <v>46266.0</v>
      </c>
      <c r="F1513" s="12">
        <v>46296.0</v>
      </c>
      <c r="G1513" s="11" t="s">
        <v>8360</v>
      </c>
      <c r="H1513" s="11">
        <v>7.416948589E9</v>
      </c>
      <c r="I1513" s="11" t="s">
        <v>70</v>
      </c>
      <c r="J1513" s="11" t="s">
        <v>71</v>
      </c>
      <c r="K1513" s="11" t="s">
        <v>72</v>
      </c>
      <c r="L1513" s="11" t="s">
        <v>73</v>
      </c>
      <c r="M1513" s="11" t="s">
        <v>8361</v>
      </c>
      <c r="N1513" s="11" t="s">
        <v>75</v>
      </c>
      <c r="O1513" s="11" t="s">
        <v>71</v>
      </c>
      <c r="P1513" s="11" t="s">
        <v>8362</v>
      </c>
      <c r="Q1513" s="13" t="s">
        <v>8363</v>
      </c>
      <c r="R1513" s="14" t="str">
        <f>HYPERLINK("https://drive.google.com/file/d/1NmdLQwKG-fyuorivhbSPBZVHDYiwpyiM/view?usp=drivesdk","OFFER LETTER")</f>
        <v>OFFER LETTER</v>
      </c>
      <c r="S1513" s="11" t="s">
        <v>8364</v>
      </c>
    </row>
    <row r="1514" ht="22.5" customHeight="1">
      <c r="A1514" s="10">
        <v>46264.643878020834</v>
      </c>
      <c r="B1514" s="11" t="s">
        <v>8293</v>
      </c>
      <c r="C1514" s="11" t="s">
        <v>107</v>
      </c>
      <c r="D1514" s="11" t="s">
        <v>68</v>
      </c>
      <c r="E1514" s="12">
        <v>46266.0</v>
      </c>
      <c r="F1514" s="12">
        <v>46295.0</v>
      </c>
      <c r="G1514" s="11" t="s">
        <v>8294</v>
      </c>
      <c r="H1514" s="11">
        <v>8.432607788E9</v>
      </c>
      <c r="I1514" s="11" t="s">
        <v>82</v>
      </c>
      <c r="J1514" s="11" t="s">
        <v>71</v>
      </c>
      <c r="K1514" s="13" t="s">
        <v>443</v>
      </c>
      <c r="L1514" s="11" t="s">
        <v>247</v>
      </c>
      <c r="M1514" s="11" t="s">
        <v>8295</v>
      </c>
      <c r="N1514" s="11" t="s">
        <v>75</v>
      </c>
      <c r="O1514" s="11" t="s">
        <v>71</v>
      </c>
      <c r="P1514" s="11" t="s">
        <v>8365</v>
      </c>
      <c r="Q1514" s="13" t="s">
        <v>8366</v>
      </c>
      <c r="R1514" s="14" t="str">
        <f>HYPERLINK("https://drive.google.com/file/d/1pOXeKWgg7oEYCaRaZXjP9WRfVjOfZPki/view?usp=drivesdk","OFFER LETTER")</f>
        <v>OFFER LETTER</v>
      </c>
      <c r="S1514" s="11" t="s">
        <v>8367</v>
      </c>
    </row>
    <row r="1515" ht="22.5" customHeight="1">
      <c r="A1515" s="10">
        <v>46264.6446671875</v>
      </c>
      <c r="B1515" s="11" t="s">
        <v>8368</v>
      </c>
      <c r="C1515" s="11" t="s">
        <v>91</v>
      </c>
      <c r="D1515" s="11" t="s">
        <v>68</v>
      </c>
      <c r="E1515" s="12">
        <v>46204.0</v>
      </c>
      <c r="F1515" s="12">
        <v>46235.0</v>
      </c>
      <c r="G1515" s="11" t="s">
        <v>8369</v>
      </c>
      <c r="H1515" s="11">
        <v>9.161458166E9</v>
      </c>
      <c r="I1515" s="11" t="s">
        <v>70</v>
      </c>
      <c r="J1515" s="11" t="s">
        <v>71</v>
      </c>
      <c r="K1515" s="11" t="s">
        <v>72</v>
      </c>
      <c r="L1515" s="11" t="s">
        <v>84</v>
      </c>
      <c r="M1515" s="11" t="s">
        <v>6934</v>
      </c>
      <c r="N1515" s="11" t="s">
        <v>86</v>
      </c>
      <c r="O1515" s="11" t="s">
        <v>71</v>
      </c>
      <c r="P1515" s="11" t="s">
        <v>8370</v>
      </c>
      <c r="Q1515" s="13" t="s">
        <v>8371</v>
      </c>
      <c r="R1515" s="14" t="str">
        <f>HYPERLINK("https://drive.google.com/file/d/1yuPfWxmvkYwq6vrU7TefTqCDjD77eF8c/view?usp=drivesdk","OFFER LETTER")</f>
        <v>OFFER LETTER</v>
      </c>
      <c r="S1515" s="11" t="s">
        <v>8372</v>
      </c>
    </row>
    <row r="1516" ht="22.5" customHeight="1">
      <c r="A1516" s="10">
        <v>46264.64891791667</v>
      </c>
      <c r="B1516" s="11" t="s">
        <v>8373</v>
      </c>
      <c r="C1516" s="11" t="s">
        <v>195</v>
      </c>
      <c r="D1516" s="11" t="s">
        <v>68</v>
      </c>
      <c r="E1516" s="12">
        <v>46272.0</v>
      </c>
      <c r="F1516" s="12">
        <v>46302.0</v>
      </c>
      <c r="G1516" s="11" t="s">
        <v>8374</v>
      </c>
      <c r="H1516" s="11">
        <v>9.940166768E9</v>
      </c>
      <c r="I1516" s="11" t="s">
        <v>70</v>
      </c>
      <c r="J1516" s="11" t="s">
        <v>71</v>
      </c>
      <c r="K1516" s="11" t="s">
        <v>72</v>
      </c>
      <c r="L1516" s="11" t="s">
        <v>84</v>
      </c>
      <c r="M1516" s="11" t="s">
        <v>151</v>
      </c>
      <c r="N1516" s="11" t="s">
        <v>8375</v>
      </c>
      <c r="O1516" s="11" t="s">
        <v>71</v>
      </c>
      <c r="P1516" s="11" t="s">
        <v>8376</v>
      </c>
      <c r="Q1516" s="13" t="s">
        <v>8377</v>
      </c>
      <c r="R1516" s="14" t="str">
        <f>HYPERLINK("https://drive.google.com/file/d/1qw4sDU8B6ng4MK0F1NiMZA6rb54KhayH/view?usp=drivesdk","OFFER LETTER")</f>
        <v>OFFER LETTER</v>
      </c>
      <c r="S1516" s="11" t="s">
        <v>8378</v>
      </c>
    </row>
    <row r="1517" ht="22.5" customHeight="1">
      <c r="A1517" s="10">
        <v>46264.64928082176</v>
      </c>
      <c r="B1517" s="11" t="s">
        <v>8379</v>
      </c>
      <c r="C1517" s="11" t="s">
        <v>173</v>
      </c>
      <c r="D1517" s="11" t="s">
        <v>68</v>
      </c>
      <c r="E1517" s="12">
        <v>46267.0</v>
      </c>
      <c r="F1517" s="12">
        <v>46297.0</v>
      </c>
      <c r="G1517" s="11" t="s">
        <v>8380</v>
      </c>
      <c r="H1517" s="11">
        <v>7.015606652E9</v>
      </c>
      <c r="I1517" s="11" t="s">
        <v>82</v>
      </c>
      <c r="J1517" s="11" t="s">
        <v>71</v>
      </c>
      <c r="K1517" s="11" t="s">
        <v>72</v>
      </c>
      <c r="L1517" s="11" t="s">
        <v>84</v>
      </c>
      <c r="M1517" s="11" t="s">
        <v>8381</v>
      </c>
      <c r="N1517" s="11" t="s">
        <v>75</v>
      </c>
      <c r="O1517" s="11" t="s">
        <v>71</v>
      </c>
      <c r="P1517" s="11" t="s">
        <v>8382</v>
      </c>
      <c r="Q1517" s="13" t="s">
        <v>8383</v>
      </c>
      <c r="R1517" s="14" t="str">
        <f>HYPERLINK("https://drive.google.com/file/d/1mno3ZKvkJ2BJTCSinkYnC4et9-L8fqqi/view?usp=drivesdk","OFFER LETTER")</f>
        <v>OFFER LETTER</v>
      </c>
      <c r="S1517" s="11" t="s">
        <v>8384</v>
      </c>
    </row>
    <row r="1518" ht="22.5" customHeight="1">
      <c r="A1518" s="10">
        <v>46264.65076563657</v>
      </c>
      <c r="B1518" s="11" t="s">
        <v>8008</v>
      </c>
      <c r="C1518" s="11" t="s">
        <v>91</v>
      </c>
      <c r="D1518" s="11" t="s">
        <v>68</v>
      </c>
      <c r="E1518" s="12">
        <v>46264.0</v>
      </c>
      <c r="F1518" s="12">
        <v>46294.0</v>
      </c>
      <c r="G1518" s="11" t="s">
        <v>8009</v>
      </c>
      <c r="H1518" s="11">
        <v>8.527999021E9</v>
      </c>
      <c r="I1518" s="11" t="s">
        <v>70</v>
      </c>
      <c r="J1518" s="11" t="s">
        <v>71</v>
      </c>
      <c r="K1518" s="11" t="s">
        <v>72</v>
      </c>
      <c r="L1518" s="11" t="s">
        <v>131</v>
      </c>
      <c r="M1518" s="11" t="s">
        <v>8385</v>
      </c>
      <c r="N1518" s="11" t="s">
        <v>4176</v>
      </c>
      <c r="O1518" s="11" t="s">
        <v>71</v>
      </c>
      <c r="P1518" s="11" t="s">
        <v>8386</v>
      </c>
      <c r="Q1518" s="13" t="s">
        <v>8387</v>
      </c>
      <c r="R1518" s="14" t="str">
        <f>HYPERLINK("https://drive.google.com/file/d/1pOS-uC1XMIouBUIkQYy5ovaGYcy3QNhM/view?usp=drivesdk","OFFER LETTER")</f>
        <v>OFFER LETTER</v>
      </c>
      <c r="S1518" s="11" t="s">
        <v>8388</v>
      </c>
    </row>
    <row r="1519" ht="22.5" customHeight="1">
      <c r="A1519" s="10">
        <v>46264.65360322916</v>
      </c>
      <c r="B1519" s="11" t="s">
        <v>8389</v>
      </c>
      <c r="C1519" s="11" t="s">
        <v>128</v>
      </c>
      <c r="D1519" s="11" t="s">
        <v>68</v>
      </c>
      <c r="E1519" s="12">
        <v>46266.0</v>
      </c>
      <c r="F1519" s="12">
        <v>46265.0</v>
      </c>
      <c r="G1519" s="11" t="s">
        <v>8390</v>
      </c>
      <c r="H1519" s="11">
        <v>8.459772769E9</v>
      </c>
      <c r="I1519" s="11" t="s">
        <v>82</v>
      </c>
      <c r="J1519" s="11" t="s">
        <v>71</v>
      </c>
      <c r="K1519" s="11" t="s">
        <v>72</v>
      </c>
      <c r="L1519" s="11" t="s">
        <v>357</v>
      </c>
      <c r="M1519" s="11" t="s">
        <v>8391</v>
      </c>
      <c r="N1519" s="11" t="s">
        <v>75</v>
      </c>
      <c r="O1519" s="11" t="s">
        <v>71</v>
      </c>
      <c r="P1519" s="11" t="s">
        <v>8392</v>
      </c>
      <c r="Q1519" s="13" t="s">
        <v>8393</v>
      </c>
      <c r="R1519" s="14" t="str">
        <f>HYPERLINK("https://drive.google.com/file/d/1ScJwiqCNO7DF_7QwTCTi9Q3fcZ9TfwrS/view?usp=drivesdk","OFFER LETTER")</f>
        <v>OFFER LETTER</v>
      </c>
      <c r="S1519" s="11" t="s">
        <v>8394</v>
      </c>
    </row>
    <row r="1520" ht="22.5" customHeight="1">
      <c r="A1520" s="10">
        <v>46264.65665488426</v>
      </c>
      <c r="B1520" s="11" t="s">
        <v>8239</v>
      </c>
      <c r="C1520" s="11" t="s">
        <v>195</v>
      </c>
      <c r="D1520" s="11" t="s">
        <v>68</v>
      </c>
      <c r="E1520" s="12">
        <v>46218.0</v>
      </c>
      <c r="F1520" s="12">
        <v>46249.0</v>
      </c>
      <c r="G1520" s="11" t="s">
        <v>8240</v>
      </c>
      <c r="H1520" s="11">
        <v>7.428859434E9</v>
      </c>
      <c r="I1520" s="11" t="s">
        <v>70</v>
      </c>
      <c r="J1520" s="11" t="s">
        <v>71</v>
      </c>
      <c r="K1520" s="11" t="s">
        <v>72</v>
      </c>
      <c r="L1520" s="11" t="s">
        <v>84</v>
      </c>
      <c r="M1520" s="11" t="s">
        <v>886</v>
      </c>
      <c r="N1520" s="11" t="s">
        <v>86</v>
      </c>
      <c r="O1520" s="11" t="s">
        <v>130</v>
      </c>
      <c r="P1520" s="11" t="s">
        <v>8395</v>
      </c>
      <c r="Q1520" s="13" t="s">
        <v>8396</v>
      </c>
      <c r="R1520" s="14" t="str">
        <f>HYPERLINK("https://drive.google.com/file/d/1BeDySlbt7PY82We64KlUQCXvvbAgpvYI/view?usp=drivesdk","OFFER LETTER")</f>
        <v>OFFER LETTER</v>
      </c>
      <c r="S1520" s="11" t="s">
        <v>8397</v>
      </c>
    </row>
    <row r="1521" ht="22.5" customHeight="1">
      <c r="A1521" s="10">
        <v>46264.65875590278</v>
      </c>
      <c r="B1521" s="11" t="s">
        <v>8239</v>
      </c>
      <c r="C1521" s="11" t="s">
        <v>195</v>
      </c>
      <c r="D1521" s="11" t="s">
        <v>68</v>
      </c>
      <c r="E1521" s="12">
        <v>46218.0</v>
      </c>
      <c r="F1521" s="12">
        <v>46249.0</v>
      </c>
      <c r="G1521" s="11" t="s">
        <v>8240</v>
      </c>
      <c r="H1521" s="11">
        <v>7.428859434E9</v>
      </c>
      <c r="I1521" s="11" t="s">
        <v>70</v>
      </c>
      <c r="J1521" s="11" t="s">
        <v>71</v>
      </c>
      <c r="K1521" s="11" t="s">
        <v>72</v>
      </c>
      <c r="L1521" s="11" t="s">
        <v>84</v>
      </c>
      <c r="M1521" s="11" t="s">
        <v>6904</v>
      </c>
      <c r="N1521" s="11" t="s">
        <v>3613</v>
      </c>
      <c r="O1521" s="11" t="s">
        <v>71</v>
      </c>
      <c r="P1521" s="11" t="s">
        <v>8398</v>
      </c>
      <c r="Q1521" s="13" t="s">
        <v>8399</v>
      </c>
      <c r="R1521" s="14" t="str">
        <f>HYPERLINK("https://drive.google.com/file/d/1wrWd5v8-YiNd4NSsSfbTg0tvlMfeYWNy/view?usp=drivesdk","OFFER LETTER")</f>
        <v>OFFER LETTER</v>
      </c>
      <c r="S1521" s="11" t="s">
        <v>8400</v>
      </c>
    </row>
    <row r="1522" ht="22.5" customHeight="1">
      <c r="A1522" s="10">
        <v>46264.66070518519</v>
      </c>
      <c r="B1522" s="11" t="s">
        <v>8401</v>
      </c>
      <c r="C1522" s="11" t="s">
        <v>173</v>
      </c>
      <c r="D1522" s="11" t="s">
        <v>68</v>
      </c>
      <c r="E1522" s="12">
        <v>46183.0</v>
      </c>
      <c r="F1522" s="12">
        <v>46213.0</v>
      </c>
      <c r="G1522" s="11" t="s">
        <v>8402</v>
      </c>
      <c r="H1522" s="11">
        <v>7.488685615E9</v>
      </c>
      <c r="I1522" s="11" t="s">
        <v>82</v>
      </c>
      <c r="J1522" s="11" t="s">
        <v>71</v>
      </c>
      <c r="K1522" s="11" t="s">
        <v>72</v>
      </c>
      <c r="L1522" s="11" t="s">
        <v>84</v>
      </c>
      <c r="M1522" s="11" t="s">
        <v>2655</v>
      </c>
      <c r="N1522" s="11" t="s">
        <v>86</v>
      </c>
      <c r="O1522" s="11" t="s">
        <v>71</v>
      </c>
      <c r="P1522" s="11" t="s">
        <v>8403</v>
      </c>
      <c r="Q1522" s="13" t="s">
        <v>8404</v>
      </c>
      <c r="R1522" s="14" t="str">
        <f>HYPERLINK("https://drive.google.com/file/d/1ybcF-HVAa4TulWcsPgz2pyTN_zHjHOxt/view?usp=drivesdk","OFFER LETTER")</f>
        <v>OFFER LETTER</v>
      </c>
      <c r="S1522" s="11" t="s">
        <v>8405</v>
      </c>
    </row>
    <row r="1523" ht="22.5" customHeight="1">
      <c r="A1523" s="10">
        <v>46264.66721488426</v>
      </c>
      <c r="B1523" s="11" t="s">
        <v>8406</v>
      </c>
      <c r="C1523" s="11" t="s">
        <v>195</v>
      </c>
      <c r="D1523" s="11" t="s">
        <v>68</v>
      </c>
      <c r="E1523" s="12">
        <v>46264.0</v>
      </c>
      <c r="F1523" s="12">
        <v>46295.0</v>
      </c>
      <c r="G1523" s="11" t="s">
        <v>8407</v>
      </c>
      <c r="H1523" s="11">
        <v>9.234196044E9</v>
      </c>
      <c r="I1523" s="11" t="s">
        <v>70</v>
      </c>
      <c r="J1523" s="11" t="s">
        <v>71</v>
      </c>
      <c r="K1523" s="11" t="s">
        <v>72</v>
      </c>
      <c r="L1523" s="11" t="s">
        <v>84</v>
      </c>
      <c r="M1523" s="11" t="s">
        <v>8408</v>
      </c>
      <c r="N1523" s="11" t="s">
        <v>1641</v>
      </c>
      <c r="O1523" s="11" t="s">
        <v>71</v>
      </c>
      <c r="P1523" s="11" t="s">
        <v>8409</v>
      </c>
      <c r="Q1523" s="13" t="s">
        <v>8410</v>
      </c>
      <c r="R1523" s="14" t="str">
        <f>HYPERLINK("https://drive.google.com/file/d/1_7uDzfEXOeQ4GJ5yhwZHlhZ9511n0wh8/view?usp=drivesdk","OFFER LETTER")</f>
        <v>OFFER LETTER</v>
      </c>
      <c r="S1523" s="11" t="s">
        <v>8411</v>
      </c>
    </row>
    <row r="1524" ht="22.5" customHeight="1">
      <c r="A1524" s="10">
        <v>46264.67306331018</v>
      </c>
      <c r="B1524" s="11" t="s">
        <v>8412</v>
      </c>
      <c r="C1524" s="11" t="s">
        <v>354</v>
      </c>
      <c r="D1524" s="11" t="s">
        <v>68</v>
      </c>
      <c r="E1524" s="12">
        <v>46264.0</v>
      </c>
      <c r="F1524" s="12">
        <v>46295.0</v>
      </c>
      <c r="G1524" s="11" t="s">
        <v>8413</v>
      </c>
      <c r="H1524" s="11">
        <v>9.95370394E9</v>
      </c>
      <c r="I1524" s="11" t="s">
        <v>82</v>
      </c>
      <c r="J1524" s="11" t="s">
        <v>71</v>
      </c>
      <c r="K1524" s="11" t="s">
        <v>110</v>
      </c>
      <c r="L1524" s="11" t="s">
        <v>247</v>
      </c>
      <c r="M1524" s="11" t="s">
        <v>8414</v>
      </c>
      <c r="N1524" s="11" t="s">
        <v>1641</v>
      </c>
      <c r="O1524" s="11" t="s">
        <v>71</v>
      </c>
      <c r="P1524" s="11" t="s">
        <v>8415</v>
      </c>
      <c r="Q1524" s="13" t="s">
        <v>8416</v>
      </c>
      <c r="R1524" s="14" t="str">
        <f>HYPERLINK("https://drive.google.com/file/d/1S3c327IEcIihtxt3gv10yCCeZqSK8lIF/view?usp=drivesdk","OFFER LETTER")</f>
        <v>OFFER LETTER</v>
      </c>
      <c r="S1524" s="11" t="s">
        <v>8417</v>
      </c>
    </row>
    <row r="1525" ht="22.5" customHeight="1">
      <c r="A1525" s="10">
        <v>46264.67446065972</v>
      </c>
      <c r="B1525" s="11" t="s">
        <v>8418</v>
      </c>
      <c r="C1525" s="11" t="s">
        <v>298</v>
      </c>
      <c r="D1525" s="11" t="s">
        <v>68</v>
      </c>
      <c r="E1525" s="12">
        <v>46204.0</v>
      </c>
      <c r="F1525" s="12">
        <v>46233.0</v>
      </c>
      <c r="G1525" s="11" t="s">
        <v>8419</v>
      </c>
      <c r="H1525" s="11">
        <v>9.214862409E9</v>
      </c>
      <c r="I1525" s="11" t="s">
        <v>82</v>
      </c>
      <c r="J1525" s="11" t="s">
        <v>71</v>
      </c>
      <c r="K1525" s="11" t="s">
        <v>72</v>
      </c>
      <c r="L1525" s="11" t="s">
        <v>84</v>
      </c>
      <c r="M1525" s="11" t="s">
        <v>2655</v>
      </c>
      <c r="N1525" s="11" t="s">
        <v>86</v>
      </c>
      <c r="O1525" s="11" t="s">
        <v>71</v>
      </c>
      <c r="P1525" s="11" t="s">
        <v>8420</v>
      </c>
      <c r="Q1525" s="13" t="s">
        <v>8421</v>
      </c>
      <c r="R1525" s="14" t="str">
        <f>HYPERLINK("https://drive.google.com/file/d/1h3-6IjyQYmMH9ysTi0bYXdnDGTpNkgIs/view?usp=drivesdk","OFFER LETTER")</f>
        <v>OFFER LETTER</v>
      </c>
      <c r="S1525" s="11" t="s">
        <v>8422</v>
      </c>
    </row>
    <row r="1526" ht="22.5" customHeight="1">
      <c r="A1526" s="10">
        <v>46264.67597008102</v>
      </c>
      <c r="B1526" s="11" t="s">
        <v>8423</v>
      </c>
      <c r="C1526" s="11" t="s">
        <v>128</v>
      </c>
      <c r="D1526" s="11" t="s">
        <v>68</v>
      </c>
      <c r="E1526" s="12">
        <v>46204.0</v>
      </c>
      <c r="F1526" s="12">
        <v>46235.0</v>
      </c>
      <c r="G1526" s="11" t="s">
        <v>8424</v>
      </c>
      <c r="H1526" s="11">
        <v>9.045136369E9</v>
      </c>
      <c r="I1526" s="11" t="s">
        <v>70</v>
      </c>
      <c r="J1526" s="11" t="s">
        <v>71</v>
      </c>
      <c r="K1526" s="11" t="s">
        <v>72</v>
      </c>
      <c r="L1526" s="11" t="s">
        <v>84</v>
      </c>
      <c r="M1526" s="11" t="s">
        <v>1211</v>
      </c>
      <c r="N1526" s="11" t="s">
        <v>198</v>
      </c>
      <c r="O1526" s="11" t="s">
        <v>71</v>
      </c>
      <c r="P1526" s="11" t="s">
        <v>8425</v>
      </c>
      <c r="Q1526" s="13" t="s">
        <v>8426</v>
      </c>
      <c r="R1526" s="14" t="str">
        <f>HYPERLINK("https://drive.google.com/file/d/1X4fLSHZ2ASv251boq4Agf0QZNb_XYyH8/view?usp=drivesdk","OFFER LETTER")</f>
        <v>OFFER LETTER</v>
      </c>
      <c r="S1526" s="11" t="s">
        <v>8427</v>
      </c>
    </row>
    <row r="1527" ht="22.5" customHeight="1">
      <c r="A1527" s="10">
        <v>46264.6773494213</v>
      </c>
      <c r="B1527" s="11" t="s">
        <v>8428</v>
      </c>
      <c r="C1527" s="11" t="s">
        <v>259</v>
      </c>
      <c r="D1527" s="11" t="s">
        <v>68</v>
      </c>
      <c r="E1527" s="12">
        <v>46266.0</v>
      </c>
      <c r="F1527" s="12">
        <v>46296.0</v>
      </c>
      <c r="G1527" s="11" t="s">
        <v>8429</v>
      </c>
      <c r="H1527" s="11">
        <v>6.002979049E9</v>
      </c>
      <c r="I1527" s="11" t="s">
        <v>82</v>
      </c>
      <c r="J1527" s="11" t="s">
        <v>71</v>
      </c>
      <c r="K1527" s="11" t="s">
        <v>110</v>
      </c>
      <c r="L1527" s="11" t="s">
        <v>73</v>
      </c>
      <c r="M1527" s="11" t="s">
        <v>8430</v>
      </c>
      <c r="N1527" s="11" t="s">
        <v>75</v>
      </c>
      <c r="O1527" s="11" t="s">
        <v>71</v>
      </c>
      <c r="P1527" s="11" t="s">
        <v>8431</v>
      </c>
      <c r="Q1527" s="13" t="s">
        <v>8432</v>
      </c>
      <c r="R1527" s="14" t="str">
        <f>HYPERLINK("https://drive.google.com/file/d/1cfLVrrZkjsSHZ4lWEYv8DlJNqa8X2qFc/view?usp=drivesdk","OFFER LETTER")</f>
        <v>OFFER LETTER</v>
      </c>
      <c r="S1527" s="11" t="s">
        <v>8433</v>
      </c>
    </row>
    <row r="1528" ht="22.5" customHeight="1">
      <c r="A1528" s="10">
        <v>46264.67828753473</v>
      </c>
      <c r="B1528" s="11" t="s">
        <v>8434</v>
      </c>
      <c r="C1528" s="11" t="s">
        <v>107</v>
      </c>
      <c r="D1528" s="11" t="s">
        <v>68</v>
      </c>
      <c r="E1528" s="12">
        <v>46275.0</v>
      </c>
      <c r="F1528" s="12">
        <v>46305.0</v>
      </c>
      <c r="G1528" s="11" t="s">
        <v>8435</v>
      </c>
      <c r="H1528" s="11">
        <v>7.385501272E9</v>
      </c>
      <c r="I1528" s="11" t="s">
        <v>70</v>
      </c>
      <c r="J1528" s="11" t="s">
        <v>71</v>
      </c>
      <c r="K1528" s="11" t="s">
        <v>72</v>
      </c>
      <c r="L1528" s="11" t="s">
        <v>73</v>
      </c>
      <c r="M1528" s="11" t="s">
        <v>7197</v>
      </c>
      <c r="N1528" s="11" t="s">
        <v>75</v>
      </c>
      <c r="O1528" s="11" t="s">
        <v>71</v>
      </c>
      <c r="P1528" s="11" t="s">
        <v>8436</v>
      </c>
      <c r="Q1528" s="13" t="s">
        <v>8437</v>
      </c>
      <c r="R1528" s="14" t="str">
        <f>HYPERLINK("https://drive.google.com/file/d/10jDzNkaQo7l1TGaTpYePi5iPBKu2RXJC/view?usp=drivesdk","OFFER LETTER")</f>
        <v>OFFER LETTER</v>
      </c>
      <c r="S1528" s="11" t="s">
        <v>8438</v>
      </c>
    </row>
    <row r="1529" ht="22.5" customHeight="1">
      <c r="A1529" s="10">
        <v>46264.68039462963</v>
      </c>
      <c r="B1529" s="11" t="s">
        <v>8428</v>
      </c>
      <c r="C1529" s="11" t="s">
        <v>259</v>
      </c>
      <c r="D1529" s="11" t="s">
        <v>68</v>
      </c>
      <c r="E1529" s="12">
        <v>46266.0</v>
      </c>
      <c r="F1529" s="12">
        <v>46296.0</v>
      </c>
      <c r="G1529" s="11" t="s">
        <v>8429</v>
      </c>
      <c r="H1529" s="11">
        <v>6.002979049E9</v>
      </c>
      <c r="I1529" s="11" t="s">
        <v>82</v>
      </c>
      <c r="J1529" s="11" t="s">
        <v>71</v>
      </c>
      <c r="K1529" s="11" t="s">
        <v>110</v>
      </c>
      <c r="L1529" s="11" t="s">
        <v>73</v>
      </c>
      <c r="M1529" s="11" t="s">
        <v>8430</v>
      </c>
      <c r="N1529" s="11" t="s">
        <v>75</v>
      </c>
      <c r="O1529" s="11" t="s">
        <v>71</v>
      </c>
      <c r="P1529" s="11" t="s">
        <v>8439</v>
      </c>
      <c r="Q1529" s="13" t="s">
        <v>8440</v>
      </c>
      <c r="R1529" s="14" t="str">
        <f>HYPERLINK("https://drive.google.com/file/d/1auRdXOpKkhZaxc_w-Hyq4lCypgJLjboh/view?usp=drivesdk","OFFER LETTER")</f>
        <v>OFFER LETTER</v>
      </c>
      <c r="S1529" s="11" t="s">
        <v>8441</v>
      </c>
    </row>
    <row r="1530" ht="22.5" customHeight="1">
      <c r="A1530" s="10">
        <v>46264.68213990741</v>
      </c>
      <c r="B1530" s="11" t="s">
        <v>8442</v>
      </c>
      <c r="C1530" s="11" t="s">
        <v>195</v>
      </c>
      <c r="D1530" s="11" t="s">
        <v>68</v>
      </c>
      <c r="E1530" s="12">
        <v>46174.0</v>
      </c>
      <c r="F1530" s="12">
        <v>46203.0</v>
      </c>
      <c r="G1530" s="11" t="s">
        <v>8443</v>
      </c>
      <c r="H1530" s="11">
        <v>7.98276907E9</v>
      </c>
      <c r="I1530" s="11" t="s">
        <v>70</v>
      </c>
      <c r="J1530" s="11" t="s">
        <v>71</v>
      </c>
      <c r="K1530" s="11" t="s">
        <v>72</v>
      </c>
      <c r="L1530" s="11" t="s">
        <v>84</v>
      </c>
      <c r="M1530" s="11" t="s">
        <v>1779</v>
      </c>
      <c r="N1530" s="11" t="s">
        <v>8444</v>
      </c>
      <c r="O1530" s="11" t="s">
        <v>71</v>
      </c>
      <c r="P1530" s="11" t="s">
        <v>8445</v>
      </c>
      <c r="Q1530" s="13" t="s">
        <v>8446</v>
      </c>
      <c r="R1530" s="14" t="str">
        <f>HYPERLINK("https://drive.google.com/file/d/1MGvzMZzbThsP5LuRKrTDWBewAOKgeeDm/view?usp=drivesdk","OFFER LETTER")</f>
        <v>OFFER LETTER</v>
      </c>
      <c r="S1530" s="11" t="s">
        <v>8447</v>
      </c>
    </row>
    <row r="1531" ht="22.5" customHeight="1">
      <c r="A1531" s="10">
        <v>46264.68647162037</v>
      </c>
      <c r="B1531" s="11" t="s">
        <v>8448</v>
      </c>
      <c r="C1531" s="11" t="s">
        <v>91</v>
      </c>
      <c r="D1531" s="11" t="s">
        <v>68</v>
      </c>
      <c r="E1531" s="12">
        <v>46264.0</v>
      </c>
      <c r="F1531" s="12">
        <v>46294.0</v>
      </c>
      <c r="G1531" s="11" t="s">
        <v>8449</v>
      </c>
      <c r="H1531" s="11">
        <v>7.838014848E9</v>
      </c>
      <c r="I1531" s="11" t="s">
        <v>82</v>
      </c>
      <c r="J1531" s="11" t="s">
        <v>71</v>
      </c>
      <c r="K1531" s="11" t="s">
        <v>72</v>
      </c>
      <c r="L1531" s="11" t="s">
        <v>84</v>
      </c>
      <c r="M1531" s="11" t="s">
        <v>8450</v>
      </c>
      <c r="N1531" s="11" t="s">
        <v>241</v>
      </c>
      <c r="O1531" s="11" t="s">
        <v>71</v>
      </c>
      <c r="P1531" s="11" t="s">
        <v>8451</v>
      </c>
      <c r="Q1531" s="13" t="s">
        <v>8452</v>
      </c>
      <c r="R1531" s="14" t="str">
        <f>HYPERLINK("https://drive.google.com/file/d/1zEih8JP0p6frSuCiK9glFPnSw_tCyUiR/view?usp=drivesdk","OFFER LETTER")</f>
        <v>OFFER LETTER</v>
      </c>
      <c r="S1531" s="11" t="s">
        <v>8453</v>
      </c>
    </row>
    <row r="1532" ht="22.5" customHeight="1">
      <c r="A1532" s="10">
        <v>46264.68857381944</v>
      </c>
      <c r="B1532" s="11" t="s">
        <v>8454</v>
      </c>
      <c r="C1532" s="11" t="s">
        <v>195</v>
      </c>
      <c r="D1532" s="11" t="s">
        <v>68</v>
      </c>
      <c r="E1532" s="12">
        <v>46196.0</v>
      </c>
      <c r="F1532" s="12">
        <v>46226.0</v>
      </c>
      <c r="G1532" s="11" t="s">
        <v>8455</v>
      </c>
      <c r="H1532" s="11">
        <v>7.878672337E9</v>
      </c>
      <c r="I1532" s="11" t="s">
        <v>70</v>
      </c>
      <c r="J1532" s="11" t="s">
        <v>71</v>
      </c>
      <c r="K1532" s="11" t="s">
        <v>72</v>
      </c>
      <c r="L1532" s="11" t="s">
        <v>84</v>
      </c>
      <c r="M1532" s="11" t="s">
        <v>5124</v>
      </c>
      <c r="N1532" s="11" t="s">
        <v>75</v>
      </c>
      <c r="O1532" s="11" t="s">
        <v>71</v>
      </c>
      <c r="P1532" s="11" t="s">
        <v>8456</v>
      </c>
      <c r="Q1532" s="13" t="s">
        <v>8457</v>
      </c>
      <c r="R1532" s="14" t="str">
        <f>HYPERLINK("https://drive.google.com/file/d/1skrHBY_gUzPY48K8u6uXsUeQ5pGdfgLU/view?usp=drivesdk","OFFER LETTER")</f>
        <v>OFFER LETTER</v>
      </c>
      <c r="S1532" s="11" t="s">
        <v>8458</v>
      </c>
    </row>
    <row r="1533" ht="22.5" customHeight="1">
      <c r="A1533" s="10">
        <v>46264.69072827546</v>
      </c>
      <c r="B1533" s="11" t="s">
        <v>8459</v>
      </c>
      <c r="C1533" s="11" t="s">
        <v>195</v>
      </c>
      <c r="D1533" s="11" t="s">
        <v>68</v>
      </c>
      <c r="E1533" s="12">
        <v>46176.0</v>
      </c>
      <c r="F1533" s="12">
        <v>46206.0</v>
      </c>
      <c r="G1533" s="11" t="s">
        <v>8460</v>
      </c>
      <c r="H1533" s="11">
        <v>8.851152328E9</v>
      </c>
      <c r="I1533" s="11" t="s">
        <v>82</v>
      </c>
      <c r="J1533" s="11" t="s">
        <v>71</v>
      </c>
      <c r="K1533" s="11" t="s">
        <v>72</v>
      </c>
      <c r="L1533" s="11" t="s">
        <v>84</v>
      </c>
      <c r="M1533" s="11" t="s">
        <v>560</v>
      </c>
      <c r="N1533" s="11" t="s">
        <v>75</v>
      </c>
      <c r="O1533" s="11" t="s">
        <v>71</v>
      </c>
      <c r="P1533" s="11" t="s">
        <v>8461</v>
      </c>
      <c r="Q1533" s="13" t="s">
        <v>8462</v>
      </c>
      <c r="R1533" s="14" t="str">
        <f>HYPERLINK("https://drive.google.com/file/d/1C7QoAluhE8rg6o7fwQJBZBz_ojhZ0tQB/view?usp=drivesdk","OFFER LETTER")</f>
        <v>OFFER LETTER</v>
      </c>
      <c r="S1533" s="11" t="s">
        <v>8463</v>
      </c>
    </row>
    <row r="1534" ht="22.5" customHeight="1">
      <c r="A1534" s="10">
        <v>46264.69630488426</v>
      </c>
      <c r="B1534" s="11" t="s">
        <v>8464</v>
      </c>
      <c r="C1534" s="11" t="s">
        <v>195</v>
      </c>
      <c r="D1534" s="11" t="s">
        <v>68</v>
      </c>
      <c r="E1534" s="12">
        <v>46205.0</v>
      </c>
      <c r="F1534" s="12">
        <v>46236.0</v>
      </c>
      <c r="G1534" s="11" t="s">
        <v>8465</v>
      </c>
      <c r="H1534" s="11">
        <v>6.386285403E9</v>
      </c>
      <c r="I1534" s="11" t="s">
        <v>82</v>
      </c>
      <c r="J1534" s="11" t="s">
        <v>71</v>
      </c>
      <c r="K1534" s="11" t="s">
        <v>72</v>
      </c>
      <c r="L1534" s="11" t="s">
        <v>84</v>
      </c>
      <c r="M1534" s="11" t="s">
        <v>8466</v>
      </c>
      <c r="N1534" s="11" t="s">
        <v>8467</v>
      </c>
      <c r="O1534" s="11" t="s">
        <v>71</v>
      </c>
      <c r="P1534" s="11" t="s">
        <v>8468</v>
      </c>
      <c r="Q1534" s="13" t="s">
        <v>8469</v>
      </c>
      <c r="R1534" s="14" t="str">
        <f>HYPERLINK("https://drive.google.com/file/d/1Y9DsySH62jmxJt81bX-bq13M9TowTJV-/view?usp=drivesdk","OFFER LETTER")</f>
        <v>OFFER LETTER</v>
      </c>
      <c r="S1534" s="11" t="s">
        <v>8470</v>
      </c>
    </row>
    <row r="1535" ht="22.5" customHeight="1">
      <c r="A1535" s="10">
        <v>46264.70357024306</v>
      </c>
      <c r="B1535" s="11" t="s">
        <v>8471</v>
      </c>
      <c r="C1535" s="11" t="s">
        <v>195</v>
      </c>
      <c r="D1535" s="11" t="s">
        <v>68</v>
      </c>
      <c r="E1535" s="12">
        <v>46177.0</v>
      </c>
      <c r="F1535" s="12">
        <v>46206.0</v>
      </c>
      <c r="G1535" s="11" t="s">
        <v>8472</v>
      </c>
      <c r="H1535" s="11">
        <v>9.454958133E9</v>
      </c>
      <c r="I1535" s="11" t="s">
        <v>82</v>
      </c>
      <c r="J1535" s="11" t="s">
        <v>71</v>
      </c>
      <c r="K1535" s="11" t="s">
        <v>72</v>
      </c>
      <c r="L1535" s="11" t="s">
        <v>84</v>
      </c>
      <c r="M1535" s="11" t="s">
        <v>560</v>
      </c>
      <c r="N1535" s="11" t="s">
        <v>241</v>
      </c>
      <c r="O1535" s="11" t="s">
        <v>71</v>
      </c>
      <c r="P1535" s="11" t="s">
        <v>8473</v>
      </c>
      <c r="Q1535" s="13" t="s">
        <v>8474</v>
      </c>
      <c r="R1535" s="14" t="str">
        <f>HYPERLINK("https://drive.google.com/file/d/1wawMxhSGy52pXknbWBkzSQxIAkSQqI_x/view?usp=drivesdk","OFFER LETTER")</f>
        <v>OFFER LETTER</v>
      </c>
      <c r="S1535" s="11" t="s">
        <v>8475</v>
      </c>
    </row>
    <row r="1536" ht="22.5" customHeight="1">
      <c r="A1536" s="10">
        <v>46264.71069738426</v>
      </c>
      <c r="B1536" s="11" t="s">
        <v>8476</v>
      </c>
      <c r="C1536" s="11" t="s">
        <v>173</v>
      </c>
      <c r="D1536" s="11" t="s">
        <v>238</v>
      </c>
      <c r="E1536" s="12">
        <v>46264.0</v>
      </c>
      <c r="F1536" s="12">
        <v>46264.0</v>
      </c>
      <c r="G1536" s="11" t="s">
        <v>8477</v>
      </c>
      <c r="H1536" s="11">
        <v>7.3380148689E10</v>
      </c>
      <c r="I1536" s="11" t="s">
        <v>82</v>
      </c>
      <c r="J1536" s="11" t="s">
        <v>71</v>
      </c>
      <c r="K1536" s="11" t="s">
        <v>72</v>
      </c>
      <c r="L1536" s="11" t="s">
        <v>131</v>
      </c>
      <c r="M1536" s="11" t="s">
        <v>8478</v>
      </c>
      <c r="N1536" s="11" t="s">
        <v>75</v>
      </c>
      <c r="O1536" s="11" t="s">
        <v>263</v>
      </c>
      <c r="P1536" s="11" t="s">
        <v>8479</v>
      </c>
      <c r="Q1536" s="13" t="s">
        <v>8480</v>
      </c>
      <c r="R1536" s="14" t="str">
        <f>HYPERLINK("https://drive.google.com/file/d/1XdwNI4uPJrv5eQuSmgrpBAI57ry59Jrd/view?usp=drivesdk","OFFER LETTER")</f>
        <v>OFFER LETTER</v>
      </c>
      <c r="S1536" s="11" t="s">
        <v>8481</v>
      </c>
    </row>
    <row r="1537" ht="22.5" customHeight="1">
      <c r="A1537" s="10">
        <v>46264.71436293982</v>
      </c>
      <c r="B1537" s="11" t="s">
        <v>8482</v>
      </c>
      <c r="C1537" s="11" t="s">
        <v>195</v>
      </c>
      <c r="D1537" s="11" t="s">
        <v>68</v>
      </c>
      <c r="E1537" s="12">
        <v>46266.0</v>
      </c>
      <c r="F1537" s="12">
        <v>46296.0</v>
      </c>
      <c r="G1537" s="11" t="s">
        <v>8483</v>
      </c>
      <c r="H1537" s="11">
        <v>9.353438361E9</v>
      </c>
      <c r="I1537" s="11" t="s">
        <v>82</v>
      </c>
      <c r="J1537" s="11" t="s">
        <v>71</v>
      </c>
      <c r="K1537" s="11" t="s">
        <v>72</v>
      </c>
      <c r="L1537" s="11" t="s">
        <v>73</v>
      </c>
      <c r="M1537" s="11" t="s">
        <v>8484</v>
      </c>
      <c r="N1537" s="11" t="s">
        <v>86</v>
      </c>
      <c r="O1537" s="11" t="s">
        <v>71</v>
      </c>
      <c r="P1537" s="11" t="s">
        <v>8485</v>
      </c>
      <c r="Q1537" s="13" t="s">
        <v>8486</v>
      </c>
      <c r="R1537" s="14" t="str">
        <f>HYPERLINK("https://drive.google.com/file/d/1A9t0hRq4suoFThQ99Bj_DQMIOIvTgoSz/view?usp=drivesdk","OFFER LETTER")</f>
        <v>OFFER LETTER</v>
      </c>
      <c r="S1537" s="11" t="s">
        <v>8487</v>
      </c>
    </row>
    <row r="1538" ht="22.5" customHeight="1">
      <c r="A1538" s="10">
        <v>46264.71635217592</v>
      </c>
      <c r="B1538" s="11" t="s">
        <v>8488</v>
      </c>
      <c r="C1538" s="11" t="s">
        <v>195</v>
      </c>
      <c r="D1538" s="11" t="s">
        <v>68</v>
      </c>
      <c r="E1538" s="12">
        <v>46264.0</v>
      </c>
      <c r="F1538" s="12">
        <v>46295.0</v>
      </c>
      <c r="G1538" s="11" t="s">
        <v>8489</v>
      </c>
      <c r="H1538" s="11">
        <v>8.978887753E9</v>
      </c>
      <c r="I1538" s="11" t="s">
        <v>82</v>
      </c>
      <c r="J1538" s="11" t="s">
        <v>71</v>
      </c>
      <c r="K1538" s="11" t="s">
        <v>72</v>
      </c>
      <c r="L1538" s="11" t="s">
        <v>131</v>
      </c>
      <c r="M1538" s="11" t="s">
        <v>8490</v>
      </c>
      <c r="N1538" s="11" t="s">
        <v>86</v>
      </c>
      <c r="O1538" s="11" t="s">
        <v>71</v>
      </c>
      <c r="P1538" s="11" t="s">
        <v>8491</v>
      </c>
      <c r="Q1538" s="13" t="s">
        <v>8492</v>
      </c>
      <c r="R1538" s="14" t="str">
        <f>HYPERLINK("https://drive.google.com/file/d/12LBCjBkEVDeis-z6KKsE1fjdh2fincYH/view?usp=drivesdk","OFFER LETTER")</f>
        <v>OFFER LETTER</v>
      </c>
      <c r="S1538" s="11" t="s">
        <v>8493</v>
      </c>
    </row>
    <row r="1539" ht="22.5" customHeight="1">
      <c r="A1539" s="10">
        <v>46264.720292453705</v>
      </c>
      <c r="B1539" s="11" t="s">
        <v>8494</v>
      </c>
      <c r="C1539" s="11" t="s">
        <v>195</v>
      </c>
      <c r="D1539" s="11" t="s">
        <v>68</v>
      </c>
      <c r="E1539" s="12">
        <v>46210.0</v>
      </c>
      <c r="F1539" s="12">
        <v>46241.0</v>
      </c>
      <c r="G1539" s="11" t="s">
        <v>8495</v>
      </c>
      <c r="H1539" s="11">
        <v>8.858468364E9</v>
      </c>
      <c r="I1539" s="11" t="s">
        <v>82</v>
      </c>
      <c r="J1539" s="11" t="s">
        <v>71</v>
      </c>
      <c r="K1539" s="11" t="s">
        <v>72</v>
      </c>
      <c r="L1539" s="11" t="s">
        <v>84</v>
      </c>
      <c r="M1539" s="11" t="s">
        <v>1073</v>
      </c>
      <c r="N1539" s="11" t="s">
        <v>198</v>
      </c>
      <c r="O1539" s="11" t="s">
        <v>71</v>
      </c>
      <c r="P1539" s="11" t="s">
        <v>8496</v>
      </c>
      <c r="Q1539" s="13" t="s">
        <v>8497</v>
      </c>
      <c r="R1539" s="14" t="str">
        <f>HYPERLINK("https://drive.google.com/file/d/1qERCjfpTfu0GOOC0A9spiUKKrYZQgbOu/view?usp=drivesdk","OFFER LETTER")</f>
        <v>OFFER LETTER</v>
      </c>
      <c r="S1539" s="11" t="s">
        <v>8498</v>
      </c>
    </row>
    <row r="1540" ht="22.5" customHeight="1">
      <c r="A1540" s="10">
        <v>46264.72051696759</v>
      </c>
      <c r="B1540" s="11" t="s">
        <v>8499</v>
      </c>
      <c r="C1540" s="11" t="s">
        <v>128</v>
      </c>
      <c r="D1540" s="11" t="s">
        <v>108</v>
      </c>
      <c r="E1540" s="12">
        <v>46174.0</v>
      </c>
      <c r="F1540" s="12">
        <v>46265.0</v>
      </c>
      <c r="G1540" s="11" t="s">
        <v>8500</v>
      </c>
      <c r="H1540" s="11">
        <v>6.30297003E9</v>
      </c>
      <c r="I1540" s="11" t="s">
        <v>82</v>
      </c>
      <c r="J1540" s="11" t="s">
        <v>71</v>
      </c>
      <c r="K1540" s="11" t="s">
        <v>72</v>
      </c>
      <c r="L1540" s="11" t="s">
        <v>131</v>
      </c>
      <c r="M1540" s="11" t="s">
        <v>3857</v>
      </c>
      <c r="N1540" s="11" t="s">
        <v>241</v>
      </c>
      <c r="O1540" s="11" t="s">
        <v>71</v>
      </c>
      <c r="P1540" s="11" t="s">
        <v>8501</v>
      </c>
      <c r="Q1540" s="13" t="s">
        <v>8502</v>
      </c>
      <c r="R1540" s="14" t="str">
        <f>HYPERLINK("https://drive.google.com/file/d/1JKdP6niQwP-K91HCIjB2CKtjHs4iQWXX/view?usp=drivesdk","OFFER LETTER")</f>
        <v>OFFER LETTER</v>
      </c>
      <c r="S1540" s="11" t="s">
        <v>8498</v>
      </c>
    </row>
    <row r="1541" ht="22.5" customHeight="1">
      <c r="A1541" s="10">
        <v>46264.72488013889</v>
      </c>
      <c r="B1541" s="11" t="s">
        <v>8503</v>
      </c>
      <c r="C1541" s="11" t="s">
        <v>259</v>
      </c>
      <c r="D1541" s="11" t="s">
        <v>108</v>
      </c>
      <c r="E1541" s="12">
        <v>46174.0</v>
      </c>
      <c r="F1541" s="12">
        <v>46235.0</v>
      </c>
      <c r="G1541" s="11" t="s">
        <v>8504</v>
      </c>
      <c r="H1541" s="11" t="s">
        <v>8505</v>
      </c>
      <c r="I1541" s="11" t="s">
        <v>82</v>
      </c>
      <c r="J1541" s="11" t="s">
        <v>71</v>
      </c>
      <c r="K1541" s="11" t="s">
        <v>72</v>
      </c>
      <c r="L1541" s="11" t="s">
        <v>73</v>
      </c>
      <c r="M1541" s="11" t="s">
        <v>2535</v>
      </c>
      <c r="N1541" s="11" t="s">
        <v>8506</v>
      </c>
      <c r="O1541" s="11" t="s">
        <v>71</v>
      </c>
      <c r="P1541" s="11" t="s">
        <v>8507</v>
      </c>
      <c r="Q1541" s="13" t="s">
        <v>8508</v>
      </c>
      <c r="R1541" s="14" t="str">
        <f>HYPERLINK("https://drive.google.com/file/d/1aDWZcZe9xD3efckbbInGGR8f2na6haW9/view?usp=drivesdk","OFFER LETTER")</f>
        <v>OFFER LETTER</v>
      </c>
      <c r="S1541" s="11" t="s">
        <v>8509</v>
      </c>
    </row>
    <row r="1542" ht="22.5" customHeight="1">
      <c r="A1542" s="10">
        <v>46264.729204560186</v>
      </c>
      <c r="B1542" s="11" t="s">
        <v>8510</v>
      </c>
      <c r="C1542" s="11" t="s">
        <v>173</v>
      </c>
      <c r="D1542" s="11" t="s">
        <v>68</v>
      </c>
      <c r="E1542" s="12">
        <v>46188.0</v>
      </c>
      <c r="F1542" s="12">
        <v>46218.0</v>
      </c>
      <c r="G1542" s="11" t="s">
        <v>8511</v>
      </c>
      <c r="H1542" s="11">
        <v>9.840125574E9</v>
      </c>
      <c r="I1542" s="11" t="s">
        <v>82</v>
      </c>
      <c r="J1542" s="11" t="s">
        <v>71</v>
      </c>
      <c r="K1542" s="11" t="s">
        <v>72</v>
      </c>
      <c r="L1542" s="11" t="s">
        <v>84</v>
      </c>
      <c r="M1542" s="11" t="s">
        <v>684</v>
      </c>
      <c r="N1542" s="11" t="s">
        <v>75</v>
      </c>
      <c r="O1542" s="11" t="s">
        <v>71</v>
      </c>
      <c r="P1542" s="11" t="s">
        <v>8512</v>
      </c>
      <c r="Q1542" s="13" t="s">
        <v>8513</v>
      </c>
      <c r="R1542" s="14" t="str">
        <f>HYPERLINK("https://drive.google.com/file/d/1i16sLO8yooCBZBiDmy9uHWvd_5Q9HPcq/view?usp=drivesdk","OFFER LETTER")</f>
        <v>OFFER LETTER</v>
      </c>
      <c r="S1542" s="11" t="s">
        <v>8514</v>
      </c>
    </row>
    <row r="1543" ht="22.5" customHeight="1">
      <c r="A1543" s="10">
        <v>46264.729816527775</v>
      </c>
      <c r="B1543" s="11" t="s">
        <v>8515</v>
      </c>
      <c r="C1543" s="11" t="s">
        <v>195</v>
      </c>
      <c r="D1543" s="11" t="s">
        <v>68</v>
      </c>
      <c r="E1543" s="12">
        <v>46232.0</v>
      </c>
      <c r="F1543" s="12">
        <v>46264.0</v>
      </c>
      <c r="G1543" s="11" t="s">
        <v>8516</v>
      </c>
      <c r="H1543" s="11">
        <v>8.851423318E9</v>
      </c>
      <c r="I1543" s="11" t="s">
        <v>82</v>
      </c>
      <c r="J1543" s="11" t="s">
        <v>71</v>
      </c>
      <c r="K1543" s="11" t="s">
        <v>72</v>
      </c>
      <c r="L1543" s="11" t="s">
        <v>84</v>
      </c>
      <c r="M1543" s="11" t="s">
        <v>8517</v>
      </c>
      <c r="N1543" s="11" t="s">
        <v>86</v>
      </c>
      <c r="O1543" s="11" t="s">
        <v>71</v>
      </c>
      <c r="P1543" s="11" t="s">
        <v>8518</v>
      </c>
      <c r="Q1543" s="13" t="s">
        <v>8519</v>
      </c>
      <c r="R1543" s="14" t="str">
        <f>HYPERLINK("https://drive.google.com/file/d/1b02sS9FWt4__ixDrYyymKdytEqzrtSuJ/view?usp=drivesdk","OFFER LETTER")</f>
        <v>OFFER LETTER</v>
      </c>
      <c r="S1543" s="11" t="s">
        <v>8520</v>
      </c>
    </row>
    <row r="1544" ht="22.5" customHeight="1">
      <c r="A1544" s="10">
        <v>46264.73392515046</v>
      </c>
      <c r="B1544" s="11" t="s">
        <v>8521</v>
      </c>
      <c r="C1544" s="11" t="s">
        <v>259</v>
      </c>
      <c r="D1544" s="11" t="s">
        <v>68</v>
      </c>
      <c r="E1544" s="12">
        <v>46174.0</v>
      </c>
      <c r="F1544" s="12">
        <v>46204.0</v>
      </c>
      <c r="G1544" s="11" t="s">
        <v>8522</v>
      </c>
      <c r="H1544" s="11">
        <v>8.289977409E9</v>
      </c>
      <c r="I1544" s="11" t="s">
        <v>82</v>
      </c>
      <c r="J1544" s="11" t="s">
        <v>83</v>
      </c>
      <c r="K1544" s="11" t="s">
        <v>72</v>
      </c>
      <c r="L1544" s="11" t="s">
        <v>84</v>
      </c>
      <c r="M1544" s="11" t="s">
        <v>886</v>
      </c>
      <c r="N1544" s="11" t="s">
        <v>198</v>
      </c>
      <c r="O1544" s="11" t="s">
        <v>71</v>
      </c>
      <c r="P1544" s="11" t="s">
        <v>8523</v>
      </c>
      <c r="Q1544" s="13" t="s">
        <v>8524</v>
      </c>
      <c r="R1544" s="14" t="str">
        <f>HYPERLINK("https://drive.google.com/file/d/1k0udUt2kLSTypfqHZpxDNdDE1hOEPAXN/view?usp=drivesdk","OFFER LETTER")</f>
        <v>OFFER LETTER</v>
      </c>
      <c r="S1544" s="11" t="s">
        <v>8525</v>
      </c>
    </row>
    <row r="1545" ht="22.5" customHeight="1">
      <c r="A1545" s="10">
        <v>46264.73701967593</v>
      </c>
      <c r="B1545" s="11" t="s">
        <v>8526</v>
      </c>
      <c r="C1545" s="11" t="s">
        <v>128</v>
      </c>
      <c r="D1545" s="11" t="s">
        <v>108</v>
      </c>
      <c r="E1545" s="12">
        <v>46174.0</v>
      </c>
      <c r="F1545" s="12">
        <v>46234.0</v>
      </c>
      <c r="G1545" s="11" t="s">
        <v>8500</v>
      </c>
      <c r="H1545" s="11">
        <v>6.30297003E9</v>
      </c>
      <c r="I1545" s="11" t="s">
        <v>82</v>
      </c>
      <c r="J1545" s="11" t="s">
        <v>71</v>
      </c>
      <c r="K1545" s="11" t="s">
        <v>72</v>
      </c>
      <c r="L1545" s="11" t="s">
        <v>131</v>
      </c>
      <c r="M1545" s="11" t="s">
        <v>3857</v>
      </c>
      <c r="N1545" s="11" t="s">
        <v>241</v>
      </c>
      <c r="O1545" s="11" t="s">
        <v>71</v>
      </c>
      <c r="P1545" s="11" t="s">
        <v>8527</v>
      </c>
      <c r="Q1545" s="13" t="s">
        <v>8528</v>
      </c>
      <c r="R1545" s="14" t="str">
        <f>HYPERLINK("https://drive.google.com/file/d/16jjPVKQBHrosAMSLoe25FCS3C4eIG1-B/view?usp=drivesdk","OFFER LETTER")</f>
        <v>OFFER LETTER</v>
      </c>
      <c r="S1545" s="11" t="s">
        <v>8529</v>
      </c>
    </row>
    <row r="1546" ht="22.5" customHeight="1">
      <c r="A1546" s="10">
        <v>46264.73820063657</v>
      </c>
      <c r="B1546" s="11" t="s">
        <v>8526</v>
      </c>
      <c r="C1546" s="11" t="s">
        <v>128</v>
      </c>
      <c r="D1546" s="11" t="s">
        <v>108</v>
      </c>
      <c r="E1546" s="12">
        <v>46174.0</v>
      </c>
      <c r="F1546" s="12">
        <v>46234.0</v>
      </c>
      <c r="G1546" s="11" t="s">
        <v>8500</v>
      </c>
      <c r="H1546" s="11">
        <v>6.30297003E9</v>
      </c>
      <c r="I1546" s="11" t="s">
        <v>82</v>
      </c>
      <c r="J1546" s="11" t="s">
        <v>71</v>
      </c>
      <c r="K1546" s="11" t="s">
        <v>72</v>
      </c>
      <c r="L1546" s="11" t="s">
        <v>131</v>
      </c>
      <c r="M1546" s="11" t="s">
        <v>3857</v>
      </c>
      <c r="N1546" s="11" t="s">
        <v>241</v>
      </c>
      <c r="O1546" s="11" t="s">
        <v>71</v>
      </c>
      <c r="P1546" s="11" t="s">
        <v>8530</v>
      </c>
      <c r="Q1546" s="13" t="s">
        <v>8531</v>
      </c>
      <c r="R1546" s="14" t="str">
        <f>HYPERLINK("https://drive.google.com/file/d/1aIemE-Iy_PDSQ0KZZp67-365czSAA7Hw/view?usp=drivesdk","OFFER LETTER")</f>
        <v>OFFER LETTER</v>
      </c>
      <c r="S1546" s="11" t="s">
        <v>8532</v>
      </c>
    </row>
    <row r="1547" ht="22.5" customHeight="1">
      <c r="A1547" s="10">
        <v>46264.73890483796</v>
      </c>
      <c r="B1547" s="11" t="s">
        <v>8533</v>
      </c>
      <c r="C1547" s="11" t="s">
        <v>195</v>
      </c>
      <c r="D1547" s="11" t="s">
        <v>68</v>
      </c>
      <c r="E1547" s="12">
        <v>46264.0</v>
      </c>
      <c r="F1547" s="12">
        <v>46295.0</v>
      </c>
      <c r="G1547" s="11" t="s">
        <v>8534</v>
      </c>
      <c r="H1547" s="11">
        <v>9.010637854E9</v>
      </c>
      <c r="I1547" s="11" t="s">
        <v>70</v>
      </c>
      <c r="J1547" s="11" t="s">
        <v>71</v>
      </c>
      <c r="K1547" s="11" t="s">
        <v>72</v>
      </c>
      <c r="L1547" s="11" t="s">
        <v>131</v>
      </c>
      <c r="M1547" s="11" t="s">
        <v>8535</v>
      </c>
      <c r="N1547" s="11" t="s">
        <v>75</v>
      </c>
      <c r="O1547" s="11" t="s">
        <v>71</v>
      </c>
      <c r="P1547" s="11" t="s">
        <v>8536</v>
      </c>
      <c r="Q1547" s="13" t="s">
        <v>8537</v>
      </c>
      <c r="R1547" s="14" t="str">
        <f>HYPERLINK("https://drive.google.com/file/d/1t7rgO0Rgy_ifkElqW5MYT0qOyml5XJgk/view?usp=drivesdk","OFFER LETTER")</f>
        <v>OFFER LETTER</v>
      </c>
      <c r="S1547" s="11" t="s">
        <v>8538</v>
      </c>
    </row>
    <row r="1548" ht="22.5" customHeight="1">
      <c r="A1548" s="10">
        <v>46264.74178188657</v>
      </c>
      <c r="B1548" s="11" t="s">
        <v>8539</v>
      </c>
      <c r="C1548" s="11" t="s">
        <v>107</v>
      </c>
      <c r="D1548" s="11" t="s">
        <v>238</v>
      </c>
      <c r="E1548" s="12">
        <v>46265.0</v>
      </c>
      <c r="F1548" s="12">
        <v>46356.0</v>
      </c>
      <c r="G1548" s="11" t="s">
        <v>8540</v>
      </c>
      <c r="H1548" s="11">
        <v>6.362989984E9</v>
      </c>
      <c r="I1548" s="11" t="s">
        <v>82</v>
      </c>
      <c r="J1548" s="11" t="s">
        <v>71</v>
      </c>
      <c r="K1548" s="11" t="s">
        <v>72</v>
      </c>
      <c r="L1548" s="11" t="s">
        <v>73</v>
      </c>
      <c r="M1548" s="11" t="s">
        <v>8541</v>
      </c>
      <c r="N1548" s="11" t="s">
        <v>75</v>
      </c>
      <c r="O1548" s="11" t="s">
        <v>71</v>
      </c>
      <c r="P1548" s="11" t="s">
        <v>8542</v>
      </c>
      <c r="Q1548" s="13" t="s">
        <v>8543</v>
      </c>
      <c r="R1548" s="14" t="str">
        <f>HYPERLINK("https://drive.google.com/file/d/1tyD9-DAuyNDGYAtcBdOW81395uLcNZ39/view?usp=drivesdk","OFFER LETTER")</f>
        <v>OFFER LETTER</v>
      </c>
      <c r="S1548" s="11" t="s">
        <v>8544</v>
      </c>
    </row>
    <row r="1549" ht="22.5" customHeight="1">
      <c r="A1549" s="10">
        <v>46264.742756377316</v>
      </c>
      <c r="B1549" s="11" t="s">
        <v>8545</v>
      </c>
      <c r="C1549" s="11" t="s">
        <v>259</v>
      </c>
      <c r="D1549" s="11" t="s">
        <v>68</v>
      </c>
      <c r="E1549" s="12">
        <v>46266.0</v>
      </c>
      <c r="F1549" s="12">
        <v>46295.0</v>
      </c>
      <c r="G1549" s="11" t="s">
        <v>8546</v>
      </c>
      <c r="H1549" s="11">
        <v>9.380976978E9</v>
      </c>
      <c r="I1549" s="11" t="s">
        <v>82</v>
      </c>
      <c r="J1549" s="11" t="s">
        <v>130</v>
      </c>
      <c r="K1549" s="11" t="s">
        <v>72</v>
      </c>
      <c r="L1549" s="11" t="s">
        <v>73</v>
      </c>
      <c r="M1549" s="11" t="s">
        <v>8547</v>
      </c>
      <c r="N1549" s="11" t="s">
        <v>241</v>
      </c>
      <c r="O1549" s="11" t="s">
        <v>71</v>
      </c>
      <c r="P1549" s="11" t="s">
        <v>8548</v>
      </c>
      <c r="Q1549" s="13" t="s">
        <v>8549</v>
      </c>
      <c r="R1549" s="14" t="str">
        <f>HYPERLINK("https://drive.google.com/file/d/10-FuneipRp7nPiSCtuSkSboDNqgX2QNC/view?usp=drivesdk","OFFER LETTER")</f>
        <v>OFFER LETTER</v>
      </c>
      <c r="S1549" s="11" t="s">
        <v>8550</v>
      </c>
    </row>
    <row r="1550" ht="22.5" customHeight="1">
      <c r="A1550" s="10">
        <v>46264.742950949076</v>
      </c>
      <c r="B1550" s="11" t="s">
        <v>8551</v>
      </c>
      <c r="C1550" s="11" t="s">
        <v>195</v>
      </c>
      <c r="D1550" s="11" t="s">
        <v>68</v>
      </c>
      <c r="E1550" s="12">
        <v>46266.0</v>
      </c>
      <c r="F1550" s="12">
        <v>38990.0</v>
      </c>
      <c r="G1550" s="11" t="s">
        <v>8483</v>
      </c>
      <c r="H1550" s="11">
        <v>9.353438361E9</v>
      </c>
      <c r="I1550" s="11" t="s">
        <v>82</v>
      </c>
      <c r="J1550" s="11" t="s">
        <v>71</v>
      </c>
      <c r="K1550" s="11" t="s">
        <v>72</v>
      </c>
      <c r="L1550" s="11" t="s">
        <v>73</v>
      </c>
      <c r="M1550" s="11" t="s">
        <v>8552</v>
      </c>
      <c r="N1550" s="11" t="s">
        <v>86</v>
      </c>
      <c r="O1550" s="11" t="s">
        <v>71</v>
      </c>
      <c r="P1550" s="11" t="s">
        <v>8553</v>
      </c>
      <c r="Q1550" s="13" t="s">
        <v>8554</v>
      </c>
      <c r="R1550" s="14" t="str">
        <f>HYPERLINK("https://drive.google.com/file/d/1iPIZS45ItFLt1tZ0yxsYljjHhm9OEGgh/view?usp=drivesdk","OFFER LETTER")</f>
        <v>OFFER LETTER</v>
      </c>
      <c r="S1550" s="11" t="s">
        <v>8555</v>
      </c>
    </row>
    <row r="1551" ht="22.5" customHeight="1">
      <c r="A1551" s="10">
        <v>46264.75060629629</v>
      </c>
      <c r="B1551" s="11" t="s">
        <v>8556</v>
      </c>
      <c r="C1551" s="11" t="s">
        <v>173</v>
      </c>
      <c r="D1551" s="11" t="s">
        <v>68</v>
      </c>
      <c r="E1551" s="12">
        <v>46213.0</v>
      </c>
      <c r="F1551" s="12">
        <v>46244.0</v>
      </c>
      <c r="G1551" s="11" t="s">
        <v>8557</v>
      </c>
      <c r="H1551" s="11">
        <v>9.026029332E9</v>
      </c>
      <c r="I1551" s="11" t="s">
        <v>82</v>
      </c>
      <c r="J1551" s="11" t="s">
        <v>71</v>
      </c>
      <c r="K1551" s="11" t="s">
        <v>72</v>
      </c>
      <c r="L1551" s="11" t="s">
        <v>84</v>
      </c>
      <c r="M1551" s="11" t="s">
        <v>8558</v>
      </c>
      <c r="N1551" s="11" t="s">
        <v>86</v>
      </c>
      <c r="O1551" s="11" t="s">
        <v>71</v>
      </c>
      <c r="P1551" s="11" t="s">
        <v>8559</v>
      </c>
      <c r="Q1551" s="13" t="s">
        <v>8560</v>
      </c>
      <c r="R1551" s="14" t="str">
        <f>HYPERLINK("https://drive.google.com/file/d/1W9F8puTm5Oy-j5ZR2RdpzIhSnmlnZFOD/view?usp=drivesdk","OFFER LETTER")</f>
        <v>OFFER LETTER</v>
      </c>
      <c r="S1551" s="11" t="s">
        <v>8561</v>
      </c>
    </row>
    <row r="1552" ht="22.5" customHeight="1">
      <c r="A1552" s="10">
        <v>46264.75359275463</v>
      </c>
      <c r="B1552" s="11" t="s">
        <v>8562</v>
      </c>
      <c r="C1552" s="11" t="s">
        <v>173</v>
      </c>
      <c r="D1552" s="11" t="s">
        <v>68</v>
      </c>
      <c r="E1552" s="12">
        <v>46178.0</v>
      </c>
      <c r="F1552" s="12">
        <v>46208.0</v>
      </c>
      <c r="G1552" s="11" t="s">
        <v>8563</v>
      </c>
      <c r="H1552" s="11">
        <v>9.060721095E9</v>
      </c>
      <c r="I1552" s="11" t="s">
        <v>82</v>
      </c>
      <c r="J1552" s="11" t="s">
        <v>71</v>
      </c>
      <c r="K1552" s="11" t="s">
        <v>72</v>
      </c>
      <c r="L1552" s="11" t="s">
        <v>84</v>
      </c>
      <c r="M1552" s="11" t="s">
        <v>2535</v>
      </c>
      <c r="N1552" s="11" t="s">
        <v>86</v>
      </c>
      <c r="O1552" s="11" t="s">
        <v>71</v>
      </c>
      <c r="P1552" s="11" t="s">
        <v>8564</v>
      </c>
      <c r="Q1552" s="13" t="s">
        <v>8565</v>
      </c>
      <c r="R1552" s="14" t="str">
        <f>HYPERLINK("https://drive.google.com/file/d/1e-HLGwnIgW1JbTTIwNr8GZef14xZ64nR/view?usp=drivesdk","OFFER LETTER")</f>
        <v>OFFER LETTER</v>
      </c>
      <c r="S1552" s="11" t="s">
        <v>8566</v>
      </c>
    </row>
    <row r="1553" ht="22.5" customHeight="1">
      <c r="A1553" s="10">
        <v>46264.75898962963</v>
      </c>
      <c r="B1553" s="11" t="s">
        <v>8567</v>
      </c>
      <c r="C1553" s="11" t="s">
        <v>195</v>
      </c>
      <c r="D1553" s="11" t="s">
        <v>68</v>
      </c>
      <c r="E1553" s="12">
        <v>46183.0</v>
      </c>
      <c r="F1553" s="12">
        <v>46213.0</v>
      </c>
      <c r="G1553" s="11" t="s">
        <v>8568</v>
      </c>
      <c r="H1553" s="11">
        <v>7.200491781E9</v>
      </c>
      <c r="I1553" s="11" t="s">
        <v>70</v>
      </c>
      <c r="J1553" s="11" t="s">
        <v>71</v>
      </c>
      <c r="K1553" s="11" t="s">
        <v>72</v>
      </c>
      <c r="L1553" s="11" t="s">
        <v>131</v>
      </c>
      <c r="M1553" s="11" t="s">
        <v>8569</v>
      </c>
      <c r="N1553" s="11" t="s">
        <v>86</v>
      </c>
      <c r="O1553" s="11" t="s">
        <v>71</v>
      </c>
      <c r="P1553" s="11" t="s">
        <v>8570</v>
      </c>
      <c r="Q1553" s="13" t="s">
        <v>8571</v>
      </c>
      <c r="R1553" s="14" t="str">
        <f>HYPERLINK("https://drive.google.com/file/d/1VuiQlHvDKI7Y7PU6sepA0e3Xq4NKxZgO/view?usp=drivesdk","OFFER LETTER")</f>
        <v>OFFER LETTER</v>
      </c>
      <c r="S1553" s="11" t="s">
        <v>8572</v>
      </c>
    </row>
    <row r="1554" ht="22.5" customHeight="1">
      <c r="A1554" s="10">
        <v>46264.76654222222</v>
      </c>
      <c r="B1554" s="11" t="s">
        <v>8573</v>
      </c>
      <c r="C1554" s="11" t="s">
        <v>195</v>
      </c>
      <c r="D1554" s="11" t="s">
        <v>68</v>
      </c>
      <c r="E1554" s="12">
        <v>46266.0</v>
      </c>
      <c r="F1554" s="12">
        <v>46304.0</v>
      </c>
      <c r="G1554" s="11" t="s">
        <v>8574</v>
      </c>
      <c r="H1554" s="11">
        <v>8.421423887E9</v>
      </c>
      <c r="I1554" s="11" t="s">
        <v>70</v>
      </c>
      <c r="J1554" s="11" t="s">
        <v>71</v>
      </c>
      <c r="K1554" s="11" t="s">
        <v>110</v>
      </c>
      <c r="L1554" s="11" t="s">
        <v>73</v>
      </c>
      <c r="M1554" s="11" t="s">
        <v>8575</v>
      </c>
      <c r="N1554" s="11" t="s">
        <v>8576</v>
      </c>
      <c r="O1554" s="11" t="s">
        <v>71</v>
      </c>
      <c r="P1554" s="11" t="s">
        <v>8577</v>
      </c>
      <c r="Q1554" s="13" t="s">
        <v>8578</v>
      </c>
      <c r="R1554" s="14" t="str">
        <f>HYPERLINK("https://drive.google.com/file/d/1zT18WspZEwJ51RD1SKMNZtbUmP5k3Zpx/view?usp=drivesdk","OFFER LETTER")</f>
        <v>OFFER LETTER</v>
      </c>
      <c r="S1554" s="11" t="s">
        <v>8579</v>
      </c>
    </row>
    <row r="1555" ht="22.5" customHeight="1">
      <c r="A1555" s="10">
        <v>46264.76691346065</v>
      </c>
      <c r="B1555" s="11" t="s">
        <v>8580</v>
      </c>
      <c r="C1555" s="11" t="s">
        <v>195</v>
      </c>
      <c r="D1555" s="11" t="s">
        <v>108</v>
      </c>
      <c r="E1555" s="12">
        <v>46188.0</v>
      </c>
      <c r="F1555" s="12">
        <v>46249.0</v>
      </c>
      <c r="G1555" s="11" t="s">
        <v>8581</v>
      </c>
      <c r="H1555" s="11">
        <v>7.011478149E9</v>
      </c>
      <c r="I1555" s="11" t="s">
        <v>82</v>
      </c>
      <c r="J1555" s="11" t="s">
        <v>71</v>
      </c>
      <c r="K1555" s="11" t="s">
        <v>72</v>
      </c>
      <c r="L1555" s="11" t="s">
        <v>84</v>
      </c>
      <c r="M1555" s="11" t="s">
        <v>886</v>
      </c>
      <c r="N1555" s="11" t="s">
        <v>86</v>
      </c>
      <c r="O1555" s="11" t="s">
        <v>71</v>
      </c>
      <c r="P1555" s="11" t="s">
        <v>8582</v>
      </c>
      <c r="Q1555" s="13" t="s">
        <v>8583</v>
      </c>
      <c r="R1555" s="14" t="str">
        <f>HYPERLINK("https://drive.google.com/file/d/1tyC9xtfxPX09-QpwLXV64o0nqyqf6lTt/view?usp=drivesdk","OFFER LETTER")</f>
        <v>OFFER LETTER</v>
      </c>
      <c r="S1555" s="11" t="s">
        <v>8579</v>
      </c>
    </row>
    <row r="1556" ht="22.5" customHeight="1">
      <c r="A1556" s="10">
        <v>46264.772932824075</v>
      </c>
      <c r="B1556" s="11" t="s">
        <v>8584</v>
      </c>
      <c r="C1556" s="11" t="s">
        <v>128</v>
      </c>
      <c r="D1556" s="11" t="s">
        <v>68</v>
      </c>
      <c r="E1556" s="12">
        <v>46266.0</v>
      </c>
      <c r="F1556" s="12">
        <v>46295.0</v>
      </c>
      <c r="G1556" s="11" t="s">
        <v>8585</v>
      </c>
      <c r="H1556" s="11">
        <v>7.304260404E9</v>
      </c>
      <c r="I1556" s="11" t="s">
        <v>70</v>
      </c>
      <c r="J1556" s="11" t="s">
        <v>71</v>
      </c>
      <c r="K1556" s="11" t="s">
        <v>72</v>
      </c>
      <c r="L1556" s="11" t="s">
        <v>73</v>
      </c>
      <c r="M1556" s="11" t="s">
        <v>7197</v>
      </c>
      <c r="N1556" s="11" t="s">
        <v>241</v>
      </c>
      <c r="O1556" s="11" t="s">
        <v>71</v>
      </c>
      <c r="P1556" s="11" t="s">
        <v>8586</v>
      </c>
      <c r="Q1556" s="13" t="s">
        <v>8587</v>
      </c>
      <c r="R1556" s="14" t="str">
        <f>HYPERLINK("https://drive.google.com/file/d/1vPbAdIN39ER9B3dBeqPz4qyKORPjkLg-/view?usp=drivesdk","OFFER LETTER")</f>
        <v>OFFER LETTER</v>
      </c>
      <c r="S1556" s="11" t="s">
        <v>8588</v>
      </c>
    </row>
    <row r="1557" ht="22.5" customHeight="1">
      <c r="A1557" s="10">
        <v>46264.775389629634</v>
      </c>
      <c r="B1557" s="11" t="s">
        <v>8589</v>
      </c>
      <c r="C1557" s="11" t="s">
        <v>128</v>
      </c>
      <c r="D1557" s="11" t="s">
        <v>68</v>
      </c>
      <c r="E1557" s="12">
        <v>46228.0</v>
      </c>
      <c r="F1557" s="12">
        <v>46259.0</v>
      </c>
      <c r="G1557" s="11" t="s">
        <v>8590</v>
      </c>
      <c r="H1557" s="11">
        <v>9.939283501E9</v>
      </c>
      <c r="I1557" s="11" t="s">
        <v>82</v>
      </c>
      <c r="J1557" s="11" t="s">
        <v>71</v>
      </c>
      <c r="K1557" s="11" t="s">
        <v>72</v>
      </c>
      <c r="L1557" s="11" t="s">
        <v>84</v>
      </c>
      <c r="M1557" s="11" t="s">
        <v>2535</v>
      </c>
      <c r="N1557" s="11" t="s">
        <v>86</v>
      </c>
      <c r="O1557" s="11" t="s">
        <v>71</v>
      </c>
      <c r="P1557" s="11" t="s">
        <v>8591</v>
      </c>
      <c r="Q1557" s="13" t="s">
        <v>8592</v>
      </c>
      <c r="R1557" s="14" t="str">
        <f>HYPERLINK("https://drive.google.com/file/d/125imsTSvMvwO_QuKRaFEbfcgYM6nfmRj/view?usp=drivesdk","OFFER LETTER")</f>
        <v>OFFER LETTER</v>
      </c>
      <c r="S1557" s="11" t="s">
        <v>8593</v>
      </c>
    </row>
    <row r="1558" ht="22.5" customHeight="1">
      <c r="A1558" s="10">
        <v>46264.787384525465</v>
      </c>
      <c r="B1558" s="11" t="s">
        <v>8594</v>
      </c>
      <c r="C1558" s="11" t="s">
        <v>195</v>
      </c>
      <c r="D1558" s="11" t="s">
        <v>68</v>
      </c>
      <c r="E1558" s="12">
        <v>46195.0</v>
      </c>
      <c r="F1558" s="12">
        <v>46224.0</v>
      </c>
      <c r="G1558" s="11" t="s">
        <v>8595</v>
      </c>
      <c r="H1558" s="11">
        <v>9.424631348E9</v>
      </c>
      <c r="I1558" s="11" t="s">
        <v>70</v>
      </c>
      <c r="J1558" s="11" t="s">
        <v>71</v>
      </c>
      <c r="K1558" s="11" t="s">
        <v>72</v>
      </c>
      <c r="L1558" s="11" t="s">
        <v>84</v>
      </c>
      <c r="M1558" s="11" t="s">
        <v>886</v>
      </c>
      <c r="N1558" s="11" t="s">
        <v>750</v>
      </c>
      <c r="O1558" s="11" t="s">
        <v>71</v>
      </c>
      <c r="P1558" s="11" t="s">
        <v>8596</v>
      </c>
      <c r="Q1558" s="13" t="s">
        <v>8597</v>
      </c>
      <c r="R1558" s="14" t="str">
        <f>HYPERLINK("https://drive.google.com/file/d/1yLPbR12CwoO8-wKndsUWEgHOaT2nOtWX/view?usp=drivesdk","OFFER LETTER")</f>
        <v>OFFER LETTER</v>
      </c>
      <c r="S1558" s="11" t="s">
        <v>8598</v>
      </c>
    </row>
    <row r="1559" ht="22.5" customHeight="1">
      <c r="A1559" s="10">
        <v>46264.79028434028</v>
      </c>
      <c r="B1559" s="11" t="s">
        <v>8599</v>
      </c>
      <c r="C1559" s="11" t="s">
        <v>107</v>
      </c>
      <c r="D1559" s="11" t="s">
        <v>68</v>
      </c>
      <c r="E1559" s="12">
        <v>46266.0</v>
      </c>
      <c r="F1559" s="12">
        <v>46305.0</v>
      </c>
      <c r="G1559" s="11" t="s">
        <v>8600</v>
      </c>
      <c r="H1559" s="11">
        <v>8.421460221E9</v>
      </c>
      <c r="I1559" s="11" t="s">
        <v>82</v>
      </c>
      <c r="J1559" s="11" t="s">
        <v>71</v>
      </c>
      <c r="K1559" s="11" t="s">
        <v>72</v>
      </c>
      <c r="L1559" s="11" t="s">
        <v>73</v>
      </c>
      <c r="M1559" s="11" t="s">
        <v>8601</v>
      </c>
      <c r="N1559" s="11" t="s">
        <v>86</v>
      </c>
      <c r="O1559" s="11" t="s">
        <v>71</v>
      </c>
      <c r="P1559" s="11" t="s">
        <v>8602</v>
      </c>
      <c r="Q1559" s="13" t="s">
        <v>8603</v>
      </c>
      <c r="R1559" s="14" t="str">
        <f>HYPERLINK("https://drive.google.com/file/d/1MWOmtwES1Zk-Q4MUSTJbxSlGVJeugqyn/view?usp=drivesdk","OFFER LETTER")</f>
        <v>OFFER LETTER</v>
      </c>
      <c r="S1559" s="11" t="s">
        <v>8604</v>
      </c>
    </row>
    <row r="1560" ht="22.5" customHeight="1">
      <c r="A1560" s="10">
        <v>46264.79048364583</v>
      </c>
      <c r="B1560" s="11" t="s">
        <v>8605</v>
      </c>
      <c r="C1560" s="11" t="s">
        <v>195</v>
      </c>
      <c r="D1560" s="11" t="s">
        <v>108</v>
      </c>
      <c r="E1560" s="12">
        <v>46175.0</v>
      </c>
      <c r="F1560" s="12">
        <v>46236.0</v>
      </c>
      <c r="G1560" s="11" t="s">
        <v>8606</v>
      </c>
      <c r="H1560" s="11">
        <v>9.837106495E9</v>
      </c>
      <c r="I1560" s="11" t="s">
        <v>82</v>
      </c>
      <c r="J1560" s="11" t="s">
        <v>71</v>
      </c>
      <c r="K1560" s="11" t="s">
        <v>72</v>
      </c>
      <c r="L1560" s="11" t="s">
        <v>84</v>
      </c>
      <c r="M1560" s="11" t="s">
        <v>886</v>
      </c>
      <c r="N1560" s="11" t="s">
        <v>86</v>
      </c>
      <c r="O1560" s="11" t="s">
        <v>71</v>
      </c>
      <c r="P1560" s="11" t="s">
        <v>8607</v>
      </c>
      <c r="Q1560" s="13" t="s">
        <v>8608</v>
      </c>
      <c r="R1560" s="14" t="str">
        <f>HYPERLINK("https://drive.google.com/file/d/1yRo5i_TqKNXUnkaS7Qt8b50IpuPYz7QK/view?usp=drivesdk","OFFER LETTER")</f>
        <v>OFFER LETTER</v>
      </c>
      <c r="S1560" s="11" t="s">
        <v>8609</v>
      </c>
    </row>
    <row r="1561" ht="22.5" customHeight="1">
      <c r="A1561" s="10">
        <v>46264.79588983796</v>
      </c>
      <c r="B1561" s="11" t="s">
        <v>8610</v>
      </c>
      <c r="C1561" s="11" t="s">
        <v>259</v>
      </c>
      <c r="D1561" s="11" t="s">
        <v>68</v>
      </c>
      <c r="E1561" s="12" t="s">
        <v>8611</v>
      </c>
      <c r="F1561" s="12">
        <v>46251.0</v>
      </c>
      <c r="G1561" s="11" t="s">
        <v>8612</v>
      </c>
      <c r="H1561" s="11">
        <v>9.259535257E9</v>
      </c>
      <c r="I1561" s="11" t="s">
        <v>82</v>
      </c>
      <c r="J1561" s="11" t="s">
        <v>71</v>
      </c>
      <c r="K1561" s="11" t="s">
        <v>72</v>
      </c>
      <c r="L1561" s="11" t="s">
        <v>73</v>
      </c>
      <c r="M1561" s="11" t="s">
        <v>8613</v>
      </c>
      <c r="N1561" s="11" t="s">
        <v>86</v>
      </c>
      <c r="O1561" s="11" t="s">
        <v>71</v>
      </c>
      <c r="P1561" s="11" t="s">
        <v>8614</v>
      </c>
      <c r="Q1561" s="13" t="s">
        <v>8615</v>
      </c>
      <c r="R1561" s="14" t="str">
        <f>HYPERLINK("https://drive.google.com/file/d/1bgzZ46SMv4GPWfbSaj9nU_7RebDH1KuR/view?usp=drivesdk","OFFER LETTER")</f>
        <v>OFFER LETTER</v>
      </c>
      <c r="S1561" s="11" t="s">
        <v>8609</v>
      </c>
    </row>
    <row r="1562" ht="22.5" customHeight="1">
      <c r="A1562" s="10">
        <v>46264.80205391203</v>
      </c>
      <c r="B1562" s="11" t="s">
        <v>8616</v>
      </c>
      <c r="C1562" s="11" t="s">
        <v>128</v>
      </c>
      <c r="D1562" s="11" t="s">
        <v>68</v>
      </c>
      <c r="E1562" s="12">
        <v>46204.0</v>
      </c>
      <c r="F1562" s="12">
        <v>46235.0</v>
      </c>
      <c r="G1562" s="11" t="s">
        <v>3612</v>
      </c>
      <c r="H1562" s="11">
        <v>8.09239027E8</v>
      </c>
      <c r="I1562" s="11" t="s">
        <v>82</v>
      </c>
      <c r="J1562" s="11" t="s">
        <v>71</v>
      </c>
      <c r="K1562" s="11" t="s">
        <v>72</v>
      </c>
      <c r="L1562" s="11" t="s">
        <v>84</v>
      </c>
      <c r="M1562" s="11" t="s">
        <v>886</v>
      </c>
      <c r="N1562" s="11" t="s">
        <v>75</v>
      </c>
      <c r="O1562" s="11" t="s">
        <v>71</v>
      </c>
      <c r="P1562" s="11" t="s">
        <v>8617</v>
      </c>
      <c r="Q1562" s="13" t="s">
        <v>8618</v>
      </c>
      <c r="R1562" s="14" t="str">
        <f>HYPERLINK("https://drive.google.com/file/d/1Iq92qEptQdB3-ERJuwxL5ylTRmbpIQIm/view?usp=drivesdk","OFFER LETTER")</f>
        <v>OFFER LETTER</v>
      </c>
      <c r="S1562" s="11" t="s">
        <v>8619</v>
      </c>
    </row>
    <row r="1563" ht="22.5" customHeight="1">
      <c r="A1563" s="10">
        <v>46264.80222261574</v>
      </c>
      <c r="B1563" s="11" t="s">
        <v>8620</v>
      </c>
      <c r="C1563" s="11" t="s">
        <v>107</v>
      </c>
      <c r="D1563" s="11" t="s">
        <v>68</v>
      </c>
      <c r="E1563" s="12">
        <v>46235.0</v>
      </c>
      <c r="F1563" s="12">
        <v>46264.0</v>
      </c>
      <c r="G1563" s="11" t="s">
        <v>8621</v>
      </c>
      <c r="H1563" s="11">
        <v>8.340464228E9</v>
      </c>
      <c r="I1563" s="11" t="s">
        <v>82</v>
      </c>
      <c r="J1563" s="11" t="s">
        <v>71</v>
      </c>
      <c r="K1563" s="11" t="s">
        <v>72</v>
      </c>
      <c r="L1563" s="11" t="s">
        <v>73</v>
      </c>
      <c r="M1563" s="11" t="s">
        <v>886</v>
      </c>
      <c r="N1563" s="11" t="s">
        <v>86</v>
      </c>
      <c r="O1563" s="11" t="s">
        <v>71</v>
      </c>
      <c r="P1563" s="11" t="s">
        <v>8622</v>
      </c>
      <c r="Q1563" s="13" t="s">
        <v>8623</v>
      </c>
      <c r="R1563" s="14" t="str">
        <f>HYPERLINK("https://drive.google.com/file/d/12ZkVLeWDp3wRTnuwf1K8SDr5uzkR1JPl/view?usp=drivesdk","OFFER LETTER")</f>
        <v>OFFER LETTER</v>
      </c>
      <c r="S1563" s="11" t="s">
        <v>8619</v>
      </c>
    </row>
    <row r="1564" ht="22.5" customHeight="1">
      <c r="A1564" s="10">
        <v>46264.805155462964</v>
      </c>
      <c r="B1564" s="11" t="s">
        <v>8624</v>
      </c>
      <c r="C1564" s="11" t="s">
        <v>1200</v>
      </c>
      <c r="D1564" s="11" t="s">
        <v>108</v>
      </c>
      <c r="E1564" s="12">
        <v>46206.0</v>
      </c>
      <c r="F1564" s="12">
        <v>46268.0</v>
      </c>
      <c r="G1564" s="11" t="s">
        <v>8625</v>
      </c>
      <c r="H1564" s="11" t="s">
        <v>8626</v>
      </c>
      <c r="I1564" s="11" t="s">
        <v>82</v>
      </c>
      <c r="J1564" s="11" t="s">
        <v>71</v>
      </c>
      <c r="K1564" s="11" t="s">
        <v>72</v>
      </c>
      <c r="L1564" s="11" t="s">
        <v>73</v>
      </c>
      <c r="M1564" s="11" t="s">
        <v>2535</v>
      </c>
      <c r="N1564" s="11" t="s">
        <v>892</v>
      </c>
      <c r="O1564" s="11" t="s">
        <v>71</v>
      </c>
      <c r="P1564" s="11" t="s">
        <v>8627</v>
      </c>
      <c r="Q1564" s="13" t="s">
        <v>8628</v>
      </c>
      <c r="R1564" s="14" t="str">
        <f>HYPERLINK("https://drive.google.com/file/d/1bKaxOhZr6ZjuhZAIh4pVfHVbUFq2YZV6/view?usp=drivesdk","OFFER LETTER")</f>
        <v>OFFER LETTER</v>
      </c>
      <c r="S1564" s="11" t="s">
        <v>8629</v>
      </c>
    </row>
    <row r="1565" ht="22.5" customHeight="1">
      <c r="A1565" s="10">
        <v>46264.81106451389</v>
      </c>
      <c r="B1565" s="11" t="s">
        <v>8620</v>
      </c>
      <c r="C1565" s="11" t="s">
        <v>107</v>
      </c>
      <c r="D1565" s="11" t="s">
        <v>68</v>
      </c>
      <c r="E1565" s="12">
        <v>46235.0</v>
      </c>
      <c r="F1565" s="12">
        <v>46264.0</v>
      </c>
      <c r="G1565" s="11" t="s">
        <v>8621</v>
      </c>
      <c r="H1565" s="11">
        <v>8.340464228E9</v>
      </c>
      <c r="I1565" s="11" t="s">
        <v>82</v>
      </c>
      <c r="J1565" s="11" t="s">
        <v>71</v>
      </c>
      <c r="K1565" s="11" t="s">
        <v>72</v>
      </c>
      <c r="L1565" s="11" t="s">
        <v>73</v>
      </c>
      <c r="M1565" s="11" t="s">
        <v>886</v>
      </c>
      <c r="N1565" s="11" t="s">
        <v>86</v>
      </c>
      <c r="O1565" s="11" t="s">
        <v>71</v>
      </c>
      <c r="P1565" s="11" t="s">
        <v>8630</v>
      </c>
      <c r="Q1565" s="13" t="s">
        <v>8631</v>
      </c>
      <c r="R1565" s="14" t="str">
        <f>HYPERLINK("https://drive.google.com/file/d/1s3rr9e030L69aVON-ZsYOllG5L3gn9FR/view?usp=drivesdk","OFFER LETTER")</f>
        <v>OFFER LETTER</v>
      </c>
      <c r="S1565" s="11" t="s">
        <v>8632</v>
      </c>
    </row>
    <row r="1566" ht="22.5" customHeight="1">
      <c r="A1566" s="10">
        <v>46264.81121072917</v>
      </c>
      <c r="B1566" s="11" t="s">
        <v>8580</v>
      </c>
      <c r="C1566" s="11" t="s">
        <v>195</v>
      </c>
      <c r="D1566" s="11" t="s">
        <v>108</v>
      </c>
      <c r="E1566" s="12">
        <v>46209.0</v>
      </c>
      <c r="F1566" s="12">
        <v>46271.0</v>
      </c>
      <c r="G1566" s="11" t="s">
        <v>8581</v>
      </c>
      <c r="H1566" s="11">
        <v>7.0114478149E10</v>
      </c>
      <c r="I1566" s="11" t="s">
        <v>82</v>
      </c>
      <c r="J1566" s="11" t="s">
        <v>71</v>
      </c>
      <c r="K1566" s="11" t="s">
        <v>72</v>
      </c>
      <c r="L1566" s="11" t="s">
        <v>84</v>
      </c>
      <c r="M1566" s="11" t="s">
        <v>886</v>
      </c>
      <c r="N1566" s="11" t="s">
        <v>75</v>
      </c>
      <c r="O1566" s="11" t="s">
        <v>71</v>
      </c>
      <c r="P1566" s="11" t="s">
        <v>8633</v>
      </c>
      <c r="Q1566" s="13" t="s">
        <v>8634</v>
      </c>
      <c r="R1566" s="14" t="str">
        <f>HYPERLINK("https://drive.google.com/file/d/13k4tgYn5Y3ZiSgtRULC1AqSHu7HA93co/view?usp=drivesdk","OFFER LETTER")</f>
        <v>OFFER LETTER</v>
      </c>
      <c r="S1566" s="11" t="s">
        <v>8632</v>
      </c>
    </row>
    <row r="1567" ht="22.5" customHeight="1">
      <c r="A1567" s="10">
        <v>46264.81152530093</v>
      </c>
      <c r="B1567" s="11" t="s">
        <v>8635</v>
      </c>
      <c r="C1567" s="11" t="s">
        <v>195</v>
      </c>
      <c r="D1567" s="11" t="s">
        <v>68</v>
      </c>
      <c r="E1567" s="12">
        <v>46193.0</v>
      </c>
      <c r="F1567" s="12">
        <v>46222.0</v>
      </c>
      <c r="G1567" s="11" t="s">
        <v>8636</v>
      </c>
      <c r="H1567" s="11">
        <v>7.428838104E9</v>
      </c>
      <c r="I1567" s="11" t="s">
        <v>70</v>
      </c>
      <c r="J1567" s="11" t="s">
        <v>71</v>
      </c>
      <c r="K1567" s="11" t="s">
        <v>72</v>
      </c>
      <c r="L1567" s="11" t="s">
        <v>84</v>
      </c>
      <c r="M1567" s="11" t="s">
        <v>2710</v>
      </c>
      <c r="N1567" s="11" t="s">
        <v>8637</v>
      </c>
      <c r="O1567" s="11" t="s">
        <v>71</v>
      </c>
      <c r="P1567" s="11" t="s">
        <v>8638</v>
      </c>
      <c r="Q1567" s="13" t="s">
        <v>8639</v>
      </c>
      <c r="R1567" s="14" t="str">
        <f>HYPERLINK("https://drive.google.com/file/d/16tNV62YcN0zebjGgq1FsTBiJGBL9GdQW/view?usp=drivesdk","OFFER LETTER")</f>
        <v>OFFER LETTER</v>
      </c>
      <c r="S1567" s="11" t="s">
        <v>8640</v>
      </c>
    </row>
    <row r="1568" ht="22.5" customHeight="1">
      <c r="A1568" s="10">
        <v>46264.81231310185</v>
      </c>
      <c r="B1568" s="11" t="s">
        <v>8641</v>
      </c>
      <c r="C1568" s="11" t="s">
        <v>107</v>
      </c>
      <c r="D1568" s="11" t="s">
        <v>68</v>
      </c>
      <c r="E1568" s="12">
        <v>46235.0</v>
      </c>
      <c r="F1568" s="12">
        <v>46264.0</v>
      </c>
      <c r="G1568" s="11" t="s">
        <v>8642</v>
      </c>
      <c r="H1568" s="11">
        <v>9.508908139E9</v>
      </c>
      <c r="I1568" s="11" t="s">
        <v>82</v>
      </c>
      <c r="J1568" s="11" t="s">
        <v>71</v>
      </c>
      <c r="K1568" s="11" t="s">
        <v>72</v>
      </c>
      <c r="L1568" s="11" t="s">
        <v>84</v>
      </c>
      <c r="M1568" s="11" t="s">
        <v>7908</v>
      </c>
      <c r="N1568" s="11" t="s">
        <v>86</v>
      </c>
      <c r="O1568" s="11" t="s">
        <v>71</v>
      </c>
      <c r="P1568" s="11" t="s">
        <v>8643</v>
      </c>
      <c r="Q1568" s="13" t="s">
        <v>8644</v>
      </c>
      <c r="R1568" s="14" t="str">
        <f>HYPERLINK("https://drive.google.com/file/d/1yV0EA1ZYWTbCDnbGGnWIXhxqOGqCHvSH/view?usp=drivesdk","OFFER LETTER")</f>
        <v>OFFER LETTER</v>
      </c>
      <c r="S1568" s="11" t="s">
        <v>8645</v>
      </c>
    </row>
    <row r="1569" ht="22.5" customHeight="1">
      <c r="A1569" s="10">
        <v>46264.81417722222</v>
      </c>
      <c r="B1569" s="11" t="s">
        <v>8641</v>
      </c>
      <c r="C1569" s="11" t="s">
        <v>107</v>
      </c>
      <c r="D1569" s="11" t="s">
        <v>68</v>
      </c>
      <c r="E1569" s="12">
        <v>46235.0</v>
      </c>
      <c r="F1569" s="12">
        <v>46264.0</v>
      </c>
      <c r="G1569" s="11" t="s">
        <v>8642</v>
      </c>
      <c r="H1569" s="11">
        <v>9.508908139E9</v>
      </c>
      <c r="I1569" s="11" t="s">
        <v>82</v>
      </c>
      <c r="J1569" s="11" t="s">
        <v>71</v>
      </c>
      <c r="K1569" s="11" t="s">
        <v>72</v>
      </c>
      <c r="L1569" s="11" t="s">
        <v>84</v>
      </c>
      <c r="M1569" s="11" t="s">
        <v>560</v>
      </c>
      <c r="N1569" s="11" t="s">
        <v>86</v>
      </c>
      <c r="O1569" s="11" t="s">
        <v>71</v>
      </c>
      <c r="P1569" s="11" t="s">
        <v>8646</v>
      </c>
      <c r="Q1569" s="13" t="s">
        <v>8647</v>
      </c>
      <c r="R1569" s="14" t="str">
        <f>HYPERLINK("https://drive.google.com/file/d/1FP9Uc4f_WR9Yf_kXrP6bRbKekZi9l6CG/view?usp=drivesdk","OFFER LETTER")</f>
        <v>OFFER LETTER</v>
      </c>
      <c r="S1569" s="11" t="s">
        <v>8648</v>
      </c>
    </row>
    <row r="1570" ht="22.5" customHeight="1">
      <c r="A1570" s="10">
        <v>46264.81801986111</v>
      </c>
      <c r="B1570" s="11" t="s">
        <v>8649</v>
      </c>
      <c r="C1570" s="11" t="s">
        <v>128</v>
      </c>
      <c r="D1570" s="11" t="s">
        <v>68</v>
      </c>
      <c r="E1570" s="12">
        <v>46233.0</v>
      </c>
      <c r="F1570" s="12">
        <v>46264.0</v>
      </c>
      <c r="G1570" s="11" t="s">
        <v>8650</v>
      </c>
      <c r="H1570" s="11">
        <v>8.578865714E9</v>
      </c>
      <c r="I1570" s="11" t="s">
        <v>82</v>
      </c>
      <c r="K1570" s="11" t="s">
        <v>72</v>
      </c>
      <c r="L1570" s="11" t="s">
        <v>73</v>
      </c>
      <c r="M1570" s="11" t="s">
        <v>2535</v>
      </c>
      <c r="N1570" s="11" t="s">
        <v>86</v>
      </c>
      <c r="O1570" s="11" t="s">
        <v>263</v>
      </c>
      <c r="P1570" s="11" t="s">
        <v>8651</v>
      </c>
      <c r="Q1570" s="13" t="s">
        <v>8652</v>
      </c>
      <c r="R1570" s="14" t="str">
        <f>HYPERLINK("https://drive.google.com/file/d/1qU9_tEeXTyRnaegrxn80MljQ2jGlIbCS/view?usp=drivesdk","OFFER LETTER")</f>
        <v>OFFER LETTER</v>
      </c>
      <c r="S1570" s="11" t="s">
        <v>8653</v>
      </c>
    </row>
    <row r="1571" ht="22.5" customHeight="1">
      <c r="A1571" s="10">
        <v>46264.8204029051</v>
      </c>
      <c r="B1571" s="11" t="s">
        <v>8654</v>
      </c>
      <c r="C1571" s="11" t="s">
        <v>173</v>
      </c>
      <c r="D1571" s="11" t="s">
        <v>238</v>
      </c>
      <c r="E1571" s="12">
        <v>46264.0</v>
      </c>
      <c r="F1571" s="12">
        <v>46356.0</v>
      </c>
      <c r="G1571" s="11" t="s">
        <v>8477</v>
      </c>
      <c r="H1571" s="11">
        <v>7.338014869E9</v>
      </c>
      <c r="I1571" s="11" t="s">
        <v>82</v>
      </c>
      <c r="J1571" s="11" t="s">
        <v>71</v>
      </c>
      <c r="K1571" s="11" t="s">
        <v>72</v>
      </c>
      <c r="L1571" s="11" t="s">
        <v>131</v>
      </c>
      <c r="M1571" s="11" t="s">
        <v>6844</v>
      </c>
      <c r="N1571" s="11" t="s">
        <v>75</v>
      </c>
      <c r="O1571" s="11" t="s">
        <v>263</v>
      </c>
      <c r="P1571" s="11" t="s">
        <v>8655</v>
      </c>
      <c r="Q1571" s="13" t="s">
        <v>8656</v>
      </c>
      <c r="R1571" s="14" t="str">
        <f>HYPERLINK("https://drive.google.com/file/d/1M60WDAyNhVZmSo5pXHQwSaNdrKmbf7Ob/view?usp=drivesdk","OFFER LETTER")</f>
        <v>OFFER LETTER</v>
      </c>
      <c r="S1571" s="11" t="s">
        <v>8657</v>
      </c>
    </row>
    <row r="1572" ht="22.5" customHeight="1">
      <c r="A1572" s="10">
        <v>46264.82553887731</v>
      </c>
      <c r="B1572" s="11" t="s">
        <v>8658</v>
      </c>
      <c r="C1572" s="11" t="s">
        <v>195</v>
      </c>
      <c r="D1572" s="11" t="s">
        <v>108</v>
      </c>
      <c r="E1572" s="12">
        <v>46175.0</v>
      </c>
      <c r="F1572" s="12">
        <v>46236.0</v>
      </c>
      <c r="G1572" s="11" t="s">
        <v>8659</v>
      </c>
      <c r="H1572" s="11">
        <v>9.012501454E9</v>
      </c>
      <c r="I1572" s="11" t="s">
        <v>82</v>
      </c>
      <c r="J1572" s="11" t="s">
        <v>71</v>
      </c>
      <c r="K1572" s="11" t="s">
        <v>72</v>
      </c>
      <c r="L1572" s="11" t="s">
        <v>84</v>
      </c>
      <c r="M1572" s="11" t="s">
        <v>886</v>
      </c>
      <c r="N1572" s="11" t="s">
        <v>86</v>
      </c>
      <c r="O1572" s="11" t="s">
        <v>71</v>
      </c>
      <c r="P1572" s="11" t="s">
        <v>8660</v>
      </c>
      <c r="Q1572" s="13" t="s">
        <v>8661</v>
      </c>
      <c r="R1572" s="14" t="str">
        <f>HYPERLINK("https://drive.google.com/file/d/11XNKNXwLCQ4b3HBFhJioP-eoXfX4T8TF/view?usp=drivesdk","OFFER LETTER")</f>
        <v>OFFER LETTER</v>
      </c>
      <c r="S1572" s="11" t="s">
        <v>8662</v>
      </c>
    </row>
    <row r="1573" ht="22.5" customHeight="1">
      <c r="A1573" s="10">
        <v>46264.82718258102</v>
      </c>
      <c r="B1573" s="11" t="s">
        <v>8663</v>
      </c>
      <c r="C1573" s="11" t="s">
        <v>107</v>
      </c>
      <c r="D1573" s="11" t="s">
        <v>68</v>
      </c>
      <c r="E1573" s="12">
        <v>46264.0</v>
      </c>
      <c r="F1573" s="12">
        <v>46285.0</v>
      </c>
      <c r="G1573" s="11" t="s">
        <v>8664</v>
      </c>
      <c r="H1573" s="11">
        <v>9.345871899E9</v>
      </c>
      <c r="I1573" s="11" t="s">
        <v>70</v>
      </c>
      <c r="J1573" s="11" t="s">
        <v>71</v>
      </c>
      <c r="K1573" s="11" t="s">
        <v>110</v>
      </c>
      <c r="L1573" s="11" t="s">
        <v>73</v>
      </c>
      <c r="M1573" s="11" t="s">
        <v>8665</v>
      </c>
      <c r="N1573" s="11" t="s">
        <v>86</v>
      </c>
      <c r="O1573" s="11" t="s">
        <v>71</v>
      </c>
      <c r="P1573" s="11" t="s">
        <v>8666</v>
      </c>
      <c r="Q1573" s="13" t="s">
        <v>8667</v>
      </c>
      <c r="R1573" s="14" t="str">
        <f>HYPERLINK("https://drive.google.com/file/d/1jaAzfPRNjWv42WnVAWisNosrOufz9J_e/view?usp=drivesdk","OFFER LETTER")</f>
        <v>OFFER LETTER</v>
      </c>
      <c r="S1573" s="11" t="s">
        <v>8668</v>
      </c>
    </row>
    <row r="1574" ht="22.5" customHeight="1">
      <c r="A1574" s="10">
        <v>46264.82829160879</v>
      </c>
      <c r="B1574" s="11" t="s">
        <v>8669</v>
      </c>
      <c r="C1574" s="11" t="s">
        <v>195</v>
      </c>
      <c r="D1574" s="11" t="s">
        <v>68</v>
      </c>
      <c r="E1574" s="12">
        <v>46204.0</v>
      </c>
      <c r="F1574" s="12" t="s">
        <v>8670</v>
      </c>
      <c r="G1574" s="11" t="s">
        <v>8671</v>
      </c>
      <c r="H1574" s="11">
        <v>9.457718227E9</v>
      </c>
      <c r="I1574" s="11" t="s">
        <v>82</v>
      </c>
      <c r="J1574" s="11" t="s">
        <v>130</v>
      </c>
      <c r="K1574" s="11" t="s">
        <v>72</v>
      </c>
      <c r="L1574" s="11" t="s">
        <v>84</v>
      </c>
      <c r="M1574" s="11" t="s">
        <v>8672</v>
      </c>
      <c r="N1574" s="11" t="s">
        <v>75</v>
      </c>
      <c r="O1574" s="11" t="s">
        <v>71</v>
      </c>
      <c r="P1574" s="11" t="s">
        <v>8673</v>
      </c>
      <c r="Q1574" s="13" t="s">
        <v>8674</v>
      </c>
      <c r="R1574" s="14" t="str">
        <f>HYPERLINK("https://drive.google.com/file/d/1xoHZY5fz3RtbbtavDZhupXo09d7hdOAS/view?usp=drivesdk","OFFER LETTER")</f>
        <v>OFFER LETTER</v>
      </c>
      <c r="S1574" s="11" t="s">
        <v>8675</v>
      </c>
    </row>
    <row r="1575" ht="22.5" customHeight="1">
      <c r="A1575" s="10">
        <v>46264.83262425926</v>
      </c>
      <c r="B1575" s="11" t="s">
        <v>8676</v>
      </c>
      <c r="C1575" s="11" t="s">
        <v>195</v>
      </c>
      <c r="D1575" s="11" t="s">
        <v>108</v>
      </c>
      <c r="E1575" s="12">
        <v>46180.0</v>
      </c>
      <c r="F1575" s="12">
        <v>46241.0</v>
      </c>
      <c r="G1575" s="11" t="s">
        <v>8677</v>
      </c>
      <c r="H1575" s="11" t="s">
        <v>8678</v>
      </c>
      <c r="I1575" s="11" t="s">
        <v>82</v>
      </c>
      <c r="J1575" s="11" t="s">
        <v>71</v>
      </c>
      <c r="K1575" s="11" t="s">
        <v>72</v>
      </c>
      <c r="L1575" s="11" t="s">
        <v>84</v>
      </c>
      <c r="M1575" s="11" t="s">
        <v>2535</v>
      </c>
      <c r="N1575" s="11" t="s">
        <v>262</v>
      </c>
      <c r="O1575" s="11" t="s">
        <v>71</v>
      </c>
      <c r="P1575" s="11" t="s">
        <v>8679</v>
      </c>
      <c r="Q1575" s="13" t="s">
        <v>8680</v>
      </c>
      <c r="R1575" s="14" t="str">
        <f>HYPERLINK("https://drive.google.com/file/d/1y6Sm8tTkO-aKWiAYKDyBpl8cg5Vy3Wvr/view?usp=drivesdk","OFFER LETTER")</f>
        <v>OFFER LETTER</v>
      </c>
      <c r="S1575" s="11" t="s">
        <v>8681</v>
      </c>
    </row>
    <row r="1576" ht="22.5" customHeight="1">
      <c r="A1576" s="10">
        <v>46264.83363248843</v>
      </c>
      <c r="B1576" s="11" t="s">
        <v>8682</v>
      </c>
      <c r="C1576" s="11" t="s">
        <v>195</v>
      </c>
      <c r="D1576" s="11" t="s">
        <v>68</v>
      </c>
      <c r="E1576" s="12">
        <v>46264.0</v>
      </c>
      <c r="F1576" s="12">
        <v>46292.0</v>
      </c>
      <c r="G1576" s="11" t="s">
        <v>8683</v>
      </c>
      <c r="H1576" s="11">
        <v>9.472031389E9</v>
      </c>
      <c r="I1576" s="11" t="s">
        <v>82</v>
      </c>
      <c r="J1576" s="11" t="s">
        <v>71</v>
      </c>
      <c r="K1576" s="11" t="s">
        <v>1028</v>
      </c>
      <c r="L1576" s="11" t="s">
        <v>84</v>
      </c>
      <c r="M1576" s="11" t="s">
        <v>8684</v>
      </c>
      <c r="N1576" s="11" t="s">
        <v>75</v>
      </c>
      <c r="O1576" s="11" t="s">
        <v>71</v>
      </c>
      <c r="P1576" s="11" t="s">
        <v>8685</v>
      </c>
      <c r="Q1576" s="13" t="s">
        <v>8686</v>
      </c>
      <c r="R1576" s="14" t="str">
        <f>HYPERLINK("https://drive.google.com/file/d/1zrBCh0nv_QTFi8URite5_RIKuVP5XACK/view?usp=drivesdk","OFFER LETTER")</f>
        <v>OFFER LETTER</v>
      </c>
      <c r="S1576" s="11" t="s">
        <v>8687</v>
      </c>
    </row>
    <row r="1577" ht="22.5" customHeight="1">
      <c r="A1577" s="10">
        <v>46264.83407125</v>
      </c>
      <c r="B1577" s="11" t="s">
        <v>1713</v>
      </c>
      <c r="C1577" s="11" t="s">
        <v>742</v>
      </c>
      <c r="D1577" s="11" t="s">
        <v>68</v>
      </c>
      <c r="E1577" s="12">
        <v>46174.0</v>
      </c>
      <c r="F1577" s="12">
        <v>46203.0</v>
      </c>
      <c r="G1577" s="11" t="s">
        <v>8688</v>
      </c>
      <c r="H1577" s="11">
        <v>7.979026902E9</v>
      </c>
      <c r="I1577" s="11" t="s">
        <v>82</v>
      </c>
      <c r="J1577" s="11" t="s">
        <v>71</v>
      </c>
      <c r="K1577" s="11" t="s">
        <v>72</v>
      </c>
      <c r="L1577" s="11" t="s">
        <v>84</v>
      </c>
      <c r="M1577" s="11" t="s">
        <v>1779</v>
      </c>
      <c r="N1577" s="11" t="s">
        <v>75</v>
      </c>
      <c r="O1577" s="11" t="s">
        <v>71</v>
      </c>
      <c r="P1577" s="11" t="s">
        <v>8689</v>
      </c>
      <c r="Q1577" s="13" t="s">
        <v>8690</v>
      </c>
      <c r="R1577" s="14" t="str">
        <f>HYPERLINK("https://drive.google.com/file/d/1HuOufeJXhkc6LRPk4qIOwD3g39_rNkIq/view?usp=drivesdk","OFFER LETTER")</f>
        <v>OFFER LETTER</v>
      </c>
      <c r="S1577" s="11" t="s">
        <v>8691</v>
      </c>
    </row>
    <row r="1578" ht="22.5" customHeight="1">
      <c r="A1578" s="10">
        <v>46264.83444021991</v>
      </c>
      <c r="B1578" s="11" t="s">
        <v>8692</v>
      </c>
      <c r="C1578" s="11" t="s">
        <v>195</v>
      </c>
      <c r="D1578" s="11" t="s">
        <v>68</v>
      </c>
      <c r="E1578" s="12">
        <v>46264.0</v>
      </c>
      <c r="F1578" s="12">
        <v>46295.0</v>
      </c>
      <c r="G1578" s="11" t="s">
        <v>8693</v>
      </c>
      <c r="H1578" s="11">
        <v>8.897150952E9</v>
      </c>
      <c r="I1578" s="11" t="s">
        <v>82</v>
      </c>
      <c r="J1578" s="11" t="s">
        <v>71</v>
      </c>
      <c r="K1578" s="11" t="s">
        <v>72</v>
      </c>
      <c r="L1578" s="11" t="s">
        <v>131</v>
      </c>
      <c r="M1578" s="11" t="s">
        <v>8694</v>
      </c>
      <c r="N1578" s="11" t="s">
        <v>86</v>
      </c>
      <c r="O1578" s="11" t="s">
        <v>71</v>
      </c>
      <c r="P1578" s="11" t="s">
        <v>8695</v>
      </c>
      <c r="Q1578" s="13" t="s">
        <v>8696</v>
      </c>
      <c r="R1578" s="14" t="str">
        <f>HYPERLINK("https://drive.google.com/file/d/1GAnK9-b2WLGeFOEF9PQUBfqwuGdwImzl/view?usp=drivesdk","OFFER LETTER")</f>
        <v>OFFER LETTER</v>
      </c>
      <c r="S1578" s="11" t="s">
        <v>8691</v>
      </c>
    </row>
    <row r="1579" ht="22.5" customHeight="1">
      <c r="A1579" s="10">
        <v>46264.834838587965</v>
      </c>
      <c r="B1579" s="11" t="s">
        <v>8464</v>
      </c>
      <c r="C1579" s="11" t="s">
        <v>195</v>
      </c>
      <c r="D1579" s="11" t="s">
        <v>68</v>
      </c>
      <c r="E1579" s="12">
        <v>46210.0</v>
      </c>
      <c r="F1579" s="12">
        <v>46241.0</v>
      </c>
      <c r="G1579" s="11" t="s">
        <v>8697</v>
      </c>
      <c r="H1579" s="11">
        <v>8.757224756E9</v>
      </c>
      <c r="I1579" s="11" t="s">
        <v>82</v>
      </c>
      <c r="J1579" s="11" t="s">
        <v>71</v>
      </c>
      <c r="K1579" s="11" t="s">
        <v>72</v>
      </c>
      <c r="L1579" s="11" t="s">
        <v>84</v>
      </c>
      <c r="M1579" s="11" t="s">
        <v>849</v>
      </c>
      <c r="N1579" s="11" t="s">
        <v>8698</v>
      </c>
      <c r="O1579" s="11" t="s">
        <v>71</v>
      </c>
      <c r="P1579" s="11" t="s">
        <v>8699</v>
      </c>
      <c r="Q1579" s="13" t="s">
        <v>8700</v>
      </c>
      <c r="R1579" s="14" t="str">
        <f>HYPERLINK("https://drive.google.com/file/d/1r4HUGrX2pyO9c1W1oLK8QgCqYrOv_2ku/view?usp=drivesdk","OFFER LETTER")</f>
        <v>OFFER LETTER</v>
      </c>
      <c r="S1579" s="11" t="s">
        <v>8701</v>
      </c>
    </row>
    <row r="1580" ht="22.5" customHeight="1">
      <c r="A1580" s="10">
        <v>46264.83742633102</v>
      </c>
      <c r="B1580" s="11" t="s">
        <v>8702</v>
      </c>
      <c r="C1580" s="11" t="s">
        <v>173</v>
      </c>
      <c r="D1580" s="11" t="s">
        <v>68</v>
      </c>
      <c r="E1580" s="12">
        <v>46264.0</v>
      </c>
      <c r="F1580" s="12">
        <v>46295.0</v>
      </c>
      <c r="G1580" s="11" t="s">
        <v>8703</v>
      </c>
      <c r="H1580" s="11">
        <v>9.657983691E9</v>
      </c>
      <c r="I1580" s="11" t="s">
        <v>82</v>
      </c>
      <c r="J1580" s="11" t="s">
        <v>83</v>
      </c>
      <c r="K1580" s="11" t="s">
        <v>72</v>
      </c>
      <c r="L1580" s="11" t="s">
        <v>84</v>
      </c>
      <c r="M1580" s="11" t="s">
        <v>8704</v>
      </c>
      <c r="N1580" s="11" t="s">
        <v>2778</v>
      </c>
      <c r="O1580" s="11" t="s">
        <v>71</v>
      </c>
      <c r="P1580" s="11" t="s">
        <v>8705</v>
      </c>
      <c r="Q1580" s="13" t="s">
        <v>8706</v>
      </c>
      <c r="R1580" s="14" t="str">
        <f>HYPERLINK("https://drive.google.com/file/d/1frNYM09kXLEY7h2T6_sQEQhHxfQhi2DI/view?usp=drivesdk","OFFER LETTER")</f>
        <v>OFFER LETTER</v>
      </c>
      <c r="S1580" s="11" t="s">
        <v>8707</v>
      </c>
    </row>
    <row r="1581" ht="22.5" customHeight="1">
      <c r="A1581" s="10">
        <v>46264.83958762731</v>
      </c>
      <c r="B1581" s="11" t="s">
        <v>8708</v>
      </c>
      <c r="C1581" s="11" t="s">
        <v>128</v>
      </c>
      <c r="D1581" s="11" t="s">
        <v>68</v>
      </c>
      <c r="E1581" s="12">
        <v>46143.0</v>
      </c>
      <c r="F1581" s="12">
        <v>46172.0</v>
      </c>
      <c r="G1581" s="11" t="s">
        <v>8709</v>
      </c>
      <c r="H1581" s="11">
        <v>9.026395633E9</v>
      </c>
      <c r="I1581" s="11" t="s">
        <v>82</v>
      </c>
      <c r="J1581" s="11" t="s">
        <v>71</v>
      </c>
      <c r="K1581" s="11" t="s">
        <v>72</v>
      </c>
      <c r="L1581" s="11" t="s">
        <v>84</v>
      </c>
      <c r="M1581" s="11" t="s">
        <v>886</v>
      </c>
      <c r="N1581" s="11" t="s">
        <v>75</v>
      </c>
      <c r="O1581" s="11" t="s">
        <v>71</v>
      </c>
      <c r="P1581" s="11" t="s">
        <v>8710</v>
      </c>
      <c r="Q1581" s="13" t="s">
        <v>8711</v>
      </c>
      <c r="R1581" s="14" t="str">
        <f>HYPERLINK("https://drive.google.com/file/d/1b5xVg91Efhan_p5Rq_dPZ4G-5CrojG8k/view?usp=drivesdk","OFFER LETTER")</f>
        <v>OFFER LETTER</v>
      </c>
      <c r="S1581" s="11" t="s">
        <v>8712</v>
      </c>
    </row>
    <row r="1582" ht="22.5" customHeight="1">
      <c r="A1582" s="10">
        <v>46264.84077606481</v>
      </c>
      <c r="B1582" s="11" t="s">
        <v>8682</v>
      </c>
      <c r="C1582" s="11" t="s">
        <v>195</v>
      </c>
      <c r="D1582" s="11" t="s">
        <v>68</v>
      </c>
      <c r="E1582" s="12">
        <v>46264.0</v>
      </c>
      <c r="F1582" s="12">
        <v>46261.0</v>
      </c>
      <c r="G1582" s="11" t="s">
        <v>8683</v>
      </c>
      <c r="H1582" s="11">
        <v>9.472031389E9</v>
      </c>
      <c r="I1582" s="11" t="s">
        <v>82</v>
      </c>
      <c r="J1582" s="11" t="s">
        <v>71</v>
      </c>
      <c r="K1582" s="11" t="s">
        <v>1028</v>
      </c>
      <c r="L1582" s="11" t="s">
        <v>84</v>
      </c>
      <c r="M1582" s="11" t="s">
        <v>8684</v>
      </c>
      <c r="N1582" s="11" t="s">
        <v>75</v>
      </c>
      <c r="O1582" s="11" t="s">
        <v>71</v>
      </c>
      <c r="P1582" s="11" t="s">
        <v>8713</v>
      </c>
      <c r="Q1582" s="13" t="s">
        <v>8714</v>
      </c>
      <c r="R1582" s="14" t="str">
        <f>HYPERLINK("https://drive.google.com/file/d/1GwLPGiXo4EoCuqzKxd75X5--9EVJ8SH5/view?usp=drivesdk","OFFER LETTER")</f>
        <v>OFFER LETTER</v>
      </c>
      <c r="S1582" s="11" t="s">
        <v>8715</v>
      </c>
    </row>
    <row r="1583" ht="22.5" customHeight="1">
      <c r="A1583" s="10">
        <v>46264.841972395836</v>
      </c>
      <c r="B1583" s="11" t="s">
        <v>8464</v>
      </c>
      <c r="C1583" s="11" t="s">
        <v>195</v>
      </c>
      <c r="D1583" s="11" t="s">
        <v>68</v>
      </c>
      <c r="E1583" s="12">
        <v>46210.0</v>
      </c>
      <c r="F1583" s="12">
        <v>46241.0</v>
      </c>
      <c r="G1583" s="11" t="s">
        <v>8697</v>
      </c>
      <c r="H1583" s="11">
        <v>8.757224756E9</v>
      </c>
      <c r="I1583" s="11" t="s">
        <v>82</v>
      </c>
      <c r="J1583" s="11" t="s">
        <v>71</v>
      </c>
      <c r="K1583" s="11" t="s">
        <v>72</v>
      </c>
      <c r="L1583" s="11" t="s">
        <v>84</v>
      </c>
      <c r="M1583" s="11" t="s">
        <v>2655</v>
      </c>
      <c r="N1583" s="11" t="s">
        <v>8698</v>
      </c>
      <c r="O1583" s="11" t="s">
        <v>71</v>
      </c>
      <c r="P1583" s="11" t="s">
        <v>8716</v>
      </c>
      <c r="Q1583" s="13" t="s">
        <v>8717</v>
      </c>
      <c r="R1583" s="14" t="str">
        <f>HYPERLINK("https://drive.google.com/file/d/1uLMpa4tV8miO8jmVAevCgXSoJ5zwBbUX/view?usp=drivesdk","OFFER LETTER")</f>
        <v>OFFER LETTER</v>
      </c>
      <c r="S1583" s="11" t="s">
        <v>8718</v>
      </c>
    </row>
    <row r="1584" ht="22.5" customHeight="1">
      <c r="A1584" s="10">
        <v>46264.84546141204</v>
      </c>
      <c r="B1584" s="11" t="s">
        <v>8719</v>
      </c>
      <c r="C1584" s="11" t="s">
        <v>173</v>
      </c>
      <c r="D1584" s="11" t="s">
        <v>68</v>
      </c>
      <c r="E1584" s="12">
        <v>46264.0</v>
      </c>
      <c r="F1584" s="12">
        <v>46295.0</v>
      </c>
      <c r="G1584" s="11" t="s">
        <v>8720</v>
      </c>
      <c r="H1584" s="11">
        <v>9.352044816E9</v>
      </c>
      <c r="I1584" s="11" t="s">
        <v>82</v>
      </c>
      <c r="J1584" s="11" t="s">
        <v>71</v>
      </c>
      <c r="K1584" s="11" t="s">
        <v>72</v>
      </c>
      <c r="L1584" s="11" t="s">
        <v>73</v>
      </c>
      <c r="M1584" s="11" t="s">
        <v>8721</v>
      </c>
      <c r="N1584" s="11" t="s">
        <v>750</v>
      </c>
      <c r="O1584" s="11" t="s">
        <v>71</v>
      </c>
      <c r="P1584" s="11" t="s">
        <v>8722</v>
      </c>
      <c r="Q1584" s="13" t="s">
        <v>8723</v>
      </c>
      <c r="R1584" s="14" t="str">
        <f>HYPERLINK("https://drive.google.com/file/d/1TS9Ss3hK1Qd8VRH7Uxz6EouRsHHWX57K/view?usp=drivesdk","OFFER LETTER")</f>
        <v>OFFER LETTER</v>
      </c>
      <c r="S1584" s="11" t="s">
        <v>8724</v>
      </c>
    </row>
    <row r="1585" ht="22.5" customHeight="1">
      <c r="A1585" s="10">
        <v>46264.84619493056</v>
      </c>
      <c r="B1585" s="11" t="s">
        <v>8725</v>
      </c>
      <c r="C1585" s="11" t="s">
        <v>80</v>
      </c>
      <c r="D1585" s="11" t="s">
        <v>1507</v>
      </c>
      <c r="E1585" s="12">
        <v>46266.0</v>
      </c>
      <c r="F1585" s="12">
        <v>46357.0</v>
      </c>
      <c r="G1585" s="11" t="s">
        <v>8726</v>
      </c>
      <c r="H1585" s="11">
        <v>8.43411944E9</v>
      </c>
      <c r="I1585" s="11" t="s">
        <v>82</v>
      </c>
      <c r="J1585" s="11" t="s">
        <v>71</v>
      </c>
      <c r="K1585" s="11" t="s">
        <v>72</v>
      </c>
      <c r="L1585" s="11" t="s">
        <v>131</v>
      </c>
      <c r="M1585" s="11" t="s">
        <v>8727</v>
      </c>
      <c r="N1585" s="11" t="s">
        <v>75</v>
      </c>
      <c r="O1585" s="11" t="s">
        <v>71</v>
      </c>
      <c r="P1585" s="11" t="s">
        <v>8728</v>
      </c>
      <c r="Q1585" s="13" t="s">
        <v>8729</v>
      </c>
      <c r="R1585" s="14" t="str">
        <f>HYPERLINK("https://drive.google.com/file/d/1KsWmZIJQYdyqqC_cuYbUkXd83s0Vg5rY/view?usp=drivesdk","OFFER LETTER")</f>
        <v>OFFER LETTER</v>
      </c>
      <c r="S1585" s="11" t="s">
        <v>8730</v>
      </c>
    </row>
    <row r="1586" ht="22.5" customHeight="1">
      <c r="A1586" s="10">
        <v>46264.846624328704</v>
      </c>
      <c r="B1586" s="11" t="s">
        <v>8731</v>
      </c>
      <c r="C1586" s="11" t="s">
        <v>298</v>
      </c>
      <c r="D1586" s="11" t="s">
        <v>68</v>
      </c>
      <c r="E1586" s="12">
        <v>46188.0</v>
      </c>
      <c r="F1586" s="12">
        <v>46219.0</v>
      </c>
      <c r="G1586" s="11" t="s">
        <v>4902</v>
      </c>
      <c r="H1586" s="11" t="s">
        <v>8732</v>
      </c>
      <c r="I1586" s="11" t="s">
        <v>82</v>
      </c>
      <c r="J1586" s="11" t="s">
        <v>71</v>
      </c>
      <c r="K1586" s="11" t="s">
        <v>72</v>
      </c>
      <c r="L1586" s="11" t="s">
        <v>84</v>
      </c>
      <c r="M1586" s="11" t="s">
        <v>886</v>
      </c>
      <c r="N1586" s="11" t="s">
        <v>75</v>
      </c>
      <c r="O1586" s="11" t="s">
        <v>71</v>
      </c>
      <c r="P1586" s="11" t="s">
        <v>8733</v>
      </c>
      <c r="Q1586" s="13" t="s">
        <v>8734</v>
      </c>
      <c r="R1586" s="14" t="str">
        <f>HYPERLINK("https://drive.google.com/file/d/1UXi4P---s7y5RbJKO1TeXXj3V4D165E0/view?usp=drivesdk","OFFER LETTER")</f>
        <v>OFFER LETTER</v>
      </c>
      <c r="S1586" s="11" t="s">
        <v>8735</v>
      </c>
    </row>
    <row r="1587" ht="22.5" customHeight="1">
      <c r="A1587" s="10">
        <v>46264.85265853009</v>
      </c>
      <c r="B1587" s="11" t="s">
        <v>8736</v>
      </c>
      <c r="C1587" s="11" t="s">
        <v>91</v>
      </c>
      <c r="D1587" s="11" t="s">
        <v>68</v>
      </c>
      <c r="E1587" s="12">
        <v>46249.0</v>
      </c>
      <c r="F1587" s="12">
        <v>46282.0</v>
      </c>
      <c r="G1587" s="11" t="s">
        <v>8737</v>
      </c>
      <c r="H1587" s="11">
        <v>6.383483985E9</v>
      </c>
      <c r="I1587" s="11" t="s">
        <v>82</v>
      </c>
      <c r="J1587" s="11" t="s">
        <v>130</v>
      </c>
      <c r="K1587" s="11" t="s">
        <v>72</v>
      </c>
      <c r="L1587" s="11" t="s">
        <v>131</v>
      </c>
      <c r="M1587" s="11" t="s">
        <v>8738</v>
      </c>
      <c r="N1587" s="11" t="s">
        <v>75</v>
      </c>
      <c r="O1587" s="11" t="s">
        <v>71</v>
      </c>
      <c r="P1587" s="11" t="s">
        <v>8739</v>
      </c>
      <c r="Q1587" s="13" t="s">
        <v>8740</v>
      </c>
      <c r="R1587" s="14" t="str">
        <f>HYPERLINK("https://drive.google.com/file/d/10f0dOgrond1cIMvYZqdMe8vWKnFpYJ9B/view?usp=drivesdk","OFFER LETTER")</f>
        <v>OFFER LETTER</v>
      </c>
      <c r="S1587" s="11" t="s">
        <v>8741</v>
      </c>
    </row>
    <row r="1588" ht="22.5" customHeight="1">
      <c r="A1588" s="10">
        <v>46264.85672347222</v>
      </c>
      <c r="B1588" s="11" t="s">
        <v>8124</v>
      </c>
      <c r="C1588" s="11" t="s">
        <v>742</v>
      </c>
      <c r="D1588" s="11" t="s">
        <v>68</v>
      </c>
      <c r="E1588" s="12">
        <v>46264.0</v>
      </c>
      <c r="F1588" s="12">
        <v>46295.0</v>
      </c>
      <c r="G1588" s="11" t="s">
        <v>8125</v>
      </c>
      <c r="H1588" s="11">
        <v>9.83509099E9</v>
      </c>
      <c r="I1588" s="11" t="s">
        <v>82</v>
      </c>
      <c r="J1588" s="11" t="s">
        <v>71</v>
      </c>
      <c r="K1588" s="11" t="s">
        <v>72</v>
      </c>
      <c r="L1588" s="11" t="s">
        <v>84</v>
      </c>
      <c r="M1588" s="11" t="s">
        <v>8742</v>
      </c>
      <c r="N1588" s="11" t="s">
        <v>241</v>
      </c>
      <c r="O1588" s="11" t="s">
        <v>71</v>
      </c>
      <c r="P1588" s="11" t="s">
        <v>8743</v>
      </c>
      <c r="Q1588" s="13" t="s">
        <v>8744</v>
      </c>
      <c r="R1588" s="14" t="str">
        <f>HYPERLINK("https://drive.google.com/file/d/1mNuX3AwAWvBy2y4Ao49iiK2jh2nMaz8I/view?usp=drivesdk","OFFER LETTER")</f>
        <v>OFFER LETTER</v>
      </c>
      <c r="S1588" s="11" t="s">
        <v>8745</v>
      </c>
    </row>
    <row r="1589" ht="22.5" customHeight="1">
      <c r="A1589" s="10">
        <v>46264.86050899306</v>
      </c>
      <c r="B1589" s="11" t="s">
        <v>8746</v>
      </c>
      <c r="C1589" s="11" t="s">
        <v>80</v>
      </c>
      <c r="D1589" s="11" t="s">
        <v>68</v>
      </c>
      <c r="E1589" s="12">
        <v>46264.0</v>
      </c>
      <c r="F1589" s="12">
        <v>46295.0</v>
      </c>
      <c r="G1589" s="11" t="s">
        <v>8747</v>
      </c>
      <c r="H1589" s="11">
        <v>7.498631693E9</v>
      </c>
      <c r="I1589" s="11" t="s">
        <v>70</v>
      </c>
      <c r="J1589" s="11" t="s">
        <v>71</v>
      </c>
      <c r="K1589" s="11" t="s">
        <v>72</v>
      </c>
      <c r="L1589" s="11" t="s">
        <v>73</v>
      </c>
      <c r="M1589" s="11" t="s">
        <v>8748</v>
      </c>
      <c r="N1589" s="11" t="s">
        <v>3833</v>
      </c>
      <c r="O1589" s="11" t="s">
        <v>71</v>
      </c>
      <c r="P1589" s="11" t="s">
        <v>8749</v>
      </c>
      <c r="Q1589" s="13" t="s">
        <v>8750</v>
      </c>
      <c r="R1589" s="14" t="str">
        <f>HYPERLINK("https://drive.google.com/file/d/1MTAEntPzw9Wp9qVVjH86kvOBDLvHnrYr/view?usp=drivesdk","OFFER LETTER")</f>
        <v>OFFER LETTER</v>
      </c>
      <c r="S1589" s="11" t="s">
        <v>8751</v>
      </c>
    </row>
    <row r="1590" ht="22.5" customHeight="1">
      <c r="A1590" s="10">
        <v>46264.86610601852</v>
      </c>
      <c r="B1590" s="11" t="s">
        <v>8752</v>
      </c>
      <c r="C1590" s="11" t="s">
        <v>128</v>
      </c>
      <c r="D1590" s="11" t="s">
        <v>68</v>
      </c>
      <c r="E1590" s="12">
        <v>46264.0</v>
      </c>
      <c r="F1590" s="12">
        <v>46295.0</v>
      </c>
      <c r="G1590" s="11" t="s">
        <v>8753</v>
      </c>
      <c r="H1590" s="11">
        <v>8.179843174E9</v>
      </c>
      <c r="I1590" s="11" t="s">
        <v>70</v>
      </c>
      <c r="J1590" s="11" t="s">
        <v>71</v>
      </c>
      <c r="K1590" s="11" t="s">
        <v>72</v>
      </c>
      <c r="L1590" s="11" t="s">
        <v>73</v>
      </c>
      <c r="M1590" s="11" t="s">
        <v>8754</v>
      </c>
      <c r="N1590" s="11" t="s">
        <v>4412</v>
      </c>
      <c r="O1590" s="11" t="s">
        <v>71</v>
      </c>
      <c r="P1590" s="11" t="s">
        <v>8755</v>
      </c>
      <c r="Q1590" s="13" t="s">
        <v>8756</v>
      </c>
      <c r="R1590" s="14" t="str">
        <f>HYPERLINK("https://drive.google.com/file/d/18XEUBv22FkpLeXUiIlKOgGo9jZDOgPSG/view?usp=drivesdk","OFFER LETTER")</f>
        <v>OFFER LETTER</v>
      </c>
      <c r="S1590" s="11" t="s">
        <v>8757</v>
      </c>
    </row>
    <row r="1591" ht="22.5" customHeight="1">
      <c r="A1591" s="10">
        <v>46264.86727510417</v>
      </c>
      <c r="B1591" s="11" t="s">
        <v>8758</v>
      </c>
      <c r="C1591" s="11" t="s">
        <v>298</v>
      </c>
      <c r="D1591" s="11" t="s">
        <v>68</v>
      </c>
      <c r="E1591" s="12">
        <v>46228.0</v>
      </c>
      <c r="F1591" s="12">
        <v>46259.0</v>
      </c>
      <c r="G1591" s="11" t="s">
        <v>8759</v>
      </c>
      <c r="H1591" s="11">
        <v>8.60426727E9</v>
      </c>
      <c r="I1591" s="11" t="s">
        <v>82</v>
      </c>
      <c r="J1591" s="11" t="s">
        <v>130</v>
      </c>
      <c r="K1591" s="11" t="s">
        <v>72</v>
      </c>
      <c r="L1591" s="11" t="s">
        <v>84</v>
      </c>
      <c r="M1591" s="11" t="s">
        <v>2535</v>
      </c>
      <c r="N1591" s="11" t="s">
        <v>86</v>
      </c>
      <c r="O1591" s="11" t="s">
        <v>71</v>
      </c>
      <c r="P1591" s="11" t="s">
        <v>8760</v>
      </c>
      <c r="Q1591" s="13" t="s">
        <v>8761</v>
      </c>
      <c r="R1591" s="14" t="str">
        <f>HYPERLINK("https://drive.google.com/file/d/1Pjz7IlDTW17tdsZ7jaZgvEK9pcr5EQie/view?usp=drivesdk","OFFER LETTER")</f>
        <v>OFFER LETTER</v>
      </c>
      <c r="S1591" s="11" t="s">
        <v>8762</v>
      </c>
    </row>
    <row r="1592" ht="22.5" customHeight="1">
      <c r="A1592" s="10">
        <v>46264.87099534722</v>
      </c>
      <c r="B1592" s="11" t="s">
        <v>8758</v>
      </c>
      <c r="C1592" s="11" t="s">
        <v>173</v>
      </c>
      <c r="D1592" s="11" t="s">
        <v>68</v>
      </c>
      <c r="E1592" s="12">
        <v>46228.0</v>
      </c>
      <c r="F1592" s="12">
        <v>46259.0</v>
      </c>
      <c r="G1592" s="11" t="s">
        <v>8759</v>
      </c>
      <c r="H1592" s="11">
        <v>8.60426727E9</v>
      </c>
      <c r="I1592" s="11" t="s">
        <v>82</v>
      </c>
      <c r="J1592" s="11" t="s">
        <v>130</v>
      </c>
      <c r="K1592" s="11" t="s">
        <v>72</v>
      </c>
      <c r="L1592" s="11" t="s">
        <v>84</v>
      </c>
      <c r="M1592" s="11" t="s">
        <v>2535</v>
      </c>
      <c r="N1592" s="11" t="s">
        <v>86</v>
      </c>
      <c r="O1592" s="11" t="s">
        <v>71</v>
      </c>
      <c r="P1592" s="11" t="s">
        <v>8763</v>
      </c>
      <c r="Q1592" s="13" t="s">
        <v>8764</v>
      </c>
      <c r="R1592" s="14" t="str">
        <f>HYPERLINK("https://drive.google.com/file/d/1x7ytAdqM9y8eRjuR4EdPDvpSarfma8FR/view?usp=drivesdk","OFFER LETTER")</f>
        <v>OFFER LETTER</v>
      </c>
      <c r="S1592" s="11" t="s">
        <v>8765</v>
      </c>
    </row>
    <row r="1593" ht="22.5" customHeight="1">
      <c r="A1593" s="10">
        <v>46264.8721452662</v>
      </c>
      <c r="B1593" s="11" t="s">
        <v>8766</v>
      </c>
      <c r="C1593" s="11" t="s">
        <v>91</v>
      </c>
      <c r="D1593" s="11" t="s">
        <v>68</v>
      </c>
      <c r="E1593" s="12">
        <v>46266.0</v>
      </c>
      <c r="F1593" s="12">
        <v>46296.0</v>
      </c>
      <c r="G1593" s="11" t="s">
        <v>8767</v>
      </c>
      <c r="H1593" s="11">
        <v>9.579090829E9</v>
      </c>
      <c r="I1593" s="11" t="s">
        <v>82</v>
      </c>
      <c r="J1593" s="11" t="s">
        <v>71</v>
      </c>
      <c r="K1593" s="11" t="s">
        <v>110</v>
      </c>
      <c r="L1593" s="11" t="s">
        <v>73</v>
      </c>
      <c r="M1593" s="11" t="s">
        <v>8768</v>
      </c>
      <c r="N1593" s="11" t="s">
        <v>219</v>
      </c>
      <c r="O1593" s="11" t="s">
        <v>71</v>
      </c>
      <c r="P1593" s="11" t="s">
        <v>8769</v>
      </c>
      <c r="Q1593" s="13" t="s">
        <v>8770</v>
      </c>
      <c r="R1593" s="14" t="str">
        <f>HYPERLINK("https://drive.google.com/file/d/1bWmfNh3IUG3U0bpPuDBRLWO_JB6Zn7wG/view?usp=drivesdk","OFFER LETTER")</f>
        <v>OFFER LETTER</v>
      </c>
      <c r="S1593" s="11" t="s">
        <v>8771</v>
      </c>
    </row>
    <row r="1594" ht="22.5" customHeight="1">
      <c r="A1594" s="10">
        <v>46264.87276976852</v>
      </c>
      <c r="B1594" s="11" t="s">
        <v>8772</v>
      </c>
      <c r="C1594" s="11" t="s">
        <v>128</v>
      </c>
      <c r="D1594" s="11" t="s">
        <v>68</v>
      </c>
      <c r="E1594" s="12">
        <v>46175.0</v>
      </c>
      <c r="F1594" s="12">
        <v>46205.0</v>
      </c>
      <c r="G1594" s="11" t="s">
        <v>8773</v>
      </c>
      <c r="H1594" s="11">
        <v>9.182505371E9</v>
      </c>
      <c r="I1594" s="11" t="s">
        <v>82</v>
      </c>
      <c r="K1594" s="11" t="s">
        <v>72</v>
      </c>
      <c r="L1594" s="11" t="s">
        <v>84</v>
      </c>
      <c r="M1594" s="11" t="s">
        <v>6592</v>
      </c>
      <c r="N1594" s="11" t="s">
        <v>75</v>
      </c>
      <c r="O1594" s="11" t="s">
        <v>71</v>
      </c>
      <c r="P1594" s="11" t="s">
        <v>8774</v>
      </c>
      <c r="Q1594" s="13" t="s">
        <v>8775</v>
      </c>
      <c r="R1594" s="14" t="str">
        <f>HYPERLINK("https://drive.google.com/file/d/17lNX-2I7GIkyRe3uG_Ovctto-hRJwsbf/view?usp=drivesdk","OFFER LETTER")</f>
        <v>OFFER LETTER</v>
      </c>
      <c r="S1594" s="11" t="s">
        <v>8776</v>
      </c>
    </row>
    <row r="1595" ht="22.5" customHeight="1">
      <c r="A1595" s="10">
        <v>46264.875192974534</v>
      </c>
      <c r="B1595" s="11" t="s">
        <v>8777</v>
      </c>
      <c r="C1595" s="11" t="s">
        <v>195</v>
      </c>
      <c r="D1595" s="11" t="s">
        <v>68</v>
      </c>
      <c r="E1595" s="12">
        <v>46264.0</v>
      </c>
      <c r="F1595" s="12">
        <v>46295.0</v>
      </c>
      <c r="G1595" s="11" t="s">
        <v>8778</v>
      </c>
      <c r="H1595" s="11">
        <v>7.307703299E9</v>
      </c>
      <c r="I1595" s="11" t="s">
        <v>82</v>
      </c>
      <c r="J1595" s="11" t="s">
        <v>71</v>
      </c>
      <c r="K1595" s="11" t="s">
        <v>72</v>
      </c>
      <c r="L1595" s="11" t="s">
        <v>84</v>
      </c>
      <c r="M1595" s="11" t="s">
        <v>8779</v>
      </c>
      <c r="N1595" s="11" t="s">
        <v>86</v>
      </c>
      <c r="O1595" s="11" t="s">
        <v>71</v>
      </c>
      <c r="P1595" s="11" t="s">
        <v>8780</v>
      </c>
      <c r="Q1595" s="13" t="s">
        <v>8781</v>
      </c>
      <c r="R1595" s="14" t="str">
        <f>HYPERLINK("https://drive.google.com/file/d/1qciOFSC7swlOd-aoh9RUerveH9msO2Pe/view?usp=drivesdk","OFFER LETTER")</f>
        <v>OFFER LETTER</v>
      </c>
      <c r="S1595" s="11" t="s">
        <v>8782</v>
      </c>
    </row>
    <row r="1596" ht="22.5" customHeight="1">
      <c r="A1596" s="10">
        <v>46264.87580616898</v>
      </c>
      <c r="B1596" s="11" t="s">
        <v>8783</v>
      </c>
      <c r="C1596" s="11" t="s">
        <v>128</v>
      </c>
      <c r="D1596" s="11" t="s">
        <v>68</v>
      </c>
      <c r="E1596" s="12">
        <v>46179.0</v>
      </c>
      <c r="F1596" s="12">
        <v>46209.0</v>
      </c>
      <c r="G1596" s="11" t="s">
        <v>8784</v>
      </c>
      <c r="H1596" s="11">
        <v>9.470783211E9</v>
      </c>
      <c r="I1596" s="11" t="s">
        <v>82</v>
      </c>
      <c r="J1596" s="11" t="s">
        <v>71</v>
      </c>
      <c r="K1596" s="11" t="s">
        <v>72</v>
      </c>
      <c r="L1596" s="11" t="s">
        <v>84</v>
      </c>
      <c r="M1596" s="11" t="s">
        <v>886</v>
      </c>
      <c r="N1596" s="11" t="s">
        <v>86</v>
      </c>
      <c r="O1596" s="11" t="s">
        <v>71</v>
      </c>
      <c r="P1596" s="11" t="s">
        <v>8785</v>
      </c>
      <c r="Q1596" s="13" t="s">
        <v>8786</v>
      </c>
      <c r="R1596" s="14" t="str">
        <f>HYPERLINK("https://drive.google.com/file/d/1fIWiaxsy0kRHCMjhsRjiNHKDG-xJiOaG/view?usp=drivesdk","OFFER LETTER")</f>
        <v>OFFER LETTER</v>
      </c>
      <c r="S1596" s="11" t="s">
        <v>8787</v>
      </c>
    </row>
    <row r="1597" ht="22.5" customHeight="1">
      <c r="A1597" s="10">
        <v>46264.876418009255</v>
      </c>
      <c r="B1597" s="11" t="s">
        <v>8788</v>
      </c>
      <c r="C1597" s="11" t="s">
        <v>128</v>
      </c>
      <c r="D1597" s="11" t="s">
        <v>68</v>
      </c>
      <c r="E1597" s="12">
        <v>46264.0</v>
      </c>
      <c r="F1597" s="12">
        <v>46295.0</v>
      </c>
      <c r="G1597" s="11" t="s">
        <v>8789</v>
      </c>
      <c r="H1597" s="11">
        <v>9.936436168E9</v>
      </c>
      <c r="I1597" s="11" t="s">
        <v>82</v>
      </c>
      <c r="J1597" s="11" t="s">
        <v>130</v>
      </c>
      <c r="K1597" s="11" t="s">
        <v>72</v>
      </c>
      <c r="L1597" s="11" t="s">
        <v>84</v>
      </c>
      <c r="M1597" s="11" t="s">
        <v>8790</v>
      </c>
      <c r="N1597" s="11" t="s">
        <v>241</v>
      </c>
      <c r="O1597" s="11" t="s">
        <v>71</v>
      </c>
      <c r="P1597" s="11" t="s">
        <v>8791</v>
      </c>
      <c r="Q1597" s="13" t="s">
        <v>8792</v>
      </c>
      <c r="R1597" s="14" t="str">
        <f>HYPERLINK("https://drive.google.com/file/d/10SWU3fw_mGZSKIOyp3Ihy0yGNSCqsMjS/view?usp=drivesdk","OFFER LETTER")</f>
        <v>OFFER LETTER</v>
      </c>
      <c r="S1597" s="11" t="s">
        <v>8793</v>
      </c>
    </row>
    <row r="1598" ht="22.5" customHeight="1">
      <c r="A1598" s="10">
        <v>46264.88285313657</v>
      </c>
      <c r="B1598" s="11" t="s">
        <v>8794</v>
      </c>
      <c r="C1598" s="11" t="s">
        <v>173</v>
      </c>
      <c r="D1598" s="11" t="s">
        <v>68</v>
      </c>
      <c r="E1598" s="12">
        <v>46231.0</v>
      </c>
      <c r="F1598" s="12">
        <v>46263.0</v>
      </c>
      <c r="G1598" s="11" t="s">
        <v>8795</v>
      </c>
      <c r="H1598" s="11">
        <v>8.853950609E9</v>
      </c>
      <c r="I1598" s="11" t="s">
        <v>82</v>
      </c>
      <c r="J1598" s="11" t="s">
        <v>83</v>
      </c>
      <c r="K1598" s="11" t="s">
        <v>72</v>
      </c>
      <c r="L1598" s="11" t="s">
        <v>84</v>
      </c>
      <c r="M1598" s="11" t="s">
        <v>8796</v>
      </c>
      <c r="N1598" s="11" t="s">
        <v>86</v>
      </c>
      <c r="O1598" s="11" t="s">
        <v>71</v>
      </c>
      <c r="P1598" s="11" t="s">
        <v>8797</v>
      </c>
      <c r="Q1598" s="13" t="s">
        <v>8798</v>
      </c>
      <c r="R1598" s="14" t="str">
        <f>HYPERLINK("https://drive.google.com/file/d/1qSVzkLnWW4SkqqWEAwbO2cH2ILOuDgZV/view?usp=drivesdk","OFFER LETTER")</f>
        <v>OFFER LETTER</v>
      </c>
      <c r="S1598" s="11" t="s">
        <v>8799</v>
      </c>
    </row>
    <row r="1599" ht="22.5" customHeight="1">
      <c r="A1599" s="10">
        <v>46264.88615453704</v>
      </c>
      <c r="B1599" s="11" t="s">
        <v>8800</v>
      </c>
      <c r="C1599" s="11" t="s">
        <v>128</v>
      </c>
      <c r="D1599" s="11" t="s">
        <v>68</v>
      </c>
      <c r="E1599" s="12">
        <v>46176.0</v>
      </c>
      <c r="F1599" s="12">
        <v>46206.0</v>
      </c>
      <c r="G1599" s="11" t="s">
        <v>8801</v>
      </c>
      <c r="H1599" s="11">
        <v>8.106256366E9</v>
      </c>
      <c r="I1599" s="11" t="s">
        <v>82</v>
      </c>
      <c r="J1599" s="11" t="s">
        <v>71</v>
      </c>
      <c r="K1599" s="11" t="s">
        <v>72</v>
      </c>
      <c r="L1599" s="11" t="s">
        <v>84</v>
      </c>
      <c r="M1599" s="11" t="s">
        <v>6592</v>
      </c>
      <c r="N1599" s="11" t="s">
        <v>75</v>
      </c>
      <c r="O1599" s="11" t="s">
        <v>71</v>
      </c>
      <c r="P1599" s="11" t="s">
        <v>8802</v>
      </c>
      <c r="Q1599" s="13" t="s">
        <v>8803</v>
      </c>
      <c r="R1599" s="14" t="str">
        <f>HYPERLINK("https://drive.google.com/file/d/1jzEJddtDuRPN4Ky19a0eReho32KeW84s/view?usp=drivesdk","OFFER LETTER")</f>
        <v>OFFER LETTER</v>
      </c>
      <c r="S1599" s="11" t="s">
        <v>8804</v>
      </c>
    </row>
    <row r="1600" ht="22.5" customHeight="1">
      <c r="A1600" s="10">
        <v>46264.88898929398</v>
      </c>
      <c r="B1600" s="11" t="s">
        <v>8805</v>
      </c>
      <c r="C1600" s="11" t="s">
        <v>195</v>
      </c>
      <c r="D1600" s="11" t="s">
        <v>68</v>
      </c>
      <c r="E1600" s="12">
        <v>46204.0</v>
      </c>
      <c r="F1600" s="12">
        <v>46235.0</v>
      </c>
      <c r="G1600" s="11" t="s">
        <v>8806</v>
      </c>
      <c r="H1600" s="11">
        <v>9.28900083E9</v>
      </c>
      <c r="I1600" s="11" t="s">
        <v>82</v>
      </c>
      <c r="J1600" s="11" t="s">
        <v>83</v>
      </c>
      <c r="K1600" s="11" t="s">
        <v>72</v>
      </c>
      <c r="L1600" s="11" t="s">
        <v>84</v>
      </c>
      <c r="M1600" s="11" t="s">
        <v>8807</v>
      </c>
      <c r="N1600" s="11" t="s">
        <v>86</v>
      </c>
      <c r="O1600" s="11" t="s">
        <v>71</v>
      </c>
      <c r="P1600" s="11" t="s">
        <v>8808</v>
      </c>
      <c r="Q1600" s="13" t="s">
        <v>8809</v>
      </c>
      <c r="R1600" s="14" t="str">
        <f>HYPERLINK("https://drive.google.com/file/d/1cxo1GqIQx5N4vz7BBgssdoLacxAWECQG/view?usp=drivesdk","OFFER LETTER")</f>
        <v>OFFER LETTER</v>
      </c>
      <c r="S1600" s="11" t="s">
        <v>8810</v>
      </c>
    </row>
    <row r="1601" ht="22.5" customHeight="1">
      <c r="A1601" s="10">
        <v>46264.89374799769</v>
      </c>
      <c r="B1601" s="11" t="s">
        <v>8811</v>
      </c>
      <c r="C1601" s="11" t="s">
        <v>298</v>
      </c>
      <c r="D1601" s="11" t="s">
        <v>68</v>
      </c>
      <c r="E1601" s="12">
        <v>46263.0</v>
      </c>
      <c r="F1601" s="12">
        <v>46294.0</v>
      </c>
      <c r="G1601" s="11" t="s">
        <v>8812</v>
      </c>
      <c r="H1601" s="11">
        <v>7.398446485E9</v>
      </c>
      <c r="I1601" s="11" t="s">
        <v>82</v>
      </c>
      <c r="J1601" s="11" t="s">
        <v>71</v>
      </c>
      <c r="K1601" s="11" t="s">
        <v>72</v>
      </c>
      <c r="L1601" s="11" t="s">
        <v>84</v>
      </c>
      <c r="M1601" s="11" t="s">
        <v>8813</v>
      </c>
      <c r="N1601" s="11" t="s">
        <v>198</v>
      </c>
      <c r="O1601" s="11" t="s">
        <v>71</v>
      </c>
      <c r="P1601" s="11" t="s">
        <v>8814</v>
      </c>
      <c r="Q1601" s="13" t="s">
        <v>8815</v>
      </c>
      <c r="R1601" s="14" t="str">
        <f>HYPERLINK("https://drive.google.com/file/d/1bQq1GDW2EGLxaKpBjOevQM8D6ZyJoMKu/view?usp=drivesdk","OFFER LETTER")</f>
        <v>OFFER LETTER</v>
      </c>
      <c r="S1601" s="11" t="s">
        <v>8816</v>
      </c>
    </row>
    <row r="1602" ht="22.5" customHeight="1">
      <c r="A1602" s="10">
        <v>46264.89619826389</v>
      </c>
      <c r="B1602" s="11" t="s">
        <v>8817</v>
      </c>
      <c r="C1602" s="11" t="s">
        <v>128</v>
      </c>
      <c r="D1602" s="11" t="s">
        <v>68</v>
      </c>
      <c r="E1602" s="12">
        <v>46175.0</v>
      </c>
      <c r="F1602" s="12">
        <v>46205.0</v>
      </c>
      <c r="G1602" s="11" t="s">
        <v>8818</v>
      </c>
      <c r="H1602" s="11" t="s">
        <v>8819</v>
      </c>
      <c r="I1602" s="11" t="s">
        <v>82</v>
      </c>
      <c r="J1602" s="11" t="s">
        <v>71</v>
      </c>
      <c r="K1602" s="11" t="s">
        <v>72</v>
      </c>
      <c r="L1602" s="11" t="s">
        <v>84</v>
      </c>
      <c r="M1602" s="11" t="s">
        <v>6592</v>
      </c>
      <c r="N1602" s="11" t="s">
        <v>75</v>
      </c>
      <c r="O1602" s="11" t="s">
        <v>71</v>
      </c>
      <c r="P1602" s="11" t="s">
        <v>8820</v>
      </c>
      <c r="Q1602" s="13" t="s">
        <v>8821</v>
      </c>
      <c r="R1602" s="14" t="str">
        <f>HYPERLINK("https://drive.google.com/file/d/1BxLDE7Y2LoxkRArSbP33dPDeeZNxSYYN/view?usp=drivesdk","OFFER LETTER")</f>
        <v>OFFER LETTER</v>
      </c>
      <c r="S1602" s="11" t="s">
        <v>8822</v>
      </c>
    </row>
    <row r="1603" ht="22.5" customHeight="1">
      <c r="A1603" s="10">
        <v>46264.89683840278</v>
      </c>
      <c r="B1603" s="11" t="s">
        <v>5787</v>
      </c>
      <c r="C1603" s="11" t="s">
        <v>107</v>
      </c>
      <c r="D1603" s="11" t="s">
        <v>68</v>
      </c>
      <c r="E1603" s="12">
        <v>46174.0</v>
      </c>
      <c r="F1603" s="12">
        <v>46204.0</v>
      </c>
      <c r="G1603" s="11" t="s">
        <v>5788</v>
      </c>
      <c r="H1603" s="11" t="s">
        <v>5788</v>
      </c>
      <c r="I1603" s="11" t="s">
        <v>82</v>
      </c>
      <c r="J1603" s="11" t="s">
        <v>71</v>
      </c>
      <c r="K1603" s="13" t="s">
        <v>443</v>
      </c>
      <c r="L1603" s="11" t="s">
        <v>73</v>
      </c>
      <c r="M1603" s="11" t="s">
        <v>1211</v>
      </c>
      <c r="N1603" s="11" t="s">
        <v>7116</v>
      </c>
      <c r="O1603" s="11" t="s">
        <v>71</v>
      </c>
      <c r="P1603" s="11" t="s">
        <v>8823</v>
      </c>
      <c r="Q1603" s="13" t="s">
        <v>8824</v>
      </c>
      <c r="R1603" s="14" t="str">
        <f>HYPERLINK("https://drive.google.com/file/d/1hX9liZUBSduGbL9-plJe9V2tL6OgJuVn/view?usp=drivesdk","OFFER LETTER")</f>
        <v>OFFER LETTER</v>
      </c>
      <c r="S1603" s="11" t="s">
        <v>8825</v>
      </c>
    </row>
    <row r="1604" ht="22.5" customHeight="1">
      <c r="A1604" s="10">
        <v>46264.89729479166</v>
      </c>
      <c r="B1604" s="11" t="s">
        <v>8826</v>
      </c>
      <c r="C1604" s="11" t="s">
        <v>173</v>
      </c>
      <c r="D1604" s="11" t="s">
        <v>68</v>
      </c>
      <c r="E1604" s="12">
        <v>46228.0</v>
      </c>
      <c r="F1604" s="12">
        <v>46259.0</v>
      </c>
      <c r="G1604" s="11" t="s">
        <v>8827</v>
      </c>
      <c r="H1604" s="11">
        <v>7.268868867E9</v>
      </c>
      <c r="I1604" s="11" t="s">
        <v>82</v>
      </c>
      <c r="J1604" s="11" t="s">
        <v>71</v>
      </c>
      <c r="K1604" s="11" t="s">
        <v>72</v>
      </c>
      <c r="L1604" s="11" t="s">
        <v>84</v>
      </c>
      <c r="M1604" s="11" t="s">
        <v>8828</v>
      </c>
      <c r="N1604" s="11" t="s">
        <v>219</v>
      </c>
      <c r="O1604" s="11" t="s">
        <v>71</v>
      </c>
      <c r="P1604" s="11" t="s">
        <v>8829</v>
      </c>
      <c r="Q1604" s="13" t="s">
        <v>8830</v>
      </c>
      <c r="R1604" s="14" t="str">
        <f>HYPERLINK("https://drive.google.com/file/d/1owbAl0bRyJzh-RFZFRVWi6483d1-TML8/view?usp=drivesdk","OFFER LETTER")</f>
        <v>OFFER LETTER</v>
      </c>
      <c r="S1604" s="11" t="s">
        <v>8831</v>
      </c>
    </row>
    <row r="1605" ht="22.5" customHeight="1">
      <c r="A1605" s="10">
        <v>46264.89948951389</v>
      </c>
      <c r="B1605" s="11" t="s">
        <v>8826</v>
      </c>
      <c r="C1605" s="11" t="s">
        <v>173</v>
      </c>
      <c r="D1605" s="11" t="s">
        <v>68</v>
      </c>
      <c r="E1605" s="12">
        <v>46228.0</v>
      </c>
      <c r="F1605" s="12">
        <v>46259.0</v>
      </c>
      <c r="G1605" s="11" t="s">
        <v>8827</v>
      </c>
      <c r="H1605" s="11">
        <v>7.268868867E9</v>
      </c>
      <c r="I1605" s="11" t="s">
        <v>82</v>
      </c>
      <c r="J1605" s="11" t="s">
        <v>71</v>
      </c>
      <c r="K1605" s="11" t="s">
        <v>72</v>
      </c>
      <c r="L1605" s="11" t="s">
        <v>84</v>
      </c>
      <c r="M1605" s="11" t="s">
        <v>8796</v>
      </c>
      <c r="N1605" s="11" t="s">
        <v>8832</v>
      </c>
      <c r="O1605" s="11" t="s">
        <v>71</v>
      </c>
      <c r="P1605" s="11" t="s">
        <v>8833</v>
      </c>
      <c r="Q1605" s="13" t="s">
        <v>8834</v>
      </c>
      <c r="R1605" s="14" t="str">
        <f>HYPERLINK("https://drive.google.com/file/d/19f2KYbgZe2mxvfs56I_V2z1eLpF7_GHW/view?usp=drivesdk","OFFER LETTER")</f>
        <v>OFFER LETTER</v>
      </c>
      <c r="S1605" s="11" t="s">
        <v>8835</v>
      </c>
    </row>
    <row r="1606" ht="22.5" customHeight="1">
      <c r="A1606" s="10">
        <v>46264.90092714121</v>
      </c>
      <c r="B1606" s="11" t="s">
        <v>8836</v>
      </c>
      <c r="C1606" s="11" t="s">
        <v>128</v>
      </c>
      <c r="D1606" s="11" t="s">
        <v>68</v>
      </c>
      <c r="E1606" s="12">
        <v>46174.0</v>
      </c>
      <c r="F1606" s="12">
        <v>46203.0</v>
      </c>
      <c r="G1606" s="11" t="s">
        <v>8837</v>
      </c>
      <c r="H1606" s="11">
        <v>8.076188439E9</v>
      </c>
      <c r="I1606" s="11" t="s">
        <v>82</v>
      </c>
      <c r="J1606" s="11" t="s">
        <v>71</v>
      </c>
      <c r="K1606" s="11" t="s">
        <v>72</v>
      </c>
      <c r="L1606" s="11" t="s">
        <v>84</v>
      </c>
      <c r="M1606" s="11" t="s">
        <v>5710</v>
      </c>
      <c r="N1606" s="11" t="s">
        <v>75</v>
      </c>
      <c r="O1606" s="11" t="s">
        <v>71</v>
      </c>
      <c r="P1606" s="11" t="s">
        <v>8838</v>
      </c>
      <c r="Q1606" s="13" t="s">
        <v>8839</v>
      </c>
      <c r="R1606" s="14" t="str">
        <f>HYPERLINK("https://drive.google.com/file/d/1KbLJp9tsLQdhdQMvZbqU7s2F5mLHaDt9/view?usp=drivesdk","OFFER LETTER")</f>
        <v>OFFER LETTER</v>
      </c>
      <c r="S1606" s="11" t="s">
        <v>8840</v>
      </c>
    </row>
    <row r="1607" ht="22.5" customHeight="1">
      <c r="A1607" s="10">
        <v>46264.90093894676</v>
      </c>
      <c r="B1607" s="11" t="s">
        <v>2452</v>
      </c>
      <c r="C1607" s="11" t="s">
        <v>195</v>
      </c>
      <c r="D1607" s="11" t="s">
        <v>68</v>
      </c>
      <c r="E1607" s="12">
        <v>46204.0</v>
      </c>
      <c r="F1607" s="12">
        <v>46235.0</v>
      </c>
      <c r="G1607" s="11" t="s">
        <v>2453</v>
      </c>
      <c r="H1607" s="11">
        <v>7.880317933E9</v>
      </c>
      <c r="I1607" s="11" t="s">
        <v>70</v>
      </c>
      <c r="J1607" s="11" t="s">
        <v>71</v>
      </c>
      <c r="K1607" s="11" t="s">
        <v>356</v>
      </c>
      <c r="L1607" s="11" t="s">
        <v>84</v>
      </c>
      <c r="M1607" s="11" t="s">
        <v>662</v>
      </c>
      <c r="N1607" s="11" t="s">
        <v>75</v>
      </c>
      <c r="O1607" s="11" t="s">
        <v>71</v>
      </c>
      <c r="P1607" s="11" t="s">
        <v>8841</v>
      </c>
      <c r="Q1607" s="13" t="s">
        <v>8842</v>
      </c>
      <c r="R1607" s="14" t="str">
        <f>HYPERLINK("https://drive.google.com/file/d/1ALvs7IC3yi-p7ZUDk7tdgjsrtHNfzVvF/view?usp=drivesdk","OFFER LETTER")</f>
        <v>OFFER LETTER</v>
      </c>
      <c r="S1607" s="11" t="s">
        <v>8843</v>
      </c>
    </row>
    <row r="1608" ht="22.5" customHeight="1">
      <c r="A1608" s="10">
        <v>46264.90201725694</v>
      </c>
      <c r="B1608" s="11" t="s">
        <v>8844</v>
      </c>
      <c r="C1608" s="11" t="s">
        <v>173</v>
      </c>
      <c r="D1608" s="11" t="s">
        <v>108</v>
      </c>
      <c r="E1608" s="12">
        <v>46175.0</v>
      </c>
      <c r="F1608" s="12">
        <v>46236.0</v>
      </c>
      <c r="G1608" s="11" t="s">
        <v>8581</v>
      </c>
      <c r="H1608" s="11">
        <v>7.011478149E9</v>
      </c>
      <c r="I1608" s="11" t="s">
        <v>82</v>
      </c>
      <c r="J1608" s="11" t="s">
        <v>71</v>
      </c>
      <c r="K1608" s="11" t="s">
        <v>72</v>
      </c>
      <c r="L1608" s="11" t="s">
        <v>84</v>
      </c>
      <c r="M1608" s="11" t="s">
        <v>886</v>
      </c>
      <c r="N1608" s="11" t="s">
        <v>155</v>
      </c>
      <c r="O1608" s="11" t="s">
        <v>71</v>
      </c>
      <c r="P1608" s="11" t="s">
        <v>8845</v>
      </c>
      <c r="Q1608" s="13" t="s">
        <v>8846</v>
      </c>
      <c r="R1608" s="14" t="str">
        <f>HYPERLINK("https://drive.google.com/file/d/1xRaZGs-aCOSSad8U7i0E5V7bBuDlpWsq/view?usp=drivesdk","OFFER LETTER")</f>
        <v>OFFER LETTER</v>
      </c>
      <c r="S1608" s="11" t="s">
        <v>8847</v>
      </c>
    </row>
    <row r="1609" ht="22.5" customHeight="1">
      <c r="A1609" s="10">
        <v>46264.90271572917</v>
      </c>
      <c r="B1609" s="11" t="s">
        <v>8794</v>
      </c>
      <c r="C1609" s="11" t="s">
        <v>173</v>
      </c>
      <c r="D1609" s="11" t="s">
        <v>68</v>
      </c>
      <c r="E1609" s="12">
        <v>46231.0</v>
      </c>
      <c r="F1609" s="12">
        <v>46263.0</v>
      </c>
      <c r="G1609" s="11" t="s">
        <v>8795</v>
      </c>
      <c r="H1609" s="11">
        <v>8.853950609E9</v>
      </c>
      <c r="I1609" s="11" t="s">
        <v>82</v>
      </c>
      <c r="J1609" s="11" t="s">
        <v>71</v>
      </c>
      <c r="K1609" s="11" t="s">
        <v>72</v>
      </c>
      <c r="L1609" s="11" t="s">
        <v>84</v>
      </c>
      <c r="M1609" s="11" t="s">
        <v>8796</v>
      </c>
      <c r="N1609" s="11" t="s">
        <v>86</v>
      </c>
      <c r="O1609" s="11" t="s">
        <v>71</v>
      </c>
      <c r="P1609" s="11" t="s">
        <v>8848</v>
      </c>
      <c r="Q1609" s="13" t="s">
        <v>8849</v>
      </c>
      <c r="R1609" s="14" t="str">
        <f>HYPERLINK("https://drive.google.com/file/d/1i86hnxRd9AbwJGYOm1-1SU8X0SUTtuF0/view?usp=drivesdk","OFFER LETTER")</f>
        <v>OFFER LETTER</v>
      </c>
      <c r="S1609" s="11" t="s">
        <v>8850</v>
      </c>
    </row>
    <row r="1610" ht="22.5" customHeight="1">
      <c r="A1610" s="10">
        <v>46264.90276686342</v>
      </c>
      <c r="B1610" s="11" t="s">
        <v>8851</v>
      </c>
      <c r="C1610" s="11" t="s">
        <v>1200</v>
      </c>
      <c r="D1610" s="11" t="s">
        <v>238</v>
      </c>
      <c r="E1610" s="12">
        <v>46174.0</v>
      </c>
      <c r="F1610" s="12">
        <v>46266.0</v>
      </c>
      <c r="G1610" s="11" t="s">
        <v>8852</v>
      </c>
      <c r="H1610" s="11">
        <v>9.652153825E9</v>
      </c>
      <c r="I1610" s="11" t="s">
        <v>82</v>
      </c>
      <c r="J1610" s="11" t="s">
        <v>71</v>
      </c>
      <c r="K1610" s="11" t="s">
        <v>72</v>
      </c>
      <c r="L1610" s="11" t="s">
        <v>131</v>
      </c>
      <c r="M1610" s="11" t="s">
        <v>5395</v>
      </c>
      <c r="N1610" s="11" t="s">
        <v>198</v>
      </c>
      <c r="O1610" s="11" t="s">
        <v>71</v>
      </c>
      <c r="P1610" s="11" t="s">
        <v>8853</v>
      </c>
      <c r="Q1610" s="13" t="s">
        <v>8854</v>
      </c>
      <c r="R1610" s="14" t="str">
        <f>HYPERLINK("https://drive.google.com/file/d/1dozW95hlFiqYgGH5fnPZsrqtQRRxBoG6/view?usp=drivesdk","OFFER LETTER")</f>
        <v>OFFER LETTER</v>
      </c>
      <c r="S1610" s="11" t="s">
        <v>8855</v>
      </c>
    </row>
    <row r="1611" ht="22.5" customHeight="1">
      <c r="A1611" s="10">
        <v>46264.90560252315</v>
      </c>
      <c r="B1611" s="11" t="s">
        <v>8856</v>
      </c>
      <c r="C1611" s="11" t="s">
        <v>195</v>
      </c>
      <c r="D1611" s="11" t="s">
        <v>68</v>
      </c>
      <c r="E1611" s="12">
        <v>46206.0</v>
      </c>
      <c r="F1611" s="12">
        <v>46237.0</v>
      </c>
      <c r="G1611" s="11" t="s">
        <v>8857</v>
      </c>
      <c r="H1611" s="11">
        <v>8.859034672E9</v>
      </c>
      <c r="I1611" s="11" t="s">
        <v>82</v>
      </c>
      <c r="J1611" s="11" t="s">
        <v>71</v>
      </c>
      <c r="K1611" s="11" t="s">
        <v>72</v>
      </c>
      <c r="L1611" s="11" t="s">
        <v>84</v>
      </c>
      <c r="M1611" s="11" t="s">
        <v>8858</v>
      </c>
      <c r="N1611" s="11" t="s">
        <v>75</v>
      </c>
      <c r="O1611" s="11" t="s">
        <v>71</v>
      </c>
      <c r="P1611" s="11" t="s">
        <v>8859</v>
      </c>
      <c r="Q1611" s="13" t="s">
        <v>8860</v>
      </c>
      <c r="R1611" s="14" t="str">
        <f>HYPERLINK("https://drive.google.com/file/d/106IRKnEJOoAIsbEVclxfGgIvQe5ms5GL/view?usp=drivesdk","OFFER LETTER")</f>
        <v>OFFER LETTER</v>
      </c>
      <c r="S1611" s="11" t="s">
        <v>8861</v>
      </c>
    </row>
    <row r="1612" ht="22.5" customHeight="1">
      <c r="A1612" s="10">
        <v>46264.90638002315</v>
      </c>
      <c r="B1612" s="11" t="s">
        <v>8862</v>
      </c>
      <c r="C1612" s="11" t="s">
        <v>128</v>
      </c>
      <c r="D1612" s="11" t="s">
        <v>68</v>
      </c>
      <c r="E1612" s="12">
        <v>46264.0</v>
      </c>
      <c r="F1612" s="12">
        <v>46295.0</v>
      </c>
      <c r="G1612" s="11" t="s">
        <v>8863</v>
      </c>
      <c r="H1612" s="11">
        <v>9.21960552E9</v>
      </c>
      <c r="I1612" s="11" t="s">
        <v>70</v>
      </c>
      <c r="J1612" s="11" t="s">
        <v>130</v>
      </c>
      <c r="K1612" s="11" t="s">
        <v>72</v>
      </c>
      <c r="L1612" s="11" t="s">
        <v>84</v>
      </c>
      <c r="M1612" s="11" t="s">
        <v>8864</v>
      </c>
      <c r="N1612" s="11" t="s">
        <v>241</v>
      </c>
      <c r="O1612" s="11" t="s">
        <v>71</v>
      </c>
      <c r="P1612" s="11" t="s">
        <v>8865</v>
      </c>
      <c r="Q1612" s="13" t="s">
        <v>8866</v>
      </c>
      <c r="R1612" s="14" t="str">
        <f>HYPERLINK("https://drive.google.com/file/d/1r-Y4WSoi0OyxmIzkhXQ0tuGCQOV3IZ8A/view?usp=drivesdk","OFFER LETTER")</f>
        <v>OFFER LETTER</v>
      </c>
      <c r="S1612" s="11" t="s">
        <v>8867</v>
      </c>
    </row>
    <row r="1613" ht="22.5" customHeight="1">
      <c r="A1613" s="10">
        <v>46264.90731003472</v>
      </c>
      <c r="B1613" s="11" t="s">
        <v>8868</v>
      </c>
      <c r="C1613" s="11" t="s">
        <v>173</v>
      </c>
      <c r="D1613" s="11" t="s">
        <v>108</v>
      </c>
      <c r="E1613" s="12">
        <v>46203.0</v>
      </c>
      <c r="F1613" s="12">
        <v>46264.0</v>
      </c>
      <c r="G1613" s="11" t="s">
        <v>8869</v>
      </c>
      <c r="H1613" s="11">
        <v>6.289981625E9</v>
      </c>
      <c r="I1613" s="11" t="s">
        <v>70</v>
      </c>
      <c r="J1613" s="11" t="s">
        <v>130</v>
      </c>
      <c r="K1613" s="11" t="s">
        <v>72</v>
      </c>
      <c r="L1613" s="11" t="s">
        <v>131</v>
      </c>
      <c r="M1613" s="11" t="s">
        <v>8870</v>
      </c>
      <c r="N1613" s="11" t="s">
        <v>86</v>
      </c>
      <c r="O1613" s="11" t="s">
        <v>71</v>
      </c>
      <c r="P1613" s="11" t="s">
        <v>8871</v>
      </c>
      <c r="Q1613" s="13" t="s">
        <v>8872</v>
      </c>
      <c r="R1613" s="14" t="str">
        <f>HYPERLINK("https://drive.google.com/file/d/19y_7CumqyZhGLYKl8jRc57H7TsOUYLTw/view?usp=drivesdk","OFFER LETTER")</f>
        <v>OFFER LETTER</v>
      </c>
      <c r="S1613" s="11" t="s">
        <v>8873</v>
      </c>
    </row>
    <row r="1614" ht="22.5" customHeight="1">
      <c r="A1614" s="10">
        <v>46264.90740387731</v>
      </c>
      <c r="B1614" s="11" t="s">
        <v>8851</v>
      </c>
      <c r="C1614" s="11" t="s">
        <v>1200</v>
      </c>
      <c r="D1614" s="11" t="s">
        <v>238</v>
      </c>
      <c r="E1614" s="12">
        <v>46174.0</v>
      </c>
      <c r="F1614" s="12">
        <v>46266.0</v>
      </c>
      <c r="G1614" s="11" t="s">
        <v>8852</v>
      </c>
      <c r="H1614" s="11">
        <v>9.652153825E9</v>
      </c>
      <c r="I1614" s="11" t="s">
        <v>82</v>
      </c>
      <c r="J1614" s="11" t="s">
        <v>71</v>
      </c>
      <c r="K1614" s="11" t="s">
        <v>72</v>
      </c>
      <c r="L1614" s="11" t="s">
        <v>131</v>
      </c>
      <c r="M1614" s="11" t="s">
        <v>5395</v>
      </c>
      <c r="N1614" s="11" t="s">
        <v>198</v>
      </c>
      <c r="O1614" s="11" t="s">
        <v>71</v>
      </c>
      <c r="P1614" s="11" t="s">
        <v>8874</v>
      </c>
      <c r="Q1614" s="13" t="s">
        <v>8875</v>
      </c>
      <c r="R1614" s="14" t="str">
        <f>HYPERLINK("https://drive.google.com/file/d/15H0U1HJ7NLzeUZvnAXrrt65Cu-WIuVaC/view?usp=drivesdk","OFFER LETTER")</f>
        <v>OFFER LETTER</v>
      </c>
      <c r="S1614" s="11" t="s">
        <v>8876</v>
      </c>
    </row>
    <row r="1615" ht="22.5" customHeight="1">
      <c r="A1615" s="10">
        <v>46264.91027197917</v>
      </c>
      <c r="B1615" s="11" t="s">
        <v>8877</v>
      </c>
      <c r="C1615" s="11" t="s">
        <v>195</v>
      </c>
      <c r="D1615" s="11" t="s">
        <v>68</v>
      </c>
      <c r="E1615" s="12">
        <v>46206.0</v>
      </c>
      <c r="F1615" s="12">
        <v>46237.0</v>
      </c>
      <c r="G1615" s="11" t="s">
        <v>8878</v>
      </c>
      <c r="H1615" s="11">
        <v>9.243140157E9</v>
      </c>
      <c r="I1615" s="11" t="s">
        <v>82</v>
      </c>
      <c r="J1615" s="11" t="s">
        <v>71</v>
      </c>
      <c r="K1615" s="11" t="s">
        <v>72</v>
      </c>
      <c r="L1615" s="11" t="s">
        <v>84</v>
      </c>
      <c r="M1615" s="11" t="s">
        <v>8316</v>
      </c>
      <c r="N1615" s="11" t="s">
        <v>936</v>
      </c>
      <c r="O1615" s="11" t="s">
        <v>71</v>
      </c>
      <c r="P1615" s="11" t="s">
        <v>8879</v>
      </c>
      <c r="Q1615" s="13" t="s">
        <v>8880</v>
      </c>
      <c r="R1615" s="14" t="str">
        <f>HYPERLINK("https://drive.google.com/file/d/1-x8fhsYBw6VapQZ2adoZdDi8bSPK17Dh/view?usp=drivesdk","OFFER LETTER")</f>
        <v>OFFER LETTER</v>
      </c>
      <c r="S1615" s="11" t="s">
        <v>8881</v>
      </c>
    </row>
    <row r="1616" ht="22.5" customHeight="1">
      <c r="A1616" s="10">
        <v>46264.91034333334</v>
      </c>
      <c r="B1616" s="11" t="s">
        <v>8882</v>
      </c>
      <c r="C1616" s="11" t="s">
        <v>195</v>
      </c>
      <c r="D1616" s="11" t="s">
        <v>68</v>
      </c>
      <c r="E1616" s="12">
        <v>46249.0</v>
      </c>
      <c r="F1616" s="12">
        <v>46280.0</v>
      </c>
      <c r="G1616" s="11" t="s">
        <v>8883</v>
      </c>
      <c r="H1616" s="11">
        <v>9.891702621E9</v>
      </c>
      <c r="I1616" s="11" t="s">
        <v>82</v>
      </c>
      <c r="J1616" s="11" t="s">
        <v>71</v>
      </c>
      <c r="K1616" s="11" t="s">
        <v>72</v>
      </c>
      <c r="L1616" s="11" t="s">
        <v>84</v>
      </c>
      <c r="M1616" s="11" t="s">
        <v>8884</v>
      </c>
      <c r="N1616" s="11" t="s">
        <v>219</v>
      </c>
      <c r="O1616" s="11" t="s">
        <v>71</v>
      </c>
      <c r="P1616" s="11" t="s">
        <v>8885</v>
      </c>
      <c r="Q1616" s="13" t="s">
        <v>8886</v>
      </c>
      <c r="R1616" s="14" t="str">
        <f>HYPERLINK("https://drive.google.com/file/d/1x36vjR9EQy6P3Bvq1xXDJLukemzk0t1d/view?usp=drivesdk","OFFER LETTER")</f>
        <v>OFFER LETTER</v>
      </c>
      <c r="S1616" s="11" t="s">
        <v>8887</v>
      </c>
    </row>
    <row r="1617" ht="22.5" customHeight="1">
      <c r="A1617" s="10">
        <v>46264.91090878472</v>
      </c>
      <c r="B1617" s="11" t="s">
        <v>7244</v>
      </c>
      <c r="C1617" s="11" t="s">
        <v>195</v>
      </c>
      <c r="D1617" s="11" t="s">
        <v>68</v>
      </c>
      <c r="E1617" s="12">
        <v>46244.0</v>
      </c>
      <c r="F1617" s="12">
        <v>46244.0</v>
      </c>
      <c r="G1617" s="11" t="s">
        <v>8888</v>
      </c>
      <c r="H1617" s="11">
        <v>9.928167754E9</v>
      </c>
      <c r="I1617" s="11" t="s">
        <v>82</v>
      </c>
      <c r="J1617" s="11" t="s">
        <v>71</v>
      </c>
      <c r="K1617" s="11" t="s">
        <v>72</v>
      </c>
      <c r="L1617" s="11" t="s">
        <v>84</v>
      </c>
      <c r="M1617" s="11" t="s">
        <v>560</v>
      </c>
      <c r="N1617" s="11" t="s">
        <v>86</v>
      </c>
      <c r="O1617" s="11" t="s">
        <v>71</v>
      </c>
      <c r="P1617" s="11" t="s">
        <v>8889</v>
      </c>
      <c r="Q1617" s="13" t="s">
        <v>8890</v>
      </c>
      <c r="R1617" s="14" t="str">
        <f>HYPERLINK("https://drive.google.com/file/d/1I8KG1luLMeF6vtNcjdGLjCIpkVkxJ_OO/view?usp=drivesdk","OFFER LETTER")</f>
        <v>OFFER LETTER</v>
      </c>
      <c r="S1617" s="11" t="s">
        <v>8891</v>
      </c>
    </row>
    <row r="1618" ht="22.5" customHeight="1">
      <c r="A1618" s="10">
        <v>46264.91116496528</v>
      </c>
      <c r="B1618" s="11" t="s">
        <v>8892</v>
      </c>
      <c r="C1618" s="11" t="s">
        <v>195</v>
      </c>
      <c r="D1618" s="11" t="s">
        <v>68</v>
      </c>
      <c r="E1618" s="12">
        <v>46183.0</v>
      </c>
      <c r="F1618" s="12">
        <v>46213.0</v>
      </c>
      <c r="G1618" s="11" t="s">
        <v>8893</v>
      </c>
      <c r="H1618" s="17" t="s">
        <v>8894</v>
      </c>
      <c r="I1618" s="11" t="s">
        <v>82</v>
      </c>
      <c r="J1618" s="11" t="s">
        <v>71</v>
      </c>
      <c r="K1618" s="11" t="s">
        <v>72</v>
      </c>
      <c r="L1618" s="11" t="s">
        <v>73</v>
      </c>
      <c r="M1618" s="11" t="s">
        <v>8895</v>
      </c>
      <c r="N1618" s="11" t="s">
        <v>86</v>
      </c>
      <c r="O1618" s="11" t="s">
        <v>71</v>
      </c>
      <c r="P1618" s="11" t="s">
        <v>8896</v>
      </c>
      <c r="Q1618" s="13" t="s">
        <v>8897</v>
      </c>
      <c r="R1618" s="14" t="str">
        <f>HYPERLINK("https://drive.google.com/file/d/14t_r2uWCsmSGBBp1io5Zy27izXmgzq96/view?usp=drivesdk","OFFER LETTER")</f>
        <v>OFFER LETTER</v>
      </c>
      <c r="S1618" s="11" t="s">
        <v>8898</v>
      </c>
    </row>
    <row r="1619" ht="22.5" customHeight="1">
      <c r="A1619" s="10">
        <v>46264.91488844907</v>
      </c>
      <c r="B1619" s="11" t="s">
        <v>8836</v>
      </c>
      <c r="C1619" s="11" t="s">
        <v>128</v>
      </c>
      <c r="D1619" s="11" t="s">
        <v>68</v>
      </c>
      <c r="E1619" s="12">
        <v>46174.0</v>
      </c>
      <c r="F1619" s="12">
        <v>46203.0</v>
      </c>
      <c r="G1619" s="11" t="s">
        <v>8837</v>
      </c>
      <c r="H1619" s="11">
        <v>8.076188439E9</v>
      </c>
      <c r="I1619" s="11" t="s">
        <v>82</v>
      </c>
      <c r="J1619" s="11" t="s">
        <v>71</v>
      </c>
      <c r="K1619" s="11" t="s">
        <v>72</v>
      </c>
      <c r="L1619" s="11" t="s">
        <v>84</v>
      </c>
      <c r="M1619" s="11" t="s">
        <v>7748</v>
      </c>
      <c r="N1619" s="11" t="s">
        <v>86</v>
      </c>
      <c r="O1619" s="11" t="s">
        <v>71</v>
      </c>
      <c r="P1619" s="11" t="s">
        <v>8899</v>
      </c>
      <c r="Q1619" s="13" t="s">
        <v>8900</v>
      </c>
      <c r="R1619" s="14" t="str">
        <f>HYPERLINK("https://drive.google.com/file/d/1PQKAHnWbOSvJpsnh44Iabs3pj-eJUFCZ/view?usp=drivesdk","OFFER LETTER")</f>
        <v>OFFER LETTER</v>
      </c>
      <c r="S1619" s="11" t="s">
        <v>8901</v>
      </c>
    </row>
    <row r="1620" ht="22.5" customHeight="1">
      <c r="A1620" s="10">
        <v>46264.91667711806</v>
      </c>
      <c r="B1620" s="11" t="s">
        <v>8836</v>
      </c>
      <c r="C1620" s="11" t="s">
        <v>128</v>
      </c>
      <c r="D1620" s="11" t="s">
        <v>68</v>
      </c>
      <c r="E1620" s="12">
        <v>46174.0</v>
      </c>
      <c r="F1620" s="12">
        <v>46203.0</v>
      </c>
      <c r="G1620" s="11" t="s">
        <v>8837</v>
      </c>
      <c r="H1620" s="11">
        <v>8.076188439E9</v>
      </c>
      <c r="I1620" s="11" t="s">
        <v>82</v>
      </c>
      <c r="J1620" s="11" t="s">
        <v>130</v>
      </c>
      <c r="K1620" s="11" t="s">
        <v>72</v>
      </c>
      <c r="L1620" s="11" t="s">
        <v>84</v>
      </c>
      <c r="M1620" s="11" t="s">
        <v>7748</v>
      </c>
      <c r="N1620" s="11" t="s">
        <v>86</v>
      </c>
      <c r="O1620" s="11" t="s">
        <v>71</v>
      </c>
      <c r="P1620" s="11" t="s">
        <v>8902</v>
      </c>
      <c r="Q1620" s="13" t="s">
        <v>8903</v>
      </c>
      <c r="R1620" s="14" t="str">
        <f>HYPERLINK("https://drive.google.com/file/d/19PUPU3OFUxi8i9dnvex3AP3wK1EK4Oza/view?usp=drivesdk","OFFER LETTER")</f>
        <v>OFFER LETTER</v>
      </c>
      <c r="S1620" s="11" t="s">
        <v>8904</v>
      </c>
    </row>
    <row r="1621" ht="22.5" customHeight="1">
      <c r="A1621" s="10">
        <v>46264.91700498843</v>
      </c>
      <c r="B1621" s="11" t="s">
        <v>8905</v>
      </c>
      <c r="C1621" s="11" t="s">
        <v>165</v>
      </c>
      <c r="D1621" s="11" t="s">
        <v>68</v>
      </c>
      <c r="E1621" s="12">
        <v>46265.0</v>
      </c>
      <c r="F1621" s="12">
        <v>46295.0</v>
      </c>
      <c r="G1621" s="11" t="s">
        <v>8906</v>
      </c>
      <c r="H1621" s="11">
        <v>9.431431687E9</v>
      </c>
      <c r="I1621" s="11" t="s">
        <v>82</v>
      </c>
      <c r="J1621" s="11" t="s">
        <v>71</v>
      </c>
      <c r="K1621" s="11" t="s">
        <v>167</v>
      </c>
      <c r="L1621" s="11" t="s">
        <v>84</v>
      </c>
      <c r="M1621" s="11" t="s">
        <v>8907</v>
      </c>
      <c r="N1621" s="11" t="s">
        <v>75</v>
      </c>
      <c r="O1621" s="11" t="s">
        <v>71</v>
      </c>
      <c r="P1621" s="11" t="s">
        <v>8908</v>
      </c>
      <c r="Q1621" s="13" t="s">
        <v>8909</v>
      </c>
      <c r="R1621" s="14" t="str">
        <f>HYPERLINK("https://drive.google.com/file/d/1HRHGAgDVjT6CvijmTQRDLHx7jjscxdg1/view?usp=drivesdk","OFFER LETTER")</f>
        <v>OFFER LETTER</v>
      </c>
      <c r="S1621" s="11" t="s">
        <v>8910</v>
      </c>
    </row>
    <row r="1622" ht="22.5" customHeight="1">
      <c r="A1622" s="10">
        <v>46264.91805548611</v>
      </c>
      <c r="B1622" s="11" t="s">
        <v>8911</v>
      </c>
      <c r="C1622" s="11" t="s">
        <v>173</v>
      </c>
      <c r="D1622" s="11" t="s">
        <v>108</v>
      </c>
      <c r="E1622" s="12">
        <v>46160.0</v>
      </c>
      <c r="F1622" s="12">
        <v>46220.0</v>
      </c>
      <c r="G1622" s="11" t="s">
        <v>8912</v>
      </c>
      <c r="H1622" s="11">
        <v>7.207222503E9</v>
      </c>
      <c r="I1622" s="11" t="s">
        <v>70</v>
      </c>
      <c r="J1622" s="11" t="s">
        <v>130</v>
      </c>
      <c r="K1622" s="11" t="s">
        <v>72</v>
      </c>
      <c r="L1622" s="11" t="s">
        <v>84</v>
      </c>
      <c r="M1622" s="11" t="s">
        <v>8913</v>
      </c>
      <c r="N1622" s="11" t="s">
        <v>75</v>
      </c>
      <c r="O1622" s="11" t="s">
        <v>71</v>
      </c>
      <c r="P1622" s="11" t="s">
        <v>8914</v>
      </c>
      <c r="Q1622" s="13" t="s">
        <v>8915</v>
      </c>
      <c r="R1622" s="14" t="str">
        <f>HYPERLINK("https://drive.google.com/file/d/1JRASDxsO6ys7R8cnaFjKOyXsUW5KNSBO/view?usp=drivesdk","OFFER LETTER")</f>
        <v>OFFER LETTER</v>
      </c>
      <c r="S1622" s="11" t="s">
        <v>8916</v>
      </c>
    </row>
    <row r="1623" ht="22.5" customHeight="1">
      <c r="A1623" s="10">
        <v>46264.91849273148</v>
      </c>
      <c r="B1623" s="11" t="s">
        <v>8917</v>
      </c>
      <c r="C1623" s="11" t="s">
        <v>195</v>
      </c>
      <c r="D1623" s="11" t="s">
        <v>68</v>
      </c>
      <c r="E1623" s="12">
        <v>46218.0</v>
      </c>
      <c r="F1623" s="12">
        <v>46249.0</v>
      </c>
      <c r="G1623" s="11" t="s">
        <v>8918</v>
      </c>
      <c r="H1623" s="11">
        <v>7.307953306E9</v>
      </c>
      <c r="I1623" s="11" t="s">
        <v>82</v>
      </c>
      <c r="J1623" s="11" t="s">
        <v>130</v>
      </c>
      <c r="K1623" s="11" t="s">
        <v>72</v>
      </c>
      <c r="L1623" s="11" t="s">
        <v>84</v>
      </c>
      <c r="M1623" s="11" t="s">
        <v>2535</v>
      </c>
      <c r="N1623" s="11" t="s">
        <v>219</v>
      </c>
      <c r="O1623" s="11" t="s">
        <v>71</v>
      </c>
      <c r="P1623" s="11" t="s">
        <v>8919</v>
      </c>
      <c r="Q1623" s="13" t="s">
        <v>8920</v>
      </c>
      <c r="R1623" s="14" t="str">
        <f>HYPERLINK("https://drive.google.com/file/d/135MAV60pe6OdxVuO4f4dPwMo3_cJzWGK/view?usp=drivesdk","OFFER LETTER")</f>
        <v>OFFER LETTER</v>
      </c>
      <c r="S1623" s="11" t="s">
        <v>8921</v>
      </c>
    </row>
    <row r="1624" ht="22.5" customHeight="1">
      <c r="A1624" s="10">
        <v>46264.91853951389</v>
      </c>
      <c r="B1624" s="11" t="s">
        <v>8836</v>
      </c>
      <c r="C1624" s="11" t="s">
        <v>128</v>
      </c>
      <c r="D1624" s="11" t="s">
        <v>68</v>
      </c>
      <c r="E1624" s="12">
        <v>46174.0</v>
      </c>
      <c r="F1624" s="12">
        <v>46203.0</v>
      </c>
      <c r="G1624" s="11" t="s">
        <v>8837</v>
      </c>
      <c r="H1624" s="11">
        <v>8.076188439E9</v>
      </c>
      <c r="I1624" s="11" t="s">
        <v>82</v>
      </c>
      <c r="J1624" s="11" t="s">
        <v>130</v>
      </c>
      <c r="K1624" s="11" t="s">
        <v>72</v>
      </c>
      <c r="L1624" s="11" t="s">
        <v>84</v>
      </c>
      <c r="M1624" s="11" t="s">
        <v>7748</v>
      </c>
      <c r="N1624" s="11" t="s">
        <v>75</v>
      </c>
      <c r="O1624" s="11" t="s">
        <v>71</v>
      </c>
      <c r="P1624" s="11" t="s">
        <v>8922</v>
      </c>
      <c r="Q1624" s="13" t="s">
        <v>8923</v>
      </c>
      <c r="R1624" s="14" t="str">
        <f>HYPERLINK("https://drive.google.com/file/d/1rc6wMSgEYNhPAmikW_ak9mOcYe9i6FfH/view?usp=drivesdk","OFFER LETTER")</f>
        <v>OFFER LETTER</v>
      </c>
      <c r="S1624" s="11" t="s">
        <v>8924</v>
      </c>
    </row>
    <row r="1625" ht="22.5" customHeight="1">
      <c r="A1625" s="10">
        <v>46264.9188853125</v>
      </c>
      <c r="B1625" s="11" t="s">
        <v>8925</v>
      </c>
      <c r="C1625" s="11" t="s">
        <v>195</v>
      </c>
      <c r="D1625" s="11" t="s">
        <v>68</v>
      </c>
      <c r="E1625" s="12">
        <v>46235.0</v>
      </c>
      <c r="F1625" s="12">
        <v>46265.0</v>
      </c>
      <c r="G1625" s="11" t="s">
        <v>8926</v>
      </c>
      <c r="H1625" s="11">
        <v>9.580470083E9</v>
      </c>
      <c r="I1625" s="11" t="s">
        <v>82</v>
      </c>
      <c r="J1625" s="11" t="s">
        <v>71</v>
      </c>
      <c r="K1625" s="11" t="s">
        <v>72</v>
      </c>
      <c r="L1625" s="11" t="s">
        <v>84</v>
      </c>
      <c r="M1625" s="11" t="s">
        <v>2535</v>
      </c>
      <c r="N1625" s="11" t="s">
        <v>2736</v>
      </c>
      <c r="O1625" s="11" t="s">
        <v>71</v>
      </c>
      <c r="P1625" s="11" t="s">
        <v>8927</v>
      </c>
      <c r="Q1625" s="13" t="s">
        <v>8928</v>
      </c>
      <c r="R1625" s="14" t="str">
        <f>HYPERLINK("https://drive.google.com/file/d/1T_7DGT1RH9iBRoR2b1g_fhzogcgfoPla/view?usp=drivesdk","OFFER LETTER")</f>
        <v>OFFER LETTER</v>
      </c>
      <c r="S1625" s="11" t="s">
        <v>8929</v>
      </c>
    </row>
    <row r="1626" ht="22.5" customHeight="1">
      <c r="A1626" s="10">
        <v>46264.920762685186</v>
      </c>
      <c r="B1626" s="11" t="s">
        <v>8930</v>
      </c>
      <c r="C1626" s="11" t="s">
        <v>195</v>
      </c>
      <c r="D1626" s="11" t="s">
        <v>68</v>
      </c>
      <c r="E1626" s="12">
        <v>46264.0</v>
      </c>
      <c r="F1626" s="12">
        <v>46295.0</v>
      </c>
      <c r="G1626" s="11" t="s">
        <v>8931</v>
      </c>
      <c r="H1626" s="11">
        <v>9.905186871E9</v>
      </c>
      <c r="I1626" s="11" t="s">
        <v>82</v>
      </c>
      <c r="J1626" s="11" t="s">
        <v>71</v>
      </c>
      <c r="K1626" s="11" t="s">
        <v>72</v>
      </c>
      <c r="L1626" s="11" t="s">
        <v>84</v>
      </c>
      <c r="M1626" s="11" t="s">
        <v>560</v>
      </c>
      <c r="N1626" s="11" t="s">
        <v>241</v>
      </c>
      <c r="O1626" s="11" t="s">
        <v>71</v>
      </c>
      <c r="P1626" s="11" t="s">
        <v>8932</v>
      </c>
      <c r="Q1626" s="13" t="s">
        <v>8933</v>
      </c>
      <c r="R1626" s="14" t="str">
        <f>HYPERLINK("https://drive.google.com/file/d/17rb7rSPNWrFZXl13Vc6InuKRVpWMhYJh/view?usp=drivesdk","OFFER LETTER")</f>
        <v>OFFER LETTER</v>
      </c>
      <c r="S1626" s="11" t="s">
        <v>8934</v>
      </c>
    </row>
    <row r="1627" ht="22.5" customHeight="1">
      <c r="A1627" s="10">
        <v>46264.920885011576</v>
      </c>
      <c r="B1627" s="11" t="s">
        <v>8935</v>
      </c>
      <c r="C1627" s="11" t="s">
        <v>173</v>
      </c>
      <c r="D1627" s="11" t="s">
        <v>108</v>
      </c>
      <c r="E1627" s="12">
        <v>46160.0</v>
      </c>
      <c r="F1627" s="12">
        <v>46220.0</v>
      </c>
      <c r="G1627" s="11" t="s">
        <v>8936</v>
      </c>
      <c r="H1627" s="11">
        <v>9.381486268E9</v>
      </c>
      <c r="I1627" s="11" t="s">
        <v>70</v>
      </c>
      <c r="J1627" s="11" t="s">
        <v>71</v>
      </c>
      <c r="K1627" s="11" t="s">
        <v>72</v>
      </c>
      <c r="L1627" s="11" t="s">
        <v>84</v>
      </c>
      <c r="M1627" s="11" t="s">
        <v>2299</v>
      </c>
      <c r="N1627" s="11" t="s">
        <v>8937</v>
      </c>
      <c r="O1627" s="11" t="s">
        <v>71</v>
      </c>
      <c r="P1627" s="11" t="s">
        <v>8938</v>
      </c>
      <c r="Q1627" s="13" t="s">
        <v>8939</v>
      </c>
      <c r="R1627" s="14" t="str">
        <f>HYPERLINK("https://drive.google.com/file/d/1DkxWeaJKcgmnfgJy8O18MHhnHrVsLfMe/view?usp=drivesdk","OFFER LETTER")</f>
        <v>OFFER LETTER</v>
      </c>
      <c r="S1627" s="11" t="s">
        <v>8940</v>
      </c>
    </row>
    <row r="1628" ht="22.5" customHeight="1">
      <c r="A1628" s="10">
        <v>46264.9215300463</v>
      </c>
      <c r="B1628" s="11" t="s">
        <v>8917</v>
      </c>
      <c r="C1628" s="11" t="s">
        <v>195</v>
      </c>
      <c r="D1628" s="11" t="s">
        <v>68</v>
      </c>
      <c r="E1628" s="12">
        <v>46218.0</v>
      </c>
      <c r="F1628" s="12">
        <v>46249.0</v>
      </c>
      <c r="G1628" s="11" t="s">
        <v>8918</v>
      </c>
      <c r="H1628" s="11">
        <v>7.307953306E9</v>
      </c>
      <c r="I1628" s="11" t="s">
        <v>82</v>
      </c>
      <c r="J1628" s="11" t="s">
        <v>130</v>
      </c>
      <c r="K1628" s="11" t="s">
        <v>72</v>
      </c>
      <c r="L1628" s="11" t="s">
        <v>84</v>
      </c>
      <c r="M1628" s="11" t="s">
        <v>2535</v>
      </c>
      <c r="N1628" s="11" t="s">
        <v>219</v>
      </c>
      <c r="O1628" s="11" t="s">
        <v>71</v>
      </c>
      <c r="P1628" s="11" t="s">
        <v>8941</v>
      </c>
      <c r="Q1628" s="13" t="s">
        <v>8942</v>
      </c>
      <c r="R1628" s="14" t="str">
        <f>HYPERLINK("https://drive.google.com/file/d/1bN32HCQaBU852kdgnFazurHizcGQZAHY/view?usp=drivesdk","OFFER LETTER")</f>
        <v>OFFER LETTER</v>
      </c>
      <c r="S1628" s="11" t="s">
        <v>8943</v>
      </c>
    </row>
    <row r="1629" ht="22.5" customHeight="1">
      <c r="A1629" s="10">
        <v>46264.921613136576</v>
      </c>
      <c r="B1629" s="11" t="s">
        <v>8944</v>
      </c>
      <c r="C1629" s="11" t="s">
        <v>91</v>
      </c>
      <c r="D1629" s="11" t="s">
        <v>68</v>
      </c>
      <c r="E1629" s="12">
        <v>46183.0</v>
      </c>
      <c r="F1629" s="12">
        <v>46213.0</v>
      </c>
      <c r="G1629" s="11" t="s">
        <v>8945</v>
      </c>
      <c r="H1629" s="11">
        <v>9.241813099E9</v>
      </c>
      <c r="I1629" s="11" t="s">
        <v>82</v>
      </c>
      <c r="J1629" s="11" t="s">
        <v>71</v>
      </c>
      <c r="K1629" s="11" t="s">
        <v>356</v>
      </c>
      <c r="L1629" s="11" t="s">
        <v>84</v>
      </c>
      <c r="M1629" s="11" t="s">
        <v>2655</v>
      </c>
      <c r="N1629" s="11" t="s">
        <v>86</v>
      </c>
      <c r="O1629" s="11" t="s">
        <v>71</v>
      </c>
      <c r="P1629" s="11" t="s">
        <v>8946</v>
      </c>
      <c r="Q1629" s="13" t="s">
        <v>8947</v>
      </c>
      <c r="R1629" s="14" t="str">
        <f>HYPERLINK("https://drive.google.com/file/d/10VwtF3JVhbpfZ1Ic7UClNmLcjWELHBw6/view?usp=drivesdk","OFFER LETTER")</f>
        <v>OFFER LETTER</v>
      </c>
      <c r="S1629" s="11" t="s">
        <v>8948</v>
      </c>
    </row>
    <row r="1630" ht="22.5" customHeight="1">
      <c r="A1630" s="10">
        <v>46264.92222545139</v>
      </c>
      <c r="B1630" s="11" t="s">
        <v>8949</v>
      </c>
      <c r="C1630" s="11" t="s">
        <v>107</v>
      </c>
      <c r="D1630" s="11" t="s">
        <v>68</v>
      </c>
      <c r="E1630" s="12">
        <v>46218.0</v>
      </c>
      <c r="F1630" s="12">
        <v>46249.0</v>
      </c>
      <c r="G1630" s="11" t="s">
        <v>8950</v>
      </c>
      <c r="H1630" s="11">
        <v>8.539067476E9</v>
      </c>
      <c r="I1630" s="11" t="s">
        <v>82</v>
      </c>
      <c r="J1630" s="11" t="s">
        <v>71</v>
      </c>
      <c r="K1630" s="11" t="s">
        <v>72</v>
      </c>
      <c r="L1630" s="11" t="s">
        <v>84</v>
      </c>
      <c r="M1630" s="11" t="s">
        <v>1322</v>
      </c>
      <c r="N1630" s="11" t="s">
        <v>86</v>
      </c>
      <c r="O1630" s="11" t="s">
        <v>71</v>
      </c>
      <c r="P1630" s="11" t="s">
        <v>8951</v>
      </c>
      <c r="Q1630" s="13" t="s">
        <v>8952</v>
      </c>
      <c r="R1630" s="14" t="str">
        <f>HYPERLINK("https://drive.google.com/file/d/1a3PjUfcT7Ogrr2ceJbYW6-xJ44W21edp/view?usp=drivesdk","OFFER LETTER")</f>
        <v>OFFER LETTER</v>
      </c>
      <c r="S1630" s="11" t="s">
        <v>8953</v>
      </c>
    </row>
    <row r="1631" ht="22.5" customHeight="1">
      <c r="A1631" s="10">
        <v>46264.92668790509</v>
      </c>
      <c r="B1631" s="11" t="s">
        <v>8954</v>
      </c>
      <c r="C1631" s="11" t="s">
        <v>128</v>
      </c>
      <c r="D1631" s="11" t="s">
        <v>68</v>
      </c>
      <c r="E1631" s="12">
        <v>46174.0</v>
      </c>
      <c r="F1631" s="12">
        <v>46203.0</v>
      </c>
      <c r="G1631" s="11" t="s">
        <v>8837</v>
      </c>
      <c r="H1631" s="11">
        <v>8.076188439E9</v>
      </c>
      <c r="I1631" s="11" t="s">
        <v>82</v>
      </c>
      <c r="J1631" s="11" t="s">
        <v>130</v>
      </c>
      <c r="K1631" s="11" t="s">
        <v>72</v>
      </c>
      <c r="L1631" s="11" t="s">
        <v>84</v>
      </c>
      <c r="M1631" s="11" t="s">
        <v>7748</v>
      </c>
      <c r="N1631" s="11" t="s">
        <v>86</v>
      </c>
      <c r="O1631" s="11" t="s">
        <v>71</v>
      </c>
      <c r="P1631" s="11" t="s">
        <v>8955</v>
      </c>
      <c r="Q1631" s="13" t="s">
        <v>8956</v>
      </c>
      <c r="R1631" s="14" t="str">
        <f>HYPERLINK("https://drive.google.com/file/d/1e1E03UbOd_zVOabLL1tGAb06dmA0dDwn/view?usp=drivesdk","OFFER LETTER")</f>
        <v>OFFER LETTER</v>
      </c>
      <c r="S1631" s="11" t="s">
        <v>8957</v>
      </c>
    </row>
    <row r="1632" ht="22.5" customHeight="1">
      <c r="A1632" s="10">
        <v>46264.92727534722</v>
      </c>
      <c r="B1632" s="11" t="s">
        <v>8958</v>
      </c>
      <c r="C1632" s="11" t="s">
        <v>195</v>
      </c>
      <c r="D1632" s="11" t="s">
        <v>68</v>
      </c>
      <c r="E1632" s="12">
        <v>46185.0</v>
      </c>
      <c r="F1632" s="12">
        <v>46216.0</v>
      </c>
      <c r="G1632" s="11" t="s">
        <v>8959</v>
      </c>
      <c r="H1632" s="11">
        <v>9.142994667E9</v>
      </c>
      <c r="I1632" s="11" t="s">
        <v>82</v>
      </c>
      <c r="J1632" s="11" t="s">
        <v>71</v>
      </c>
      <c r="K1632" s="11" t="s">
        <v>72</v>
      </c>
      <c r="L1632" s="11" t="s">
        <v>84</v>
      </c>
      <c r="M1632" s="11" t="s">
        <v>560</v>
      </c>
      <c r="N1632" s="11" t="s">
        <v>75</v>
      </c>
      <c r="O1632" s="11" t="s">
        <v>71</v>
      </c>
      <c r="P1632" s="11" t="s">
        <v>8960</v>
      </c>
      <c r="Q1632" s="13" t="s">
        <v>8961</v>
      </c>
      <c r="R1632" s="14" t="str">
        <f>HYPERLINK("https://drive.google.com/file/d/1ssfefj1UBwxOKNJNB3n12Niu0b_QAj5n/view?usp=drivesdk","OFFER LETTER")</f>
        <v>OFFER LETTER</v>
      </c>
      <c r="S1632" s="11" t="s">
        <v>8962</v>
      </c>
    </row>
    <row r="1633" ht="22.5" customHeight="1">
      <c r="A1633" s="10">
        <v>46264.930425196755</v>
      </c>
      <c r="B1633" s="11" t="s">
        <v>8963</v>
      </c>
      <c r="C1633" s="11" t="s">
        <v>195</v>
      </c>
      <c r="D1633" s="11" t="s">
        <v>68</v>
      </c>
      <c r="E1633" s="12">
        <v>46218.0</v>
      </c>
      <c r="F1633" s="12">
        <v>46249.0</v>
      </c>
      <c r="G1633" s="11" t="s">
        <v>8964</v>
      </c>
      <c r="H1633" s="11">
        <v>8.467043996E9</v>
      </c>
      <c r="I1633" s="11" t="s">
        <v>82</v>
      </c>
      <c r="J1633" s="11" t="s">
        <v>71</v>
      </c>
      <c r="K1633" s="11" t="s">
        <v>72</v>
      </c>
      <c r="L1633" s="11" t="s">
        <v>84</v>
      </c>
      <c r="M1633" s="11" t="s">
        <v>886</v>
      </c>
      <c r="N1633" s="11" t="s">
        <v>8965</v>
      </c>
      <c r="O1633" s="11" t="s">
        <v>71</v>
      </c>
      <c r="P1633" s="11" t="s">
        <v>8966</v>
      </c>
      <c r="Q1633" s="13" t="s">
        <v>8967</v>
      </c>
      <c r="R1633" s="14" t="str">
        <f>HYPERLINK("https://drive.google.com/file/d/1Q_Ho5r5bzc17szQr3DomApQHyawGsGc4/view?usp=drivesdk","OFFER LETTER")</f>
        <v>OFFER LETTER</v>
      </c>
      <c r="S1633" s="11" t="s">
        <v>8968</v>
      </c>
    </row>
    <row r="1634" ht="22.5" customHeight="1">
      <c r="A1634" s="10">
        <v>46264.93105291667</v>
      </c>
      <c r="B1634" s="11" t="s">
        <v>8969</v>
      </c>
      <c r="C1634" s="11" t="s">
        <v>195</v>
      </c>
      <c r="D1634" s="11" t="s">
        <v>68</v>
      </c>
      <c r="E1634" s="12">
        <v>46220.0</v>
      </c>
      <c r="F1634" s="12">
        <v>46251.0</v>
      </c>
      <c r="G1634" s="11" t="s">
        <v>8970</v>
      </c>
      <c r="H1634" s="11">
        <v>9.939429244E9</v>
      </c>
      <c r="I1634" s="11" t="s">
        <v>82</v>
      </c>
      <c r="J1634" s="11" t="s">
        <v>71</v>
      </c>
      <c r="K1634" s="11" t="s">
        <v>72</v>
      </c>
      <c r="L1634" s="11" t="s">
        <v>84</v>
      </c>
      <c r="M1634" s="11" t="s">
        <v>886</v>
      </c>
      <c r="N1634" s="11" t="s">
        <v>75</v>
      </c>
      <c r="O1634" s="11" t="s">
        <v>71</v>
      </c>
      <c r="P1634" s="11" t="s">
        <v>8971</v>
      </c>
      <c r="Q1634" s="13" t="s">
        <v>8972</v>
      </c>
      <c r="R1634" s="14" t="str">
        <f>HYPERLINK("https://drive.google.com/file/d/1oJXlxEBs3oM6GdQzE1p-WjcXo_D-zW6J/view?usp=drivesdk","OFFER LETTER")</f>
        <v>OFFER LETTER</v>
      </c>
      <c r="S1634" s="11" t="s">
        <v>8973</v>
      </c>
    </row>
    <row r="1635" ht="22.5" customHeight="1">
      <c r="A1635" s="10">
        <v>46264.93750151621</v>
      </c>
      <c r="B1635" s="11" t="s">
        <v>8974</v>
      </c>
      <c r="C1635" s="11" t="s">
        <v>80</v>
      </c>
      <c r="D1635" s="11" t="s">
        <v>68</v>
      </c>
      <c r="E1635" s="12">
        <v>46264.0</v>
      </c>
      <c r="F1635" s="12">
        <v>46297.0</v>
      </c>
      <c r="G1635" s="11" t="s">
        <v>8975</v>
      </c>
      <c r="H1635" s="11">
        <v>8.825685767E9</v>
      </c>
      <c r="I1635" s="11" t="s">
        <v>82</v>
      </c>
      <c r="J1635" s="11" t="s">
        <v>71</v>
      </c>
      <c r="K1635" s="11" t="s">
        <v>72</v>
      </c>
      <c r="L1635" s="11" t="s">
        <v>84</v>
      </c>
      <c r="M1635" s="11" t="s">
        <v>4132</v>
      </c>
      <c r="N1635" s="11" t="s">
        <v>75</v>
      </c>
      <c r="O1635" s="11" t="s">
        <v>263</v>
      </c>
      <c r="P1635" s="11" t="s">
        <v>8976</v>
      </c>
      <c r="Q1635" s="13" t="s">
        <v>8977</v>
      </c>
      <c r="R1635" s="14" t="str">
        <f>HYPERLINK("https://drive.google.com/file/d/1AO_nOBfcCuPIsp6zIrcygMkCQKRDkApm/view?usp=drivesdk","OFFER LETTER")</f>
        <v>OFFER LETTER</v>
      </c>
      <c r="S1635" s="11" t="s">
        <v>8978</v>
      </c>
    </row>
    <row r="1636" ht="22.5" customHeight="1">
      <c r="A1636" s="10">
        <v>46264.93844614583</v>
      </c>
      <c r="B1636" s="11" t="s">
        <v>8979</v>
      </c>
      <c r="C1636" s="11" t="s">
        <v>195</v>
      </c>
      <c r="D1636" s="11" t="s">
        <v>68</v>
      </c>
      <c r="E1636" s="12">
        <v>46264.0</v>
      </c>
      <c r="F1636" s="12">
        <v>46295.0</v>
      </c>
      <c r="G1636" s="11" t="s">
        <v>8980</v>
      </c>
      <c r="H1636" s="11">
        <v>8.709936339E9</v>
      </c>
      <c r="I1636" s="11" t="s">
        <v>82</v>
      </c>
      <c r="J1636" s="11" t="s">
        <v>71</v>
      </c>
      <c r="K1636" s="11" t="s">
        <v>72</v>
      </c>
      <c r="L1636" s="11" t="s">
        <v>84</v>
      </c>
      <c r="M1636" s="11" t="s">
        <v>8981</v>
      </c>
      <c r="N1636" s="11" t="s">
        <v>226</v>
      </c>
      <c r="O1636" s="11" t="s">
        <v>71</v>
      </c>
      <c r="P1636" s="11" t="s">
        <v>8982</v>
      </c>
      <c r="Q1636" s="13" t="s">
        <v>8983</v>
      </c>
      <c r="R1636" s="14" t="str">
        <f>HYPERLINK("https://drive.google.com/file/d/1-uk9lHMi8XLXszc89pSXC3GG-szXgChc/view?usp=drivesdk","OFFER LETTER")</f>
        <v>OFFER LETTER</v>
      </c>
      <c r="S1636" s="11" t="s">
        <v>8984</v>
      </c>
    </row>
    <row r="1637" ht="22.5" customHeight="1">
      <c r="A1637" s="10">
        <v>46264.93959998843</v>
      </c>
      <c r="B1637" s="11" t="s">
        <v>8985</v>
      </c>
      <c r="C1637" s="11" t="s">
        <v>259</v>
      </c>
      <c r="D1637" s="11" t="s">
        <v>68</v>
      </c>
      <c r="E1637" s="12">
        <v>46235.0</v>
      </c>
      <c r="F1637" s="12">
        <v>46266.0</v>
      </c>
      <c r="G1637" s="11" t="s">
        <v>8986</v>
      </c>
      <c r="H1637" s="11">
        <v>6.396647123E9</v>
      </c>
      <c r="I1637" s="11" t="s">
        <v>82</v>
      </c>
      <c r="J1637" s="11" t="s">
        <v>71</v>
      </c>
      <c r="K1637" s="11" t="s">
        <v>72</v>
      </c>
      <c r="L1637" s="11" t="s">
        <v>84</v>
      </c>
      <c r="M1637" s="11" t="s">
        <v>886</v>
      </c>
      <c r="N1637" s="11" t="s">
        <v>86</v>
      </c>
      <c r="O1637" s="11" t="s">
        <v>71</v>
      </c>
      <c r="P1637" s="11" t="s">
        <v>8987</v>
      </c>
      <c r="Q1637" s="13" t="s">
        <v>8988</v>
      </c>
      <c r="R1637" s="14" t="str">
        <f>HYPERLINK("https://drive.google.com/file/d/1cYv4aI-sOiGYxddjw5LivoU43fbr-i8G/view?usp=drivesdk","OFFER LETTER")</f>
        <v>OFFER LETTER</v>
      </c>
      <c r="S1637" s="11" t="s">
        <v>8989</v>
      </c>
    </row>
    <row r="1638" ht="22.5" customHeight="1">
      <c r="A1638" s="10">
        <v>46264.94021210648</v>
      </c>
      <c r="B1638" s="11" t="s">
        <v>8990</v>
      </c>
      <c r="C1638" s="11" t="s">
        <v>195</v>
      </c>
      <c r="D1638" s="11" t="s">
        <v>108</v>
      </c>
      <c r="E1638" s="12">
        <v>46176.0</v>
      </c>
      <c r="F1638" s="12">
        <v>46237.0</v>
      </c>
      <c r="G1638" s="11" t="s">
        <v>8581</v>
      </c>
      <c r="H1638" s="11">
        <v>7.011478149E9</v>
      </c>
      <c r="I1638" s="11" t="s">
        <v>82</v>
      </c>
      <c r="J1638" s="11" t="s">
        <v>71</v>
      </c>
      <c r="K1638" s="11" t="s">
        <v>72</v>
      </c>
      <c r="L1638" s="11" t="s">
        <v>84</v>
      </c>
      <c r="M1638" s="11" t="s">
        <v>886</v>
      </c>
      <c r="N1638" s="11" t="s">
        <v>75</v>
      </c>
      <c r="O1638" s="11" t="s">
        <v>71</v>
      </c>
      <c r="P1638" s="11" t="s">
        <v>8991</v>
      </c>
      <c r="Q1638" s="13" t="s">
        <v>8992</v>
      </c>
      <c r="R1638" s="14" t="str">
        <f>HYPERLINK("https://drive.google.com/file/d/164ObaBP5WK-jnzOLa3o2ZGzclRQQ3uhV/view?usp=drivesdk","OFFER LETTER")</f>
        <v>OFFER LETTER</v>
      </c>
      <c r="S1638" s="11" t="s">
        <v>8993</v>
      </c>
    </row>
    <row r="1639" ht="22.5" customHeight="1">
      <c r="A1639" s="10">
        <v>46264.94350094907</v>
      </c>
      <c r="B1639" s="11" t="s">
        <v>8620</v>
      </c>
      <c r="C1639" s="11" t="s">
        <v>107</v>
      </c>
      <c r="D1639" s="11" t="s">
        <v>68</v>
      </c>
      <c r="E1639" s="12">
        <v>46235.0</v>
      </c>
      <c r="F1639" s="12">
        <v>46264.0</v>
      </c>
      <c r="G1639" s="11" t="s">
        <v>8621</v>
      </c>
      <c r="H1639" s="11">
        <v>8.340464228E9</v>
      </c>
      <c r="I1639" s="11" t="s">
        <v>82</v>
      </c>
      <c r="J1639" s="11" t="s">
        <v>130</v>
      </c>
      <c r="K1639" s="11" t="s">
        <v>72</v>
      </c>
      <c r="L1639" s="11" t="s">
        <v>73</v>
      </c>
      <c r="M1639" s="11" t="s">
        <v>886</v>
      </c>
      <c r="N1639" s="11" t="s">
        <v>86</v>
      </c>
      <c r="O1639" s="11" t="s">
        <v>71</v>
      </c>
      <c r="P1639" s="11" t="s">
        <v>8994</v>
      </c>
      <c r="Q1639" s="13" t="s">
        <v>8995</v>
      </c>
      <c r="R1639" s="14" t="str">
        <f>HYPERLINK("https://drive.google.com/file/d/1Hs9YKgobXEaviDhSV7VBY9G53JumPvoy/view?usp=drivesdk","OFFER LETTER")</f>
        <v>OFFER LETTER</v>
      </c>
      <c r="S1639" s="11" t="s">
        <v>8996</v>
      </c>
    </row>
    <row r="1640" ht="22.5" customHeight="1">
      <c r="A1640" s="10">
        <v>46264.94579252315</v>
      </c>
      <c r="B1640" s="11" t="s">
        <v>8997</v>
      </c>
      <c r="C1640" s="11" t="s">
        <v>195</v>
      </c>
      <c r="D1640" s="11" t="s">
        <v>108</v>
      </c>
      <c r="E1640" s="12">
        <v>46181.0</v>
      </c>
      <c r="F1640" s="12">
        <v>46238.0</v>
      </c>
      <c r="G1640" s="11" t="s">
        <v>8998</v>
      </c>
      <c r="H1640" s="11">
        <v>9.718798779E9</v>
      </c>
      <c r="I1640" s="11" t="s">
        <v>82</v>
      </c>
      <c r="J1640" s="11" t="s">
        <v>71</v>
      </c>
      <c r="K1640" s="11" t="s">
        <v>72</v>
      </c>
      <c r="L1640" s="11" t="s">
        <v>84</v>
      </c>
      <c r="M1640" s="11" t="s">
        <v>849</v>
      </c>
      <c r="N1640" s="11" t="s">
        <v>75</v>
      </c>
      <c r="O1640" s="11" t="s">
        <v>263</v>
      </c>
      <c r="P1640" s="11" t="s">
        <v>8999</v>
      </c>
      <c r="Q1640" s="13" t="s">
        <v>9000</v>
      </c>
      <c r="R1640" s="14" t="str">
        <f>HYPERLINK("https://drive.google.com/file/d/10EdGghxJT1UuidRQapu22704lqMdeayi/view?usp=drivesdk","OFFER LETTER")</f>
        <v>OFFER LETTER</v>
      </c>
      <c r="S1640" s="11" t="s">
        <v>9001</v>
      </c>
    </row>
    <row r="1641" ht="22.5" customHeight="1">
      <c r="A1641" s="10">
        <v>46264.947746192134</v>
      </c>
      <c r="B1641" s="11" t="s">
        <v>9002</v>
      </c>
      <c r="C1641" s="11" t="s">
        <v>128</v>
      </c>
      <c r="D1641" s="11" t="s">
        <v>68</v>
      </c>
      <c r="E1641" s="12">
        <v>46213.0</v>
      </c>
      <c r="F1641" s="12">
        <v>46244.0</v>
      </c>
      <c r="G1641" s="11" t="s">
        <v>9003</v>
      </c>
      <c r="H1641" s="11">
        <v>6.263189327E9</v>
      </c>
      <c r="I1641" s="11" t="s">
        <v>70</v>
      </c>
      <c r="J1641" s="11" t="s">
        <v>71</v>
      </c>
      <c r="K1641" s="11" t="s">
        <v>72</v>
      </c>
      <c r="L1641" s="11" t="s">
        <v>84</v>
      </c>
      <c r="M1641" s="11" t="s">
        <v>560</v>
      </c>
      <c r="N1641" s="11" t="s">
        <v>155</v>
      </c>
      <c r="O1641" s="11" t="s">
        <v>71</v>
      </c>
      <c r="P1641" s="11" t="s">
        <v>9004</v>
      </c>
      <c r="Q1641" s="13" t="s">
        <v>9005</v>
      </c>
      <c r="R1641" s="14" t="str">
        <f>HYPERLINK("https://drive.google.com/file/d/1WnXYnj3ZRX9yUu1SirZljl8vNRrsrq9p/view?usp=drivesdk","OFFER LETTER")</f>
        <v>OFFER LETTER</v>
      </c>
      <c r="S1641" s="11" t="s">
        <v>9006</v>
      </c>
    </row>
    <row r="1642" ht="22.5" customHeight="1">
      <c r="A1642" s="10">
        <v>46264.94800453704</v>
      </c>
      <c r="B1642" s="11" t="s">
        <v>9007</v>
      </c>
      <c r="C1642" s="11" t="s">
        <v>173</v>
      </c>
      <c r="D1642" s="11" t="s">
        <v>68</v>
      </c>
      <c r="E1642" s="12">
        <v>46235.0</v>
      </c>
      <c r="F1642" s="12">
        <v>46261.0</v>
      </c>
      <c r="G1642" s="11" t="s">
        <v>9008</v>
      </c>
      <c r="H1642" s="11">
        <v>8.929583601E9</v>
      </c>
      <c r="I1642" s="11" t="s">
        <v>82</v>
      </c>
      <c r="J1642" s="11" t="s">
        <v>83</v>
      </c>
      <c r="K1642" s="11" t="s">
        <v>72</v>
      </c>
      <c r="L1642" s="11" t="s">
        <v>84</v>
      </c>
      <c r="M1642" s="11" t="s">
        <v>4247</v>
      </c>
      <c r="N1642" s="11" t="s">
        <v>86</v>
      </c>
      <c r="O1642" s="11" t="s">
        <v>71</v>
      </c>
      <c r="P1642" s="11" t="s">
        <v>9009</v>
      </c>
      <c r="Q1642" s="13" t="s">
        <v>9010</v>
      </c>
      <c r="R1642" s="14" t="str">
        <f>HYPERLINK("https://drive.google.com/file/d/1Wsg9zAHwc_L0HLwrdg_r2KwcBiuePcdh/view?usp=drivesdk","OFFER LETTER")</f>
        <v>OFFER LETTER</v>
      </c>
      <c r="S1642" s="11" t="s">
        <v>9011</v>
      </c>
    </row>
    <row r="1643" ht="22.5" customHeight="1">
      <c r="A1643" s="10">
        <v>46264.95085949074</v>
      </c>
      <c r="B1643" s="11" t="s">
        <v>9012</v>
      </c>
      <c r="C1643" s="11" t="s">
        <v>173</v>
      </c>
      <c r="D1643" s="11" t="s">
        <v>68</v>
      </c>
      <c r="E1643" s="12">
        <v>46232.0</v>
      </c>
      <c r="F1643" s="12">
        <v>46263.0</v>
      </c>
      <c r="G1643" s="11" t="s">
        <v>9013</v>
      </c>
      <c r="H1643" s="11">
        <v>9.259844494E9</v>
      </c>
      <c r="I1643" s="11" t="s">
        <v>82</v>
      </c>
      <c r="J1643" s="11" t="s">
        <v>71</v>
      </c>
      <c r="K1643" s="11" t="s">
        <v>72</v>
      </c>
      <c r="L1643" s="11" t="s">
        <v>84</v>
      </c>
      <c r="M1643" s="11" t="s">
        <v>560</v>
      </c>
      <c r="N1643" s="11" t="s">
        <v>86</v>
      </c>
      <c r="O1643" s="11" t="s">
        <v>71</v>
      </c>
      <c r="P1643" s="11" t="s">
        <v>9014</v>
      </c>
      <c r="Q1643" s="13" t="s">
        <v>9015</v>
      </c>
      <c r="R1643" s="14" t="str">
        <f>HYPERLINK("https://drive.google.com/file/d/1-uBAIr0nFWjkLHAPxANYGPi6MGNbxawN/view?usp=drivesdk","OFFER LETTER")</f>
        <v>OFFER LETTER</v>
      </c>
      <c r="S1643" s="11" t="s">
        <v>9016</v>
      </c>
    </row>
    <row r="1644" ht="22.5" customHeight="1">
      <c r="A1644" s="10">
        <v>46264.9511940625</v>
      </c>
      <c r="B1644" s="11" t="s">
        <v>9007</v>
      </c>
      <c r="C1644" s="11" t="s">
        <v>173</v>
      </c>
      <c r="D1644" s="11" t="s">
        <v>68</v>
      </c>
      <c r="E1644" s="12">
        <v>46235.0</v>
      </c>
      <c r="F1644" s="12">
        <v>46264.0</v>
      </c>
      <c r="G1644" s="11" t="s">
        <v>9008</v>
      </c>
      <c r="H1644" s="11">
        <v>8.929583601E9</v>
      </c>
      <c r="I1644" s="11" t="s">
        <v>82</v>
      </c>
      <c r="J1644" s="11" t="s">
        <v>83</v>
      </c>
      <c r="K1644" s="11" t="s">
        <v>72</v>
      </c>
      <c r="L1644" s="11" t="s">
        <v>84</v>
      </c>
      <c r="M1644" s="11" t="s">
        <v>9017</v>
      </c>
      <c r="N1644" s="11" t="s">
        <v>86</v>
      </c>
      <c r="O1644" s="11" t="s">
        <v>71</v>
      </c>
      <c r="P1644" s="11" t="s">
        <v>9018</v>
      </c>
      <c r="Q1644" s="13" t="s">
        <v>9019</v>
      </c>
      <c r="R1644" s="14" t="str">
        <f>HYPERLINK("https://drive.google.com/file/d/1z5yEmmbO_PAeg2M5YCNjEMTpwzAG54xw/view?usp=drivesdk","OFFER LETTER")</f>
        <v>OFFER LETTER</v>
      </c>
      <c r="S1644" s="11" t="s">
        <v>9020</v>
      </c>
    </row>
    <row r="1645" ht="22.5" customHeight="1">
      <c r="A1645" s="10">
        <v>46264.95151226852</v>
      </c>
      <c r="B1645" s="11" t="s">
        <v>9021</v>
      </c>
      <c r="C1645" s="11" t="s">
        <v>237</v>
      </c>
      <c r="D1645" s="11" t="s">
        <v>68</v>
      </c>
      <c r="E1645" s="12">
        <v>46195.0</v>
      </c>
      <c r="F1645" s="12">
        <v>46225.0</v>
      </c>
      <c r="G1645" s="11" t="s">
        <v>9022</v>
      </c>
      <c r="H1645" s="11">
        <v>6.398503691E9</v>
      </c>
      <c r="I1645" s="11" t="s">
        <v>82</v>
      </c>
      <c r="J1645" s="11" t="s">
        <v>71</v>
      </c>
      <c r="K1645" s="11" t="s">
        <v>72</v>
      </c>
      <c r="L1645" s="11" t="s">
        <v>357</v>
      </c>
      <c r="M1645" s="11" t="s">
        <v>2655</v>
      </c>
      <c r="N1645" s="11" t="s">
        <v>750</v>
      </c>
      <c r="O1645" s="11" t="s">
        <v>71</v>
      </c>
      <c r="P1645" s="11" t="s">
        <v>9023</v>
      </c>
      <c r="Q1645" s="13" t="s">
        <v>9024</v>
      </c>
      <c r="R1645" s="14" t="str">
        <f>HYPERLINK("https://drive.google.com/file/d/1L_uYmZwnWidnkSLbJiKV3nHYkdfonuD4/view?usp=drivesdk","OFFER LETTER")</f>
        <v>OFFER LETTER</v>
      </c>
      <c r="S1645" s="11" t="s">
        <v>9025</v>
      </c>
    </row>
    <row r="1646" ht="22.5" customHeight="1">
      <c r="A1646" s="10">
        <v>46264.95604273149</v>
      </c>
      <c r="B1646" s="11" t="s">
        <v>9026</v>
      </c>
      <c r="C1646" s="11" t="s">
        <v>259</v>
      </c>
      <c r="D1646" s="11" t="s">
        <v>68</v>
      </c>
      <c r="E1646" s="12">
        <v>46264.0</v>
      </c>
      <c r="F1646" s="12">
        <v>46295.0</v>
      </c>
      <c r="G1646" s="11" t="s">
        <v>9027</v>
      </c>
      <c r="H1646" s="11">
        <v>7.448926646E9</v>
      </c>
      <c r="I1646" s="11" t="s">
        <v>70</v>
      </c>
      <c r="J1646" s="11" t="s">
        <v>71</v>
      </c>
      <c r="K1646" s="11" t="s">
        <v>72</v>
      </c>
      <c r="L1646" s="11" t="s">
        <v>84</v>
      </c>
      <c r="M1646" s="11" t="s">
        <v>9028</v>
      </c>
      <c r="N1646" s="11" t="s">
        <v>86</v>
      </c>
      <c r="O1646" s="11" t="s">
        <v>71</v>
      </c>
      <c r="P1646" s="11" t="s">
        <v>9029</v>
      </c>
      <c r="Q1646" s="13" t="s">
        <v>9030</v>
      </c>
      <c r="R1646" s="14" t="str">
        <f>HYPERLINK("https://drive.google.com/file/d/1hC-sNAcq6cTBPg5kdiKbOomjpmDqNFOA/view?usp=drivesdk","OFFER LETTER")</f>
        <v>OFFER LETTER</v>
      </c>
      <c r="S1646" s="11" t="s">
        <v>9031</v>
      </c>
    </row>
    <row r="1647" ht="22.5" customHeight="1">
      <c r="A1647" s="10">
        <v>46264.95637596065</v>
      </c>
      <c r="B1647" s="11" t="s">
        <v>9032</v>
      </c>
      <c r="C1647" s="11" t="s">
        <v>173</v>
      </c>
      <c r="D1647" s="11" t="s">
        <v>68</v>
      </c>
      <c r="E1647" s="12">
        <v>46266.0</v>
      </c>
      <c r="F1647" s="12">
        <v>46296.0</v>
      </c>
      <c r="G1647" s="11" t="s">
        <v>9033</v>
      </c>
      <c r="H1647" s="11">
        <v>9.236344491E9</v>
      </c>
      <c r="I1647" s="11" t="s">
        <v>70</v>
      </c>
      <c r="J1647" s="11" t="s">
        <v>71</v>
      </c>
      <c r="K1647" s="11" t="s">
        <v>110</v>
      </c>
      <c r="L1647" s="11" t="s">
        <v>73</v>
      </c>
      <c r="M1647" s="11" t="s">
        <v>9034</v>
      </c>
      <c r="N1647" s="11" t="s">
        <v>86</v>
      </c>
      <c r="O1647" s="11" t="s">
        <v>71</v>
      </c>
      <c r="P1647" s="11" t="s">
        <v>9035</v>
      </c>
      <c r="Q1647" s="13" t="s">
        <v>9036</v>
      </c>
      <c r="R1647" s="14" t="str">
        <f>HYPERLINK("https://drive.google.com/file/d/1s9RqSLn4GuEFl0uNZEcuLjRVioe9eYd8/view?usp=drivesdk","OFFER LETTER")</f>
        <v>OFFER LETTER</v>
      </c>
      <c r="S1647" s="11" t="s">
        <v>9037</v>
      </c>
    </row>
    <row r="1648" ht="22.5" customHeight="1">
      <c r="A1648" s="10">
        <v>46264.96161844907</v>
      </c>
      <c r="B1648" s="11" t="s">
        <v>9038</v>
      </c>
      <c r="C1648" s="11" t="s">
        <v>173</v>
      </c>
      <c r="D1648" s="11" t="s">
        <v>108</v>
      </c>
      <c r="E1648" s="12">
        <v>46174.0</v>
      </c>
      <c r="F1648" s="12">
        <v>46235.0</v>
      </c>
      <c r="G1648" s="11" t="s">
        <v>9039</v>
      </c>
      <c r="H1648" s="11">
        <v>7.903959242E9</v>
      </c>
      <c r="I1648" s="11" t="s">
        <v>82</v>
      </c>
      <c r="J1648" s="11" t="s">
        <v>71</v>
      </c>
      <c r="K1648" s="11" t="s">
        <v>72</v>
      </c>
      <c r="L1648" s="11" t="s">
        <v>131</v>
      </c>
      <c r="M1648" s="11" t="s">
        <v>9040</v>
      </c>
      <c r="N1648" s="11" t="s">
        <v>86</v>
      </c>
      <c r="O1648" s="11" t="s">
        <v>71</v>
      </c>
      <c r="P1648" s="11" t="s">
        <v>9041</v>
      </c>
      <c r="Q1648" s="13" t="s">
        <v>9042</v>
      </c>
      <c r="R1648" s="14" t="str">
        <f>HYPERLINK("https://drive.google.com/file/d/1_Kk-Ed7KkmHVgK7WWxcxc8_IBRlxqJhZ/view?usp=drivesdk","OFFER LETTER")</f>
        <v>OFFER LETTER</v>
      </c>
      <c r="S1648" s="11" t="s">
        <v>9043</v>
      </c>
    </row>
    <row r="1649" ht="22.5" customHeight="1">
      <c r="A1649" s="10">
        <v>46264.96316402778</v>
      </c>
      <c r="B1649" s="11" t="s">
        <v>8868</v>
      </c>
      <c r="C1649" s="11" t="s">
        <v>107</v>
      </c>
      <c r="D1649" s="11" t="s">
        <v>108</v>
      </c>
      <c r="E1649" s="12">
        <v>46202.0</v>
      </c>
      <c r="F1649" s="12">
        <v>46264.0</v>
      </c>
      <c r="G1649" s="11" t="s">
        <v>8869</v>
      </c>
      <c r="H1649" s="11">
        <v>6.289981625E9</v>
      </c>
      <c r="I1649" s="11" t="s">
        <v>70</v>
      </c>
      <c r="J1649" s="11" t="s">
        <v>71</v>
      </c>
      <c r="K1649" s="11" t="s">
        <v>72</v>
      </c>
      <c r="L1649" s="11" t="s">
        <v>131</v>
      </c>
      <c r="M1649" s="11" t="s">
        <v>8870</v>
      </c>
      <c r="N1649" s="11" t="s">
        <v>86</v>
      </c>
      <c r="O1649" s="11" t="s">
        <v>71</v>
      </c>
      <c r="P1649" s="11" t="s">
        <v>9044</v>
      </c>
      <c r="Q1649" s="13" t="s">
        <v>9045</v>
      </c>
      <c r="R1649" s="14" t="str">
        <f>HYPERLINK("https://drive.google.com/file/d/19pKNIXtLfz_LHQkOC9PRJ-fVNs0VjNh1/view?usp=drivesdk","OFFER LETTER")</f>
        <v>OFFER LETTER</v>
      </c>
      <c r="S1649" s="11" t="s">
        <v>9046</v>
      </c>
    </row>
    <row r="1650" ht="22.5" customHeight="1">
      <c r="A1650" s="10">
        <v>46264.96403508102</v>
      </c>
      <c r="B1650" s="11" t="s">
        <v>9047</v>
      </c>
      <c r="C1650" s="11" t="s">
        <v>195</v>
      </c>
      <c r="D1650" s="11" t="s">
        <v>68</v>
      </c>
      <c r="E1650" s="12">
        <v>46233.0</v>
      </c>
      <c r="F1650" s="12">
        <v>46261.0</v>
      </c>
      <c r="G1650" s="11" t="s">
        <v>9048</v>
      </c>
      <c r="H1650" s="11">
        <v>6.299346224E9</v>
      </c>
      <c r="I1650" s="11" t="s">
        <v>82</v>
      </c>
      <c r="J1650" s="11" t="s">
        <v>71</v>
      </c>
      <c r="K1650" s="11" t="s">
        <v>72</v>
      </c>
      <c r="L1650" s="11" t="s">
        <v>73</v>
      </c>
      <c r="M1650" s="11" t="s">
        <v>560</v>
      </c>
      <c r="N1650" s="11" t="s">
        <v>420</v>
      </c>
      <c r="O1650" s="11" t="s">
        <v>71</v>
      </c>
      <c r="P1650" s="11" t="s">
        <v>9049</v>
      </c>
      <c r="Q1650" s="13" t="s">
        <v>9050</v>
      </c>
      <c r="R1650" s="14" t="str">
        <f>HYPERLINK("https://drive.google.com/file/d/1c4ejDlrcRBdQdU3xi9FPEjLYYKXUu5B0/view?usp=drivesdk","OFFER LETTER")</f>
        <v>OFFER LETTER</v>
      </c>
      <c r="S1650" s="11" t="s">
        <v>9051</v>
      </c>
    </row>
    <row r="1651" ht="22.5" customHeight="1">
      <c r="A1651" s="10">
        <v>46264.9673230787</v>
      </c>
      <c r="B1651" s="11" t="s">
        <v>9052</v>
      </c>
      <c r="C1651" s="11" t="s">
        <v>195</v>
      </c>
      <c r="D1651" s="11" t="s">
        <v>68</v>
      </c>
      <c r="E1651" s="12">
        <v>46231.0</v>
      </c>
      <c r="F1651" s="12">
        <v>46262.0</v>
      </c>
      <c r="G1651" s="11" t="s">
        <v>9053</v>
      </c>
      <c r="H1651" s="11">
        <v>7.015265151E9</v>
      </c>
      <c r="I1651" s="11" t="s">
        <v>82</v>
      </c>
      <c r="J1651" s="11" t="s">
        <v>71</v>
      </c>
      <c r="K1651" s="11" t="s">
        <v>72</v>
      </c>
      <c r="L1651" s="11" t="s">
        <v>84</v>
      </c>
      <c r="M1651" s="11" t="s">
        <v>2655</v>
      </c>
      <c r="N1651" s="11" t="s">
        <v>86</v>
      </c>
      <c r="O1651" s="11" t="s">
        <v>71</v>
      </c>
      <c r="P1651" s="11" t="s">
        <v>9054</v>
      </c>
      <c r="Q1651" s="13" t="s">
        <v>9055</v>
      </c>
      <c r="R1651" s="14" t="str">
        <f>HYPERLINK("https://drive.google.com/file/d/1M9tbKIa6uuojPB4GBL590MXGqRrOYg1V/view?usp=drivesdk","OFFER LETTER")</f>
        <v>OFFER LETTER</v>
      </c>
      <c r="S1651" s="11" t="s">
        <v>9056</v>
      </c>
    </row>
    <row r="1652" ht="22.5" customHeight="1">
      <c r="A1652" s="10">
        <v>46264.97103410879</v>
      </c>
      <c r="B1652" s="11" t="s">
        <v>9057</v>
      </c>
      <c r="C1652" s="11" t="s">
        <v>173</v>
      </c>
      <c r="D1652" s="11" t="s">
        <v>68</v>
      </c>
      <c r="E1652" s="12">
        <v>46235.0</v>
      </c>
      <c r="F1652" s="12">
        <v>46264.0</v>
      </c>
      <c r="G1652" s="11" t="s">
        <v>9058</v>
      </c>
      <c r="H1652" s="11">
        <v>7.297823936E9</v>
      </c>
      <c r="I1652" s="11" t="s">
        <v>3790</v>
      </c>
      <c r="J1652" s="11" t="s">
        <v>71</v>
      </c>
      <c r="K1652" s="11" t="s">
        <v>72</v>
      </c>
      <c r="L1652" s="11" t="s">
        <v>84</v>
      </c>
      <c r="M1652" s="11" t="s">
        <v>560</v>
      </c>
      <c r="N1652" s="11" t="s">
        <v>75</v>
      </c>
      <c r="O1652" s="11" t="s">
        <v>71</v>
      </c>
      <c r="P1652" s="11" t="s">
        <v>9059</v>
      </c>
      <c r="Q1652" s="13" t="s">
        <v>9060</v>
      </c>
      <c r="R1652" s="14" t="str">
        <f>HYPERLINK("https://drive.google.com/file/d/1_CXs8qz--pV_Q82g6j1fnnG9cd1OtjAi/view?usp=drivesdk","OFFER LETTER")</f>
        <v>OFFER LETTER</v>
      </c>
      <c r="S1652" s="11" t="s">
        <v>9061</v>
      </c>
    </row>
    <row r="1653" ht="22.5" customHeight="1">
      <c r="A1653" s="10">
        <v>46264.97211096065</v>
      </c>
      <c r="B1653" s="11" t="s">
        <v>9062</v>
      </c>
      <c r="C1653" s="11" t="s">
        <v>173</v>
      </c>
      <c r="D1653" s="11" t="s">
        <v>68</v>
      </c>
      <c r="E1653" s="12">
        <v>46183.0</v>
      </c>
      <c r="F1653" s="12">
        <v>46213.0</v>
      </c>
      <c r="G1653" s="11" t="s">
        <v>9063</v>
      </c>
      <c r="H1653" s="11">
        <v>9.279047503E9</v>
      </c>
      <c r="I1653" s="11" t="s">
        <v>82</v>
      </c>
      <c r="J1653" s="11" t="s">
        <v>71</v>
      </c>
      <c r="K1653" s="11" t="s">
        <v>72</v>
      </c>
      <c r="L1653" s="11" t="s">
        <v>84</v>
      </c>
      <c r="M1653" s="11" t="s">
        <v>9064</v>
      </c>
      <c r="N1653" s="11" t="s">
        <v>86</v>
      </c>
      <c r="O1653" s="11" t="s">
        <v>71</v>
      </c>
      <c r="P1653" s="11" t="s">
        <v>9065</v>
      </c>
      <c r="Q1653" s="13" t="s">
        <v>9066</v>
      </c>
      <c r="R1653" s="14" t="str">
        <f>HYPERLINK("https://drive.google.com/file/d/1vYURL7mYEDI-3C5ucsrvmqncc2BTeNwg/view?usp=drivesdk","OFFER LETTER")</f>
        <v>OFFER LETTER</v>
      </c>
      <c r="S1653" s="11" t="s">
        <v>9067</v>
      </c>
    </row>
    <row r="1654" ht="22.5" customHeight="1">
      <c r="A1654" s="10">
        <v>46264.97498572917</v>
      </c>
      <c r="B1654" s="11" t="s">
        <v>9068</v>
      </c>
      <c r="C1654" s="11" t="s">
        <v>259</v>
      </c>
      <c r="D1654" s="11" t="s">
        <v>68</v>
      </c>
      <c r="E1654" s="12">
        <v>46214.0</v>
      </c>
      <c r="F1654" s="12">
        <v>46245.0</v>
      </c>
      <c r="G1654" s="11" t="s">
        <v>9069</v>
      </c>
      <c r="H1654" s="11">
        <v>8.766920867E9</v>
      </c>
      <c r="I1654" s="11" t="s">
        <v>82</v>
      </c>
      <c r="J1654" s="11" t="s">
        <v>71</v>
      </c>
      <c r="K1654" s="11" t="s">
        <v>72</v>
      </c>
      <c r="L1654" s="11" t="s">
        <v>84</v>
      </c>
      <c r="M1654" s="11" t="s">
        <v>1779</v>
      </c>
      <c r="N1654" s="11" t="s">
        <v>630</v>
      </c>
      <c r="O1654" s="11" t="s">
        <v>71</v>
      </c>
      <c r="P1654" s="11" t="s">
        <v>9070</v>
      </c>
      <c r="Q1654" s="13" t="s">
        <v>9071</v>
      </c>
      <c r="R1654" s="14" t="str">
        <f>HYPERLINK("https://drive.google.com/file/d/1Rtn458SAd0hIDKWip1-sa0-PL4EaFUum/view?usp=drivesdk","OFFER LETTER")</f>
        <v>OFFER LETTER</v>
      </c>
      <c r="S1654" s="11" t="s">
        <v>9072</v>
      </c>
    </row>
    <row r="1655" ht="22.5" customHeight="1">
      <c r="A1655" s="10">
        <v>46264.983662893515</v>
      </c>
      <c r="B1655" s="11" t="s">
        <v>9073</v>
      </c>
      <c r="C1655" s="11" t="s">
        <v>195</v>
      </c>
      <c r="D1655" s="11" t="s">
        <v>68</v>
      </c>
      <c r="E1655" s="12">
        <v>46223.0</v>
      </c>
      <c r="F1655" s="12">
        <v>46254.0</v>
      </c>
      <c r="G1655" s="11" t="s">
        <v>9074</v>
      </c>
      <c r="H1655" s="11" t="s">
        <v>9075</v>
      </c>
      <c r="I1655" s="11" t="s">
        <v>82</v>
      </c>
      <c r="J1655" s="11" t="s">
        <v>71</v>
      </c>
      <c r="K1655" s="11" t="s">
        <v>72</v>
      </c>
      <c r="L1655" s="11" t="s">
        <v>84</v>
      </c>
      <c r="M1655" s="11" t="s">
        <v>560</v>
      </c>
      <c r="N1655" s="11" t="s">
        <v>155</v>
      </c>
      <c r="O1655" s="11" t="s">
        <v>71</v>
      </c>
      <c r="P1655" s="11" t="s">
        <v>9076</v>
      </c>
      <c r="Q1655" s="13" t="s">
        <v>9077</v>
      </c>
      <c r="R1655" s="14" t="str">
        <f>HYPERLINK("https://drive.google.com/file/d/1hjBRXP79R9SO4orRZV1TLQvsg4b2rn0Q/view?usp=drivesdk","OFFER LETTER")</f>
        <v>OFFER LETTER</v>
      </c>
      <c r="S1655" s="11" t="s">
        <v>9078</v>
      </c>
    </row>
    <row r="1656" ht="22.5" customHeight="1">
      <c r="A1656" s="10">
        <v>46264.98448491898</v>
      </c>
      <c r="B1656" s="11" t="s">
        <v>9079</v>
      </c>
      <c r="C1656" s="11" t="s">
        <v>237</v>
      </c>
      <c r="D1656" s="11" t="s">
        <v>68</v>
      </c>
      <c r="E1656" s="12">
        <v>46235.0</v>
      </c>
      <c r="F1656" s="12">
        <v>46262.0</v>
      </c>
      <c r="G1656" s="11" t="s">
        <v>9080</v>
      </c>
      <c r="H1656" s="11">
        <v>9.693092905E9</v>
      </c>
      <c r="I1656" s="11" t="s">
        <v>70</v>
      </c>
      <c r="J1656" s="11" t="s">
        <v>83</v>
      </c>
      <c r="K1656" s="11" t="s">
        <v>72</v>
      </c>
      <c r="L1656" s="11" t="s">
        <v>84</v>
      </c>
      <c r="M1656" s="11" t="s">
        <v>560</v>
      </c>
      <c r="N1656" s="11" t="s">
        <v>75</v>
      </c>
      <c r="O1656" s="11" t="s">
        <v>71</v>
      </c>
      <c r="P1656" s="11" t="s">
        <v>9081</v>
      </c>
      <c r="Q1656" s="13" t="s">
        <v>9082</v>
      </c>
      <c r="R1656" s="14" t="str">
        <f>HYPERLINK("https://drive.google.com/file/d/1BE8uvRpZnyXOcbjJ-KtMEKqZKWWOitiF/view?usp=drivesdk","OFFER LETTER")</f>
        <v>OFFER LETTER</v>
      </c>
      <c r="S1656" s="11" t="s">
        <v>9083</v>
      </c>
    </row>
    <row r="1657" ht="22.5" customHeight="1">
      <c r="A1657" s="10">
        <v>46264.99510833333</v>
      </c>
      <c r="B1657" s="11" t="s">
        <v>9084</v>
      </c>
      <c r="C1657" s="11" t="s">
        <v>128</v>
      </c>
      <c r="D1657" s="11" t="s">
        <v>108</v>
      </c>
      <c r="E1657" s="12">
        <v>46193.0</v>
      </c>
      <c r="F1657" s="12">
        <v>46254.0</v>
      </c>
      <c r="G1657" s="11" t="s">
        <v>9085</v>
      </c>
      <c r="H1657" s="11">
        <v>6.203720945E9</v>
      </c>
      <c r="I1657" s="11" t="s">
        <v>82</v>
      </c>
      <c r="J1657" s="11" t="s">
        <v>71</v>
      </c>
      <c r="K1657" s="11" t="s">
        <v>72</v>
      </c>
      <c r="L1657" s="11" t="s">
        <v>84</v>
      </c>
      <c r="M1657" s="11" t="s">
        <v>2021</v>
      </c>
      <c r="N1657" s="11" t="s">
        <v>9086</v>
      </c>
      <c r="O1657" s="11" t="s">
        <v>71</v>
      </c>
      <c r="P1657" s="11" t="s">
        <v>9087</v>
      </c>
      <c r="Q1657" s="13" t="s">
        <v>9088</v>
      </c>
      <c r="R1657" s="14" t="str">
        <f>HYPERLINK("https://drive.google.com/file/d/1pSimfbhLbrwT175bX4z5VGpVW-rftkfd/view?usp=drivesdk","OFFER LETTER")</f>
        <v>OFFER LETTER</v>
      </c>
      <c r="S1657" s="11" t="s">
        <v>9089</v>
      </c>
    </row>
    <row r="1658" ht="22.5" customHeight="1">
      <c r="A1658" s="10">
        <v>46265.00480270833</v>
      </c>
      <c r="B1658" s="11" t="s">
        <v>9090</v>
      </c>
      <c r="C1658" s="11" t="s">
        <v>128</v>
      </c>
      <c r="D1658" s="11" t="s">
        <v>108</v>
      </c>
      <c r="E1658" s="12">
        <v>46193.0</v>
      </c>
      <c r="F1658" s="12">
        <v>46254.0</v>
      </c>
      <c r="G1658" s="11" t="s">
        <v>9085</v>
      </c>
      <c r="H1658" s="11">
        <v>6.203720945E9</v>
      </c>
      <c r="I1658" s="11" t="s">
        <v>82</v>
      </c>
      <c r="J1658" s="11" t="s">
        <v>71</v>
      </c>
      <c r="K1658" s="11" t="s">
        <v>72</v>
      </c>
      <c r="L1658" s="11" t="s">
        <v>84</v>
      </c>
      <c r="M1658" s="11" t="s">
        <v>2021</v>
      </c>
      <c r="N1658" s="11" t="s">
        <v>7098</v>
      </c>
      <c r="O1658" s="11" t="s">
        <v>71</v>
      </c>
      <c r="P1658" s="11" t="s">
        <v>9091</v>
      </c>
      <c r="Q1658" s="13" t="s">
        <v>9092</v>
      </c>
      <c r="R1658" s="14" t="str">
        <f>HYPERLINK("https://drive.google.com/file/d/1Ltiugl16LB4tR_z0vDnJyopEffxbYy4v/view?usp=drivesdk","OFFER LETTER")</f>
        <v>OFFER LETTER</v>
      </c>
      <c r="S1658" s="11" t="s">
        <v>9093</v>
      </c>
    </row>
    <row r="1659" ht="22.5" customHeight="1">
      <c r="A1659" s="10">
        <v>46265.03745695602</v>
      </c>
      <c r="B1659" s="11" t="s">
        <v>9094</v>
      </c>
      <c r="C1659" s="11" t="s">
        <v>173</v>
      </c>
      <c r="D1659" s="11" t="s">
        <v>68</v>
      </c>
      <c r="E1659" s="12">
        <v>46174.0</v>
      </c>
      <c r="F1659" s="12">
        <v>46203.0</v>
      </c>
      <c r="G1659" s="11" t="s">
        <v>9095</v>
      </c>
      <c r="H1659" s="11">
        <v>9.131781798E9</v>
      </c>
      <c r="I1659" s="11" t="s">
        <v>82</v>
      </c>
      <c r="J1659" s="11" t="s">
        <v>130</v>
      </c>
      <c r="K1659" s="11" t="s">
        <v>72</v>
      </c>
      <c r="L1659" s="11" t="s">
        <v>84</v>
      </c>
      <c r="M1659" s="11" t="s">
        <v>9096</v>
      </c>
      <c r="N1659" s="11" t="s">
        <v>86</v>
      </c>
      <c r="O1659" s="11" t="s">
        <v>71</v>
      </c>
      <c r="P1659" s="11" t="s">
        <v>9097</v>
      </c>
      <c r="Q1659" s="13" t="s">
        <v>9098</v>
      </c>
      <c r="R1659" s="14" t="str">
        <f>HYPERLINK("https://drive.google.com/file/d/1Az04Qt8o6im-x6YBpKRPvfod2r9eQtOi/view?usp=drivesdk","OFFER LETTER")</f>
        <v>OFFER LETTER</v>
      </c>
      <c r="S1659" s="11" t="s">
        <v>9099</v>
      </c>
    </row>
    <row r="1660" ht="22.5" customHeight="1">
      <c r="A1660" s="10">
        <v>46265.06914767361</v>
      </c>
      <c r="B1660" s="11" t="s">
        <v>3304</v>
      </c>
      <c r="C1660" s="11" t="s">
        <v>107</v>
      </c>
      <c r="D1660" s="11" t="s">
        <v>68</v>
      </c>
      <c r="E1660" s="12">
        <v>46265.0</v>
      </c>
      <c r="F1660" s="12">
        <v>46295.0</v>
      </c>
      <c r="G1660" s="11" t="s">
        <v>3305</v>
      </c>
      <c r="H1660" s="17" t="s">
        <v>9100</v>
      </c>
      <c r="I1660" s="11" t="s">
        <v>82</v>
      </c>
      <c r="J1660" s="11" t="s">
        <v>71</v>
      </c>
      <c r="K1660" s="13" t="s">
        <v>674</v>
      </c>
      <c r="L1660" s="11" t="s">
        <v>247</v>
      </c>
      <c r="M1660" s="11" t="s">
        <v>3306</v>
      </c>
      <c r="N1660" s="11" t="s">
        <v>75</v>
      </c>
      <c r="O1660" s="11" t="s">
        <v>71</v>
      </c>
      <c r="P1660" s="11" t="s">
        <v>9101</v>
      </c>
      <c r="Q1660" s="13" t="s">
        <v>9102</v>
      </c>
      <c r="R1660" s="14" t="str">
        <f>HYPERLINK("https://drive.google.com/file/d/1-tv6byBVuFMJqwgHLlUJIajmp5h73Nia/view?usp=drivesdk","OFFER LETTER")</f>
        <v>OFFER LETTER</v>
      </c>
      <c r="S1660" s="11" t="s">
        <v>9103</v>
      </c>
    </row>
    <row r="1661" ht="22.5" customHeight="1">
      <c r="A1661" s="10">
        <v>46265.14175070602</v>
      </c>
      <c r="B1661" s="11" t="s">
        <v>9104</v>
      </c>
      <c r="C1661" s="11" t="s">
        <v>195</v>
      </c>
      <c r="D1661" s="11" t="s">
        <v>108</v>
      </c>
      <c r="E1661" s="12">
        <v>46266.0</v>
      </c>
      <c r="F1661" s="12">
        <v>46327.0</v>
      </c>
      <c r="G1661" s="11" t="s">
        <v>9105</v>
      </c>
      <c r="H1661" s="17" t="s">
        <v>9106</v>
      </c>
      <c r="I1661" s="11" t="s">
        <v>82</v>
      </c>
      <c r="J1661" s="11" t="s">
        <v>130</v>
      </c>
      <c r="K1661" s="11" t="s">
        <v>356</v>
      </c>
      <c r="L1661" s="11" t="s">
        <v>84</v>
      </c>
      <c r="M1661" s="11" t="s">
        <v>419</v>
      </c>
      <c r="N1661" s="11" t="s">
        <v>75</v>
      </c>
      <c r="O1661" s="11" t="s">
        <v>71</v>
      </c>
      <c r="P1661" s="11" t="s">
        <v>9107</v>
      </c>
      <c r="Q1661" s="13" t="s">
        <v>9108</v>
      </c>
      <c r="R1661" s="14" t="str">
        <f>HYPERLINK("https://drive.google.com/file/d/1PoRRMtmmaqfO0I7O98DjOh5ur6kG6tzu/view?usp=drivesdk","OFFER LETTER")</f>
        <v>OFFER LETTER</v>
      </c>
      <c r="S1661" s="11" t="s">
        <v>9109</v>
      </c>
    </row>
    <row r="1662" ht="22.5" customHeight="1">
      <c r="A1662" s="10">
        <v>46265.300778414356</v>
      </c>
      <c r="B1662" s="11" t="s">
        <v>9110</v>
      </c>
      <c r="C1662" s="11" t="s">
        <v>1320</v>
      </c>
      <c r="D1662" s="11" t="s">
        <v>108</v>
      </c>
      <c r="E1662" s="12">
        <v>46145.0</v>
      </c>
      <c r="F1662" s="12">
        <v>46206.0</v>
      </c>
      <c r="G1662" s="11" t="s">
        <v>9111</v>
      </c>
      <c r="H1662" s="11">
        <v>8.096708018E9</v>
      </c>
      <c r="I1662" s="11" t="s">
        <v>70</v>
      </c>
      <c r="J1662" s="11" t="s">
        <v>71</v>
      </c>
      <c r="K1662" s="11" t="s">
        <v>72</v>
      </c>
      <c r="L1662" s="11" t="s">
        <v>73</v>
      </c>
      <c r="M1662" s="11" t="s">
        <v>9112</v>
      </c>
      <c r="N1662" s="11" t="s">
        <v>86</v>
      </c>
      <c r="O1662" s="11" t="s">
        <v>71</v>
      </c>
      <c r="P1662" s="11" t="s">
        <v>9113</v>
      </c>
      <c r="Q1662" s="13" t="s">
        <v>9114</v>
      </c>
      <c r="R1662" s="14" t="str">
        <f>HYPERLINK("https://drive.google.com/file/d/18kLZEdlV1pn5vDCNww_tGJOH0t2gvvwx/view?usp=drivesdk","OFFER LETTER")</f>
        <v>OFFER LETTER</v>
      </c>
      <c r="S1662" s="11" t="s">
        <v>9115</v>
      </c>
    </row>
    <row r="1663" ht="22.5" customHeight="1">
      <c r="A1663" s="10">
        <v>46265.36892814815</v>
      </c>
      <c r="B1663" s="11" t="s">
        <v>9116</v>
      </c>
      <c r="C1663" s="11" t="s">
        <v>128</v>
      </c>
      <c r="D1663" s="11" t="s">
        <v>68</v>
      </c>
      <c r="E1663" s="12">
        <v>46265.0</v>
      </c>
      <c r="F1663" s="12">
        <v>46295.0</v>
      </c>
      <c r="G1663" s="11" t="s">
        <v>9117</v>
      </c>
      <c r="H1663" s="11">
        <v>8.639609805E9</v>
      </c>
      <c r="I1663" s="11" t="s">
        <v>70</v>
      </c>
      <c r="J1663" s="11" t="s">
        <v>130</v>
      </c>
      <c r="K1663" s="11" t="s">
        <v>110</v>
      </c>
      <c r="L1663" s="11" t="s">
        <v>247</v>
      </c>
      <c r="M1663" s="11" t="s">
        <v>6555</v>
      </c>
      <c r="N1663" s="11" t="s">
        <v>86</v>
      </c>
      <c r="O1663" s="11" t="s">
        <v>71</v>
      </c>
      <c r="P1663" s="11" t="s">
        <v>9118</v>
      </c>
      <c r="Q1663" s="13" t="s">
        <v>9119</v>
      </c>
      <c r="R1663" s="14" t="str">
        <f>HYPERLINK("https://drive.google.com/file/d/1V7GLHwMJFjUE8BqaUyIkqcC6Hmf0jDWz/view?usp=drivesdk","OFFER LETTER")</f>
        <v>OFFER LETTER</v>
      </c>
      <c r="S1663" s="11" t="s">
        <v>9120</v>
      </c>
    </row>
    <row r="1664" ht="22.5" customHeight="1">
      <c r="A1664" s="10">
        <v>46265.37245253472</v>
      </c>
      <c r="B1664" s="11" t="s">
        <v>9121</v>
      </c>
      <c r="C1664" s="11" t="s">
        <v>107</v>
      </c>
      <c r="D1664" s="11" t="s">
        <v>108</v>
      </c>
      <c r="E1664" s="12">
        <v>46265.0</v>
      </c>
      <c r="F1664" s="12">
        <v>46326.0</v>
      </c>
      <c r="G1664" s="11" t="s">
        <v>9122</v>
      </c>
      <c r="H1664" s="17" t="s">
        <v>9123</v>
      </c>
      <c r="I1664" s="11" t="s">
        <v>82</v>
      </c>
      <c r="J1664" s="11" t="s">
        <v>71</v>
      </c>
      <c r="K1664" s="11" t="s">
        <v>167</v>
      </c>
      <c r="L1664" s="11" t="s">
        <v>84</v>
      </c>
      <c r="M1664" s="11" t="s">
        <v>9124</v>
      </c>
      <c r="N1664" s="11" t="s">
        <v>241</v>
      </c>
      <c r="O1664" s="11" t="s">
        <v>71</v>
      </c>
      <c r="P1664" s="11" t="s">
        <v>9125</v>
      </c>
      <c r="Q1664" s="13" t="s">
        <v>9126</v>
      </c>
      <c r="R1664" s="14" t="str">
        <f>HYPERLINK("https://drive.google.com/file/d/1zJgymy1U4qEDx8QsrSkDqcoGti2zwf30/view?usp=drivesdk","OFFER LETTER")</f>
        <v>OFFER LETTER</v>
      </c>
      <c r="S1664" s="11" t="s">
        <v>9127</v>
      </c>
    </row>
    <row r="1665" ht="22.5" customHeight="1">
      <c r="A1665" s="10">
        <v>46265.39141016203</v>
      </c>
      <c r="B1665" s="11" t="s">
        <v>9128</v>
      </c>
      <c r="C1665" s="11" t="s">
        <v>91</v>
      </c>
      <c r="D1665" s="11" t="s">
        <v>68</v>
      </c>
      <c r="E1665" s="12">
        <v>46266.0</v>
      </c>
      <c r="F1665" s="12">
        <v>46295.0</v>
      </c>
      <c r="G1665" s="11" t="s">
        <v>9129</v>
      </c>
      <c r="H1665" s="11">
        <v>6.37664799E9</v>
      </c>
      <c r="I1665" s="11" t="s">
        <v>70</v>
      </c>
      <c r="J1665" s="11" t="s">
        <v>71</v>
      </c>
      <c r="K1665" s="11" t="s">
        <v>72</v>
      </c>
      <c r="L1665" s="11" t="s">
        <v>247</v>
      </c>
      <c r="M1665" s="11" t="s">
        <v>9130</v>
      </c>
      <c r="N1665" s="11" t="s">
        <v>75</v>
      </c>
      <c r="O1665" s="11" t="s">
        <v>71</v>
      </c>
      <c r="P1665" s="11" t="s">
        <v>9131</v>
      </c>
      <c r="Q1665" s="13" t="s">
        <v>9132</v>
      </c>
      <c r="R1665" s="14" t="str">
        <f>HYPERLINK("https://drive.google.com/file/d/1VX1PtiFXBm9CKEUdM6KR7g6wThNphK28/view?usp=drivesdk","OFFER LETTER")</f>
        <v>OFFER LETTER</v>
      </c>
      <c r="S1665" s="11" t="s">
        <v>9133</v>
      </c>
    </row>
    <row r="1666" ht="22.5" customHeight="1">
      <c r="A1666" s="10">
        <v>46265.41993546297</v>
      </c>
      <c r="B1666" s="11" t="s">
        <v>9134</v>
      </c>
      <c r="C1666" s="11" t="s">
        <v>173</v>
      </c>
      <c r="D1666" s="11" t="s">
        <v>68</v>
      </c>
      <c r="E1666" s="12">
        <v>46265.0</v>
      </c>
      <c r="F1666" s="12">
        <v>46295.0</v>
      </c>
      <c r="G1666" s="11" t="s">
        <v>9135</v>
      </c>
      <c r="H1666" s="11">
        <v>9.661632561E9</v>
      </c>
      <c r="I1666" s="11" t="s">
        <v>82</v>
      </c>
      <c r="J1666" s="11" t="s">
        <v>71</v>
      </c>
      <c r="K1666" s="11" t="s">
        <v>72</v>
      </c>
      <c r="L1666" s="11" t="s">
        <v>131</v>
      </c>
      <c r="M1666" s="11" t="s">
        <v>9136</v>
      </c>
      <c r="N1666" s="11" t="s">
        <v>75</v>
      </c>
      <c r="O1666" s="11" t="s">
        <v>71</v>
      </c>
      <c r="P1666" s="11" t="s">
        <v>9137</v>
      </c>
      <c r="Q1666" s="13" t="s">
        <v>9138</v>
      </c>
      <c r="R1666" s="14" t="str">
        <f>HYPERLINK("https://drive.google.com/file/d/1iAizVyaMlm8Sp3a7UHaWkFCWUZZGMyRI/view?usp=drivesdk","OFFER LETTER")</f>
        <v>OFFER LETTER</v>
      </c>
      <c r="S1666" s="11" t="s">
        <v>9139</v>
      </c>
    </row>
    <row r="1667" ht="22.5" customHeight="1">
      <c r="A1667" s="10">
        <v>46265.426768101854</v>
      </c>
      <c r="B1667" s="11" t="s">
        <v>9140</v>
      </c>
      <c r="C1667" s="11" t="s">
        <v>128</v>
      </c>
      <c r="D1667" s="11" t="s">
        <v>68</v>
      </c>
      <c r="E1667" s="12">
        <v>46226.0</v>
      </c>
      <c r="F1667" s="12">
        <v>46257.0</v>
      </c>
      <c r="G1667" s="11" t="s">
        <v>9141</v>
      </c>
      <c r="H1667" s="11">
        <v>9.810291824E9</v>
      </c>
      <c r="I1667" s="11" t="s">
        <v>82</v>
      </c>
      <c r="J1667" s="11" t="s">
        <v>71</v>
      </c>
      <c r="K1667" s="11" t="s">
        <v>72</v>
      </c>
      <c r="L1667" s="11" t="s">
        <v>84</v>
      </c>
      <c r="M1667" s="11" t="s">
        <v>849</v>
      </c>
      <c r="N1667" s="11" t="s">
        <v>86</v>
      </c>
      <c r="O1667" s="11" t="s">
        <v>71</v>
      </c>
      <c r="P1667" s="11" t="s">
        <v>9142</v>
      </c>
      <c r="Q1667" s="13" t="s">
        <v>9143</v>
      </c>
      <c r="R1667" s="14" t="str">
        <f>HYPERLINK("https://drive.google.com/file/d/1Ke_iIbaKoOKhQUH3NoIv-seTIDaOXT_t/view?usp=drivesdk","OFFER LETTER")</f>
        <v>OFFER LETTER</v>
      </c>
      <c r="S1667" s="11" t="s">
        <v>9144</v>
      </c>
    </row>
    <row r="1668" ht="22.5" customHeight="1">
      <c r="A1668" s="10">
        <v>46265.42873824074</v>
      </c>
      <c r="B1668" s="11" t="s">
        <v>9145</v>
      </c>
      <c r="C1668" s="11" t="s">
        <v>596</v>
      </c>
      <c r="D1668" s="11" t="s">
        <v>68</v>
      </c>
      <c r="E1668" s="12">
        <v>46265.0</v>
      </c>
      <c r="F1668" s="12">
        <v>46295.0</v>
      </c>
      <c r="G1668" s="11" t="s">
        <v>9146</v>
      </c>
      <c r="H1668" s="11">
        <v>9.693149399E9</v>
      </c>
      <c r="I1668" s="11" t="s">
        <v>82</v>
      </c>
      <c r="J1668" s="11" t="s">
        <v>71</v>
      </c>
      <c r="K1668" s="11" t="s">
        <v>72</v>
      </c>
      <c r="L1668" s="11" t="s">
        <v>84</v>
      </c>
      <c r="M1668" s="11" t="s">
        <v>9147</v>
      </c>
      <c r="N1668" s="11" t="s">
        <v>86</v>
      </c>
      <c r="O1668" s="11" t="s">
        <v>71</v>
      </c>
      <c r="P1668" s="11" t="s">
        <v>9148</v>
      </c>
      <c r="Q1668" s="13" t="s">
        <v>9149</v>
      </c>
      <c r="R1668" s="14" t="str">
        <f>HYPERLINK("https://drive.google.com/file/d/1eHS0vAuwDbXdvLtEsTn0C0CktHsPuXkl/view?usp=drivesdk","OFFER LETTER")</f>
        <v>OFFER LETTER</v>
      </c>
      <c r="S1668" s="11" t="s">
        <v>9150</v>
      </c>
    </row>
    <row r="1669" ht="22.5" customHeight="1">
      <c r="A1669" s="10">
        <v>46265.430779490736</v>
      </c>
      <c r="B1669" s="11" t="s">
        <v>9151</v>
      </c>
      <c r="C1669" s="11" t="s">
        <v>298</v>
      </c>
      <c r="D1669" s="11" t="s">
        <v>238</v>
      </c>
      <c r="E1669" s="12">
        <v>46266.0</v>
      </c>
      <c r="F1669" s="12">
        <v>46327.0</v>
      </c>
      <c r="G1669" s="11" t="s">
        <v>9152</v>
      </c>
      <c r="H1669" s="11">
        <v>9.634700234E9</v>
      </c>
      <c r="I1669" s="11" t="s">
        <v>82</v>
      </c>
      <c r="J1669" s="11" t="s">
        <v>71</v>
      </c>
      <c r="K1669" s="11" t="s">
        <v>72</v>
      </c>
      <c r="L1669" s="11" t="s">
        <v>73</v>
      </c>
      <c r="M1669" s="11" t="s">
        <v>9153</v>
      </c>
      <c r="N1669" s="11" t="s">
        <v>75</v>
      </c>
      <c r="O1669" s="11" t="s">
        <v>71</v>
      </c>
      <c r="P1669" s="11" t="s">
        <v>9154</v>
      </c>
      <c r="Q1669" s="13" t="s">
        <v>9155</v>
      </c>
      <c r="R1669" s="14" t="str">
        <f>HYPERLINK("https://drive.google.com/file/d/1Fq3dtMi91dz8kgwK1PtwM2hLdIREQBLP/view?usp=drivesdk","OFFER LETTER")</f>
        <v>OFFER LETTER</v>
      </c>
      <c r="S1669" s="11" t="s">
        <v>9156</v>
      </c>
    </row>
    <row r="1670" ht="22.5" customHeight="1">
      <c r="A1670" s="10">
        <v>46265.43940636574</v>
      </c>
      <c r="B1670" s="11" t="s">
        <v>9157</v>
      </c>
      <c r="C1670" s="11" t="s">
        <v>596</v>
      </c>
      <c r="D1670" s="11" t="s">
        <v>108</v>
      </c>
      <c r="E1670" s="12">
        <v>46174.0</v>
      </c>
      <c r="F1670" s="12">
        <v>46235.0</v>
      </c>
      <c r="G1670" s="11" t="s">
        <v>9158</v>
      </c>
      <c r="H1670" s="11">
        <v>7.233941311E9</v>
      </c>
      <c r="I1670" s="11" t="s">
        <v>82</v>
      </c>
      <c r="J1670" s="11" t="s">
        <v>71</v>
      </c>
      <c r="K1670" s="11" t="s">
        <v>72</v>
      </c>
      <c r="L1670" s="11" t="s">
        <v>84</v>
      </c>
      <c r="M1670" s="11" t="s">
        <v>9159</v>
      </c>
      <c r="N1670" s="11" t="s">
        <v>219</v>
      </c>
      <c r="O1670" s="11" t="s">
        <v>71</v>
      </c>
      <c r="P1670" s="11" t="s">
        <v>9160</v>
      </c>
      <c r="Q1670" s="13" t="s">
        <v>9161</v>
      </c>
      <c r="R1670" s="14" t="str">
        <f>HYPERLINK("https://drive.google.com/file/d/10mEnQUJdOc9rEF7lf5Xlrynr-XL4UidL/view?usp=drivesdk","OFFER LETTER")</f>
        <v>OFFER LETTER</v>
      </c>
      <c r="S1670" s="11" t="s">
        <v>9162</v>
      </c>
    </row>
    <row r="1671" ht="22.5" customHeight="1">
      <c r="A1671" s="10">
        <v>46265.4407821875</v>
      </c>
      <c r="B1671" s="11" t="s">
        <v>9163</v>
      </c>
      <c r="C1671" s="11" t="s">
        <v>259</v>
      </c>
      <c r="D1671" s="11" t="s">
        <v>108</v>
      </c>
      <c r="E1671" s="12">
        <v>46265.0</v>
      </c>
      <c r="F1671" s="12">
        <v>46326.0</v>
      </c>
      <c r="G1671" s="11" t="s">
        <v>9164</v>
      </c>
      <c r="H1671" s="11">
        <v>7.205250777E9</v>
      </c>
      <c r="I1671" s="11" t="s">
        <v>82</v>
      </c>
      <c r="J1671" s="11" t="s">
        <v>71</v>
      </c>
      <c r="K1671" s="11" t="s">
        <v>110</v>
      </c>
      <c r="L1671" s="11" t="s">
        <v>84</v>
      </c>
      <c r="M1671" s="11" t="s">
        <v>481</v>
      </c>
      <c r="N1671" s="11" t="s">
        <v>133</v>
      </c>
      <c r="O1671" s="11" t="s">
        <v>71</v>
      </c>
      <c r="P1671" s="11" t="s">
        <v>9165</v>
      </c>
      <c r="Q1671" s="13" t="s">
        <v>9166</v>
      </c>
      <c r="R1671" s="14" t="str">
        <f>HYPERLINK("https://drive.google.com/file/d/1VJ4rG2uFdFSlOtlGeYWepm4w75B9HsfT/view?usp=drivesdk","OFFER LETTER")</f>
        <v>OFFER LETTER</v>
      </c>
      <c r="S1671" s="11" t="s">
        <v>9167</v>
      </c>
    </row>
    <row r="1672" ht="22.5" customHeight="1">
      <c r="A1672" s="10">
        <v>46265.44136293982</v>
      </c>
      <c r="B1672" s="11" t="s">
        <v>9168</v>
      </c>
      <c r="C1672" s="11" t="s">
        <v>195</v>
      </c>
      <c r="D1672" s="11" t="s">
        <v>68</v>
      </c>
      <c r="E1672" s="12">
        <v>46265.0</v>
      </c>
      <c r="F1672" s="12">
        <v>46295.0</v>
      </c>
      <c r="G1672" s="11" t="s">
        <v>9169</v>
      </c>
      <c r="H1672" s="11">
        <v>7.000862186E9</v>
      </c>
      <c r="I1672" s="11" t="s">
        <v>82</v>
      </c>
      <c r="J1672" s="11" t="s">
        <v>71</v>
      </c>
      <c r="K1672" s="11" t="s">
        <v>110</v>
      </c>
      <c r="L1672" s="11" t="s">
        <v>247</v>
      </c>
      <c r="M1672" s="11" t="s">
        <v>9170</v>
      </c>
      <c r="N1672" s="11" t="s">
        <v>75</v>
      </c>
      <c r="O1672" s="11" t="s">
        <v>71</v>
      </c>
      <c r="P1672" s="11" t="s">
        <v>9171</v>
      </c>
      <c r="Q1672" s="13" t="s">
        <v>9172</v>
      </c>
      <c r="R1672" s="14" t="str">
        <f>HYPERLINK("https://drive.google.com/file/d/1L8dcPqrSUbpr30EPXVvK24DmQYBQ2Wej/view?usp=drivesdk","OFFER LETTER")</f>
        <v>OFFER LETTER</v>
      </c>
      <c r="S1672" s="11" t="s">
        <v>9173</v>
      </c>
    </row>
    <row r="1673" ht="22.5" customHeight="1">
      <c r="A1673" s="10">
        <v>46265.44419368055</v>
      </c>
      <c r="B1673" s="11" t="s">
        <v>9174</v>
      </c>
      <c r="C1673" s="11" t="s">
        <v>259</v>
      </c>
      <c r="D1673" s="11" t="s">
        <v>68</v>
      </c>
      <c r="E1673" s="12">
        <v>46265.0</v>
      </c>
      <c r="F1673" s="12">
        <v>46266.0</v>
      </c>
      <c r="G1673" s="11" t="s">
        <v>9175</v>
      </c>
      <c r="H1673" s="11">
        <v>7.207243284E9</v>
      </c>
      <c r="I1673" s="11" t="s">
        <v>70</v>
      </c>
      <c r="J1673" s="11" t="s">
        <v>71</v>
      </c>
      <c r="K1673" s="11" t="s">
        <v>72</v>
      </c>
      <c r="L1673" s="11" t="s">
        <v>73</v>
      </c>
      <c r="M1673" s="11" t="s">
        <v>9176</v>
      </c>
      <c r="N1673" s="11" t="s">
        <v>75</v>
      </c>
      <c r="O1673" s="11" t="s">
        <v>71</v>
      </c>
      <c r="P1673" s="11" t="s">
        <v>9177</v>
      </c>
      <c r="Q1673" s="13" t="s">
        <v>9178</v>
      </c>
      <c r="R1673" s="14" t="str">
        <f>HYPERLINK("https://drive.google.com/file/d/1MKkOx-bX3sxue8GOuNCXNyXsDwuZml1O/view?usp=drivesdk","OFFER LETTER")</f>
        <v>OFFER LETTER</v>
      </c>
      <c r="S1673" s="11" t="s">
        <v>9179</v>
      </c>
    </row>
    <row r="1674" ht="22.5" customHeight="1">
      <c r="A1674" s="10">
        <v>46265.446349942125</v>
      </c>
      <c r="B1674" s="11" t="s">
        <v>9180</v>
      </c>
      <c r="C1674" s="11" t="s">
        <v>259</v>
      </c>
      <c r="D1674" s="11" t="s">
        <v>68</v>
      </c>
      <c r="E1674" s="12">
        <v>46234.0</v>
      </c>
      <c r="F1674" s="12">
        <v>46265.0</v>
      </c>
      <c r="G1674" s="11" t="s">
        <v>9181</v>
      </c>
      <c r="H1674" s="11">
        <v>8.489724653E9</v>
      </c>
      <c r="I1674" s="11" t="s">
        <v>82</v>
      </c>
      <c r="J1674" s="11" t="s">
        <v>71</v>
      </c>
      <c r="K1674" s="11" t="s">
        <v>72</v>
      </c>
      <c r="L1674" s="11" t="s">
        <v>84</v>
      </c>
      <c r="M1674" s="11" t="s">
        <v>9182</v>
      </c>
      <c r="N1674" s="11" t="s">
        <v>86</v>
      </c>
      <c r="O1674" s="11" t="s">
        <v>71</v>
      </c>
      <c r="P1674" s="11" t="s">
        <v>9183</v>
      </c>
      <c r="Q1674" s="13" t="s">
        <v>9184</v>
      </c>
      <c r="R1674" s="14" t="str">
        <f>HYPERLINK("https://drive.google.com/file/d/1FWRj-XnFOXPLGs8EsnMNQ-AdI3AsW5fW/view?usp=drivesdk","OFFER LETTER")</f>
        <v>OFFER LETTER</v>
      </c>
      <c r="S1674" s="11" t="s">
        <v>9185</v>
      </c>
    </row>
    <row r="1675" ht="22.5" customHeight="1">
      <c r="A1675" s="10">
        <v>46265.44773221065</v>
      </c>
      <c r="B1675" s="11" t="s">
        <v>9186</v>
      </c>
      <c r="C1675" s="11" t="s">
        <v>173</v>
      </c>
      <c r="D1675" s="11" t="s">
        <v>68</v>
      </c>
      <c r="E1675" s="12">
        <v>46265.0</v>
      </c>
      <c r="F1675" s="12">
        <v>46295.0</v>
      </c>
      <c r="G1675" s="11" t="s">
        <v>9169</v>
      </c>
      <c r="H1675" s="11">
        <v>7.000862186E9</v>
      </c>
      <c r="I1675" s="11" t="s">
        <v>82</v>
      </c>
      <c r="J1675" s="11" t="s">
        <v>71</v>
      </c>
      <c r="K1675" s="11" t="s">
        <v>110</v>
      </c>
      <c r="L1675" s="11" t="s">
        <v>247</v>
      </c>
      <c r="M1675" s="11" t="s">
        <v>9170</v>
      </c>
      <c r="N1675" s="11" t="s">
        <v>75</v>
      </c>
      <c r="O1675" s="11" t="s">
        <v>71</v>
      </c>
      <c r="P1675" s="11" t="s">
        <v>9187</v>
      </c>
      <c r="Q1675" s="13" t="s">
        <v>9188</v>
      </c>
      <c r="R1675" s="14" t="str">
        <f>HYPERLINK("https://drive.google.com/file/d/1qjX0hK_lhUdHL3eRhpyB8zpCL3ZvEpoB/view?usp=drivesdk","OFFER LETTER")</f>
        <v>OFFER LETTER</v>
      </c>
      <c r="S1675" s="11" t="s">
        <v>9189</v>
      </c>
    </row>
    <row r="1676" ht="22.5" customHeight="1">
      <c r="A1676" s="10">
        <v>46265.45304440972</v>
      </c>
      <c r="B1676" s="11" t="s">
        <v>9190</v>
      </c>
      <c r="C1676" s="11" t="s">
        <v>298</v>
      </c>
      <c r="D1676" s="11" t="s">
        <v>68</v>
      </c>
      <c r="E1676" s="12">
        <v>46234.0</v>
      </c>
      <c r="F1676" s="12">
        <v>46265.0</v>
      </c>
      <c r="G1676" s="11" t="s">
        <v>9191</v>
      </c>
      <c r="H1676" s="11">
        <v>8.688177519E9</v>
      </c>
      <c r="I1676" s="11" t="s">
        <v>82</v>
      </c>
      <c r="J1676" s="11" t="s">
        <v>71</v>
      </c>
      <c r="K1676" s="11" t="s">
        <v>72</v>
      </c>
      <c r="L1676" s="11" t="s">
        <v>73</v>
      </c>
      <c r="M1676" s="11" t="s">
        <v>9192</v>
      </c>
      <c r="N1676" s="11" t="s">
        <v>86</v>
      </c>
      <c r="O1676" s="11" t="s">
        <v>71</v>
      </c>
      <c r="P1676" s="11" t="s">
        <v>9193</v>
      </c>
      <c r="Q1676" s="13" t="s">
        <v>9194</v>
      </c>
      <c r="R1676" s="14" t="str">
        <f>HYPERLINK("https://drive.google.com/file/d/14AIyPZhy0GHlcHrDy-hOJ9pwHqFYq4GC/view?usp=drivesdk","OFFER LETTER")</f>
        <v>OFFER LETTER</v>
      </c>
      <c r="S1676" s="11" t="s">
        <v>9195</v>
      </c>
    </row>
    <row r="1677" ht="22.5" customHeight="1">
      <c r="A1677" s="10">
        <v>46265.45414120371</v>
      </c>
      <c r="B1677" s="11" t="s">
        <v>9196</v>
      </c>
      <c r="C1677" s="11" t="s">
        <v>195</v>
      </c>
      <c r="D1677" s="11" t="s">
        <v>68</v>
      </c>
      <c r="E1677" s="12">
        <v>46265.0</v>
      </c>
      <c r="F1677" s="12">
        <v>46295.0</v>
      </c>
      <c r="G1677" s="11" t="s">
        <v>9197</v>
      </c>
      <c r="H1677" s="11">
        <v>9.740631889E9</v>
      </c>
      <c r="I1677" s="11" t="s">
        <v>82</v>
      </c>
      <c r="J1677" s="11" t="s">
        <v>71</v>
      </c>
      <c r="K1677" s="11" t="s">
        <v>72</v>
      </c>
      <c r="L1677" s="11" t="s">
        <v>73</v>
      </c>
      <c r="M1677" s="11" t="s">
        <v>9198</v>
      </c>
      <c r="N1677" s="11" t="s">
        <v>241</v>
      </c>
      <c r="O1677" s="11" t="s">
        <v>71</v>
      </c>
      <c r="P1677" s="11" t="s">
        <v>9199</v>
      </c>
      <c r="Q1677" s="13" t="s">
        <v>9200</v>
      </c>
      <c r="R1677" s="14" t="str">
        <f>HYPERLINK("https://drive.google.com/file/d/14lhkSY0lKJqHRwIU8alcfvtW0mvHTINr/view?usp=drivesdk","OFFER LETTER")</f>
        <v>OFFER LETTER</v>
      </c>
      <c r="S1677" s="11" t="s">
        <v>9201</v>
      </c>
    </row>
    <row r="1678" ht="22.5" customHeight="1">
      <c r="A1678" s="10">
        <v>46265.45592385417</v>
      </c>
      <c r="B1678" s="11" t="s">
        <v>9202</v>
      </c>
      <c r="C1678" s="11" t="s">
        <v>173</v>
      </c>
      <c r="D1678" s="11" t="s">
        <v>108</v>
      </c>
      <c r="E1678" s="12">
        <v>46179.0</v>
      </c>
      <c r="F1678" s="12">
        <v>46240.0</v>
      </c>
      <c r="G1678" s="11" t="s">
        <v>9203</v>
      </c>
      <c r="H1678" s="17" t="s">
        <v>9204</v>
      </c>
      <c r="I1678" s="11" t="s">
        <v>70</v>
      </c>
      <c r="J1678" s="11" t="s">
        <v>71</v>
      </c>
      <c r="K1678" s="11" t="s">
        <v>72</v>
      </c>
      <c r="L1678" s="11" t="s">
        <v>131</v>
      </c>
      <c r="M1678" s="11" t="s">
        <v>9205</v>
      </c>
      <c r="N1678" s="11" t="s">
        <v>5502</v>
      </c>
      <c r="O1678" s="11" t="s">
        <v>71</v>
      </c>
      <c r="P1678" s="11" t="s">
        <v>9206</v>
      </c>
      <c r="Q1678" s="13" t="s">
        <v>9207</v>
      </c>
      <c r="R1678" s="14" t="str">
        <f>HYPERLINK("https://drive.google.com/file/d/18napSdNMNXE3TpCv3lAQf8K-adDxa2uy/view?usp=drivesdk","OFFER LETTER")</f>
        <v>OFFER LETTER</v>
      </c>
      <c r="S1678" s="11" t="s">
        <v>9208</v>
      </c>
    </row>
    <row r="1679" ht="22.5" customHeight="1">
      <c r="A1679" s="10">
        <v>46265.45679207176</v>
      </c>
      <c r="B1679" s="11" t="s">
        <v>9209</v>
      </c>
      <c r="C1679" s="11" t="s">
        <v>195</v>
      </c>
      <c r="D1679" s="11" t="s">
        <v>68</v>
      </c>
      <c r="E1679" s="12">
        <v>46265.0</v>
      </c>
      <c r="F1679" s="12">
        <v>46265.0</v>
      </c>
      <c r="G1679" s="11" t="s">
        <v>9210</v>
      </c>
      <c r="H1679" s="11">
        <v>9.354864066E9</v>
      </c>
      <c r="I1679" s="11" t="s">
        <v>82</v>
      </c>
      <c r="J1679" s="11" t="s">
        <v>83</v>
      </c>
      <c r="K1679" s="11" t="s">
        <v>72</v>
      </c>
      <c r="L1679" s="11" t="s">
        <v>73</v>
      </c>
      <c r="M1679" s="11" t="s">
        <v>9211</v>
      </c>
      <c r="N1679" s="11" t="s">
        <v>198</v>
      </c>
      <c r="O1679" s="11" t="s">
        <v>71</v>
      </c>
      <c r="P1679" s="11" t="s">
        <v>9212</v>
      </c>
      <c r="Q1679" s="13" t="s">
        <v>9213</v>
      </c>
      <c r="R1679" s="14" t="str">
        <f>HYPERLINK("https://drive.google.com/file/d/1DAyDMJkU2fECWyYa6sduMdvpVJzdjTEP/view?usp=drivesdk","OFFER LETTER")</f>
        <v>OFFER LETTER</v>
      </c>
      <c r="S1679" s="11" t="s">
        <v>9214</v>
      </c>
    </row>
    <row r="1680" ht="22.5" customHeight="1">
      <c r="A1680" s="10">
        <v>46265.456798784726</v>
      </c>
      <c r="B1680" s="11" t="s">
        <v>9215</v>
      </c>
      <c r="C1680" s="11" t="s">
        <v>107</v>
      </c>
      <c r="D1680" s="11" t="s">
        <v>929</v>
      </c>
      <c r="E1680" s="12">
        <v>46280.0</v>
      </c>
      <c r="F1680" s="12">
        <v>46433.0</v>
      </c>
      <c r="G1680" s="11" t="s">
        <v>9216</v>
      </c>
      <c r="H1680" s="11">
        <v>8.91945904E9</v>
      </c>
      <c r="I1680" s="11" t="s">
        <v>70</v>
      </c>
      <c r="J1680" s="11" t="s">
        <v>71</v>
      </c>
      <c r="K1680" s="11" t="s">
        <v>72</v>
      </c>
      <c r="L1680" s="11" t="s">
        <v>131</v>
      </c>
      <c r="M1680" s="11" t="s">
        <v>9217</v>
      </c>
      <c r="N1680" s="11" t="s">
        <v>5147</v>
      </c>
      <c r="O1680" s="11" t="s">
        <v>71</v>
      </c>
      <c r="P1680" s="11" t="s">
        <v>9218</v>
      </c>
      <c r="Q1680" s="13" t="s">
        <v>9219</v>
      </c>
      <c r="R1680" s="14" t="str">
        <f>HYPERLINK("https://drive.google.com/file/d/1G2SPkhXPEP88UZt8GI9XmwuwW_TN6ZBo/view?usp=drivesdk","OFFER LETTER")</f>
        <v>OFFER LETTER</v>
      </c>
      <c r="S1680" s="11" t="s">
        <v>9220</v>
      </c>
    </row>
    <row r="1681" ht="22.5" customHeight="1">
      <c r="A1681" s="10">
        <v>46265.458675092596</v>
      </c>
      <c r="B1681" s="11" t="s">
        <v>9221</v>
      </c>
      <c r="C1681" s="11" t="s">
        <v>80</v>
      </c>
      <c r="D1681" s="11" t="s">
        <v>68</v>
      </c>
      <c r="E1681" s="12">
        <v>46258.0</v>
      </c>
      <c r="F1681" s="12">
        <v>46289.0</v>
      </c>
      <c r="G1681" s="11" t="s">
        <v>9222</v>
      </c>
      <c r="H1681" s="11">
        <v>9.353980992E9</v>
      </c>
      <c r="I1681" s="11" t="s">
        <v>70</v>
      </c>
      <c r="J1681" s="11" t="s">
        <v>71</v>
      </c>
      <c r="K1681" s="11" t="s">
        <v>72</v>
      </c>
      <c r="L1681" s="11" t="s">
        <v>131</v>
      </c>
      <c r="M1681" s="11" t="s">
        <v>9223</v>
      </c>
      <c r="N1681" s="11" t="s">
        <v>86</v>
      </c>
      <c r="O1681" s="11" t="s">
        <v>71</v>
      </c>
      <c r="P1681" s="11" t="s">
        <v>9224</v>
      </c>
      <c r="Q1681" s="13" t="s">
        <v>9225</v>
      </c>
      <c r="R1681" s="14" t="str">
        <f>HYPERLINK("https://drive.google.com/file/d/1YeNSZ4UtcNF3h-5YXmBtJpbbf8FsImkV/view?usp=drivesdk","OFFER LETTER")</f>
        <v>OFFER LETTER</v>
      </c>
      <c r="S1681" s="11" t="s">
        <v>9226</v>
      </c>
    </row>
    <row r="1682" ht="22.5" customHeight="1">
      <c r="A1682" s="10">
        <v>46265.460264293986</v>
      </c>
      <c r="B1682" s="11" t="s">
        <v>9168</v>
      </c>
      <c r="C1682" s="11" t="s">
        <v>259</v>
      </c>
      <c r="D1682" s="11" t="s">
        <v>68</v>
      </c>
      <c r="E1682" s="12">
        <v>46265.0</v>
      </c>
      <c r="F1682" s="12">
        <v>46295.0</v>
      </c>
      <c r="G1682" s="11" t="s">
        <v>9169</v>
      </c>
      <c r="H1682" s="11">
        <v>7.000862186E9</v>
      </c>
      <c r="I1682" s="11" t="s">
        <v>82</v>
      </c>
      <c r="J1682" s="11" t="s">
        <v>71</v>
      </c>
      <c r="K1682" s="11" t="s">
        <v>110</v>
      </c>
      <c r="L1682" s="11" t="s">
        <v>247</v>
      </c>
      <c r="M1682" s="11" t="s">
        <v>9170</v>
      </c>
      <c r="N1682" s="11" t="s">
        <v>75</v>
      </c>
      <c r="O1682" s="11" t="s">
        <v>71</v>
      </c>
      <c r="P1682" s="11" t="s">
        <v>9227</v>
      </c>
      <c r="Q1682" s="13" t="s">
        <v>9228</v>
      </c>
      <c r="R1682" s="14" t="str">
        <f>HYPERLINK("https://drive.google.com/file/d/1EPw1c09eV7jkHsLLvRk102GPmDilsLGv/view?usp=drivesdk","OFFER LETTER")</f>
        <v>OFFER LETTER</v>
      </c>
      <c r="S1682" s="11" t="s">
        <v>9229</v>
      </c>
    </row>
    <row r="1683" ht="22.5" customHeight="1">
      <c r="A1683" s="10">
        <v>46265.46115232639</v>
      </c>
      <c r="B1683" s="11" t="s">
        <v>9230</v>
      </c>
      <c r="C1683" s="11" t="s">
        <v>195</v>
      </c>
      <c r="D1683" s="11" t="s">
        <v>108</v>
      </c>
      <c r="E1683" s="12">
        <v>46175.0</v>
      </c>
      <c r="F1683" s="12">
        <v>46236.0</v>
      </c>
      <c r="G1683" s="11" t="s">
        <v>9231</v>
      </c>
      <c r="H1683" s="11">
        <v>8.929828103E9</v>
      </c>
      <c r="I1683" s="11" t="s">
        <v>82</v>
      </c>
      <c r="J1683" s="11" t="s">
        <v>71</v>
      </c>
      <c r="K1683" s="11" t="s">
        <v>72</v>
      </c>
      <c r="L1683" s="11" t="s">
        <v>84</v>
      </c>
      <c r="M1683" s="11" t="s">
        <v>2535</v>
      </c>
      <c r="N1683" s="11" t="s">
        <v>86</v>
      </c>
      <c r="O1683" s="11" t="s">
        <v>71</v>
      </c>
      <c r="P1683" s="11" t="s">
        <v>9232</v>
      </c>
      <c r="Q1683" s="13" t="s">
        <v>9233</v>
      </c>
      <c r="R1683" s="14" t="str">
        <f>HYPERLINK("https://drive.google.com/file/d/1mhnD-kBldZwfj29VMPpik1kBdm68XD-j/view?usp=drivesdk","OFFER LETTER")</f>
        <v>OFFER LETTER</v>
      </c>
      <c r="S1683" s="11" t="s">
        <v>9234</v>
      </c>
    </row>
    <row r="1684" ht="22.5" customHeight="1">
      <c r="A1684" s="10">
        <v>46265.46385936343</v>
      </c>
      <c r="B1684" s="11" t="s">
        <v>992</v>
      </c>
      <c r="C1684" s="11" t="s">
        <v>195</v>
      </c>
      <c r="D1684" s="11" t="s">
        <v>68</v>
      </c>
      <c r="E1684" s="12">
        <v>46254.0</v>
      </c>
      <c r="F1684" s="12">
        <v>46285.0</v>
      </c>
      <c r="G1684" s="11" t="s">
        <v>993</v>
      </c>
      <c r="H1684" s="11">
        <v>9.591204201E9</v>
      </c>
      <c r="I1684" s="11" t="s">
        <v>70</v>
      </c>
      <c r="J1684" s="11" t="s">
        <v>71</v>
      </c>
      <c r="K1684" s="11" t="s">
        <v>72</v>
      </c>
      <c r="L1684" s="11" t="s">
        <v>131</v>
      </c>
      <c r="M1684" s="11" t="s">
        <v>9235</v>
      </c>
      <c r="N1684" s="11" t="s">
        <v>241</v>
      </c>
      <c r="O1684" s="11" t="s">
        <v>71</v>
      </c>
      <c r="P1684" s="11" t="s">
        <v>9236</v>
      </c>
      <c r="Q1684" s="13" t="s">
        <v>9237</v>
      </c>
      <c r="R1684" s="14" t="str">
        <f>HYPERLINK("https://drive.google.com/file/d/1lgNB49-vMVnQGR1iDetM7CttwU6jTCdG/view?usp=drivesdk","OFFER LETTER")</f>
        <v>OFFER LETTER</v>
      </c>
      <c r="S1684" s="11" t="s">
        <v>9238</v>
      </c>
    </row>
    <row r="1685" ht="22.5" customHeight="1">
      <c r="A1685" s="10">
        <v>46265.46404395833</v>
      </c>
      <c r="B1685" s="11" t="s">
        <v>9186</v>
      </c>
      <c r="C1685" s="11" t="s">
        <v>259</v>
      </c>
      <c r="D1685" s="11" t="s">
        <v>68</v>
      </c>
      <c r="E1685" s="12">
        <v>46265.0</v>
      </c>
      <c r="F1685" s="12">
        <v>46295.0</v>
      </c>
      <c r="G1685" s="11" t="s">
        <v>9169</v>
      </c>
      <c r="H1685" s="11">
        <v>7.000862186E9</v>
      </c>
      <c r="I1685" s="11" t="s">
        <v>82</v>
      </c>
      <c r="J1685" s="11" t="s">
        <v>71</v>
      </c>
      <c r="K1685" s="11" t="s">
        <v>110</v>
      </c>
      <c r="L1685" s="11" t="s">
        <v>247</v>
      </c>
      <c r="M1685" s="11" t="s">
        <v>9170</v>
      </c>
      <c r="N1685" s="11" t="s">
        <v>75</v>
      </c>
      <c r="O1685" s="11" t="s">
        <v>71</v>
      </c>
      <c r="P1685" s="11" t="s">
        <v>9239</v>
      </c>
      <c r="Q1685" s="13" t="s">
        <v>9240</v>
      </c>
      <c r="R1685" s="14" t="str">
        <f>HYPERLINK("https://drive.google.com/file/d/1KgXe-L0AsgiBsxAQwXnqEFG6FVzNoy1g/view?usp=drivesdk","OFFER LETTER")</f>
        <v>OFFER LETTER</v>
      </c>
      <c r="S1685" s="11" t="s">
        <v>9241</v>
      </c>
    </row>
    <row r="1686" ht="22.5" customHeight="1">
      <c r="A1686" s="10">
        <v>46265.46548493055</v>
      </c>
      <c r="B1686" s="11" t="s">
        <v>9242</v>
      </c>
      <c r="C1686" s="11" t="s">
        <v>195</v>
      </c>
      <c r="D1686" s="11" t="s">
        <v>68</v>
      </c>
      <c r="E1686" s="12">
        <v>46265.0</v>
      </c>
      <c r="F1686" s="12">
        <v>46274.0</v>
      </c>
      <c r="G1686" s="11" t="s">
        <v>9243</v>
      </c>
      <c r="H1686" s="11">
        <v>9.322443914E9</v>
      </c>
      <c r="I1686" s="11" t="s">
        <v>82</v>
      </c>
      <c r="J1686" s="11" t="s">
        <v>71</v>
      </c>
      <c r="K1686" s="11" t="s">
        <v>72</v>
      </c>
      <c r="L1686" s="11" t="s">
        <v>131</v>
      </c>
      <c r="M1686" s="11" t="s">
        <v>3512</v>
      </c>
      <c r="N1686" s="11" t="s">
        <v>86</v>
      </c>
      <c r="O1686" s="11" t="s">
        <v>71</v>
      </c>
      <c r="P1686" s="11" t="s">
        <v>9244</v>
      </c>
      <c r="Q1686" s="13" t="s">
        <v>9245</v>
      </c>
      <c r="R1686" s="14" t="str">
        <f>HYPERLINK("https://drive.google.com/file/d/1-yFgklnFmDFY8f71kyxolLTCE72vYtFK/view?usp=drivesdk","OFFER LETTER")</f>
        <v>OFFER LETTER</v>
      </c>
      <c r="S1686" s="11" t="s">
        <v>9246</v>
      </c>
    </row>
    <row r="1687" ht="22.5" customHeight="1">
      <c r="A1687" s="10">
        <v>46265.467891215274</v>
      </c>
      <c r="B1687" s="11" t="s">
        <v>9247</v>
      </c>
      <c r="C1687" s="11" t="s">
        <v>195</v>
      </c>
      <c r="D1687" s="11" t="s">
        <v>8221</v>
      </c>
      <c r="E1687" s="12">
        <v>46220.0</v>
      </c>
      <c r="F1687" s="12">
        <v>46265.0</v>
      </c>
      <c r="G1687" s="11" t="s">
        <v>9248</v>
      </c>
      <c r="H1687" s="11">
        <v>8.10316542E9</v>
      </c>
      <c r="I1687" s="11" t="s">
        <v>82</v>
      </c>
      <c r="J1687" s="11" t="s">
        <v>71</v>
      </c>
      <c r="K1687" s="11" t="s">
        <v>72</v>
      </c>
      <c r="L1687" s="11" t="s">
        <v>84</v>
      </c>
      <c r="M1687" s="11" t="s">
        <v>4880</v>
      </c>
      <c r="N1687" s="11" t="s">
        <v>86</v>
      </c>
      <c r="O1687" s="11" t="s">
        <v>71</v>
      </c>
      <c r="P1687" s="11" t="s">
        <v>9249</v>
      </c>
      <c r="Q1687" s="13" t="s">
        <v>9250</v>
      </c>
      <c r="R1687" s="14" t="str">
        <f>HYPERLINK("https://drive.google.com/file/d/1XgZNMt30jc_j2I-_f_Xcv9_g7DUUfC8c/view?usp=drivesdk","OFFER LETTER")</f>
        <v>OFFER LETTER</v>
      </c>
      <c r="S1687" s="11" t="s">
        <v>9251</v>
      </c>
    </row>
    <row r="1688" ht="22.5" customHeight="1">
      <c r="A1688" s="10">
        <v>46265.472595671294</v>
      </c>
      <c r="B1688" s="11" t="s">
        <v>9252</v>
      </c>
      <c r="C1688" s="11" t="s">
        <v>173</v>
      </c>
      <c r="D1688" s="11" t="s">
        <v>68</v>
      </c>
      <c r="E1688" s="12">
        <v>46174.0</v>
      </c>
      <c r="F1688" s="12">
        <v>46203.0</v>
      </c>
      <c r="G1688" s="11" t="s">
        <v>9253</v>
      </c>
      <c r="H1688" s="17" t="s">
        <v>9254</v>
      </c>
      <c r="I1688" s="11" t="s">
        <v>82</v>
      </c>
      <c r="J1688" s="11" t="s">
        <v>71</v>
      </c>
      <c r="K1688" s="11" t="s">
        <v>72</v>
      </c>
      <c r="L1688" s="11" t="s">
        <v>131</v>
      </c>
      <c r="M1688" s="11" t="s">
        <v>5562</v>
      </c>
      <c r="N1688" s="11" t="s">
        <v>86</v>
      </c>
      <c r="O1688" s="11" t="s">
        <v>71</v>
      </c>
      <c r="P1688" s="11" t="s">
        <v>9255</v>
      </c>
      <c r="Q1688" s="13" t="s">
        <v>9256</v>
      </c>
      <c r="R1688" s="14" t="str">
        <f>HYPERLINK("https://drive.google.com/file/d/1Q3SMSd8z-Qpl2fA9FGZKzjNE8GZgkme7/view?usp=drivesdk","OFFER LETTER")</f>
        <v>OFFER LETTER</v>
      </c>
      <c r="S1688" s="11" t="s">
        <v>9257</v>
      </c>
    </row>
    <row r="1689" ht="22.5" customHeight="1">
      <c r="A1689" s="10">
        <v>46265.48241873842</v>
      </c>
      <c r="B1689" s="11" t="s">
        <v>9258</v>
      </c>
      <c r="C1689" s="11" t="s">
        <v>1200</v>
      </c>
      <c r="D1689" s="11" t="s">
        <v>68</v>
      </c>
      <c r="E1689" s="12">
        <v>46296.0</v>
      </c>
      <c r="F1689" s="12">
        <v>46326.0</v>
      </c>
      <c r="G1689" s="11" t="s">
        <v>9259</v>
      </c>
      <c r="H1689" s="11">
        <v>7.044598594E9</v>
      </c>
      <c r="I1689" s="11" t="s">
        <v>70</v>
      </c>
      <c r="J1689" s="11" t="s">
        <v>71</v>
      </c>
      <c r="K1689" s="13" t="s">
        <v>443</v>
      </c>
      <c r="L1689" s="11" t="s">
        <v>73</v>
      </c>
      <c r="M1689" s="11" t="s">
        <v>9260</v>
      </c>
      <c r="N1689" s="11" t="s">
        <v>226</v>
      </c>
      <c r="O1689" s="11" t="s">
        <v>71</v>
      </c>
      <c r="P1689" s="11" t="s">
        <v>9261</v>
      </c>
      <c r="Q1689" s="13" t="s">
        <v>9262</v>
      </c>
      <c r="R1689" s="14" t="str">
        <f>HYPERLINK("https://drive.google.com/file/d/16quLb2-Gu4s6ywQSproz7voZAP0tViDi/view?usp=drivesdk","OFFER LETTER")</f>
        <v>OFFER LETTER</v>
      </c>
      <c r="S1689" s="11" t="s">
        <v>9263</v>
      </c>
    </row>
    <row r="1690" ht="22.5" customHeight="1">
      <c r="A1690" s="10">
        <v>46265.48752038194</v>
      </c>
      <c r="B1690" s="11" t="s">
        <v>9264</v>
      </c>
      <c r="C1690" s="11" t="s">
        <v>107</v>
      </c>
      <c r="D1690" s="11" t="s">
        <v>68</v>
      </c>
      <c r="E1690" s="12">
        <v>46244.0</v>
      </c>
      <c r="F1690" s="12">
        <v>46275.0</v>
      </c>
      <c r="G1690" s="11" t="s">
        <v>7270</v>
      </c>
      <c r="H1690" s="11">
        <v>7.697171422E9</v>
      </c>
      <c r="I1690" s="11" t="s">
        <v>82</v>
      </c>
      <c r="J1690" s="11" t="s">
        <v>71</v>
      </c>
      <c r="K1690" s="11" t="s">
        <v>72</v>
      </c>
      <c r="L1690" s="11" t="s">
        <v>131</v>
      </c>
      <c r="M1690" s="11" t="s">
        <v>9265</v>
      </c>
      <c r="N1690" s="11" t="s">
        <v>241</v>
      </c>
      <c r="O1690" s="11" t="s">
        <v>71</v>
      </c>
      <c r="P1690" s="11" t="s">
        <v>9266</v>
      </c>
      <c r="Q1690" s="13" t="s">
        <v>9267</v>
      </c>
      <c r="R1690" s="14" t="str">
        <f>HYPERLINK("https://drive.google.com/file/d/1gdpn8LHqlQrdSLckpeDaDPBXO3DwHX6S/view?usp=drivesdk","OFFER LETTER")</f>
        <v>OFFER LETTER</v>
      </c>
      <c r="S1690" s="11" t="s">
        <v>9268</v>
      </c>
    </row>
    <row r="1691" ht="22.5" customHeight="1">
      <c r="A1691" s="10">
        <v>46265.49117695601</v>
      </c>
      <c r="B1691" s="11" t="s">
        <v>9269</v>
      </c>
      <c r="C1691" s="11" t="s">
        <v>107</v>
      </c>
      <c r="D1691" s="11" t="s">
        <v>68</v>
      </c>
      <c r="E1691" s="12">
        <v>46266.0</v>
      </c>
      <c r="F1691" s="12">
        <v>46295.0</v>
      </c>
      <c r="G1691" s="11" t="s">
        <v>9270</v>
      </c>
      <c r="H1691" s="11">
        <v>8.247661009E9</v>
      </c>
      <c r="I1691" s="11" t="s">
        <v>70</v>
      </c>
      <c r="J1691" s="11" t="s">
        <v>71</v>
      </c>
      <c r="K1691" s="13" t="s">
        <v>443</v>
      </c>
      <c r="L1691" s="11" t="s">
        <v>131</v>
      </c>
      <c r="M1691" s="11" t="s">
        <v>9271</v>
      </c>
      <c r="N1691" s="11" t="s">
        <v>75</v>
      </c>
      <c r="O1691" s="11" t="s">
        <v>71</v>
      </c>
      <c r="P1691" s="11" t="s">
        <v>9272</v>
      </c>
      <c r="Q1691" s="13" t="s">
        <v>9273</v>
      </c>
      <c r="R1691" s="14" t="str">
        <f>HYPERLINK("https://drive.google.com/file/d/1b1kwg9VlOWP8Y-wcacEk8iOEcXwuvyQW/view?usp=drivesdk","OFFER LETTER")</f>
        <v>OFFER LETTER</v>
      </c>
      <c r="S1691" s="11" t="s">
        <v>9274</v>
      </c>
    </row>
    <row r="1692" ht="22.5" customHeight="1">
      <c r="A1692" s="10">
        <v>46265.49333855324</v>
      </c>
      <c r="B1692" s="11" t="s">
        <v>9275</v>
      </c>
      <c r="C1692" s="11" t="s">
        <v>80</v>
      </c>
      <c r="D1692" s="11" t="s">
        <v>108</v>
      </c>
      <c r="E1692" s="12">
        <v>46182.0</v>
      </c>
      <c r="F1692" s="12">
        <v>46237.0</v>
      </c>
      <c r="G1692" s="11" t="s">
        <v>9276</v>
      </c>
      <c r="H1692" s="11">
        <v>6.303752794E9</v>
      </c>
      <c r="I1692" s="11" t="s">
        <v>82</v>
      </c>
      <c r="J1692" s="11" t="s">
        <v>71</v>
      </c>
      <c r="K1692" s="11" t="s">
        <v>72</v>
      </c>
      <c r="L1692" s="11" t="s">
        <v>131</v>
      </c>
      <c r="M1692" s="11" t="s">
        <v>9277</v>
      </c>
      <c r="N1692" s="11" t="s">
        <v>4001</v>
      </c>
      <c r="O1692" s="11" t="s">
        <v>71</v>
      </c>
      <c r="P1692" s="11" t="s">
        <v>9278</v>
      </c>
      <c r="Q1692" s="13" t="s">
        <v>9279</v>
      </c>
      <c r="R1692" s="14" t="str">
        <f>HYPERLINK("https://drive.google.com/file/d/12EBPQQAcas6xeXFtY9Hij8wMCuENvb7d/view?usp=drivesdk","OFFER LETTER")</f>
        <v>OFFER LETTER</v>
      </c>
      <c r="S1692" s="11" t="s">
        <v>9280</v>
      </c>
    </row>
    <row r="1693" ht="22.5" customHeight="1">
      <c r="A1693" s="10">
        <v>46265.49652292824</v>
      </c>
      <c r="B1693" s="11" t="s">
        <v>9281</v>
      </c>
      <c r="C1693" s="11" t="s">
        <v>173</v>
      </c>
      <c r="D1693" s="11" t="s">
        <v>68</v>
      </c>
      <c r="E1693" s="12">
        <v>46218.0</v>
      </c>
      <c r="F1693" s="12">
        <v>46249.0</v>
      </c>
      <c r="G1693" s="11" t="s">
        <v>9282</v>
      </c>
      <c r="H1693" s="11">
        <v>8.292119516E9</v>
      </c>
      <c r="I1693" s="11" t="s">
        <v>82</v>
      </c>
      <c r="J1693" s="11" t="s">
        <v>71</v>
      </c>
      <c r="K1693" s="11" t="s">
        <v>72</v>
      </c>
      <c r="L1693" s="11" t="s">
        <v>131</v>
      </c>
      <c r="M1693" s="11" t="s">
        <v>9205</v>
      </c>
      <c r="N1693" s="11" t="s">
        <v>75</v>
      </c>
      <c r="O1693" s="11" t="s">
        <v>71</v>
      </c>
      <c r="P1693" s="11" t="s">
        <v>9283</v>
      </c>
      <c r="Q1693" s="13" t="s">
        <v>9284</v>
      </c>
      <c r="R1693" s="14" t="str">
        <f>HYPERLINK("https://drive.google.com/file/d/1fJwQ5Jgfvk_SObKhfQzoSf2NY_mko7h7/view?usp=drivesdk","OFFER LETTER")</f>
        <v>OFFER LETTER</v>
      </c>
      <c r="S1693" s="11" t="s">
        <v>9285</v>
      </c>
    </row>
    <row r="1694" ht="22.5" customHeight="1">
      <c r="A1694" s="10">
        <v>46265.4978272338</v>
      </c>
      <c r="B1694" s="11" t="s">
        <v>9286</v>
      </c>
      <c r="C1694" s="11" t="s">
        <v>80</v>
      </c>
      <c r="D1694" s="11" t="s">
        <v>108</v>
      </c>
      <c r="E1694" s="12">
        <v>46182.0</v>
      </c>
      <c r="F1694" s="12">
        <v>46237.0</v>
      </c>
      <c r="G1694" s="11" t="s">
        <v>9287</v>
      </c>
      <c r="H1694" s="11">
        <v>8.523818489E9</v>
      </c>
      <c r="I1694" s="11" t="s">
        <v>82</v>
      </c>
      <c r="J1694" s="11" t="s">
        <v>71</v>
      </c>
      <c r="K1694" s="11" t="s">
        <v>72</v>
      </c>
      <c r="L1694" s="11" t="s">
        <v>131</v>
      </c>
      <c r="M1694" s="11" t="s">
        <v>9288</v>
      </c>
      <c r="N1694" s="11" t="s">
        <v>241</v>
      </c>
      <c r="O1694" s="11" t="s">
        <v>71</v>
      </c>
      <c r="P1694" s="11" t="s">
        <v>9289</v>
      </c>
      <c r="Q1694" s="13" t="s">
        <v>9290</v>
      </c>
      <c r="R1694" s="14" t="str">
        <f>HYPERLINK("https://drive.google.com/file/d/1vh2UyF6rUBp4MzQ9vH35EfR1mdwQgubS/view?usp=drivesdk","OFFER LETTER")</f>
        <v>OFFER LETTER</v>
      </c>
      <c r="S1694" s="11" t="s">
        <v>9291</v>
      </c>
    </row>
    <row r="1695" ht="22.5" customHeight="1">
      <c r="A1695" s="10">
        <v>46265.498475451386</v>
      </c>
      <c r="B1695" s="11" t="s">
        <v>9292</v>
      </c>
      <c r="C1695" s="11" t="s">
        <v>165</v>
      </c>
      <c r="D1695" s="11" t="s">
        <v>68</v>
      </c>
      <c r="E1695" s="12">
        <v>46272.0</v>
      </c>
      <c r="F1695" s="12">
        <v>46326.0</v>
      </c>
      <c r="G1695" s="11" t="s">
        <v>9293</v>
      </c>
      <c r="H1695" s="11">
        <v>6.382445467E9</v>
      </c>
      <c r="I1695" s="11" t="s">
        <v>70</v>
      </c>
      <c r="J1695" s="11" t="s">
        <v>71</v>
      </c>
      <c r="K1695" s="11" t="s">
        <v>167</v>
      </c>
      <c r="L1695" s="11" t="s">
        <v>84</v>
      </c>
      <c r="M1695" s="11" t="s">
        <v>9294</v>
      </c>
      <c r="N1695" s="11" t="s">
        <v>241</v>
      </c>
      <c r="O1695" s="11" t="s">
        <v>71</v>
      </c>
      <c r="P1695" s="11" t="s">
        <v>9295</v>
      </c>
      <c r="Q1695" s="13" t="s">
        <v>9296</v>
      </c>
      <c r="R1695" s="14" t="str">
        <f>HYPERLINK("https://drive.google.com/file/d/1ZiSn53hB02rL-4lcGjQfnVUF3sjrQSQ9/view?usp=drivesdk","OFFER LETTER")</f>
        <v>OFFER LETTER</v>
      </c>
      <c r="S1695" s="11" t="s">
        <v>9297</v>
      </c>
    </row>
    <row r="1696" ht="22.5" customHeight="1">
      <c r="A1696" s="10">
        <v>46265.498746516205</v>
      </c>
      <c r="B1696" s="11" t="s">
        <v>9140</v>
      </c>
      <c r="C1696" s="11" t="s">
        <v>128</v>
      </c>
      <c r="D1696" s="11" t="s">
        <v>68</v>
      </c>
      <c r="E1696" s="12">
        <v>46226.0</v>
      </c>
      <c r="F1696" s="12">
        <v>46257.0</v>
      </c>
      <c r="G1696" s="11" t="s">
        <v>9141</v>
      </c>
      <c r="H1696" s="11">
        <v>9.810839223E9</v>
      </c>
      <c r="I1696" s="11" t="s">
        <v>82</v>
      </c>
      <c r="J1696" s="11" t="s">
        <v>71</v>
      </c>
      <c r="K1696" s="11" t="s">
        <v>72</v>
      </c>
      <c r="L1696" s="11" t="s">
        <v>84</v>
      </c>
      <c r="M1696" s="11" t="s">
        <v>849</v>
      </c>
      <c r="N1696" s="11" t="s">
        <v>47</v>
      </c>
      <c r="O1696" s="11" t="s">
        <v>71</v>
      </c>
      <c r="P1696" s="11" t="s">
        <v>9298</v>
      </c>
      <c r="Q1696" s="13" t="s">
        <v>9299</v>
      </c>
      <c r="R1696" s="14" t="str">
        <f>HYPERLINK("https://drive.google.com/file/d/1r10tc92stzVEn6oF4BqDCk2H2lTMcuVP/view?usp=drivesdk","OFFER LETTER")</f>
        <v>OFFER LETTER</v>
      </c>
      <c r="S1696" s="11" t="s">
        <v>9300</v>
      </c>
    </row>
    <row r="1697" ht="22.5" customHeight="1">
      <c r="A1697" s="10">
        <v>46265.49916907407</v>
      </c>
      <c r="B1697" s="11" t="s">
        <v>9301</v>
      </c>
      <c r="C1697" s="11" t="s">
        <v>107</v>
      </c>
      <c r="D1697" s="11" t="s">
        <v>238</v>
      </c>
      <c r="E1697" s="12">
        <v>46267.0</v>
      </c>
      <c r="F1697" s="12">
        <v>46360.0</v>
      </c>
      <c r="G1697" s="11" t="s">
        <v>9302</v>
      </c>
      <c r="H1697" s="11">
        <v>8.249870471E9</v>
      </c>
      <c r="I1697" s="11" t="s">
        <v>70</v>
      </c>
      <c r="J1697" s="11" t="s">
        <v>130</v>
      </c>
      <c r="K1697" s="11" t="s">
        <v>72</v>
      </c>
      <c r="L1697" s="11" t="s">
        <v>131</v>
      </c>
      <c r="M1697" s="11" t="s">
        <v>9303</v>
      </c>
      <c r="N1697" s="11" t="s">
        <v>86</v>
      </c>
      <c r="O1697" s="11" t="s">
        <v>71</v>
      </c>
      <c r="P1697" s="11" t="s">
        <v>9304</v>
      </c>
      <c r="Q1697" s="13" t="s">
        <v>9305</v>
      </c>
      <c r="R1697" s="14" t="str">
        <f>HYPERLINK("https://drive.google.com/file/d/1_OphQ2fJCDUGeRZBCTTH6rVzm0TF6QlX/view?usp=drivesdk","OFFER LETTER")</f>
        <v>OFFER LETTER</v>
      </c>
      <c r="S1697" s="11" t="s">
        <v>9306</v>
      </c>
    </row>
    <row r="1698" ht="22.5" customHeight="1">
      <c r="A1698" s="10">
        <v>46265.50044887731</v>
      </c>
      <c r="B1698" s="11" t="s">
        <v>9307</v>
      </c>
      <c r="C1698" s="11" t="s">
        <v>107</v>
      </c>
      <c r="D1698" s="11" t="s">
        <v>68</v>
      </c>
      <c r="E1698" s="12">
        <v>46286.0</v>
      </c>
      <c r="F1698" s="12">
        <v>46326.0</v>
      </c>
      <c r="G1698" s="11" t="s">
        <v>9293</v>
      </c>
      <c r="H1698" s="11">
        <v>6.382445467E9</v>
      </c>
      <c r="I1698" s="11" t="s">
        <v>70</v>
      </c>
      <c r="J1698" s="11" t="s">
        <v>71</v>
      </c>
      <c r="K1698" s="11" t="s">
        <v>167</v>
      </c>
      <c r="L1698" s="11" t="s">
        <v>84</v>
      </c>
      <c r="M1698" s="11" t="s">
        <v>9294</v>
      </c>
      <c r="N1698" s="11" t="s">
        <v>241</v>
      </c>
      <c r="O1698" s="11" t="s">
        <v>71</v>
      </c>
      <c r="P1698" s="11" t="s">
        <v>9308</v>
      </c>
      <c r="Q1698" s="13" t="s">
        <v>9309</v>
      </c>
      <c r="R1698" s="14" t="str">
        <f>HYPERLINK("https://drive.google.com/file/d/13ZuJtU-hLyaLisA-eAKfJjctK4jSFrMV/view?usp=drivesdk","OFFER LETTER")</f>
        <v>OFFER LETTER</v>
      </c>
      <c r="S1698" s="11" t="s">
        <v>9310</v>
      </c>
    </row>
    <row r="1699" ht="22.5" customHeight="1">
      <c r="A1699" s="10">
        <v>46265.50568594907</v>
      </c>
      <c r="B1699" s="11" t="s">
        <v>9311</v>
      </c>
      <c r="C1699" s="11" t="s">
        <v>195</v>
      </c>
      <c r="D1699" s="11" t="s">
        <v>68</v>
      </c>
      <c r="E1699" s="12">
        <v>46213.0</v>
      </c>
      <c r="F1699" s="12">
        <v>46244.0</v>
      </c>
      <c r="G1699" s="11" t="s">
        <v>9312</v>
      </c>
      <c r="H1699" s="11">
        <v>6.260953568E9</v>
      </c>
      <c r="I1699" s="11" t="s">
        <v>82</v>
      </c>
      <c r="J1699" s="11" t="s">
        <v>71</v>
      </c>
      <c r="K1699" s="11" t="s">
        <v>72</v>
      </c>
      <c r="L1699" s="11" t="s">
        <v>73</v>
      </c>
      <c r="M1699" s="11" t="s">
        <v>9313</v>
      </c>
      <c r="N1699" s="11" t="s">
        <v>226</v>
      </c>
      <c r="O1699" s="11" t="s">
        <v>130</v>
      </c>
      <c r="P1699" s="11" t="s">
        <v>9314</v>
      </c>
      <c r="Q1699" s="13" t="s">
        <v>9315</v>
      </c>
      <c r="R1699" s="14" t="str">
        <f>HYPERLINK("https://drive.google.com/file/d/1E3FsNob-gIopSz6kRhcMlZjwPyghAwsn/view?usp=drivesdk","OFFER LETTER")</f>
        <v>OFFER LETTER</v>
      </c>
      <c r="S1699" s="11" t="s">
        <v>9316</v>
      </c>
    </row>
    <row r="1700" ht="22.5" customHeight="1">
      <c r="A1700" s="10">
        <v>46265.50745196759</v>
      </c>
      <c r="B1700" s="11" t="s">
        <v>9317</v>
      </c>
      <c r="C1700" s="11" t="s">
        <v>128</v>
      </c>
      <c r="D1700" s="11" t="s">
        <v>68</v>
      </c>
      <c r="E1700" s="12">
        <v>46265.0</v>
      </c>
      <c r="F1700" s="12">
        <v>46295.0</v>
      </c>
      <c r="G1700" s="11" t="s">
        <v>9318</v>
      </c>
      <c r="H1700" s="11" t="s">
        <v>9319</v>
      </c>
      <c r="I1700" s="11" t="s">
        <v>82</v>
      </c>
      <c r="J1700" s="11" t="s">
        <v>71</v>
      </c>
      <c r="K1700" s="11" t="s">
        <v>72</v>
      </c>
      <c r="L1700" s="11" t="s">
        <v>73</v>
      </c>
      <c r="M1700" s="11" t="s">
        <v>9320</v>
      </c>
      <c r="N1700" s="11" t="s">
        <v>86</v>
      </c>
      <c r="O1700" s="11" t="s">
        <v>71</v>
      </c>
      <c r="P1700" s="11" t="s">
        <v>9321</v>
      </c>
      <c r="Q1700" s="13" t="s">
        <v>9322</v>
      </c>
      <c r="R1700" s="14" t="str">
        <f>HYPERLINK("https://drive.google.com/file/d/1JsqdjJFHiufama7594VFeUeq_Bngfl8N/view?usp=drivesdk","OFFER LETTER")</f>
        <v>OFFER LETTER</v>
      </c>
      <c r="S1700" s="11" t="s">
        <v>9323</v>
      </c>
    </row>
    <row r="1701" ht="22.5" customHeight="1">
      <c r="A1701" s="10">
        <v>46265.516271354165</v>
      </c>
      <c r="B1701" s="11" t="s">
        <v>9324</v>
      </c>
      <c r="C1701" s="11" t="s">
        <v>107</v>
      </c>
      <c r="D1701" s="11" t="s">
        <v>68</v>
      </c>
      <c r="E1701" s="12">
        <v>46235.0</v>
      </c>
      <c r="F1701" s="12">
        <v>46265.0</v>
      </c>
      <c r="G1701" s="11" t="s">
        <v>9325</v>
      </c>
      <c r="H1701" s="11">
        <v>6.205478275E9</v>
      </c>
      <c r="I1701" s="11" t="s">
        <v>82</v>
      </c>
      <c r="J1701" s="11" t="s">
        <v>71</v>
      </c>
      <c r="K1701" s="11" t="s">
        <v>72</v>
      </c>
      <c r="L1701" s="11" t="s">
        <v>84</v>
      </c>
      <c r="M1701" s="11" t="s">
        <v>886</v>
      </c>
      <c r="N1701" s="11" t="s">
        <v>75</v>
      </c>
      <c r="O1701" s="11" t="s">
        <v>71</v>
      </c>
      <c r="P1701" s="11" t="s">
        <v>9326</v>
      </c>
      <c r="Q1701" s="13" t="s">
        <v>9327</v>
      </c>
      <c r="R1701" s="14" t="str">
        <f>HYPERLINK("https://drive.google.com/file/d/1Dgnr6viFciR2eJdntOXj2IhXU0Ed1j3w/view?usp=drivesdk","OFFER LETTER")</f>
        <v>OFFER LETTER</v>
      </c>
      <c r="S1701" s="11" t="s">
        <v>9328</v>
      </c>
    </row>
    <row r="1702" ht="22.5" customHeight="1">
      <c r="A1702" s="10">
        <v>46265.51972354167</v>
      </c>
      <c r="B1702" s="11" t="s">
        <v>9329</v>
      </c>
      <c r="C1702" s="11" t="s">
        <v>195</v>
      </c>
      <c r="D1702" s="11" t="s">
        <v>68</v>
      </c>
      <c r="E1702" s="12">
        <v>46213.0</v>
      </c>
      <c r="F1702" s="12">
        <v>46244.0</v>
      </c>
      <c r="G1702" s="11" t="s">
        <v>9312</v>
      </c>
      <c r="H1702" s="11">
        <v>6.260953568E9</v>
      </c>
      <c r="I1702" s="11" t="s">
        <v>82</v>
      </c>
      <c r="J1702" s="11" t="s">
        <v>130</v>
      </c>
      <c r="K1702" s="11" t="s">
        <v>72</v>
      </c>
      <c r="L1702" s="11" t="s">
        <v>73</v>
      </c>
      <c r="M1702" s="11" t="s">
        <v>9330</v>
      </c>
      <c r="N1702" s="11" t="s">
        <v>226</v>
      </c>
      <c r="O1702" s="11" t="s">
        <v>130</v>
      </c>
      <c r="P1702" s="11" t="s">
        <v>9331</v>
      </c>
      <c r="Q1702" s="13" t="s">
        <v>9332</v>
      </c>
      <c r="R1702" s="14" t="str">
        <f>HYPERLINK("https://drive.google.com/file/d/1MmiBVHrFjegk8skcuNCxyekUeMA19m_A/view?usp=drivesdk","OFFER LETTER")</f>
        <v>OFFER LETTER</v>
      </c>
      <c r="S1702" s="11" t="s">
        <v>9333</v>
      </c>
    </row>
    <row r="1703" ht="22.5" customHeight="1">
      <c r="A1703" s="10">
        <v>46265.52024622685</v>
      </c>
      <c r="B1703" s="11" t="s">
        <v>9334</v>
      </c>
      <c r="C1703" s="11" t="s">
        <v>91</v>
      </c>
      <c r="D1703" s="11" t="s">
        <v>68</v>
      </c>
      <c r="E1703" s="12">
        <v>46266.0</v>
      </c>
      <c r="F1703" s="12">
        <v>46296.0</v>
      </c>
      <c r="G1703" s="11" t="s">
        <v>9335</v>
      </c>
      <c r="H1703" s="11">
        <v>7.42885915E9</v>
      </c>
      <c r="I1703" s="11" t="s">
        <v>82</v>
      </c>
      <c r="J1703" s="11" t="s">
        <v>71</v>
      </c>
      <c r="K1703" s="11" t="s">
        <v>110</v>
      </c>
      <c r="L1703" s="11" t="s">
        <v>73</v>
      </c>
      <c r="M1703" s="11" t="s">
        <v>9336</v>
      </c>
      <c r="N1703" s="11" t="s">
        <v>86</v>
      </c>
      <c r="O1703" s="11" t="s">
        <v>71</v>
      </c>
      <c r="P1703" s="11" t="s">
        <v>9337</v>
      </c>
      <c r="Q1703" s="13" t="s">
        <v>9338</v>
      </c>
      <c r="R1703" s="14" t="str">
        <f>HYPERLINK("https://drive.google.com/file/d/10ZN7Cjl1gPG4LrFlKgY2DiDSPwv-FckA/view?usp=drivesdk","OFFER LETTER")</f>
        <v>OFFER LETTER</v>
      </c>
      <c r="S1703" s="11" t="s">
        <v>9339</v>
      </c>
    </row>
    <row r="1704" ht="22.5" customHeight="1">
      <c r="A1704" s="10">
        <v>46265.526962662036</v>
      </c>
      <c r="B1704" s="11" t="s">
        <v>9340</v>
      </c>
      <c r="C1704" s="11" t="s">
        <v>173</v>
      </c>
      <c r="D1704" s="11" t="s">
        <v>68</v>
      </c>
      <c r="E1704" s="12">
        <v>46265.0</v>
      </c>
      <c r="F1704" s="12">
        <v>46280.0</v>
      </c>
      <c r="G1704" s="11" t="s">
        <v>9341</v>
      </c>
      <c r="H1704" s="11">
        <v>8.80920184E9</v>
      </c>
      <c r="I1704" s="11" t="s">
        <v>82</v>
      </c>
      <c r="J1704" s="11" t="s">
        <v>71</v>
      </c>
      <c r="K1704" s="11" t="s">
        <v>72</v>
      </c>
      <c r="L1704" s="11" t="s">
        <v>84</v>
      </c>
      <c r="M1704" s="11" t="s">
        <v>7006</v>
      </c>
      <c r="N1704" s="11" t="s">
        <v>86</v>
      </c>
      <c r="O1704" s="11" t="s">
        <v>71</v>
      </c>
      <c r="P1704" s="11" t="s">
        <v>9342</v>
      </c>
      <c r="Q1704" s="13" t="s">
        <v>9343</v>
      </c>
      <c r="R1704" s="14" t="str">
        <f>HYPERLINK("https://drive.google.com/file/d/1A5-dg0069F1W2k4k6mrEc7NuyWL8uN3r/view?usp=drivesdk","OFFER LETTER")</f>
        <v>OFFER LETTER</v>
      </c>
      <c r="S1704" s="11" t="s">
        <v>9344</v>
      </c>
    </row>
    <row r="1705" ht="22.5" customHeight="1">
      <c r="A1705" s="10">
        <v>46265.52985114584</v>
      </c>
      <c r="B1705" s="11" t="s">
        <v>9345</v>
      </c>
      <c r="C1705" s="11" t="s">
        <v>80</v>
      </c>
      <c r="D1705" s="11" t="s">
        <v>108</v>
      </c>
      <c r="E1705" s="12">
        <v>46182.0</v>
      </c>
      <c r="F1705" s="12">
        <v>46237.0</v>
      </c>
      <c r="G1705" s="11" t="s">
        <v>9346</v>
      </c>
      <c r="H1705" s="11">
        <v>9.550077299E9</v>
      </c>
      <c r="I1705" s="11" t="s">
        <v>82</v>
      </c>
      <c r="J1705" s="11" t="s">
        <v>71</v>
      </c>
      <c r="K1705" s="11" t="s">
        <v>72</v>
      </c>
      <c r="L1705" s="11" t="s">
        <v>131</v>
      </c>
      <c r="M1705" s="11" t="s">
        <v>9347</v>
      </c>
      <c r="N1705" s="11" t="s">
        <v>2778</v>
      </c>
      <c r="O1705" s="11" t="s">
        <v>71</v>
      </c>
      <c r="P1705" s="11" t="s">
        <v>9348</v>
      </c>
      <c r="Q1705" s="13" t="s">
        <v>9349</v>
      </c>
      <c r="R1705" s="14" t="str">
        <f>HYPERLINK("https://drive.google.com/file/d/1y3ADNwthoEe9An2SI1r7Plqy2ZFh_qrB/view?usp=drivesdk","OFFER LETTER")</f>
        <v>OFFER LETTER</v>
      </c>
      <c r="S1705" s="11" t="s">
        <v>9350</v>
      </c>
    </row>
    <row r="1706" ht="22.5" customHeight="1">
      <c r="A1706" s="10">
        <v>46265.536278252315</v>
      </c>
      <c r="B1706" s="11" t="s">
        <v>2068</v>
      </c>
      <c r="C1706" s="11" t="s">
        <v>173</v>
      </c>
      <c r="D1706" s="11" t="s">
        <v>68</v>
      </c>
      <c r="E1706" s="12">
        <v>46204.0</v>
      </c>
      <c r="F1706" s="12">
        <v>46234.0</v>
      </c>
      <c r="G1706" s="11" t="s">
        <v>9351</v>
      </c>
      <c r="H1706" s="11">
        <v>9.973720147E9</v>
      </c>
      <c r="I1706" s="11" t="s">
        <v>82</v>
      </c>
      <c r="J1706" s="11" t="s">
        <v>71</v>
      </c>
      <c r="K1706" s="11" t="s">
        <v>72</v>
      </c>
      <c r="L1706" s="11" t="s">
        <v>84</v>
      </c>
      <c r="M1706" s="11" t="s">
        <v>2535</v>
      </c>
      <c r="N1706" s="11" t="s">
        <v>86</v>
      </c>
      <c r="O1706" s="11" t="s">
        <v>71</v>
      </c>
      <c r="P1706" s="11" t="s">
        <v>9352</v>
      </c>
      <c r="Q1706" s="13" t="s">
        <v>9353</v>
      </c>
      <c r="R1706" s="14" t="str">
        <f>HYPERLINK("https://drive.google.com/file/d/1VKa8FLnfbkfXM2UIhwSOEUaXGRjH_2ca/view?usp=drivesdk","OFFER LETTER")</f>
        <v>OFFER LETTER</v>
      </c>
      <c r="S1706" s="11" t="s">
        <v>9354</v>
      </c>
    </row>
    <row r="1707" ht="22.5" customHeight="1">
      <c r="A1707" s="10">
        <v>46265.53742846065</v>
      </c>
      <c r="B1707" s="11" t="s">
        <v>9355</v>
      </c>
      <c r="C1707" s="11" t="s">
        <v>80</v>
      </c>
      <c r="D1707" s="11" t="s">
        <v>108</v>
      </c>
      <c r="E1707" s="12">
        <v>46182.0</v>
      </c>
      <c r="F1707" s="12">
        <v>46237.0</v>
      </c>
      <c r="G1707" s="11" t="s">
        <v>9346</v>
      </c>
      <c r="H1707" s="11">
        <v>9.550077299E9</v>
      </c>
      <c r="I1707" s="11" t="s">
        <v>82</v>
      </c>
      <c r="J1707" s="11" t="s">
        <v>71</v>
      </c>
      <c r="K1707" s="11" t="s">
        <v>72</v>
      </c>
      <c r="L1707" s="11" t="s">
        <v>131</v>
      </c>
      <c r="M1707" s="11" t="s">
        <v>9347</v>
      </c>
      <c r="N1707" s="11" t="s">
        <v>5855</v>
      </c>
      <c r="O1707" s="11" t="s">
        <v>71</v>
      </c>
      <c r="P1707" s="11" t="s">
        <v>9356</v>
      </c>
      <c r="Q1707" s="13" t="s">
        <v>9357</v>
      </c>
      <c r="R1707" s="14" t="str">
        <f>HYPERLINK("https://drive.google.com/file/d/12MTka1vbkOifqTvVmgaVpAZnO1fbjIVG/view?usp=drivesdk","OFFER LETTER")</f>
        <v>OFFER LETTER</v>
      </c>
      <c r="S1707" s="11" t="s">
        <v>9358</v>
      </c>
    </row>
    <row r="1708" ht="22.5" customHeight="1">
      <c r="A1708" s="10">
        <v>46265.54631651621</v>
      </c>
      <c r="B1708" s="11" t="s">
        <v>9359</v>
      </c>
      <c r="C1708" s="11" t="s">
        <v>173</v>
      </c>
      <c r="D1708" s="11" t="s">
        <v>68</v>
      </c>
      <c r="E1708" s="12">
        <v>46258.0</v>
      </c>
      <c r="F1708" s="12">
        <v>46289.0</v>
      </c>
      <c r="G1708" s="11" t="s">
        <v>9360</v>
      </c>
      <c r="H1708" s="11">
        <v>8.309286713E9</v>
      </c>
      <c r="I1708" s="11" t="s">
        <v>82</v>
      </c>
      <c r="J1708" s="11" t="s">
        <v>71</v>
      </c>
      <c r="K1708" s="11" t="s">
        <v>72</v>
      </c>
      <c r="L1708" s="11" t="s">
        <v>131</v>
      </c>
      <c r="M1708" s="11" t="s">
        <v>9361</v>
      </c>
      <c r="N1708" s="11" t="s">
        <v>86</v>
      </c>
      <c r="O1708" s="11" t="s">
        <v>71</v>
      </c>
      <c r="P1708" s="11" t="s">
        <v>9362</v>
      </c>
      <c r="Q1708" s="13" t="s">
        <v>9363</v>
      </c>
      <c r="R1708" s="14" t="str">
        <f>HYPERLINK("https://drive.google.com/file/d/1ctl8ErqeKMO9u_1GixQnhMEywzRbzs2T/view?usp=drivesdk","OFFER LETTER")</f>
        <v>OFFER LETTER</v>
      </c>
      <c r="S1708" s="11" t="s">
        <v>9364</v>
      </c>
    </row>
    <row r="1709" ht="22.5" customHeight="1">
      <c r="A1709" s="10">
        <v>46265.550988703704</v>
      </c>
      <c r="B1709" s="11" t="s">
        <v>9365</v>
      </c>
      <c r="C1709" s="11" t="s">
        <v>354</v>
      </c>
      <c r="D1709" s="11" t="s">
        <v>108</v>
      </c>
      <c r="E1709" s="12">
        <v>46203.0</v>
      </c>
      <c r="F1709" s="12">
        <v>46265.0</v>
      </c>
      <c r="G1709" s="11" t="s">
        <v>9366</v>
      </c>
      <c r="H1709" s="11">
        <v>7.644097653E9</v>
      </c>
      <c r="I1709" s="11" t="s">
        <v>82</v>
      </c>
      <c r="J1709" s="11" t="s">
        <v>71</v>
      </c>
      <c r="K1709" s="11" t="s">
        <v>72</v>
      </c>
      <c r="L1709" s="11" t="s">
        <v>73</v>
      </c>
      <c r="M1709" s="11" t="s">
        <v>2535</v>
      </c>
      <c r="N1709" s="11" t="s">
        <v>9367</v>
      </c>
      <c r="O1709" s="11" t="s">
        <v>71</v>
      </c>
      <c r="P1709" s="11" t="s">
        <v>9368</v>
      </c>
      <c r="Q1709" s="13" t="s">
        <v>9369</v>
      </c>
      <c r="R1709" s="14" t="str">
        <f>HYPERLINK("https://drive.google.com/file/d/1mYeYn10cWrzuWYIYampTy64YibC-X86A/view?usp=drivesdk","OFFER LETTER")</f>
        <v>OFFER LETTER</v>
      </c>
      <c r="S1709" s="11" t="s">
        <v>9370</v>
      </c>
    </row>
    <row r="1710" ht="22.5" customHeight="1">
      <c r="A1710" s="10">
        <v>46265.5561087963</v>
      </c>
      <c r="B1710" s="11" t="s">
        <v>9371</v>
      </c>
      <c r="C1710" s="11" t="s">
        <v>354</v>
      </c>
      <c r="D1710" s="11" t="s">
        <v>238</v>
      </c>
      <c r="E1710" s="12">
        <v>46266.0</v>
      </c>
      <c r="F1710" s="12">
        <v>46356.0</v>
      </c>
      <c r="G1710" s="11" t="s">
        <v>9372</v>
      </c>
      <c r="H1710" s="11">
        <v>6.206024623E9</v>
      </c>
      <c r="I1710" s="11" t="s">
        <v>82</v>
      </c>
      <c r="J1710" s="11" t="s">
        <v>71</v>
      </c>
      <c r="K1710" s="11" t="s">
        <v>72</v>
      </c>
      <c r="L1710" s="11" t="s">
        <v>131</v>
      </c>
      <c r="M1710" s="11" t="s">
        <v>9373</v>
      </c>
      <c r="N1710" s="11" t="s">
        <v>86</v>
      </c>
      <c r="O1710" s="11" t="s">
        <v>71</v>
      </c>
      <c r="P1710" s="11" t="s">
        <v>9374</v>
      </c>
      <c r="Q1710" s="13" t="s">
        <v>9375</v>
      </c>
      <c r="R1710" s="14" t="str">
        <f>HYPERLINK("https://drive.google.com/file/d/1NxN7zXK2nMmUBjLrJmZKeRW0Y1XODbae/view?usp=drivesdk","OFFER LETTER")</f>
        <v>OFFER LETTER</v>
      </c>
      <c r="S1710" s="11" t="s">
        <v>9376</v>
      </c>
    </row>
    <row r="1711" ht="22.5" customHeight="1">
      <c r="A1711" s="10">
        <v>46265.55743400463</v>
      </c>
      <c r="B1711" s="11" t="s">
        <v>9377</v>
      </c>
      <c r="C1711" s="11" t="s">
        <v>173</v>
      </c>
      <c r="D1711" s="11" t="s">
        <v>108</v>
      </c>
      <c r="E1711" s="12">
        <v>46265.0</v>
      </c>
      <c r="F1711" s="12">
        <v>46326.0</v>
      </c>
      <c r="G1711" s="11" t="s">
        <v>9378</v>
      </c>
      <c r="H1711" s="11" t="s">
        <v>9379</v>
      </c>
      <c r="I1711" s="11" t="s">
        <v>82</v>
      </c>
      <c r="J1711" s="11" t="s">
        <v>71</v>
      </c>
      <c r="K1711" s="11" t="s">
        <v>167</v>
      </c>
      <c r="L1711" s="11" t="s">
        <v>131</v>
      </c>
      <c r="M1711" s="11" t="s">
        <v>9380</v>
      </c>
      <c r="N1711" s="11" t="s">
        <v>2778</v>
      </c>
      <c r="O1711" s="11" t="s">
        <v>71</v>
      </c>
      <c r="P1711" s="11" t="s">
        <v>9381</v>
      </c>
      <c r="Q1711" s="13" t="s">
        <v>9382</v>
      </c>
      <c r="R1711" s="14" t="str">
        <f>HYPERLINK("https://drive.google.com/file/d/14N1ds7ubca1YSZEDNJuCSwXOcW8Ej40k/view?usp=drivesdk","OFFER LETTER")</f>
        <v>OFFER LETTER</v>
      </c>
      <c r="S1711" s="11" t="s">
        <v>9383</v>
      </c>
    </row>
    <row r="1712" ht="22.5" customHeight="1">
      <c r="A1712" s="10">
        <v>46265.560899641205</v>
      </c>
      <c r="B1712" s="11" t="s">
        <v>9384</v>
      </c>
      <c r="C1712" s="11" t="s">
        <v>80</v>
      </c>
      <c r="D1712" s="11" t="s">
        <v>68</v>
      </c>
      <c r="E1712" s="12">
        <v>46265.0</v>
      </c>
      <c r="F1712" s="12">
        <v>46295.0</v>
      </c>
      <c r="G1712" s="11" t="s">
        <v>9385</v>
      </c>
      <c r="H1712" s="11">
        <v>8.090893102E9</v>
      </c>
      <c r="I1712" s="11" t="s">
        <v>82</v>
      </c>
      <c r="J1712" s="11" t="s">
        <v>83</v>
      </c>
      <c r="K1712" s="11" t="s">
        <v>72</v>
      </c>
      <c r="L1712" s="11" t="s">
        <v>84</v>
      </c>
      <c r="M1712" s="11" t="s">
        <v>9386</v>
      </c>
      <c r="N1712" s="11" t="s">
        <v>75</v>
      </c>
      <c r="O1712" s="11" t="s">
        <v>71</v>
      </c>
      <c r="P1712" s="11" t="s">
        <v>9387</v>
      </c>
      <c r="Q1712" s="13" t="s">
        <v>9388</v>
      </c>
      <c r="R1712" s="14" t="str">
        <f>HYPERLINK("https://drive.google.com/file/d/1rV0CMUCeBGkzDxEGRCFF9VrreUDxEUUQ/view?usp=drivesdk","OFFER LETTER")</f>
        <v>OFFER LETTER</v>
      </c>
      <c r="S1712" s="11" t="s">
        <v>9389</v>
      </c>
    </row>
    <row r="1713" ht="22.5" customHeight="1">
      <c r="A1713" s="10">
        <v>46265.56191957176</v>
      </c>
      <c r="B1713" s="11" t="s">
        <v>9390</v>
      </c>
      <c r="C1713" s="11" t="s">
        <v>195</v>
      </c>
      <c r="D1713" s="11" t="s">
        <v>108</v>
      </c>
      <c r="E1713" s="12">
        <v>46203.0</v>
      </c>
      <c r="F1713" s="12">
        <v>46265.0</v>
      </c>
      <c r="G1713" s="11" t="s">
        <v>9391</v>
      </c>
      <c r="H1713" s="11">
        <v>6.2829291999E10</v>
      </c>
      <c r="I1713" s="11" t="s">
        <v>82</v>
      </c>
      <c r="J1713" s="11" t="s">
        <v>71</v>
      </c>
      <c r="K1713" s="11" t="s">
        <v>72</v>
      </c>
      <c r="L1713" s="11" t="s">
        <v>84</v>
      </c>
      <c r="M1713" s="11" t="s">
        <v>2535</v>
      </c>
      <c r="N1713" s="11" t="s">
        <v>892</v>
      </c>
      <c r="O1713" s="11" t="s">
        <v>71</v>
      </c>
      <c r="P1713" s="11" t="s">
        <v>9392</v>
      </c>
      <c r="Q1713" s="13" t="s">
        <v>9393</v>
      </c>
      <c r="R1713" s="14" t="str">
        <f>HYPERLINK("https://drive.google.com/file/d/1g3fDTQ8SPsdkCkGQY7y4oiyw4VY9vNTh/view?usp=drivesdk","OFFER LETTER")</f>
        <v>OFFER LETTER</v>
      </c>
      <c r="S1713" s="11" t="s">
        <v>9394</v>
      </c>
    </row>
    <row r="1714" ht="22.5" customHeight="1">
      <c r="A1714" s="10">
        <v>46265.562804733796</v>
      </c>
      <c r="B1714" s="11" t="s">
        <v>9395</v>
      </c>
      <c r="C1714" s="11" t="s">
        <v>173</v>
      </c>
      <c r="D1714" s="11" t="s">
        <v>68</v>
      </c>
      <c r="E1714" s="12">
        <v>46232.0</v>
      </c>
      <c r="F1714" s="12">
        <v>46265.0</v>
      </c>
      <c r="G1714" s="11" t="s">
        <v>9396</v>
      </c>
      <c r="H1714" s="17" t="s">
        <v>9397</v>
      </c>
      <c r="I1714" s="11" t="s">
        <v>82</v>
      </c>
      <c r="J1714" s="11" t="s">
        <v>71</v>
      </c>
      <c r="K1714" s="11" t="s">
        <v>72</v>
      </c>
      <c r="L1714" s="11" t="s">
        <v>84</v>
      </c>
      <c r="M1714" s="11" t="s">
        <v>1217</v>
      </c>
      <c r="N1714" s="11" t="s">
        <v>75</v>
      </c>
      <c r="O1714" s="11" t="s">
        <v>71</v>
      </c>
      <c r="P1714" s="11" t="s">
        <v>9398</v>
      </c>
      <c r="Q1714" s="13" t="s">
        <v>9399</v>
      </c>
      <c r="R1714" s="14" t="str">
        <f>HYPERLINK("https://drive.google.com/file/d/1wsc-s2cDg7r_jPz6Vkw8Fd5V8MXrakp1/view?usp=drivesdk","OFFER LETTER")</f>
        <v>OFFER LETTER</v>
      </c>
      <c r="S1714" s="11" t="s">
        <v>9400</v>
      </c>
    </row>
    <row r="1715" ht="22.5" customHeight="1">
      <c r="A1715" s="10">
        <v>46265.565895162035</v>
      </c>
      <c r="B1715" s="11" t="s">
        <v>9401</v>
      </c>
      <c r="C1715" s="11" t="s">
        <v>173</v>
      </c>
      <c r="D1715" s="11" t="s">
        <v>68</v>
      </c>
      <c r="E1715" s="12">
        <v>46188.0</v>
      </c>
      <c r="F1715" s="12">
        <v>46218.0</v>
      </c>
      <c r="G1715" s="11" t="s">
        <v>9402</v>
      </c>
      <c r="H1715" s="11">
        <v>8.103076418E9</v>
      </c>
      <c r="I1715" s="11" t="s">
        <v>82</v>
      </c>
      <c r="J1715" s="11" t="s">
        <v>71</v>
      </c>
      <c r="K1715" s="11" t="s">
        <v>72</v>
      </c>
      <c r="L1715" s="11" t="s">
        <v>73</v>
      </c>
      <c r="M1715" s="11" t="s">
        <v>4955</v>
      </c>
      <c r="N1715" s="11" t="s">
        <v>3148</v>
      </c>
      <c r="O1715" s="11" t="s">
        <v>71</v>
      </c>
      <c r="P1715" s="11" t="s">
        <v>9403</v>
      </c>
      <c r="Q1715" s="13" t="s">
        <v>9404</v>
      </c>
      <c r="R1715" s="14" t="str">
        <f>HYPERLINK("https://drive.google.com/file/d/1fIyjUtMFo9-1BYOu0jFgwB4hcuReGUvj/view?usp=drivesdk","OFFER LETTER")</f>
        <v>OFFER LETTER</v>
      </c>
      <c r="S1715" s="11" t="s">
        <v>9405</v>
      </c>
    </row>
    <row r="1716" ht="22.5" customHeight="1">
      <c r="A1716" s="10">
        <v>46265.56819144676</v>
      </c>
      <c r="B1716" s="11" t="s">
        <v>9406</v>
      </c>
      <c r="C1716" s="11" t="s">
        <v>237</v>
      </c>
      <c r="D1716" s="11" t="s">
        <v>68</v>
      </c>
      <c r="E1716" s="12">
        <v>46213.0</v>
      </c>
      <c r="F1716" s="12">
        <v>46244.0</v>
      </c>
      <c r="G1716" s="11" t="s">
        <v>9407</v>
      </c>
      <c r="H1716" s="11">
        <v>7.060196413E9</v>
      </c>
      <c r="I1716" s="11" t="s">
        <v>82</v>
      </c>
      <c r="J1716" s="11" t="s">
        <v>71</v>
      </c>
      <c r="K1716" s="11" t="s">
        <v>72</v>
      </c>
      <c r="L1716" s="11" t="s">
        <v>73</v>
      </c>
      <c r="M1716" s="11" t="s">
        <v>9408</v>
      </c>
      <c r="N1716" s="11" t="s">
        <v>86</v>
      </c>
      <c r="O1716" s="11" t="s">
        <v>71</v>
      </c>
      <c r="P1716" s="11" t="s">
        <v>9409</v>
      </c>
      <c r="Q1716" s="13" t="s">
        <v>9410</v>
      </c>
      <c r="R1716" s="14" t="str">
        <f>HYPERLINK("https://drive.google.com/file/d/1BfTooQgPDEQ86K1R5hj53u-OzBd5HfQH/view?usp=drivesdk","OFFER LETTER")</f>
        <v>OFFER LETTER</v>
      </c>
      <c r="S1716" s="11" t="s">
        <v>9411</v>
      </c>
    </row>
    <row r="1717" ht="22.5" customHeight="1">
      <c r="A1717" s="10">
        <v>46265.56954009259</v>
      </c>
      <c r="B1717" s="11" t="s">
        <v>9412</v>
      </c>
      <c r="C1717" s="11" t="s">
        <v>237</v>
      </c>
      <c r="D1717" s="11" t="s">
        <v>108</v>
      </c>
      <c r="E1717" s="12">
        <v>46169.0</v>
      </c>
      <c r="F1717" s="12">
        <v>46230.0</v>
      </c>
      <c r="G1717" s="11" t="s">
        <v>9413</v>
      </c>
      <c r="H1717" s="11">
        <v>8.287967827E9</v>
      </c>
      <c r="I1717" s="11" t="s">
        <v>82</v>
      </c>
      <c r="J1717" s="11" t="s">
        <v>71</v>
      </c>
      <c r="K1717" s="11" t="s">
        <v>72</v>
      </c>
      <c r="L1717" s="11" t="s">
        <v>84</v>
      </c>
      <c r="M1717" s="11" t="s">
        <v>849</v>
      </c>
      <c r="N1717" s="11" t="s">
        <v>86</v>
      </c>
      <c r="O1717" s="11" t="s">
        <v>71</v>
      </c>
      <c r="P1717" s="11" t="s">
        <v>9414</v>
      </c>
      <c r="Q1717" s="13" t="s">
        <v>9415</v>
      </c>
      <c r="R1717" s="14" t="str">
        <f>HYPERLINK("https://drive.google.com/file/d/1xA1ObQ-ejHDd49wGToMhu5EzzKllXuba/view?usp=drivesdk","OFFER LETTER")</f>
        <v>OFFER LETTER</v>
      </c>
      <c r="S1717" s="11" t="s">
        <v>9416</v>
      </c>
    </row>
    <row r="1718" ht="22.5" customHeight="1">
      <c r="A1718" s="10">
        <v>46265.57063869213</v>
      </c>
      <c r="B1718" s="11" t="s">
        <v>9417</v>
      </c>
      <c r="C1718" s="11" t="s">
        <v>67</v>
      </c>
      <c r="D1718" s="11" t="s">
        <v>929</v>
      </c>
      <c r="E1718" s="12">
        <v>46235.0</v>
      </c>
      <c r="F1718" s="12">
        <v>46419.0</v>
      </c>
      <c r="G1718" s="11" t="s">
        <v>9418</v>
      </c>
      <c r="H1718" s="11">
        <v>6.301971604E9</v>
      </c>
      <c r="I1718" s="11" t="s">
        <v>70</v>
      </c>
      <c r="J1718" s="11" t="s">
        <v>83</v>
      </c>
      <c r="K1718" s="11" t="s">
        <v>72</v>
      </c>
      <c r="L1718" s="11" t="s">
        <v>131</v>
      </c>
      <c r="M1718" s="11" t="s">
        <v>4594</v>
      </c>
      <c r="N1718" s="11" t="s">
        <v>219</v>
      </c>
      <c r="O1718" s="11" t="s">
        <v>71</v>
      </c>
      <c r="P1718" s="11" t="s">
        <v>9419</v>
      </c>
      <c r="Q1718" s="13" t="s">
        <v>9420</v>
      </c>
      <c r="R1718" s="14" t="str">
        <f>HYPERLINK("https://drive.google.com/file/d/1AeTlQoIMXUGWm0aIkZw7kLEc2_y5vNGR/view?usp=drivesdk","OFFER LETTER")</f>
        <v>OFFER LETTER</v>
      </c>
      <c r="S1718" s="11" t="s">
        <v>9421</v>
      </c>
    </row>
    <row r="1719" ht="22.5" customHeight="1">
      <c r="A1719" s="10">
        <v>46265.57596372685</v>
      </c>
      <c r="B1719" s="11" t="s">
        <v>9422</v>
      </c>
      <c r="C1719" s="11" t="s">
        <v>128</v>
      </c>
      <c r="D1719" s="11" t="s">
        <v>68</v>
      </c>
      <c r="E1719" s="12">
        <v>46175.0</v>
      </c>
      <c r="F1719" s="12">
        <v>46205.0</v>
      </c>
      <c r="G1719" s="11" t="s">
        <v>9423</v>
      </c>
      <c r="H1719" s="11">
        <v>6.301846215E9</v>
      </c>
      <c r="I1719" s="11" t="s">
        <v>82</v>
      </c>
      <c r="J1719" s="11" t="s">
        <v>71</v>
      </c>
      <c r="K1719" s="11" t="s">
        <v>72</v>
      </c>
      <c r="L1719" s="11" t="s">
        <v>84</v>
      </c>
      <c r="M1719" s="11" t="s">
        <v>9424</v>
      </c>
      <c r="N1719" s="11" t="s">
        <v>86</v>
      </c>
      <c r="O1719" s="11" t="s">
        <v>71</v>
      </c>
      <c r="P1719" s="11" t="s">
        <v>9425</v>
      </c>
      <c r="Q1719" s="13" t="s">
        <v>9426</v>
      </c>
      <c r="R1719" s="14" t="str">
        <f>HYPERLINK("https://drive.google.com/file/d/1RQNkCoqty_f720n1hmZWsFVmtuLa5A6L/view?usp=drivesdk","OFFER LETTER")</f>
        <v>OFFER LETTER</v>
      </c>
      <c r="S1719" s="11" t="s">
        <v>9427</v>
      </c>
    </row>
    <row r="1720" ht="22.5" customHeight="1">
      <c r="A1720" s="10">
        <v>46265.58873284722</v>
      </c>
      <c r="B1720" s="11" t="s">
        <v>9428</v>
      </c>
      <c r="C1720" s="11" t="s">
        <v>195</v>
      </c>
      <c r="D1720" s="11" t="s">
        <v>108</v>
      </c>
      <c r="E1720" s="12">
        <v>46265.0</v>
      </c>
      <c r="F1720" s="12">
        <v>46325.0</v>
      </c>
      <c r="G1720" s="11" t="s">
        <v>9429</v>
      </c>
      <c r="H1720" s="11">
        <v>9.347106317E9</v>
      </c>
      <c r="I1720" s="11" t="s">
        <v>82</v>
      </c>
      <c r="J1720" s="11" t="s">
        <v>71</v>
      </c>
      <c r="K1720" s="11" t="s">
        <v>72</v>
      </c>
      <c r="L1720" s="11" t="s">
        <v>131</v>
      </c>
      <c r="M1720" s="11" t="s">
        <v>2369</v>
      </c>
      <c r="N1720" s="11" t="s">
        <v>86</v>
      </c>
      <c r="O1720" s="11" t="s">
        <v>71</v>
      </c>
      <c r="P1720" s="11" t="s">
        <v>9430</v>
      </c>
      <c r="Q1720" s="13" t="s">
        <v>9431</v>
      </c>
      <c r="R1720" s="14" t="str">
        <f>HYPERLINK("https://drive.google.com/file/d/14clyHJU91vb8l3p1oQ5Nvyaccwi4nb0V/view?usp=drivesdk","OFFER LETTER")</f>
        <v>OFFER LETTER</v>
      </c>
      <c r="S1720" s="11" t="s">
        <v>9432</v>
      </c>
    </row>
    <row r="1721" ht="22.5" customHeight="1">
      <c r="A1721" s="10">
        <v>46265.59446902778</v>
      </c>
      <c r="B1721" s="11" t="s">
        <v>9433</v>
      </c>
      <c r="C1721" s="11" t="s">
        <v>107</v>
      </c>
      <c r="D1721" s="11" t="s">
        <v>68</v>
      </c>
      <c r="E1721" s="12">
        <v>46265.0</v>
      </c>
      <c r="F1721" s="12">
        <v>46295.0</v>
      </c>
      <c r="G1721" s="11" t="s">
        <v>9434</v>
      </c>
      <c r="H1721" s="11">
        <v>9.962262633E9</v>
      </c>
      <c r="I1721" s="11" t="s">
        <v>82</v>
      </c>
      <c r="J1721" s="11" t="s">
        <v>71</v>
      </c>
      <c r="K1721" s="11" t="s">
        <v>167</v>
      </c>
      <c r="L1721" s="11" t="s">
        <v>73</v>
      </c>
      <c r="M1721" s="11" t="s">
        <v>8665</v>
      </c>
      <c r="N1721" s="11" t="s">
        <v>86</v>
      </c>
      <c r="O1721" s="11" t="s">
        <v>71</v>
      </c>
      <c r="P1721" s="11" t="s">
        <v>9435</v>
      </c>
      <c r="Q1721" s="13" t="s">
        <v>9436</v>
      </c>
      <c r="R1721" s="14" t="str">
        <f>HYPERLINK("https://drive.google.com/file/d/19dwesrUD7nYGKkwKtGeIxSGZeLXi9JDa/view?usp=drivesdk","OFFER LETTER")</f>
        <v>OFFER LETTER</v>
      </c>
      <c r="S1721" s="11" t="s">
        <v>9437</v>
      </c>
    </row>
    <row r="1722" ht="22.5" customHeight="1">
      <c r="A1722" s="10">
        <v>46265.60612642361</v>
      </c>
      <c r="B1722" s="11" t="s">
        <v>9438</v>
      </c>
      <c r="C1722" s="11" t="s">
        <v>195</v>
      </c>
      <c r="D1722" s="11" t="s">
        <v>68</v>
      </c>
      <c r="E1722" s="12">
        <v>46174.0</v>
      </c>
      <c r="F1722" s="12">
        <v>46204.0</v>
      </c>
      <c r="G1722" s="11" t="s">
        <v>9439</v>
      </c>
      <c r="H1722" s="11">
        <v>9.956315539E9</v>
      </c>
      <c r="I1722" s="11" t="s">
        <v>82</v>
      </c>
      <c r="J1722" s="11" t="s">
        <v>71</v>
      </c>
      <c r="K1722" s="11" t="s">
        <v>72</v>
      </c>
      <c r="L1722" s="11" t="s">
        <v>131</v>
      </c>
      <c r="M1722" s="11" t="s">
        <v>9440</v>
      </c>
      <c r="N1722" s="11" t="s">
        <v>75</v>
      </c>
      <c r="O1722" s="11" t="s">
        <v>71</v>
      </c>
      <c r="P1722" s="11" t="s">
        <v>9441</v>
      </c>
      <c r="Q1722" s="13" t="s">
        <v>9442</v>
      </c>
      <c r="R1722" s="14" t="str">
        <f>HYPERLINK("https://drive.google.com/file/d/1HjS8z8K71N54HucYxKgdOQtYGMhc9Ow7/view?usp=drivesdk","OFFER LETTER")</f>
        <v>OFFER LETTER</v>
      </c>
      <c r="S1722" s="11" t="s">
        <v>9443</v>
      </c>
    </row>
    <row r="1723" ht="22.5" customHeight="1">
      <c r="A1723" s="10">
        <v>46265.61500723379</v>
      </c>
      <c r="B1723" s="11" t="s">
        <v>9444</v>
      </c>
      <c r="C1723" s="11" t="s">
        <v>195</v>
      </c>
      <c r="D1723" s="11" t="s">
        <v>108</v>
      </c>
      <c r="E1723" s="12">
        <v>46265.0</v>
      </c>
      <c r="F1723" s="12">
        <v>46325.0</v>
      </c>
      <c r="G1723" s="11" t="s">
        <v>9445</v>
      </c>
      <c r="H1723" s="11">
        <v>9.346220258E9</v>
      </c>
      <c r="I1723" s="11" t="s">
        <v>82</v>
      </c>
      <c r="J1723" s="11" t="s">
        <v>71</v>
      </c>
      <c r="K1723" s="11" t="s">
        <v>72</v>
      </c>
      <c r="L1723" s="11" t="s">
        <v>131</v>
      </c>
      <c r="M1723" s="11" t="s">
        <v>2883</v>
      </c>
      <c r="N1723" s="11" t="s">
        <v>86</v>
      </c>
      <c r="O1723" s="11" t="s">
        <v>71</v>
      </c>
      <c r="P1723" s="11" t="s">
        <v>9446</v>
      </c>
      <c r="Q1723" s="13" t="s">
        <v>9447</v>
      </c>
      <c r="R1723" s="14" t="str">
        <f>HYPERLINK("https://drive.google.com/file/d/1XcQd6uBbw_lV9OqcMckKWsQGCDeCx4I9/view?usp=drivesdk","OFFER LETTER")</f>
        <v>OFFER LETTER</v>
      </c>
      <c r="S1723" s="11" t="s">
        <v>9448</v>
      </c>
    </row>
    <row r="1724" ht="22.5" customHeight="1">
      <c r="A1724" s="10">
        <v>46265.61732832176</v>
      </c>
      <c r="B1724" s="11" t="s">
        <v>9449</v>
      </c>
      <c r="C1724" s="11" t="s">
        <v>80</v>
      </c>
      <c r="D1724" s="11" t="s">
        <v>108</v>
      </c>
      <c r="E1724" s="12">
        <v>46182.0</v>
      </c>
      <c r="F1724" s="12">
        <v>46237.0</v>
      </c>
      <c r="G1724" s="11" t="s">
        <v>9450</v>
      </c>
      <c r="H1724" s="11">
        <v>9.959338994E9</v>
      </c>
      <c r="I1724" s="11" t="s">
        <v>82</v>
      </c>
      <c r="J1724" s="11" t="s">
        <v>71</v>
      </c>
      <c r="K1724" s="11" t="s">
        <v>72</v>
      </c>
      <c r="L1724" s="11" t="s">
        <v>131</v>
      </c>
      <c r="M1724" s="11" t="s">
        <v>9288</v>
      </c>
      <c r="N1724" s="11" t="s">
        <v>9451</v>
      </c>
      <c r="O1724" s="11" t="s">
        <v>71</v>
      </c>
      <c r="P1724" s="11" t="s">
        <v>9452</v>
      </c>
      <c r="Q1724" s="13" t="s">
        <v>9453</v>
      </c>
      <c r="R1724" s="14" t="str">
        <f>HYPERLINK("https://drive.google.com/file/d/17-iZPBlB8u3c80etzAenatFOSNswwEvr/view?usp=drivesdk","OFFER LETTER")</f>
        <v>OFFER LETTER</v>
      </c>
      <c r="S1724" s="11" t="s">
        <v>9454</v>
      </c>
    </row>
    <row r="1725" ht="22.5" customHeight="1">
      <c r="A1725" s="10">
        <v>46265.61756859954</v>
      </c>
      <c r="B1725" s="18" t="s">
        <v>9455</v>
      </c>
      <c r="C1725" s="11" t="s">
        <v>195</v>
      </c>
      <c r="D1725" s="11" t="s">
        <v>108</v>
      </c>
      <c r="E1725" s="12">
        <v>46265.0</v>
      </c>
      <c r="F1725" s="12">
        <v>46325.0</v>
      </c>
      <c r="G1725" s="11" t="s">
        <v>9445</v>
      </c>
      <c r="H1725" s="11">
        <v>9.346220258E9</v>
      </c>
      <c r="I1725" s="11" t="s">
        <v>82</v>
      </c>
      <c r="J1725" s="11" t="s">
        <v>71</v>
      </c>
      <c r="K1725" s="11" t="s">
        <v>72</v>
      </c>
      <c r="L1725" s="11" t="s">
        <v>131</v>
      </c>
      <c r="M1725" s="11" t="s">
        <v>2883</v>
      </c>
      <c r="N1725" s="11" t="s">
        <v>86</v>
      </c>
      <c r="O1725" s="11" t="s">
        <v>71</v>
      </c>
      <c r="P1725" s="11" t="s">
        <v>9456</v>
      </c>
      <c r="Q1725" s="18" t="s">
        <v>9455</v>
      </c>
      <c r="R1725" s="18" t="s">
        <v>9455</v>
      </c>
      <c r="S1725" s="11" t="s">
        <v>9454</v>
      </c>
    </row>
    <row r="1726" ht="22.5" customHeight="1">
      <c r="A1726" s="10">
        <v>46265.620131828706</v>
      </c>
      <c r="B1726" s="18" t="s">
        <v>9455</v>
      </c>
      <c r="C1726" s="11" t="s">
        <v>195</v>
      </c>
      <c r="D1726" s="11" t="s">
        <v>108</v>
      </c>
      <c r="E1726" s="12">
        <v>46265.0</v>
      </c>
      <c r="F1726" s="12">
        <v>46325.0</v>
      </c>
      <c r="G1726" s="11" t="s">
        <v>9445</v>
      </c>
      <c r="H1726" s="11">
        <v>9.346220258E9</v>
      </c>
      <c r="I1726" s="11" t="s">
        <v>82</v>
      </c>
      <c r="J1726" s="11" t="s">
        <v>71</v>
      </c>
      <c r="K1726" s="11" t="s">
        <v>72</v>
      </c>
      <c r="L1726" s="11" t="s">
        <v>131</v>
      </c>
      <c r="M1726" s="11" t="s">
        <v>2883</v>
      </c>
      <c r="N1726" s="11" t="s">
        <v>86</v>
      </c>
      <c r="O1726" s="11" t="s">
        <v>71</v>
      </c>
      <c r="P1726" s="11" t="s">
        <v>9457</v>
      </c>
      <c r="Q1726" s="18" t="s">
        <v>9455</v>
      </c>
      <c r="R1726" s="18" t="s">
        <v>9455</v>
      </c>
      <c r="S1726" s="11" t="s">
        <v>9458</v>
      </c>
    </row>
    <row r="1727" ht="22.5" customHeight="1">
      <c r="A1727" s="10">
        <v>46265.622346840275</v>
      </c>
      <c r="B1727" s="11" t="s">
        <v>9459</v>
      </c>
      <c r="C1727" s="11" t="s">
        <v>80</v>
      </c>
      <c r="D1727" s="11" t="s">
        <v>108</v>
      </c>
      <c r="E1727" s="12">
        <v>46182.0</v>
      </c>
      <c r="F1727" s="12">
        <v>46237.0</v>
      </c>
      <c r="G1727" s="11" t="s">
        <v>9460</v>
      </c>
      <c r="H1727" s="11">
        <v>7.893260063E9</v>
      </c>
      <c r="I1727" s="11" t="s">
        <v>82</v>
      </c>
      <c r="J1727" s="11" t="s">
        <v>71</v>
      </c>
      <c r="K1727" s="11" t="s">
        <v>72</v>
      </c>
      <c r="L1727" s="11" t="s">
        <v>131</v>
      </c>
      <c r="M1727" s="11" t="s">
        <v>9347</v>
      </c>
      <c r="N1727" s="11" t="s">
        <v>198</v>
      </c>
      <c r="O1727" s="11" t="s">
        <v>71</v>
      </c>
      <c r="P1727" s="11" t="s">
        <v>9461</v>
      </c>
      <c r="Q1727" s="13" t="s">
        <v>9462</v>
      </c>
      <c r="R1727" s="14" t="str">
        <f>HYPERLINK("https://drive.google.com/file/d/1BtlwF9llgmL3AVRcJAozv-QIlBFW-Xsl/view?usp=drivesdk","OFFER LETTER")</f>
        <v>OFFER LETTER</v>
      </c>
      <c r="S1727" s="11" t="s">
        <v>9463</v>
      </c>
    </row>
    <row r="1728" ht="22.5" customHeight="1">
      <c r="A1728" s="10">
        <v>46265.62689771991</v>
      </c>
      <c r="B1728" s="11" t="s">
        <v>9464</v>
      </c>
      <c r="C1728" s="11" t="s">
        <v>128</v>
      </c>
      <c r="D1728" s="11" t="s">
        <v>68</v>
      </c>
      <c r="E1728" s="12">
        <v>46266.0</v>
      </c>
      <c r="F1728" s="12">
        <v>46295.0</v>
      </c>
      <c r="G1728" s="11" t="s">
        <v>9465</v>
      </c>
      <c r="H1728" s="11">
        <v>9.154886665E9</v>
      </c>
      <c r="I1728" s="11" t="s">
        <v>3790</v>
      </c>
      <c r="J1728" s="11" t="s">
        <v>83</v>
      </c>
      <c r="K1728" s="11" t="s">
        <v>72</v>
      </c>
      <c r="L1728" s="11" t="s">
        <v>84</v>
      </c>
      <c r="M1728" s="11" t="s">
        <v>9466</v>
      </c>
      <c r="N1728" s="11" t="s">
        <v>1641</v>
      </c>
      <c r="O1728" s="11" t="s">
        <v>71</v>
      </c>
      <c r="P1728" s="11" t="s">
        <v>9467</v>
      </c>
      <c r="Q1728" s="13" t="s">
        <v>9468</v>
      </c>
      <c r="R1728" s="14" t="str">
        <f>HYPERLINK("https://drive.google.com/file/d/1n07pdT6NLArtAs12vNoAbubBrn6PBir5/view?usp=drivesdk","OFFER LETTER")</f>
        <v>OFFER LETTER</v>
      </c>
      <c r="S1728" s="11" t="s">
        <v>9469</v>
      </c>
    </row>
    <row r="1729" ht="22.5" customHeight="1">
      <c r="A1729" s="10">
        <v>46265.62691569445</v>
      </c>
      <c r="B1729" s="11" t="s">
        <v>9470</v>
      </c>
      <c r="C1729" s="11" t="s">
        <v>128</v>
      </c>
      <c r="D1729" s="11" t="s">
        <v>68</v>
      </c>
      <c r="E1729" s="12">
        <v>46266.0</v>
      </c>
      <c r="F1729" s="12">
        <v>46295.0</v>
      </c>
      <c r="G1729" s="11" t="s">
        <v>9471</v>
      </c>
      <c r="H1729" s="11">
        <v>8.247645422E9</v>
      </c>
      <c r="I1729" s="11" t="s">
        <v>70</v>
      </c>
      <c r="J1729" s="11" t="s">
        <v>83</v>
      </c>
      <c r="K1729" s="11" t="s">
        <v>72</v>
      </c>
      <c r="L1729" s="11" t="s">
        <v>84</v>
      </c>
      <c r="M1729" s="11" t="s">
        <v>9466</v>
      </c>
      <c r="N1729" s="11" t="s">
        <v>1641</v>
      </c>
      <c r="O1729" s="11" t="s">
        <v>71</v>
      </c>
      <c r="P1729" s="11" t="s">
        <v>9472</v>
      </c>
      <c r="Q1729" s="13" t="s">
        <v>9473</v>
      </c>
      <c r="R1729" s="14" t="str">
        <f>HYPERLINK("https://drive.google.com/file/d/1Hfi4BN7jY8xaKpphVj3xDSweZsqVMDT3/view?usp=drivesdk","OFFER LETTER")</f>
        <v>OFFER LETTER</v>
      </c>
      <c r="S1729" s="11" t="s">
        <v>9469</v>
      </c>
    </row>
    <row r="1730" ht="22.5" customHeight="1">
      <c r="A1730" s="10">
        <v>46265.63332483797</v>
      </c>
      <c r="B1730" s="11" t="s">
        <v>9474</v>
      </c>
      <c r="C1730" s="11" t="s">
        <v>128</v>
      </c>
      <c r="D1730" s="11" t="s">
        <v>68</v>
      </c>
      <c r="E1730" s="12">
        <v>46266.0</v>
      </c>
      <c r="F1730" s="12">
        <v>46295.0</v>
      </c>
      <c r="G1730" s="11" t="s">
        <v>9475</v>
      </c>
      <c r="H1730" s="11">
        <v>8.500753711E9</v>
      </c>
      <c r="I1730" s="11" t="s">
        <v>70</v>
      </c>
      <c r="J1730" s="11" t="s">
        <v>83</v>
      </c>
      <c r="K1730" s="11" t="s">
        <v>72</v>
      </c>
      <c r="L1730" s="11" t="s">
        <v>84</v>
      </c>
      <c r="M1730" s="11" t="s">
        <v>7294</v>
      </c>
      <c r="N1730" s="11" t="s">
        <v>1641</v>
      </c>
      <c r="O1730" s="11" t="s">
        <v>71</v>
      </c>
      <c r="P1730" s="11" t="s">
        <v>9476</v>
      </c>
      <c r="Q1730" s="13" t="s">
        <v>9477</v>
      </c>
      <c r="R1730" s="14" t="str">
        <f>HYPERLINK("https://drive.google.com/file/d/1HlMapQumguiXmAXTV5tqME-9FGZrMGuQ/view?usp=drivesdk","OFFER LETTER")</f>
        <v>OFFER LETTER</v>
      </c>
      <c r="S1730" s="11" t="s">
        <v>9478</v>
      </c>
    </row>
    <row r="1731" ht="22.5" customHeight="1">
      <c r="A1731" s="10">
        <v>46265.633996539356</v>
      </c>
      <c r="B1731" s="11" t="s">
        <v>9479</v>
      </c>
      <c r="C1731" s="11" t="s">
        <v>195</v>
      </c>
      <c r="D1731" s="11" t="s">
        <v>68</v>
      </c>
      <c r="E1731" s="12">
        <v>46266.0</v>
      </c>
      <c r="F1731" s="12">
        <v>46295.0</v>
      </c>
      <c r="G1731" s="11" t="s">
        <v>9480</v>
      </c>
      <c r="H1731" s="11">
        <v>7.676033822E9</v>
      </c>
      <c r="I1731" s="11" t="s">
        <v>82</v>
      </c>
      <c r="J1731" s="11" t="s">
        <v>71</v>
      </c>
      <c r="K1731" s="11" t="s">
        <v>72</v>
      </c>
      <c r="L1731" s="11" t="s">
        <v>73</v>
      </c>
      <c r="M1731" s="11" t="s">
        <v>9481</v>
      </c>
      <c r="N1731" s="11" t="s">
        <v>86</v>
      </c>
      <c r="O1731" s="11" t="s">
        <v>71</v>
      </c>
      <c r="P1731" s="11" t="s">
        <v>9482</v>
      </c>
      <c r="Q1731" s="13" t="s">
        <v>9483</v>
      </c>
      <c r="R1731" s="14" t="str">
        <f>HYPERLINK("https://drive.google.com/file/d/1LyaUomGD3Lqn2z7izC5MknLAIlbupNfE/view?usp=drivesdk","OFFER LETTER")</f>
        <v>OFFER LETTER</v>
      </c>
      <c r="S1731" s="11" t="s">
        <v>9484</v>
      </c>
    </row>
    <row r="1732" ht="22.5" customHeight="1">
      <c r="A1732" s="10">
        <v>46265.635587337965</v>
      </c>
      <c r="B1732" s="11" t="s">
        <v>9485</v>
      </c>
      <c r="C1732" s="11" t="s">
        <v>128</v>
      </c>
      <c r="D1732" s="11" t="s">
        <v>68</v>
      </c>
      <c r="E1732" s="12">
        <v>46175.0</v>
      </c>
      <c r="F1732" s="12">
        <v>46205.0</v>
      </c>
      <c r="G1732" s="11" t="s">
        <v>9486</v>
      </c>
      <c r="H1732" s="11">
        <v>9.324290766E9</v>
      </c>
      <c r="I1732" s="11" t="s">
        <v>70</v>
      </c>
      <c r="J1732" s="11" t="s">
        <v>71</v>
      </c>
      <c r="K1732" s="11" t="s">
        <v>110</v>
      </c>
      <c r="L1732" s="11" t="s">
        <v>73</v>
      </c>
      <c r="M1732" s="11" t="s">
        <v>9487</v>
      </c>
      <c r="N1732" s="11" t="s">
        <v>86</v>
      </c>
      <c r="O1732" s="11" t="s">
        <v>71</v>
      </c>
      <c r="P1732" s="11" t="s">
        <v>9488</v>
      </c>
      <c r="Q1732" s="13" t="s">
        <v>9489</v>
      </c>
      <c r="R1732" s="14" t="str">
        <f>HYPERLINK("https://drive.google.com/file/d/1kC6K6tUuC2tpfP7XVTWj5YzyjV6sg5pP/view?usp=drivesdk","OFFER LETTER")</f>
        <v>OFFER LETTER</v>
      </c>
      <c r="S1732" s="11" t="s">
        <v>9490</v>
      </c>
    </row>
    <row r="1733" ht="22.5" customHeight="1">
      <c r="A1733" s="10">
        <v>46265.63600359954</v>
      </c>
      <c r="B1733" s="11" t="s">
        <v>9491</v>
      </c>
      <c r="C1733" s="11" t="s">
        <v>107</v>
      </c>
      <c r="D1733" s="11" t="s">
        <v>108</v>
      </c>
      <c r="E1733" s="12">
        <v>46147.0</v>
      </c>
      <c r="F1733" s="12">
        <v>46208.0</v>
      </c>
      <c r="G1733" s="11" t="s">
        <v>9492</v>
      </c>
      <c r="H1733" s="11">
        <v>9.963779891E9</v>
      </c>
      <c r="I1733" s="11" t="s">
        <v>82</v>
      </c>
      <c r="J1733" s="11" t="s">
        <v>71</v>
      </c>
      <c r="K1733" s="11" t="s">
        <v>72</v>
      </c>
      <c r="L1733" s="11" t="s">
        <v>84</v>
      </c>
      <c r="M1733" s="11" t="s">
        <v>9493</v>
      </c>
      <c r="N1733" s="11" t="s">
        <v>86</v>
      </c>
      <c r="O1733" s="11" t="s">
        <v>71</v>
      </c>
      <c r="P1733" s="11" t="s">
        <v>9494</v>
      </c>
      <c r="Q1733" s="13" t="s">
        <v>9495</v>
      </c>
      <c r="R1733" s="14" t="str">
        <f>HYPERLINK("https://drive.google.com/file/d/1UImlcptZ41QuDmujNKJ5sCqWfpWUe4Ke/view?usp=drivesdk","OFFER LETTER")</f>
        <v>OFFER LETTER</v>
      </c>
      <c r="S1733" s="11" t="s">
        <v>9496</v>
      </c>
    </row>
    <row r="1734" ht="22.5" customHeight="1">
      <c r="A1734" s="10">
        <v>46265.638734513894</v>
      </c>
      <c r="B1734" s="11" t="s">
        <v>9497</v>
      </c>
      <c r="C1734" s="11" t="s">
        <v>107</v>
      </c>
      <c r="D1734" s="11" t="s">
        <v>108</v>
      </c>
      <c r="E1734" s="12">
        <v>46152.0</v>
      </c>
      <c r="F1734" s="12">
        <v>46213.0</v>
      </c>
      <c r="G1734" s="11" t="s">
        <v>9492</v>
      </c>
      <c r="H1734" s="11">
        <v>9.963779891E9</v>
      </c>
      <c r="I1734" s="11" t="s">
        <v>82</v>
      </c>
      <c r="J1734" s="11" t="s">
        <v>71</v>
      </c>
      <c r="K1734" s="11" t="s">
        <v>72</v>
      </c>
      <c r="L1734" s="11" t="s">
        <v>84</v>
      </c>
      <c r="M1734" s="11" t="s">
        <v>2299</v>
      </c>
      <c r="N1734" s="11" t="s">
        <v>86</v>
      </c>
      <c r="O1734" s="11" t="s">
        <v>71</v>
      </c>
      <c r="P1734" s="11" t="s">
        <v>9498</v>
      </c>
      <c r="Q1734" s="13" t="s">
        <v>9499</v>
      </c>
      <c r="R1734" s="14" t="str">
        <f>HYPERLINK("https://drive.google.com/file/d/12l1nF76cGoI-UQezAT9zu99NQE0nnr6s/view?usp=drivesdk","OFFER LETTER")</f>
        <v>OFFER LETTER</v>
      </c>
      <c r="S1734" s="11" t="s">
        <v>9500</v>
      </c>
    </row>
    <row r="1735" ht="22.5" customHeight="1">
      <c r="A1735" s="10">
        <v>46265.644361597224</v>
      </c>
      <c r="B1735" s="11" t="s">
        <v>9501</v>
      </c>
      <c r="C1735" s="11" t="s">
        <v>165</v>
      </c>
      <c r="D1735" s="11" t="s">
        <v>68</v>
      </c>
      <c r="E1735" s="12">
        <v>46266.0</v>
      </c>
      <c r="F1735" s="12">
        <v>46295.0</v>
      </c>
      <c r="G1735" s="11" t="s">
        <v>9502</v>
      </c>
      <c r="H1735" s="11">
        <v>8.767997254E9</v>
      </c>
      <c r="I1735" s="11" t="s">
        <v>70</v>
      </c>
      <c r="J1735" s="11" t="s">
        <v>71</v>
      </c>
      <c r="K1735" s="11" t="s">
        <v>167</v>
      </c>
      <c r="L1735" s="11" t="s">
        <v>84</v>
      </c>
      <c r="M1735" s="11" t="s">
        <v>9503</v>
      </c>
      <c r="N1735" s="11" t="s">
        <v>226</v>
      </c>
      <c r="O1735" s="11" t="s">
        <v>71</v>
      </c>
      <c r="P1735" s="11" t="s">
        <v>9504</v>
      </c>
      <c r="Q1735" s="13" t="s">
        <v>9505</v>
      </c>
      <c r="R1735" s="14" t="str">
        <f>HYPERLINK("https://drive.google.com/file/d/1D59sFgxzkJURHXPVWbLoUHXo6ClQ3n0n/view?usp=drivesdk","OFFER LETTER")</f>
        <v>OFFER LETTER</v>
      </c>
      <c r="S1735" s="11" t="s">
        <v>9506</v>
      </c>
    </row>
    <row r="1736" ht="22.5" customHeight="1">
      <c r="A1736" s="10">
        <v>46265.645654293985</v>
      </c>
      <c r="B1736" s="11" t="s">
        <v>9507</v>
      </c>
      <c r="C1736" s="11" t="s">
        <v>173</v>
      </c>
      <c r="D1736" s="11" t="s">
        <v>68</v>
      </c>
      <c r="E1736" s="12">
        <v>46178.0</v>
      </c>
      <c r="F1736" s="12">
        <v>46209.0</v>
      </c>
      <c r="G1736" s="11" t="s">
        <v>9508</v>
      </c>
      <c r="H1736" s="11">
        <v>7.091299545E9</v>
      </c>
      <c r="I1736" s="11" t="s">
        <v>82</v>
      </c>
      <c r="J1736" s="11" t="s">
        <v>71</v>
      </c>
      <c r="K1736" s="11" t="s">
        <v>72</v>
      </c>
      <c r="L1736" s="11" t="s">
        <v>84</v>
      </c>
      <c r="M1736" s="11" t="s">
        <v>9509</v>
      </c>
      <c r="N1736" s="11" t="s">
        <v>86</v>
      </c>
      <c r="O1736" s="11" t="s">
        <v>71</v>
      </c>
      <c r="P1736" s="11" t="s">
        <v>9510</v>
      </c>
      <c r="Q1736" s="13" t="s">
        <v>9511</v>
      </c>
      <c r="R1736" s="14" t="str">
        <f>HYPERLINK("https://drive.google.com/file/d/1Q8ax8DF-Hc0g1JflGdEqNbGCa_3h2XU0/view?usp=drivesdk","OFFER LETTER")</f>
        <v>OFFER LETTER</v>
      </c>
      <c r="S1736" s="11" t="s">
        <v>9512</v>
      </c>
    </row>
    <row r="1737" ht="22.5" customHeight="1">
      <c r="A1737" s="10">
        <v>46265.65244655093</v>
      </c>
      <c r="B1737" s="11" t="s">
        <v>9513</v>
      </c>
      <c r="C1737" s="11" t="s">
        <v>237</v>
      </c>
      <c r="D1737" s="11" t="s">
        <v>68</v>
      </c>
      <c r="E1737" s="12">
        <v>46237.0</v>
      </c>
      <c r="F1737" s="12">
        <v>46267.0</v>
      </c>
      <c r="G1737" s="11" t="s">
        <v>9514</v>
      </c>
      <c r="H1737" s="11">
        <v>9.019887806E9</v>
      </c>
      <c r="I1737" s="11" t="s">
        <v>82</v>
      </c>
      <c r="J1737" s="11" t="s">
        <v>71</v>
      </c>
      <c r="K1737" s="11" t="s">
        <v>2045</v>
      </c>
      <c r="L1737" s="11" t="s">
        <v>84</v>
      </c>
      <c r="M1737" s="11" t="s">
        <v>9515</v>
      </c>
      <c r="N1737" s="11" t="s">
        <v>750</v>
      </c>
      <c r="O1737" s="11" t="s">
        <v>71</v>
      </c>
      <c r="P1737" s="11" t="s">
        <v>9516</v>
      </c>
      <c r="Q1737" s="13" t="s">
        <v>9517</v>
      </c>
      <c r="R1737" s="14" t="str">
        <f>HYPERLINK("https://drive.google.com/file/d/12W3J93XTcCmM6O--osCFPnbSsRjpguqu/view?usp=drivesdk","OFFER LETTER")</f>
        <v>OFFER LETTER</v>
      </c>
      <c r="S1737" s="11" t="s">
        <v>9518</v>
      </c>
    </row>
    <row r="1738" ht="22.5" customHeight="1">
      <c r="A1738" s="10">
        <v>46265.66320804398</v>
      </c>
      <c r="B1738" s="11" t="s">
        <v>9519</v>
      </c>
      <c r="C1738" s="11" t="s">
        <v>91</v>
      </c>
      <c r="D1738" s="11" t="s">
        <v>68</v>
      </c>
      <c r="E1738" s="12">
        <v>46261.0</v>
      </c>
      <c r="F1738" s="12">
        <v>46292.0</v>
      </c>
      <c r="G1738" s="11" t="s">
        <v>9520</v>
      </c>
      <c r="H1738" s="11">
        <v>8.266971905E9</v>
      </c>
      <c r="I1738" s="11" t="s">
        <v>82</v>
      </c>
      <c r="J1738" s="11" t="s">
        <v>71</v>
      </c>
      <c r="K1738" s="11" t="s">
        <v>72</v>
      </c>
      <c r="L1738" s="11" t="s">
        <v>73</v>
      </c>
      <c r="M1738" s="11" t="s">
        <v>9521</v>
      </c>
      <c r="N1738" s="11" t="s">
        <v>198</v>
      </c>
      <c r="O1738" s="11" t="s">
        <v>71</v>
      </c>
      <c r="P1738" s="11" t="s">
        <v>9522</v>
      </c>
      <c r="Q1738" s="13" t="s">
        <v>9523</v>
      </c>
      <c r="R1738" s="14" t="str">
        <f>HYPERLINK("https://drive.google.com/file/d/1a0qv-fjF-VBxaoNu2lUa6OcSRcveTggV/view?usp=drivesdk","OFFER LETTER")</f>
        <v>OFFER LETTER</v>
      </c>
      <c r="S1738" s="11" t="s">
        <v>9524</v>
      </c>
    </row>
    <row r="1739" ht="22.5" customHeight="1">
      <c r="A1739" s="10">
        <v>46265.683405752316</v>
      </c>
      <c r="B1739" s="11" t="s">
        <v>9525</v>
      </c>
      <c r="C1739" s="11" t="s">
        <v>107</v>
      </c>
      <c r="D1739" s="11" t="s">
        <v>68</v>
      </c>
      <c r="E1739" s="12">
        <v>46267.0</v>
      </c>
      <c r="F1739" s="12">
        <v>46297.0</v>
      </c>
      <c r="G1739" s="11" t="s">
        <v>9526</v>
      </c>
      <c r="H1739" s="11">
        <v>6.38627406E9</v>
      </c>
      <c r="I1739" s="11" t="s">
        <v>82</v>
      </c>
      <c r="J1739" s="11" t="s">
        <v>71</v>
      </c>
      <c r="K1739" s="11" t="s">
        <v>72</v>
      </c>
      <c r="L1739" s="11" t="s">
        <v>73</v>
      </c>
      <c r="M1739" s="11" t="s">
        <v>9527</v>
      </c>
      <c r="N1739" s="11" t="s">
        <v>241</v>
      </c>
      <c r="O1739" s="11" t="s">
        <v>71</v>
      </c>
      <c r="P1739" s="11" t="s">
        <v>9528</v>
      </c>
      <c r="Q1739" s="13" t="s">
        <v>9529</v>
      </c>
      <c r="R1739" s="14" t="str">
        <f>HYPERLINK("https://drive.google.com/file/d/1LHnemlMJFiYA3sA_gO__Rc-4-zKSlYBf/view?usp=drivesdk","OFFER LETTER")</f>
        <v>OFFER LETTER</v>
      </c>
      <c r="S1739" s="11" t="s">
        <v>9530</v>
      </c>
    </row>
    <row r="1740" ht="22.5" customHeight="1">
      <c r="A1740" s="10">
        <v>46265.684792175925</v>
      </c>
      <c r="B1740" s="11" t="s">
        <v>9531</v>
      </c>
      <c r="C1740" s="11" t="s">
        <v>107</v>
      </c>
      <c r="D1740" s="11" t="s">
        <v>108</v>
      </c>
      <c r="E1740" s="12">
        <v>46199.0</v>
      </c>
      <c r="F1740" s="12">
        <v>46260.0</v>
      </c>
      <c r="G1740" s="11" t="s">
        <v>9532</v>
      </c>
      <c r="H1740" s="11">
        <v>9.104045122E9</v>
      </c>
      <c r="I1740" s="11" t="s">
        <v>70</v>
      </c>
      <c r="J1740" s="11" t="s">
        <v>71</v>
      </c>
      <c r="K1740" s="11" t="s">
        <v>110</v>
      </c>
      <c r="L1740" s="11" t="s">
        <v>73</v>
      </c>
      <c r="M1740" s="11" t="s">
        <v>1118</v>
      </c>
      <c r="N1740" s="11" t="s">
        <v>9533</v>
      </c>
      <c r="O1740" s="11" t="s">
        <v>71</v>
      </c>
      <c r="P1740" s="11" t="s">
        <v>9534</v>
      </c>
      <c r="Q1740" s="13" t="s">
        <v>9535</v>
      </c>
      <c r="R1740" s="14" t="str">
        <f>HYPERLINK("https://drive.google.com/file/d/1be6hwNGWX5SnMARzF70f-r5rLhJrHfXA/view?usp=drivesdk","OFFER LETTER")</f>
        <v>OFFER LETTER</v>
      </c>
      <c r="S1740" s="11" t="s">
        <v>9536</v>
      </c>
    </row>
    <row r="1741" ht="22.5" customHeight="1">
      <c r="A1741" s="10">
        <v>46265.687937546296</v>
      </c>
      <c r="B1741" s="11" t="s">
        <v>9537</v>
      </c>
      <c r="C1741" s="11" t="s">
        <v>259</v>
      </c>
      <c r="D1741" s="11" t="s">
        <v>68</v>
      </c>
      <c r="E1741" s="12">
        <v>46265.0</v>
      </c>
      <c r="F1741" s="12">
        <v>46280.0</v>
      </c>
      <c r="G1741" s="11" t="s">
        <v>9538</v>
      </c>
      <c r="H1741" s="11">
        <v>7.739790362E9</v>
      </c>
      <c r="I1741" s="11" t="s">
        <v>70</v>
      </c>
      <c r="J1741" s="11" t="s">
        <v>71</v>
      </c>
      <c r="K1741" s="11" t="s">
        <v>72</v>
      </c>
      <c r="L1741" s="11" t="s">
        <v>84</v>
      </c>
      <c r="M1741" s="11" t="s">
        <v>9539</v>
      </c>
      <c r="N1741" s="11" t="s">
        <v>86</v>
      </c>
      <c r="O1741" s="11" t="s">
        <v>71</v>
      </c>
      <c r="P1741" s="11" t="s">
        <v>9540</v>
      </c>
      <c r="Q1741" s="13" t="s">
        <v>9541</v>
      </c>
      <c r="R1741" s="14" t="str">
        <f>HYPERLINK("https://drive.google.com/file/d/1XkRHiXKf3cfQtFyQPKSFGULS5MsN5QfR/view?usp=drivesdk","OFFER LETTER")</f>
        <v>OFFER LETTER</v>
      </c>
      <c r="S1741" s="11" t="s">
        <v>9542</v>
      </c>
    </row>
    <row r="1742" ht="22.5" customHeight="1">
      <c r="A1742" s="10">
        <v>46265.688196539355</v>
      </c>
      <c r="B1742" s="11" t="s">
        <v>9543</v>
      </c>
      <c r="C1742" s="11" t="s">
        <v>195</v>
      </c>
      <c r="D1742" s="11" t="s">
        <v>68</v>
      </c>
      <c r="E1742" s="12">
        <v>46228.0</v>
      </c>
      <c r="F1742" s="12">
        <v>46259.0</v>
      </c>
      <c r="G1742" s="11" t="s">
        <v>9544</v>
      </c>
      <c r="H1742" s="11">
        <v>8.756163215E9</v>
      </c>
      <c r="I1742" s="11" t="s">
        <v>82</v>
      </c>
      <c r="K1742" s="11" t="s">
        <v>72</v>
      </c>
      <c r="L1742" s="11" t="s">
        <v>84</v>
      </c>
      <c r="M1742" s="11" t="s">
        <v>2535</v>
      </c>
      <c r="N1742" s="11" t="s">
        <v>86</v>
      </c>
      <c r="O1742" s="11" t="s">
        <v>71</v>
      </c>
      <c r="P1742" s="11" t="s">
        <v>9545</v>
      </c>
      <c r="Q1742" s="13" t="s">
        <v>9546</v>
      </c>
      <c r="R1742" s="14" t="str">
        <f>HYPERLINK("https://drive.google.com/file/d/1QcTWvz3z2pWp2Ok2f8jK1cL_bp-f-LPM/view?usp=drivesdk","OFFER LETTER")</f>
        <v>OFFER LETTER</v>
      </c>
      <c r="S1742" s="11" t="s">
        <v>9542</v>
      </c>
    </row>
    <row r="1743" ht="22.5" customHeight="1">
      <c r="A1743" s="10">
        <v>46265.72170491898</v>
      </c>
      <c r="B1743" s="11" t="s">
        <v>9032</v>
      </c>
      <c r="C1743" s="11" t="s">
        <v>173</v>
      </c>
      <c r="D1743" s="11" t="s">
        <v>68</v>
      </c>
      <c r="E1743" s="12">
        <v>46265.0</v>
      </c>
      <c r="F1743" s="12">
        <v>46295.0</v>
      </c>
      <c r="G1743" s="11" t="s">
        <v>9033</v>
      </c>
      <c r="H1743" s="11">
        <v>9.236344491E9</v>
      </c>
      <c r="I1743" s="11" t="s">
        <v>70</v>
      </c>
      <c r="J1743" s="11" t="s">
        <v>71</v>
      </c>
      <c r="K1743" s="11" t="s">
        <v>110</v>
      </c>
      <c r="L1743" s="11" t="s">
        <v>73</v>
      </c>
      <c r="M1743" s="11" t="s">
        <v>9547</v>
      </c>
      <c r="N1743" s="11" t="s">
        <v>86</v>
      </c>
      <c r="O1743" s="11" t="s">
        <v>71</v>
      </c>
      <c r="P1743" s="11" t="s">
        <v>9548</v>
      </c>
      <c r="Q1743" s="13" t="s">
        <v>9549</v>
      </c>
      <c r="R1743" s="14" t="str">
        <f>HYPERLINK("https://drive.google.com/file/d/1QSOhGRBC0YJfw_Mdx4m-IKFMS_o2QRPQ/view?usp=drivesdk","OFFER LETTER")</f>
        <v>OFFER LETTER</v>
      </c>
      <c r="S1743" s="11" t="s">
        <v>9550</v>
      </c>
    </row>
    <row r="1744" ht="22.5" customHeight="1">
      <c r="A1744" s="10">
        <v>46265.729792488426</v>
      </c>
      <c r="B1744" s="11" t="s">
        <v>9551</v>
      </c>
      <c r="C1744" s="11" t="s">
        <v>128</v>
      </c>
      <c r="D1744" s="11" t="s">
        <v>68</v>
      </c>
      <c r="E1744" s="12">
        <v>46175.0</v>
      </c>
      <c r="F1744" s="12">
        <v>46204.0</v>
      </c>
      <c r="G1744" s="11" t="s">
        <v>9552</v>
      </c>
      <c r="H1744" s="11">
        <v>9.072171158E9</v>
      </c>
      <c r="I1744" s="11" t="s">
        <v>82</v>
      </c>
      <c r="J1744" s="11" t="s">
        <v>130</v>
      </c>
      <c r="K1744" s="11" t="s">
        <v>72</v>
      </c>
      <c r="L1744" s="11" t="s">
        <v>84</v>
      </c>
      <c r="M1744" s="11" t="s">
        <v>9553</v>
      </c>
      <c r="N1744" s="11" t="s">
        <v>86</v>
      </c>
      <c r="O1744" s="11" t="s">
        <v>71</v>
      </c>
      <c r="P1744" s="11" t="s">
        <v>9554</v>
      </c>
      <c r="Q1744" s="13" t="s">
        <v>9555</v>
      </c>
      <c r="R1744" s="14" t="str">
        <f>HYPERLINK("https://drive.google.com/file/d/1BRpmAHlErmRkme6OZJS38sxRO_XB6PUl/view?usp=drivesdk","OFFER LETTER")</f>
        <v>OFFER LETTER</v>
      </c>
      <c r="S1744" s="11" t="s">
        <v>9556</v>
      </c>
    </row>
    <row r="1745" ht="22.5" customHeight="1">
      <c r="A1745" s="10">
        <v>46265.73259071759</v>
      </c>
      <c r="B1745" s="11" t="s">
        <v>9557</v>
      </c>
      <c r="C1745" s="11" t="s">
        <v>128</v>
      </c>
      <c r="D1745" s="11" t="s">
        <v>68</v>
      </c>
      <c r="E1745" s="12">
        <v>46257.0</v>
      </c>
      <c r="F1745" s="12">
        <v>46288.0</v>
      </c>
      <c r="G1745" s="11" t="s">
        <v>647</v>
      </c>
      <c r="H1745" s="11">
        <v>8.318895781E9</v>
      </c>
      <c r="I1745" s="11" t="s">
        <v>70</v>
      </c>
      <c r="J1745" s="11" t="s">
        <v>83</v>
      </c>
      <c r="K1745" s="11" t="s">
        <v>72</v>
      </c>
      <c r="L1745" s="11" t="s">
        <v>84</v>
      </c>
      <c r="M1745" s="11" t="s">
        <v>648</v>
      </c>
      <c r="N1745" s="11" t="s">
        <v>86</v>
      </c>
      <c r="O1745" s="11" t="s">
        <v>71</v>
      </c>
      <c r="P1745" s="11" t="s">
        <v>9558</v>
      </c>
      <c r="Q1745" s="13" t="s">
        <v>9559</v>
      </c>
      <c r="R1745" s="14" t="str">
        <f>HYPERLINK("https://drive.google.com/file/d/1ws9cMXN_TEZapzBTluPDqOWEfwlN40_E/view?usp=drivesdk","OFFER LETTER")</f>
        <v>OFFER LETTER</v>
      </c>
      <c r="S1745" s="11" t="s">
        <v>9560</v>
      </c>
    </row>
    <row r="1746" ht="22.5" customHeight="1">
      <c r="A1746" s="10">
        <v>46265.73387202546</v>
      </c>
      <c r="B1746" s="11" t="s">
        <v>9561</v>
      </c>
      <c r="C1746" s="11" t="s">
        <v>195</v>
      </c>
      <c r="D1746" s="11" t="s">
        <v>68</v>
      </c>
      <c r="E1746" s="12">
        <v>46174.0</v>
      </c>
      <c r="F1746" s="12">
        <v>46233.0</v>
      </c>
      <c r="G1746" s="11" t="s">
        <v>9562</v>
      </c>
      <c r="H1746" s="17" t="s">
        <v>9563</v>
      </c>
      <c r="I1746" s="11" t="s">
        <v>82</v>
      </c>
      <c r="J1746" s="11" t="s">
        <v>71</v>
      </c>
      <c r="K1746" s="11" t="s">
        <v>72</v>
      </c>
      <c r="L1746" s="11" t="s">
        <v>84</v>
      </c>
      <c r="M1746" s="11" t="s">
        <v>9564</v>
      </c>
      <c r="N1746" s="11" t="s">
        <v>75</v>
      </c>
      <c r="O1746" s="11" t="s">
        <v>71</v>
      </c>
      <c r="P1746" s="11" t="s">
        <v>9565</v>
      </c>
      <c r="Q1746" s="13" t="s">
        <v>9566</v>
      </c>
      <c r="R1746" s="14" t="str">
        <f>HYPERLINK("https://drive.google.com/file/d/1yyaRectA56FWORENZOY_6lYF-nPfZYBD/view?usp=drivesdk","OFFER LETTER")</f>
        <v>OFFER LETTER</v>
      </c>
      <c r="S1746" s="11" t="s">
        <v>9567</v>
      </c>
    </row>
    <row r="1747" ht="22.5" customHeight="1">
      <c r="A1747" s="10">
        <v>46265.75170581018</v>
      </c>
      <c r="B1747" s="11" t="s">
        <v>9568</v>
      </c>
      <c r="C1747" s="11" t="s">
        <v>128</v>
      </c>
      <c r="D1747" s="11" t="s">
        <v>68</v>
      </c>
      <c r="E1747" s="12">
        <v>46177.0</v>
      </c>
      <c r="F1747" s="12">
        <v>46207.0</v>
      </c>
      <c r="G1747" s="11" t="s">
        <v>9569</v>
      </c>
      <c r="H1747" s="11">
        <v>7.845313295E9</v>
      </c>
      <c r="I1747" s="11" t="s">
        <v>82</v>
      </c>
      <c r="J1747" s="11" t="s">
        <v>130</v>
      </c>
      <c r="K1747" s="11" t="s">
        <v>72</v>
      </c>
      <c r="L1747" s="11" t="s">
        <v>84</v>
      </c>
      <c r="M1747" s="11" t="s">
        <v>9570</v>
      </c>
      <c r="N1747" s="11" t="s">
        <v>75</v>
      </c>
      <c r="O1747" s="11" t="s">
        <v>71</v>
      </c>
      <c r="P1747" s="11" t="s">
        <v>9571</v>
      </c>
      <c r="Q1747" s="13" t="s">
        <v>9572</v>
      </c>
      <c r="R1747" s="14" t="str">
        <f>HYPERLINK("https://drive.google.com/file/d/1G_R_Dox70_v1zTpYB1Aj00Xz29mdZILJ/view?usp=drivesdk","OFFER LETTER")</f>
        <v>OFFER LETTER</v>
      </c>
      <c r="S1747" s="11" t="s">
        <v>9573</v>
      </c>
    </row>
    <row r="1748" ht="22.5" customHeight="1">
      <c r="A1748" s="10">
        <v>46265.752319039355</v>
      </c>
      <c r="B1748" s="11" t="s">
        <v>9574</v>
      </c>
      <c r="C1748" s="11" t="s">
        <v>259</v>
      </c>
      <c r="D1748" s="11" t="s">
        <v>929</v>
      </c>
      <c r="E1748" s="12">
        <v>46174.0</v>
      </c>
      <c r="F1748" s="12">
        <v>46356.0</v>
      </c>
      <c r="G1748" s="11" t="s">
        <v>9575</v>
      </c>
      <c r="H1748" s="11">
        <v>8.866862304E9</v>
      </c>
      <c r="I1748" s="11" t="s">
        <v>82</v>
      </c>
      <c r="J1748" s="11" t="s">
        <v>71</v>
      </c>
      <c r="K1748" s="13" t="s">
        <v>674</v>
      </c>
      <c r="L1748" s="11" t="s">
        <v>247</v>
      </c>
      <c r="M1748" s="11" t="s">
        <v>9576</v>
      </c>
      <c r="N1748" s="11" t="s">
        <v>226</v>
      </c>
      <c r="O1748" s="11" t="s">
        <v>71</v>
      </c>
      <c r="P1748" s="11" t="s">
        <v>9577</v>
      </c>
      <c r="Q1748" s="13" t="s">
        <v>9578</v>
      </c>
      <c r="R1748" s="14" t="str">
        <f>HYPERLINK("https://drive.google.com/file/d/13HHIa-04CBsi0njsrqyeVu88z-UWvSg7/view?usp=drivesdk","OFFER LETTER")</f>
        <v>OFFER LETTER</v>
      </c>
      <c r="S1748" s="11" t="s">
        <v>9579</v>
      </c>
    </row>
    <row r="1749" ht="22.5" customHeight="1">
      <c r="A1749" s="10">
        <v>46265.75387486111</v>
      </c>
      <c r="B1749" s="11" t="s">
        <v>9580</v>
      </c>
      <c r="C1749" s="11" t="s">
        <v>259</v>
      </c>
      <c r="D1749" s="11" t="s">
        <v>68</v>
      </c>
      <c r="E1749" s="12">
        <v>46265.0</v>
      </c>
      <c r="F1749" s="12">
        <v>46296.0</v>
      </c>
      <c r="G1749" s="11" t="s">
        <v>9581</v>
      </c>
      <c r="H1749" s="11">
        <v>9.336550854E9</v>
      </c>
      <c r="I1749" s="11" t="s">
        <v>82</v>
      </c>
      <c r="J1749" s="11" t="s">
        <v>71</v>
      </c>
      <c r="K1749" s="11" t="s">
        <v>1028</v>
      </c>
      <c r="L1749" s="11" t="s">
        <v>247</v>
      </c>
      <c r="M1749" s="11" t="s">
        <v>9582</v>
      </c>
      <c r="N1749" s="11" t="s">
        <v>226</v>
      </c>
      <c r="O1749" s="11" t="s">
        <v>71</v>
      </c>
      <c r="P1749" s="11" t="s">
        <v>9583</v>
      </c>
      <c r="Q1749" s="13" t="s">
        <v>9584</v>
      </c>
      <c r="R1749" s="14" t="str">
        <f>HYPERLINK("https://drive.google.com/file/d/1mi2KoUVtk_blHRDBw3QLjZJ_4aEq6l2d/view?usp=drivesdk","OFFER LETTER")</f>
        <v>OFFER LETTER</v>
      </c>
      <c r="S1749" s="11" t="s">
        <v>9585</v>
      </c>
    </row>
    <row r="1750" ht="22.5" customHeight="1">
      <c r="A1750" s="10">
        <v>46265.75425706018</v>
      </c>
      <c r="B1750" s="11" t="s">
        <v>9561</v>
      </c>
      <c r="C1750" s="11" t="s">
        <v>173</v>
      </c>
      <c r="D1750" s="11" t="s">
        <v>68</v>
      </c>
      <c r="E1750" s="12">
        <v>46174.0</v>
      </c>
      <c r="F1750" s="12">
        <v>46203.0</v>
      </c>
      <c r="G1750" s="11" t="s">
        <v>9586</v>
      </c>
      <c r="H1750" s="11">
        <v>9.345554331E9</v>
      </c>
      <c r="I1750" s="11" t="s">
        <v>82</v>
      </c>
      <c r="J1750" s="11" t="s">
        <v>71</v>
      </c>
      <c r="K1750" s="11" t="s">
        <v>72</v>
      </c>
      <c r="L1750" s="11" t="s">
        <v>84</v>
      </c>
      <c r="M1750" s="11" t="s">
        <v>9587</v>
      </c>
      <c r="N1750" s="11" t="s">
        <v>86</v>
      </c>
      <c r="O1750" s="11" t="s">
        <v>71</v>
      </c>
      <c r="P1750" s="11" t="s">
        <v>9588</v>
      </c>
      <c r="Q1750" s="13" t="s">
        <v>9589</v>
      </c>
      <c r="R1750" s="14" t="str">
        <f>HYPERLINK("https://drive.google.com/file/d/17ixm1cmGYEpf4KmklIw8_ko1WBCdeeT2/view?usp=drivesdk","OFFER LETTER")</f>
        <v>OFFER LETTER</v>
      </c>
      <c r="S1750" s="11" t="s">
        <v>9585</v>
      </c>
    </row>
    <row r="1751" ht="22.5" customHeight="1">
      <c r="A1751" s="10">
        <v>46265.76599835648</v>
      </c>
      <c r="B1751" s="11" t="s">
        <v>9590</v>
      </c>
      <c r="C1751" s="11" t="s">
        <v>195</v>
      </c>
      <c r="D1751" s="11" t="s">
        <v>68</v>
      </c>
      <c r="E1751" s="12">
        <v>46234.0</v>
      </c>
      <c r="F1751" s="12">
        <v>46265.0</v>
      </c>
      <c r="G1751" s="11" t="s">
        <v>9591</v>
      </c>
      <c r="H1751" s="11">
        <v>8.002006975E9</v>
      </c>
      <c r="I1751" s="11" t="s">
        <v>82</v>
      </c>
      <c r="J1751" s="11" t="s">
        <v>71</v>
      </c>
      <c r="K1751" s="11" t="s">
        <v>72</v>
      </c>
      <c r="L1751" s="11" t="s">
        <v>84</v>
      </c>
      <c r="M1751" s="11" t="s">
        <v>2535</v>
      </c>
      <c r="N1751" s="11" t="s">
        <v>86</v>
      </c>
      <c r="O1751" s="11" t="s">
        <v>71</v>
      </c>
      <c r="P1751" s="11" t="s">
        <v>9592</v>
      </c>
      <c r="Q1751" s="13" t="s">
        <v>9593</v>
      </c>
      <c r="R1751" s="14" t="str">
        <f>HYPERLINK("https://drive.google.com/file/d/1DOprJBxI_jlXlUC55Ub9zbuyYhOi2p89/view?usp=drivesdk","OFFER LETTER")</f>
        <v>OFFER LETTER</v>
      </c>
      <c r="S1751" s="11" t="s">
        <v>9594</v>
      </c>
    </row>
    <row r="1752" ht="22.5" customHeight="1">
      <c r="A1752" s="10">
        <v>46265.77043559028</v>
      </c>
      <c r="B1752" s="11" t="s">
        <v>9595</v>
      </c>
      <c r="C1752" s="11" t="s">
        <v>107</v>
      </c>
      <c r="D1752" s="11" t="s">
        <v>68</v>
      </c>
      <c r="E1752" s="12">
        <v>46235.0</v>
      </c>
      <c r="F1752" s="12">
        <v>46265.0</v>
      </c>
      <c r="G1752" s="11" t="s">
        <v>9596</v>
      </c>
      <c r="H1752" s="11">
        <v>8.07644451E9</v>
      </c>
      <c r="I1752" s="11" t="s">
        <v>82</v>
      </c>
      <c r="J1752" s="11" t="s">
        <v>71</v>
      </c>
      <c r="K1752" s="11" t="s">
        <v>72</v>
      </c>
      <c r="L1752" s="11" t="s">
        <v>84</v>
      </c>
      <c r="M1752" s="11" t="s">
        <v>560</v>
      </c>
      <c r="N1752" s="11" t="s">
        <v>9597</v>
      </c>
      <c r="O1752" s="11" t="s">
        <v>71</v>
      </c>
      <c r="P1752" s="11" t="s">
        <v>9598</v>
      </c>
      <c r="Q1752" s="13" t="s">
        <v>9599</v>
      </c>
      <c r="R1752" s="14" t="str">
        <f>HYPERLINK("https://drive.google.com/file/d/12wL9Eefa1tfTqX2r5MOpUFpfhF9OOlpH/view?usp=drivesdk","OFFER LETTER")</f>
        <v>OFFER LETTER</v>
      </c>
      <c r="S1752" s="11" t="s">
        <v>9600</v>
      </c>
    </row>
    <row r="1753" ht="22.5" customHeight="1">
      <c r="A1753" s="10">
        <v>46265.78530319444</v>
      </c>
      <c r="B1753" s="11" t="s">
        <v>9601</v>
      </c>
      <c r="C1753" s="11" t="s">
        <v>259</v>
      </c>
      <c r="D1753" s="11" t="s">
        <v>68</v>
      </c>
      <c r="E1753" s="12">
        <v>46264.0</v>
      </c>
      <c r="F1753" s="12">
        <v>46295.0</v>
      </c>
      <c r="G1753" s="11" t="s">
        <v>9602</v>
      </c>
      <c r="H1753" s="11">
        <v>7.095639953E9</v>
      </c>
      <c r="I1753" s="11" t="s">
        <v>82</v>
      </c>
      <c r="J1753" s="11" t="s">
        <v>71</v>
      </c>
      <c r="K1753" s="11" t="s">
        <v>72</v>
      </c>
      <c r="L1753" s="11" t="s">
        <v>131</v>
      </c>
      <c r="M1753" s="11" t="s">
        <v>9603</v>
      </c>
      <c r="N1753" s="11" t="s">
        <v>219</v>
      </c>
      <c r="O1753" s="11" t="s">
        <v>71</v>
      </c>
      <c r="P1753" s="11" t="s">
        <v>9604</v>
      </c>
      <c r="Q1753" s="13" t="s">
        <v>9605</v>
      </c>
      <c r="R1753" s="14" t="str">
        <f>HYPERLINK("https://drive.google.com/file/d/18AVf8XWPCEW6uV08WYv6k8ow1Cb6E4eE/view?usp=drivesdk","OFFER LETTER")</f>
        <v>OFFER LETTER</v>
      </c>
      <c r="S1753" s="11" t="s">
        <v>9606</v>
      </c>
    </row>
    <row r="1754" ht="22.5" customHeight="1">
      <c r="A1754" s="10">
        <v>46265.78977853009</v>
      </c>
      <c r="B1754" s="11" t="s">
        <v>9607</v>
      </c>
      <c r="C1754" s="11" t="s">
        <v>128</v>
      </c>
      <c r="D1754" s="11" t="s">
        <v>238</v>
      </c>
      <c r="E1754" s="12">
        <v>46172.0</v>
      </c>
      <c r="F1754" s="12">
        <v>46264.0</v>
      </c>
      <c r="G1754" s="11" t="s">
        <v>7480</v>
      </c>
      <c r="H1754" s="11">
        <v>8.125513135E9</v>
      </c>
      <c r="I1754" s="11" t="s">
        <v>82</v>
      </c>
      <c r="J1754" s="11" t="s">
        <v>71</v>
      </c>
      <c r="K1754" s="11" t="s">
        <v>72</v>
      </c>
      <c r="L1754" s="11" t="s">
        <v>131</v>
      </c>
      <c r="M1754" s="11" t="s">
        <v>7481</v>
      </c>
      <c r="N1754" s="11" t="s">
        <v>75</v>
      </c>
      <c r="O1754" s="11" t="s">
        <v>71</v>
      </c>
      <c r="P1754" s="11" t="s">
        <v>9608</v>
      </c>
      <c r="Q1754" s="13" t="s">
        <v>9609</v>
      </c>
      <c r="R1754" s="14" t="str">
        <f>HYPERLINK("https://drive.google.com/file/d/1aJL4DCpU28n2iInSNrjPtoct28aZ9WSv/view?usp=drivesdk","OFFER LETTER")</f>
        <v>OFFER LETTER</v>
      </c>
      <c r="S1754" s="11" t="s">
        <v>9610</v>
      </c>
    </row>
    <row r="1755" ht="22.5" customHeight="1">
      <c r="A1755" s="10">
        <v>46265.79018182871</v>
      </c>
      <c r="B1755" s="11" t="s">
        <v>9611</v>
      </c>
      <c r="C1755" s="11" t="s">
        <v>1320</v>
      </c>
      <c r="D1755" s="11" t="s">
        <v>238</v>
      </c>
      <c r="E1755" s="12">
        <v>46266.0</v>
      </c>
      <c r="F1755" s="12">
        <v>46356.0</v>
      </c>
      <c r="G1755" s="11" t="s">
        <v>9612</v>
      </c>
      <c r="H1755" s="11">
        <v>8.780616621E9</v>
      </c>
      <c r="I1755" s="11" t="s">
        <v>82</v>
      </c>
      <c r="J1755" s="11" t="s">
        <v>71</v>
      </c>
      <c r="K1755" s="11" t="s">
        <v>72</v>
      </c>
      <c r="L1755" s="11" t="s">
        <v>131</v>
      </c>
      <c r="M1755" s="11" t="s">
        <v>9613</v>
      </c>
      <c r="N1755" s="11" t="s">
        <v>198</v>
      </c>
      <c r="O1755" s="11" t="s">
        <v>71</v>
      </c>
      <c r="P1755" s="11" t="s">
        <v>9614</v>
      </c>
      <c r="Q1755" s="13" t="s">
        <v>9615</v>
      </c>
      <c r="R1755" s="14" t="str">
        <f>HYPERLINK("https://drive.google.com/file/d/1fCggCPWfzVfqNGJMCRj-3vdwDljU-Ctw/view?usp=drivesdk","OFFER LETTER")</f>
        <v>OFFER LETTER</v>
      </c>
      <c r="S1755" s="11" t="s">
        <v>9616</v>
      </c>
    </row>
    <row r="1756" ht="22.5" customHeight="1">
      <c r="A1756" s="10">
        <v>46265.793545416665</v>
      </c>
      <c r="B1756" s="11" t="s">
        <v>9617</v>
      </c>
      <c r="C1756" s="11" t="s">
        <v>80</v>
      </c>
      <c r="D1756" s="11" t="s">
        <v>68</v>
      </c>
      <c r="E1756" s="12">
        <v>46265.0</v>
      </c>
      <c r="F1756" s="12">
        <v>46294.0</v>
      </c>
      <c r="G1756" s="11" t="s">
        <v>9618</v>
      </c>
      <c r="H1756" s="11">
        <v>8.925328054E9</v>
      </c>
      <c r="I1756" s="11" t="s">
        <v>82</v>
      </c>
      <c r="J1756" s="11" t="s">
        <v>83</v>
      </c>
      <c r="K1756" s="11" t="s">
        <v>72</v>
      </c>
      <c r="L1756" s="11" t="s">
        <v>84</v>
      </c>
      <c r="M1756" s="11" t="s">
        <v>9619</v>
      </c>
      <c r="N1756" s="11" t="s">
        <v>86</v>
      </c>
      <c r="O1756" s="11" t="s">
        <v>71</v>
      </c>
      <c r="P1756" s="11" t="s">
        <v>9620</v>
      </c>
      <c r="Q1756" s="13" t="s">
        <v>9621</v>
      </c>
      <c r="R1756" s="14" t="str">
        <f>HYPERLINK("https://drive.google.com/file/d/1ay2x-7lA0J__FzkuzontfM_4BBQpPspN/view?usp=drivesdk","OFFER LETTER")</f>
        <v>OFFER LETTER</v>
      </c>
      <c r="S1756" s="11" t="s">
        <v>9622</v>
      </c>
    </row>
    <row r="1757" ht="22.5" customHeight="1">
      <c r="A1757" s="10">
        <v>46265.79756685185</v>
      </c>
      <c r="B1757" s="11" t="s">
        <v>9623</v>
      </c>
      <c r="C1757" s="11" t="s">
        <v>128</v>
      </c>
      <c r="D1757" s="11" t="s">
        <v>68</v>
      </c>
      <c r="E1757" s="12">
        <v>46265.0</v>
      </c>
      <c r="F1757" s="12">
        <v>46295.0</v>
      </c>
      <c r="G1757" s="11" t="s">
        <v>9624</v>
      </c>
      <c r="H1757" s="11">
        <v>8.144891067E9</v>
      </c>
      <c r="I1757" s="11" t="s">
        <v>82</v>
      </c>
      <c r="J1757" s="11" t="s">
        <v>71</v>
      </c>
      <c r="K1757" s="11" t="s">
        <v>1028</v>
      </c>
      <c r="L1757" s="11" t="s">
        <v>84</v>
      </c>
      <c r="M1757" s="11" t="s">
        <v>9625</v>
      </c>
      <c r="N1757" s="11" t="s">
        <v>1533</v>
      </c>
      <c r="O1757" s="11" t="s">
        <v>71</v>
      </c>
      <c r="P1757" s="11" t="s">
        <v>9626</v>
      </c>
      <c r="Q1757" s="13" t="s">
        <v>9627</v>
      </c>
      <c r="R1757" s="14" t="str">
        <f>HYPERLINK("https://drive.google.com/file/d/1kVbDPhtPpv4IvfgHQZI2FjAQk_NnOh7I/view?usp=drivesdk","OFFER LETTER")</f>
        <v>OFFER LETTER</v>
      </c>
      <c r="S1757" s="11" t="s">
        <v>9628</v>
      </c>
    </row>
    <row r="1758" ht="22.5" customHeight="1">
      <c r="A1758" s="10">
        <v>46265.79875475694</v>
      </c>
      <c r="B1758" s="11" t="s">
        <v>9629</v>
      </c>
      <c r="C1758" s="11" t="s">
        <v>195</v>
      </c>
      <c r="D1758" s="11" t="s">
        <v>68</v>
      </c>
      <c r="E1758" s="12">
        <v>46233.0</v>
      </c>
      <c r="F1758" s="12">
        <v>46264.0</v>
      </c>
      <c r="G1758" s="11" t="s">
        <v>9630</v>
      </c>
      <c r="H1758" s="11">
        <v>9.117434957E9</v>
      </c>
      <c r="I1758" s="11" t="s">
        <v>82</v>
      </c>
      <c r="J1758" s="11" t="s">
        <v>71</v>
      </c>
      <c r="K1758" s="11" t="s">
        <v>72</v>
      </c>
      <c r="L1758" s="11" t="s">
        <v>84</v>
      </c>
      <c r="M1758" s="11" t="s">
        <v>8310</v>
      </c>
      <c r="N1758" s="11" t="s">
        <v>86</v>
      </c>
      <c r="O1758" s="11" t="s">
        <v>71</v>
      </c>
      <c r="P1758" s="11" t="s">
        <v>9631</v>
      </c>
      <c r="Q1758" s="13" t="s">
        <v>9632</v>
      </c>
      <c r="R1758" s="14" t="str">
        <f>HYPERLINK("https://drive.google.com/file/d/1oZA74QeiZLC22GlcdrOuag9ETC9DjbUc/view?usp=drivesdk","OFFER LETTER")</f>
        <v>OFFER LETTER</v>
      </c>
      <c r="S1758" s="11" t="s">
        <v>9633</v>
      </c>
    </row>
    <row r="1759" ht="22.5" customHeight="1">
      <c r="A1759" s="10">
        <v>46265.804316249996</v>
      </c>
      <c r="B1759" s="11" t="s">
        <v>9634</v>
      </c>
      <c r="C1759" s="11" t="s">
        <v>91</v>
      </c>
      <c r="D1759" s="11" t="s">
        <v>68</v>
      </c>
      <c r="E1759" s="12">
        <v>46290.0</v>
      </c>
      <c r="F1759" s="12">
        <v>46290.0</v>
      </c>
      <c r="G1759" s="11" t="s">
        <v>9635</v>
      </c>
      <c r="H1759" s="11">
        <v>6.387244989E9</v>
      </c>
      <c r="I1759" s="11" t="s">
        <v>82</v>
      </c>
      <c r="J1759" s="11" t="s">
        <v>71</v>
      </c>
      <c r="K1759" s="11" t="s">
        <v>72</v>
      </c>
      <c r="L1759" s="11" t="s">
        <v>84</v>
      </c>
      <c r="M1759" s="11" t="s">
        <v>9636</v>
      </c>
      <c r="N1759" s="11" t="s">
        <v>936</v>
      </c>
      <c r="O1759" s="11" t="s">
        <v>71</v>
      </c>
      <c r="P1759" s="11" t="s">
        <v>9637</v>
      </c>
      <c r="Q1759" s="13" t="s">
        <v>9638</v>
      </c>
      <c r="R1759" s="14" t="str">
        <f>HYPERLINK("https://drive.google.com/file/d/1amcDYaj6yUjnHiE9jP2dPzdIdXw4qSHh/view?usp=drivesdk","OFFER LETTER")</f>
        <v>OFFER LETTER</v>
      </c>
      <c r="S1759" s="11" t="s">
        <v>9639</v>
      </c>
    </row>
    <row r="1760" ht="22.5" customHeight="1">
      <c r="A1760" s="10">
        <v>46265.8136275463</v>
      </c>
      <c r="B1760" s="11" t="s">
        <v>9640</v>
      </c>
      <c r="C1760" s="11" t="s">
        <v>195</v>
      </c>
      <c r="D1760" s="11" t="s">
        <v>108</v>
      </c>
      <c r="E1760" s="12">
        <v>46177.0</v>
      </c>
      <c r="F1760" s="12">
        <v>46238.0</v>
      </c>
      <c r="G1760" s="11" t="s">
        <v>9641</v>
      </c>
      <c r="H1760" s="11">
        <v>9.306664955E9</v>
      </c>
      <c r="I1760" s="11" t="s">
        <v>82</v>
      </c>
      <c r="J1760" s="11" t="s">
        <v>71</v>
      </c>
      <c r="K1760" s="11" t="s">
        <v>72</v>
      </c>
      <c r="L1760" s="11" t="s">
        <v>131</v>
      </c>
      <c r="M1760" s="11" t="s">
        <v>9642</v>
      </c>
      <c r="N1760" s="11" t="s">
        <v>198</v>
      </c>
      <c r="O1760" s="11" t="s">
        <v>71</v>
      </c>
      <c r="P1760" s="11" t="s">
        <v>9643</v>
      </c>
      <c r="Q1760" s="13" t="s">
        <v>9644</v>
      </c>
      <c r="R1760" s="14" t="str">
        <f>HYPERLINK("https://drive.google.com/file/d/1aDAuG5AFGtxuA6KCrYGtTgIAJyMW_GYI/view?usp=drivesdk","OFFER LETTER")</f>
        <v>OFFER LETTER</v>
      </c>
      <c r="S1760" s="11" t="s">
        <v>9645</v>
      </c>
    </row>
    <row r="1761" ht="22.5" customHeight="1">
      <c r="A1761" s="10">
        <v>46265.8142997338</v>
      </c>
      <c r="B1761" s="11" t="s">
        <v>9646</v>
      </c>
      <c r="C1761" s="11" t="s">
        <v>107</v>
      </c>
      <c r="D1761" s="11" t="s">
        <v>108</v>
      </c>
      <c r="E1761" s="12">
        <v>46203.0</v>
      </c>
      <c r="F1761" s="12">
        <v>46264.0</v>
      </c>
      <c r="G1761" s="11" t="s">
        <v>9647</v>
      </c>
      <c r="H1761" s="11">
        <v>9.467276946E9</v>
      </c>
      <c r="I1761" s="11" t="s">
        <v>82</v>
      </c>
      <c r="J1761" s="11" t="s">
        <v>71</v>
      </c>
      <c r="K1761" s="11" t="s">
        <v>72</v>
      </c>
      <c r="L1761" s="11" t="s">
        <v>73</v>
      </c>
      <c r="M1761" s="11" t="s">
        <v>9648</v>
      </c>
      <c r="N1761" s="11" t="s">
        <v>75</v>
      </c>
      <c r="O1761" s="11" t="s">
        <v>71</v>
      </c>
      <c r="P1761" s="11" t="s">
        <v>9649</v>
      </c>
      <c r="Q1761" s="13" t="s">
        <v>9650</v>
      </c>
      <c r="R1761" s="14" t="str">
        <f>HYPERLINK("https://drive.google.com/file/d/1GpUAV8ZcRny65ILi3Z4wtZ6ToOIlxXgF/view?usp=drivesdk","OFFER LETTER")</f>
        <v>OFFER LETTER</v>
      </c>
      <c r="S1761" s="11" t="s">
        <v>9645</v>
      </c>
    </row>
    <row r="1762" ht="22.5" customHeight="1">
      <c r="A1762" s="10">
        <v>46265.81494271991</v>
      </c>
      <c r="B1762" s="11" t="s">
        <v>9651</v>
      </c>
      <c r="C1762" s="11" t="s">
        <v>173</v>
      </c>
      <c r="D1762" s="11" t="s">
        <v>68</v>
      </c>
      <c r="E1762" s="12">
        <v>46265.0</v>
      </c>
      <c r="F1762" s="12">
        <v>46279.0</v>
      </c>
      <c r="G1762" s="11" t="s">
        <v>9341</v>
      </c>
      <c r="H1762" s="11">
        <v>8.80920184E9</v>
      </c>
      <c r="I1762" s="11" t="s">
        <v>82</v>
      </c>
      <c r="J1762" s="11" t="s">
        <v>83</v>
      </c>
      <c r="K1762" s="11" t="s">
        <v>72</v>
      </c>
      <c r="L1762" s="11" t="s">
        <v>84</v>
      </c>
      <c r="M1762" s="11" t="s">
        <v>7006</v>
      </c>
      <c r="N1762" s="11" t="s">
        <v>47</v>
      </c>
      <c r="O1762" s="11" t="s">
        <v>71</v>
      </c>
      <c r="P1762" s="11" t="s">
        <v>9652</v>
      </c>
      <c r="Q1762" s="13" t="s">
        <v>9653</v>
      </c>
      <c r="R1762" s="14" t="str">
        <f>HYPERLINK("https://drive.google.com/file/d/1z1OSLg-AN2RAyyxVgcWQ_DCGOhFusE9t/view?usp=drivesdk","OFFER LETTER")</f>
        <v>OFFER LETTER</v>
      </c>
      <c r="S1762" s="11" t="s">
        <v>9654</v>
      </c>
    </row>
    <row r="1763" ht="22.5" customHeight="1">
      <c r="A1763" s="10">
        <v>46265.81792635417</v>
      </c>
      <c r="B1763" s="11" t="s">
        <v>9655</v>
      </c>
      <c r="C1763" s="11" t="s">
        <v>91</v>
      </c>
      <c r="D1763" s="11" t="s">
        <v>68</v>
      </c>
      <c r="E1763" s="12">
        <v>38929.0</v>
      </c>
      <c r="F1763" s="12">
        <v>38960.0</v>
      </c>
      <c r="G1763" s="11" t="s">
        <v>9656</v>
      </c>
      <c r="H1763" s="11">
        <v>9.866528652E9</v>
      </c>
      <c r="I1763" s="11" t="s">
        <v>82</v>
      </c>
      <c r="J1763" s="11" t="s">
        <v>71</v>
      </c>
      <c r="K1763" s="11" t="s">
        <v>72</v>
      </c>
      <c r="L1763" s="11" t="s">
        <v>84</v>
      </c>
      <c r="M1763" s="11" t="s">
        <v>9657</v>
      </c>
      <c r="N1763" s="11" t="s">
        <v>86</v>
      </c>
      <c r="O1763" s="11" t="s">
        <v>71</v>
      </c>
      <c r="P1763" s="11" t="s">
        <v>9658</v>
      </c>
      <c r="Q1763" s="13" t="s">
        <v>9659</v>
      </c>
      <c r="R1763" s="14" t="str">
        <f>HYPERLINK("https://drive.google.com/file/d/1nxIMFUgdwfOkFEqu4OY2aFaWCm_Q2xbK/view?usp=drivesdk","OFFER LETTER")</f>
        <v>OFFER LETTER</v>
      </c>
      <c r="S1763" s="11" t="s">
        <v>9660</v>
      </c>
    </row>
    <row r="1764" ht="22.5" customHeight="1">
      <c r="A1764" s="10">
        <v>46265.82137686343</v>
      </c>
      <c r="B1764" s="11" t="s">
        <v>9661</v>
      </c>
      <c r="C1764" s="11" t="s">
        <v>91</v>
      </c>
      <c r="D1764" s="11" t="s">
        <v>238</v>
      </c>
      <c r="E1764" s="12">
        <v>46204.0</v>
      </c>
      <c r="F1764" s="12">
        <v>46296.0</v>
      </c>
      <c r="G1764" s="11" t="s">
        <v>9662</v>
      </c>
      <c r="H1764" s="11">
        <v>7.892692817E9</v>
      </c>
      <c r="I1764" s="11" t="s">
        <v>70</v>
      </c>
      <c r="J1764" s="11" t="s">
        <v>71</v>
      </c>
      <c r="K1764" s="11" t="s">
        <v>356</v>
      </c>
      <c r="L1764" s="11" t="s">
        <v>84</v>
      </c>
      <c r="M1764" s="11" t="s">
        <v>9663</v>
      </c>
      <c r="N1764" s="11" t="s">
        <v>86</v>
      </c>
      <c r="O1764" s="11" t="s">
        <v>71</v>
      </c>
      <c r="P1764" s="11" t="s">
        <v>9664</v>
      </c>
      <c r="Q1764" s="13" t="s">
        <v>9665</v>
      </c>
      <c r="R1764" s="14" t="str">
        <f>HYPERLINK("https://drive.google.com/file/d/1UokWTbV9I324bsgPSkK3Z9BFpsMhjcrV/view?usp=drivesdk","OFFER LETTER")</f>
        <v>OFFER LETTER</v>
      </c>
      <c r="S1764" s="11" t="s">
        <v>9666</v>
      </c>
    </row>
    <row r="1765" ht="22.5" customHeight="1">
      <c r="A1765" s="10">
        <v>46265.83333873843</v>
      </c>
      <c r="B1765" s="11" t="s">
        <v>8702</v>
      </c>
      <c r="C1765" s="11" t="s">
        <v>173</v>
      </c>
      <c r="D1765" s="11" t="s">
        <v>68</v>
      </c>
      <c r="E1765" s="12">
        <v>46264.0</v>
      </c>
      <c r="F1765" s="12">
        <v>46295.0</v>
      </c>
      <c r="G1765" s="11" t="s">
        <v>8703</v>
      </c>
      <c r="H1765" s="11">
        <v>9.657983691E9</v>
      </c>
      <c r="I1765" s="11" t="s">
        <v>82</v>
      </c>
      <c r="J1765" s="11" t="s">
        <v>83</v>
      </c>
      <c r="K1765" s="11" t="s">
        <v>72</v>
      </c>
      <c r="L1765" s="11" t="s">
        <v>84</v>
      </c>
      <c r="M1765" s="11" t="s">
        <v>8704</v>
      </c>
      <c r="N1765" s="11" t="s">
        <v>2778</v>
      </c>
      <c r="O1765" s="11" t="s">
        <v>71</v>
      </c>
      <c r="P1765" s="11" t="s">
        <v>9667</v>
      </c>
      <c r="Q1765" s="13" t="s">
        <v>9668</v>
      </c>
      <c r="R1765" s="14" t="str">
        <f>HYPERLINK("https://drive.google.com/file/d/1PmdBxwk1Ep80pEnLJNOUEvQgBavT22-j/view?usp=drivesdk","OFFER LETTER")</f>
        <v>OFFER LETTER</v>
      </c>
      <c r="S1765" s="11" t="s">
        <v>9669</v>
      </c>
    </row>
    <row r="1766" ht="22.5" customHeight="1">
      <c r="A1766" s="10">
        <v>46265.837630821756</v>
      </c>
      <c r="B1766" s="11" t="s">
        <v>9655</v>
      </c>
      <c r="C1766" s="11" t="s">
        <v>91</v>
      </c>
      <c r="D1766" s="11" t="s">
        <v>68</v>
      </c>
      <c r="E1766" s="12">
        <v>46234.0</v>
      </c>
      <c r="F1766" s="12">
        <v>46265.0</v>
      </c>
      <c r="G1766" s="11" t="s">
        <v>9656</v>
      </c>
      <c r="H1766" s="11">
        <v>9.866528652E9</v>
      </c>
      <c r="I1766" s="11" t="s">
        <v>82</v>
      </c>
      <c r="J1766" s="11" t="s">
        <v>71</v>
      </c>
      <c r="K1766" s="11" t="s">
        <v>72</v>
      </c>
      <c r="L1766" s="11" t="s">
        <v>84</v>
      </c>
      <c r="M1766" s="11" t="s">
        <v>9670</v>
      </c>
      <c r="N1766" s="11" t="s">
        <v>86</v>
      </c>
      <c r="O1766" s="11" t="s">
        <v>71</v>
      </c>
      <c r="P1766" s="11" t="s">
        <v>9671</v>
      </c>
      <c r="Q1766" s="13" t="s">
        <v>9672</v>
      </c>
      <c r="R1766" s="14" t="str">
        <f>HYPERLINK("https://drive.google.com/file/d/18uL_HKiUEi0y1MjtqK4_kvln4kw_UTWU/view?usp=drivesdk","OFFER LETTER")</f>
        <v>OFFER LETTER</v>
      </c>
      <c r="S1766" s="11" t="s">
        <v>9673</v>
      </c>
    </row>
    <row r="1767" ht="22.5" customHeight="1">
      <c r="A1767" s="10">
        <v>46265.847839317124</v>
      </c>
      <c r="B1767" s="11" t="s">
        <v>9674</v>
      </c>
      <c r="C1767" s="11" t="s">
        <v>173</v>
      </c>
      <c r="D1767" s="11" t="s">
        <v>68</v>
      </c>
      <c r="E1767" s="12">
        <v>46265.0</v>
      </c>
      <c r="F1767" s="12">
        <v>46279.0</v>
      </c>
      <c r="G1767" s="11" t="s">
        <v>9675</v>
      </c>
      <c r="H1767" s="11">
        <v>7.857058105E9</v>
      </c>
      <c r="I1767" s="11" t="s">
        <v>70</v>
      </c>
      <c r="J1767" s="11" t="s">
        <v>71</v>
      </c>
      <c r="K1767" s="11" t="s">
        <v>72</v>
      </c>
      <c r="L1767" s="11" t="s">
        <v>84</v>
      </c>
      <c r="M1767" s="11" t="s">
        <v>7006</v>
      </c>
      <c r="N1767" s="11" t="s">
        <v>86</v>
      </c>
      <c r="O1767" s="11" t="s">
        <v>71</v>
      </c>
      <c r="P1767" s="11" t="s">
        <v>9676</v>
      </c>
      <c r="Q1767" s="13" t="s">
        <v>9677</v>
      </c>
      <c r="R1767" s="14" t="str">
        <f>HYPERLINK("https://drive.google.com/file/d/1TRvG0MW8556V6d3AjXPoSHqWqjhZQ7o_/view?usp=drivesdk","OFFER LETTER")</f>
        <v>OFFER LETTER</v>
      </c>
      <c r="S1767" s="11" t="s">
        <v>9678</v>
      </c>
    </row>
    <row r="1768" ht="22.5" customHeight="1">
      <c r="A1768" s="10">
        <v>46265.85011912037</v>
      </c>
      <c r="B1768" s="11" t="s">
        <v>9679</v>
      </c>
      <c r="C1768" s="11" t="s">
        <v>128</v>
      </c>
      <c r="D1768" s="11" t="s">
        <v>68</v>
      </c>
      <c r="E1768" s="12">
        <v>46266.0</v>
      </c>
      <c r="F1768" s="12">
        <v>46280.0</v>
      </c>
      <c r="G1768" s="11" t="s">
        <v>9680</v>
      </c>
      <c r="H1768" s="11">
        <v>7.29295655E9</v>
      </c>
      <c r="I1768" s="11" t="s">
        <v>70</v>
      </c>
      <c r="J1768" s="11" t="s">
        <v>71</v>
      </c>
      <c r="K1768" s="11" t="s">
        <v>72</v>
      </c>
      <c r="L1768" s="11" t="s">
        <v>84</v>
      </c>
      <c r="M1768" s="11" t="s">
        <v>9681</v>
      </c>
      <c r="N1768" s="11" t="s">
        <v>4653</v>
      </c>
      <c r="O1768" s="11" t="s">
        <v>71</v>
      </c>
      <c r="P1768" s="11" t="s">
        <v>9682</v>
      </c>
      <c r="Q1768" s="13" t="s">
        <v>9683</v>
      </c>
      <c r="R1768" s="14" t="str">
        <f>HYPERLINK("https://drive.google.com/file/d/1jsqc4Nw8ZVUNtJvxPMXZ2WxLOeCAzvC2/view?usp=drivesdk","OFFER LETTER")</f>
        <v>OFFER LETTER</v>
      </c>
      <c r="S1768" s="11" t="s">
        <v>9684</v>
      </c>
    </row>
    <row r="1769" ht="22.5" customHeight="1">
      <c r="A1769" s="10">
        <v>46265.85740875</v>
      </c>
      <c r="B1769" s="11" t="s">
        <v>9685</v>
      </c>
      <c r="C1769" s="11" t="s">
        <v>107</v>
      </c>
      <c r="D1769" s="11" t="s">
        <v>68</v>
      </c>
      <c r="E1769" s="12">
        <v>46178.0</v>
      </c>
      <c r="F1769" s="12">
        <v>46208.0</v>
      </c>
      <c r="G1769" s="11" t="s">
        <v>9686</v>
      </c>
      <c r="H1769" s="11">
        <v>8.07461394E9</v>
      </c>
      <c r="I1769" s="11" t="s">
        <v>82</v>
      </c>
      <c r="J1769" s="11" t="s">
        <v>83</v>
      </c>
      <c r="K1769" s="11" t="s">
        <v>72</v>
      </c>
      <c r="L1769" s="11" t="s">
        <v>73</v>
      </c>
      <c r="M1769" s="11" t="s">
        <v>5742</v>
      </c>
      <c r="N1769" s="11" t="s">
        <v>86</v>
      </c>
      <c r="O1769" s="11" t="s">
        <v>71</v>
      </c>
      <c r="P1769" s="11" t="s">
        <v>9687</v>
      </c>
      <c r="Q1769" s="13" t="s">
        <v>9688</v>
      </c>
      <c r="R1769" s="14" t="str">
        <f>HYPERLINK("https://drive.google.com/file/d/1UZjfWxUn02pE0KaC6XoSII1nn-FitGBH/view?usp=drivesdk","OFFER LETTER")</f>
        <v>OFFER LETTER</v>
      </c>
      <c r="S1769" s="11" t="s">
        <v>9689</v>
      </c>
    </row>
    <row r="1770" ht="22.5" customHeight="1">
      <c r="A1770" s="10">
        <v>46265.858973298615</v>
      </c>
      <c r="B1770" s="11" t="s">
        <v>9690</v>
      </c>
      <c r="C1770" s="11" t="s">
        <v>173</v>
      </c>
      <c r="D1770" s="11" t="s">
        <v>108</v>
      </c>
      <c r="E1770" s="12">
        <v>46167.0</v>
      </c>
      <c r="F1770" s="12">
        <v>46228.0</v>
      </c>
      <c r="G1770" s="11" t="s">
        <v>9691</v>
      </c>
      <c r="H1770" s="11">
        <v>9.057525833E9</v>
      </c>
      <c r="I1770" s="11" t="s">
        <v>82</v>
      </c>
      <c r="J1770" s="11" t="s">
        <v>71</v>
      </c>
      <c r="K1770" s="11" t="s">
        <v>72</v>
      </c>
      <c r="L1770" s="11" t="s">
        <v>84</v>
      </c>
      <c r="M1770" s="11" t="s">
        <v>9692</v>
      </c>
      <c r="N1770" s="11" t="s">
        <v>86</v>
      </c>
      <c r="O1770" s="11" t="s">
        <v>71</v>
      </c>
      <c r="P1770" s="11" t="s">
        <v>9693</v>
      </c>
      <c r="Q1770" s="13" t="s">
        <v>9694</v>
      </c>
      <c r="R1770" s="14" t="str">
        <f>HYPERLINK("https://drive.google.com/file/d/17DVMtKpkt-zmqZ8qD_4RDKRzmTygqhQn/view?usp=drivesdk","OFFER LETTER")</f>
        <v>OFFER LETTER</v>
      </c>
      <c r="S1770" s="11" t="s">
        <v>9695</v>
      </c>
    </row>
    <row r="1771" ht="22.5" customHeight="1">
      <c r="A1771" s="10">
        <v>46265.86307369213</v>
      </c>
      <c r="B1771" s="11" t="s">
        <v>9696</v>
      </c>
      <c r="C1771" s="11" t="s">
        <v>173</v>
      </c>
      <c r="D1771" s="11" t="s">
        <v>68</v>
      </c>
      <c r="E1771" s="12">
        <v>46265.0</v>
      </c>
      <c r="F1771" s="12">
        <v>46279.0</v>
      </c>
      <c r="G1771" s="11" t="s">
        <v>9697</v>
      </c>
      <c r="H1771" s="11">
        <v>9.508290287E9</v>
      </c>
      <c r="I1771" s="11" t="s">
        <v>70</v>
      </c>
      <c r="J1771" s="11" t="s">
        <v>83</v>
      </c>
      <c r="K1771" s="11" t="s">
        <v>72</v>
      </c>
      <c r="L1771" s="11" t="s">
        <v>84</v>
      </c>
      <c r="M1771" s="11" t="s">
        <v>7006</v>
      </c>
      <c r="N1771" s="11" t="s">
        <v>86</v>
      </c>
      <c r="O1771" s="11" t="s">
        <v>71</v>
      </c>
      <c r="P1771" s="11" t="s">
        <v>9698</v>
      </c>
      <c r="Q1771" s="13" t="s">
        <v>9699</v>
      </c>
      <c r="R1771" s="14" t="str">
        <f>HYPERLINK("https://drive.google.com/file/d/1NQktMkbpACkD4VI6sKHLjnQbJiWCu-VR/view?usp=drivesdk","OFFER LETTER")</f>
        <v>OFFER LETTER</v>
      </c>
      <c r="S1771" s="11" t="s">
        <v>9700</v>
      </c>
    </row>
    <row r="1772" ht="22.5" customHeight="1">
      <c r="A1772" s="10">
        <v>46265.86526168982</v>
      </c>
      <c r="B1772" s="11" t="s">
        <v>9701</v>
      </c>
      <c r="C1772" s="11" t="s">
        <v>128</v>
      </c>
      <c r="D1772" s="11" t="s">
        <v>68</v>
      </c>
      <c r="E1772" s="12">
        <v>46175.0</v>
      </c>
      <c r="F1772" s="12">
        <v>46205.0</v>
      </c>
      <c r="G1772" s="11" t="s">
        <v>9423</v>
      </c>
      <c r="H1772" s="11">
        <v>6.301846215E9</v>
      </c>
      <c r="I1772" s="11" t="s">
        <v>82</v>
      </c>
      <c r="J1772" s="11" t="s">
        <v>71</v>
      </c>
      <c r="K1772" s="11" t="s">
        <v>72</v>
      </c>
      <c r="L1772" s="11" t="s">
        <v>84</v>
      </c>
      <c r="M1772" s="11" t="s">
        <v>9702</v>
      </c>
      <c r="N1772" s="11" t="s">
        <v>86</v>
      </c>
      <c r="O1772" s="11" t="s">
        <v>71</v>
      </c>
      <c r="P1772" s="11" t="s">
        <v>9703</v>
      </c>
      <c r="Q1772" s="13" t="s">
        <v>9704</v>
      </c>
      <c r="R1772" s="14" t="str">
        <f>HYPERLINK("https://drive.google.com/file/d/1Lqo_rP_ugl524oshD7tB2ePNTjcJKHnw/view?usp=drivesdk","OFFER LETTER")</f>
        <v>OFFER LETTER</v>
      </c>
      <c r="S1772" s="11" t="s">
        <v>9705</v>
      </c>
    </row>
    <row r="1773" ht="22.5" customHeight="1">
      <c r="A1773" s="10">
        <v>46265.86557333333</v>
      </c>
      <c r="B1773" s="11" t="s">
        <v>9685</v>
      </c>
      <c r="C1773" s="11" t="s">
        <v>107</v>
      </c>
      <c r="D1773" s="11" t="s">
        <v>68</v>
      </c>
      <c r="E1773" s="12">
        <v>46178.0</v>
      </c>
      <c r="F1773" s="12">
        <v>46208.0</v>
      </c>
      <c r="G1773" s="11" t="s">
        <v>9686</v>
      </c>
      <c r="H1773" s="11">
        <v>8.07461394E9</v>
      </c>
      <c r="I1773" s="11" t="s">
        <v>82</v>
      </c>
      <c r="J1773" s="11" t="s">
        <v>83</v>
      </c>
      <c r="K1773" s="11" t="s">
        <v>72</v>
      </c>
      <c r="L1773" s="11" t="s">
        <v>73</v>
      </c>
      <c r="M1773" s="11" t="s">
        <v>5742</v>
      </c>
      <c r="N1773" s="11" t="s">
        <v>198</v>
      </c>
      <c r="O1773" s="11" t="s">
        <v>71</v>
      </c>
      <c r="P1773" s="11" t="s">
        <v>9706</v>
      </c>
      <c r="Q1773" s="13" t="s">
        <v>9707</v>
      </c>
      <c r="R1773" s="14" t="str">
        <f>HYPERLINK("https://drive.google.com/file/d/1Q9TRkDHw4VrOkYlzgPzTI7Ue0RYW8e5q/view?usp=drivesdk","OFFER LETTER")</f>
        <v>OFFER LETTER</v>
      </c>
      <c r="S1773" s="11" t="s">
        <v>9708</v>
      </c>
    </row>
    <row r="1774" ht="22.5" customHeight="1">
      <c r="A1774" s="10">
        <v>46265.86581206019</v>
      </c>
      <c r="B1774" s="11" t="s">
        <v>9709</v>
      </c>
      <c r="C1774" s="11" t="s">
        <v>107</v>
      </c>
      <c r="D1774" s="11" t="s">
        <v>68</v>
      </c>
      <c r="E1774" s="12">
        <v>46175.0</v>
      </c>
      <c r="F1774" s="12">
        <v>46205.0</v>
      </c>
      <c r="G1774" s="11" t="s">
        <v>9686</v>
      </c>
      <c r="H1774" s="11">
        <v>8.07461394E9</v>
      </c>
      <c r="I1774" s="11" t="s">
        <v>82</v>
      </c>
      <c r="J1774" s="11" t="s">
        <v>83</v>
      </c>
      <c r="K1774" s="11" t="s">
        <v>72</v>
      </c>
      <c r="L1774" s="11" t="s">
        <v>73</v>
      </c>
      <c r="M1774" s="11" t="s">
        <v>5753</v>
      </c>
      <c r="N1774" s="11" t="s">
        <v>198</v>
      </c>
      <c r="O1774" s="11" t="s">
        <v>130</v>
      </c>
      <c r="P1774" s="11" t="s">
        <v>9710</v>
      </c>
      <c r="Q1774" s="13" t="s">
        <v>9711</v>
      </c>
      <c r="R1774" s="14" t="str">
        <f>HYPERLINK("https://drive.google.com/file/d/1zCFkbztpW6v3zXgFXGUlTrsPohqonIjq/view?usp=drivesdk","OFFER LETTER")</f>
        <v>OFFER LETTER</v>
      </c>
      <c r="S1774" s="11" t="s">
        <v>9712</v>
      </c>
    </row>
    <row r="1775" ht="22.5" customHeight="1">
      <c r="A1775" s="10">
        <v>46265.87311335648</v>
      </c>
      <c r="B1775" s="11" t="s">
        <v>9713</v>
      </c>
      <c r="C1775" s="11" t="s">
        <v>173</v>
      </c>
      <c r="D1775" s="11" t="s">
        <v>108</v>
      </c>
      <c r="E1775" s="12">
        <v>46198.0</v>
      </c>
      <c r="F1775" s="12">
        <v>46259.0</v>
      </c>
      <c r="G1775" s="11" t="s">
        <v>9714</v>
      </c>
      <c r="H1775" s="11">
        <v>9.460031361E9</v>
      </c>
      <c r="I1775" s="11" t="s">
        <v>82</v>
      </c>
      <c r="J1775" s="11" t="s">
        <v>71</v>
      </c>
      <c r="K1775" s="11" t="s">
        <v>72</v>
      </c>
      <c r="L1775" s="11" t="s">
        <v>84</v>
      </c>
      <c r="M1775" s="11" t="s">
        <v>9715</v>
      </c>
      <c r="N1775" s="11" t="s">
        <v>86</v>
      </c>
      <c r="O1775" s="11" t="s">
        <v>71</v>
      </c>
      <c r="P1775" s="11" t="s">
        <v>9716</v>
      </c>
      <c r="Q1775" s="13" t="s">
        <v>9717</v>
      </c>
      <c r="R1775" s="14" t="str">
        <f>HYPERLINK("https://drive.google.com/file/d/16bBSZUKbCNOKPi7fjyyE5KkdNpK50Ds6/view?usp=drivesdk","OFFER LETTER")</f>
        <v>OFFER LETTER</v>
      </c>
      <c r="S1775" s="11" t="s">
        <v>9718</v>
      </c>
    </row>
    <row r="1776" ht="22.5" customHeight="1">
      <c r="A1776" s="10">
        <v>46265.87969673611</v>
      </c>
      <c r="B1776" s="11" t="s">
        <v>9719</v>
      </c>
      <c r="C1776" s="11" t="s">
        <v>128</v>
      </c>
      <c r="D1776" s="11" t="s">
        <v>68</v>
      </c>
      <c r="E1776" s="12">
        <v>46178.0</v>
      </c>
      <c r="F1776" s="12">
        <v>46204.0</v>
      </c>
      <c r="G1776" s="11" t="s">
        <v>9720</v>
      </c>
      <c r="H1776" s="11">
        <v>9.600984167E9</v>
      </c>
      <c r="I1776" s="11" t="s">
        <v>82</v>
      </c>
      <c r="J1776" s="11" t="s">
        <v>130</v>
      </c>
      <c r="K1776" s="11" t="s">
        <v>72</v>
      </c>
      <c r="L1776" s="11" t="s">
        <v>84</v>
      </c>
      <c r="M1776" s="11" t="s">
        <v>9721</v>
      </c>
      <c r="N1776" s="11" t="s">
        <v>75</v>
      </c>
      <c r="O1776" s="11" t="s">
        <v>71</v>
      </c>
      <c r="P1776" s="11" t="s">
        <v>9722</v>
      </c>
      <c r="Q1776" s="13" t="s">
        <v>9723</v>
      </c>
      <c r="R1776" s="14" t="str">
        <f>HYPERLINK("https://drive.google.com/file/d/147Bg81ddB9NDCGSQasUO1AUyJHEOW9iY/view?usp=drivesdk","OFFER LETTER")</f>
        <v>OFFER LETTER</v>
      </c>
      <c r="S1776" s="11" t="s">
        <v>9724</v>
      </c>
    </row>
    <row r="1777" ht="22.5" customHeight="1">
      <c r="A1777" s="10">
        <v>46265.88061630787</v>
      </c>
      <c r="B1777" s="11" t="s">
        <v>9725</v>
      </c>
      <c r="C1777" s="11" t="s">
        <v>128</v>
      </c>
      <c r="D1777" s="11" t="s">
        <v>68</v>
      </c>
      <c r="E1777" s="12">
        <v>46178.0</v>
      </c>
      <c r="F1777" s="12">
        <v>46204.0</v>
      </c>
      <c r="G1777" s="11" t="s">
        <v>9726</v>
      </c>
      <c r="H1777" s="11">
        <v>8.939572144E9</v>
      </c>
      <c r="I1777" s="11" t="s">
        <v>82</v>
      </c>
      <c r="J1777" s="11" t="s">
        <v>130</v>
      </c>
      <c r="K1777" s="11" t="s">
        <v>72</v>
      </c>
      <c r="L1777" s="11" t="s">
        <v>84</v>
      </c>
      <c r="M1777" s="11" t="s">
        <v>9727</v>
      </c>
      <c r="N1777" s="11" t="s">
        <v>75</v>
      </c>
      <c r="O1777" s="11" t="s">
        <v>71</v>
      </c>
      <c r="P1777" s="11" t="s">
        <v>9728</v>
      </c>
      <c r="Q1777" s="13" t="s">
        <v>9729</v>
      </c>
      <c r="R1777" s="14" t="str">
        <f>HYPERLINK("https://drive.google.com/file/d/1ubcjp-IxtLI7FzAy36NyUeOyQEI_vuS7/view?usp=drivesdk","OFFER LETTER")</f>
        <v>OFFER LETTER</v>
      </c>
      <c r="S1777" s="11" t="s">
        <v>9730</v>
      </c>
    </row>
    <row r="1778" ht="22.5" customHeight="1">
      <c r="A1778" s="10">
        <v>46265.88092866898</v>
      </c>
      <c r="B1778" s="11" t="s">
        <v>9731</v>
      </c>
      <c r="C1778" s="11" t="s">
        <v>128</v>
      </c>
      <c r="D1778" s="11" t="s">
        <v>68</v>
      </c>
      <c r="E1778" s="12">
        <v>46181.0</v>
      </c>
      <c r="F1778" s="12">
        <v>46211.0</v>
      </c>
      <c r="G1778" s="11" t="s">
        <v>9732</v>
      </c>
      <c r="H1778" s="11">
        <v>6.296390521E9</v>
      </c>
      <c r="I1778" s="11" t="s">
        <v>82</v>
      </c>
      <c r="J1778" s="11" t="s">
        <v>71</v>
      </c>
      <c r="K1778" s="11" t="s">
        <v>72</v>
      </c>
      <c r="L1778" s="11" t="s">
        <v>84</v>
      </c>
      <c r="M1778" s="11" t="s">
        <v>886</v>
      </c>
      <c r="N1778" s="11" t="s">
        <v>86</v>
      </c>
      <c r="O1778" s="11" t="s">
        <v>71</v>
      </c>
      <c r="P1778" s="11" t="s">
        <v>9733</v>
      </c>
      <c r="Q1778" s="13" t="s">
        <v>9734</v>
      </c>
      <c r="R1778" s="14" t="str">
        <f>HYPERLINK("https://drive.google.com/file/d/1Zuq0HYJPUFTZATabBbDo37AsQN8vb36P/view?usp=drivesdk","OFFER LETTER")</f>
        <v>OFFER LETTER</v>
      </c>
      <c r="S1778" s="11" t="s">
        <v>9735</v>
      </c>
    </row>
    <row r="1779" ht="22.5" customHeight="1">
      <c r="A1779" s="10">
        <v>46265.884721979164</v>
      </c>
      <c r="B1779" s="11" t="s">
        <v>9736</v>
      </c>
      <c r="C1779" s="11" t="s">
        <v>107</v>
      </c>
      <c r="D1779" s="11" t="s">
        <v>238</v>
      </c>
      <c r="E1779" s="12">
        <v>46262.0</v>
      </c>
      <c r="F1779" s="12">
        <v>46353.0</v>
      </c>
      <c r="G1779" s="11" t="s">
        <v>9737</v>
      </c>
      <c r="H1779" s="11">
        <v>7.37200357E9</v>
      </c>
      <c r="I1779" s="11" t="s">
        <v>82</v>
      </c>
      <c r="J1779" s="11" t="s">
        <v>71</v>
      </c>
      <c r="K1779" s="11" t="s">
        <v>72</v>
      </c>
      <c r="L1779" s="11" t="s">
        <v>131</v>
      </c>
      <c r="M1779" s="11" t="s">
        <v>9738</v>
      </c>
      <c r="N1779" s="11" t="s">
        <v>630</v>
      </c>
      <c r="O1779" s="11" t="s">
        <v>71</v>
      </c>
      <c r="P1779" s="11" t="s">
        <v>9739</v>
      </c>
      <c r="Q1779" s="13" t="s">
        <v>9740</v>
      </c>
      <c r="R1779" s="14" t="str">
        <f>HYPERLINK("https://drive.google.com/file/d/1106bQbjL0j4rzfqkj-EYnx7u6KaaRAz0/view?usp=drivesdk","OFFER LETTER")</f>
        <v>OFFER LETTER</v>
      </c>
      <c r="S1779" s="11" t="s">
        <v>9741</v>
      </c>
    </row>
    <row r="1780" ht="22.5" customHeight="1">
      <c r="A1780" s="10">
        <v>46265.88483811343</v>
      </c>
      <c r="B1780" s="11" t="s">
        <v>9742</v>
      </c>
      <c r="C1780" s="11" t="s">
        <v>195</v>
      </c>
      <c r="D1780" s="11" t="s">
        <v>68</v>
      </c>
      <c r="E1780" s="12">
        <v>46238.0</v>
      </c>
      <c r="F1780" s="12">
        <v>46269.0</v>
      </c>
      <c r="G1780" s="11" t="s">
        <v>9743</v>
      </c>
      <c r="H1780" s="11">
        <v>9.821024985E9</v>
      </c>
      <c r="I1780" s="11" t="s">
        <v>70</v>
      </c>
      <c r="J1780" s="11" t="s">
        <v>71</v>
      </c>
      <c r="K1780" s="11" t="s">
        <v>72</v>
      </c>
      <c r="L1780" s="11" t="s">
        <v>73</v>
      </c>
      <c r="M1780" s="11" t="s">
        <v>560</v>
      </c>
      <c r="N1780" s="11" t="s">
        <v>198</v>
      </c>
      <c r="O1780" s="11" t="s">
        <v>71</v>
      </c>
      <c r="P1780" s="11" t="s">
        <v>9744</v>
      </c>
      <c r="Q1780" s="13" t="s">
        <v>9745</v>
      </c>
      <c r="R1780" s="14" t="str">
        <f>HYPERLINK("https://drive.google.com/file/d/1zYC4aAqrqUQAkI8bgaX2i2VLIKg_nE-s/view?usp=drivesdk","OFFER LETTER")</f>
        <v>OFFER LETTER</v>
      </c>
      <c r="S1780" s="11" t="s">
        <v>9746</v>
      </c>
    </row>
    <row r="1781" ht="22.5" customHeight="1">
      <c r="A1781" s="10">
        <v>46265.887911122685</v>
      </c>
      <c r="B1781" s="11" t="s">
        <v>9747</v>
      </c>
      <c r="C1781" s="11" t="s">
        <v>128</v>
      </c>
      <c r="D1781" s="11" t="s">
        <v>68</v>
      </c>
      <c r="E1781" s="12">
        <v>46265.0</v>
      </c>
      <c r="F1781" s="12">
        <v>46295.0</v>
      </c>
      <c r="G1781" s="11" t="s">
        <v>9748</v>
      </c>
      <c r="H1781" s="11">
        <v>9.86127796E9</v>
      </c>
      <c r="I1781" s="11" t="s">
        <v>82</v>
      </c>
      <c r="J1781" s="11" t="s">
        <v>71</v>
      </c>
      <c r="K1781" s="11" t="s">
        <v>1028</v>
      </c>
      <c r="L1781" s="11" t="s">
        <v>84</v>
      </c>
      <c r="M1781" s="11" t="s">
        <v>9625</v>
      </c>
      <c r="N1781" s="11" t="s">
        <v>1533</v>
      </c>
      <c r="O1781" s="11" t="s">
        <v>71</v>
      </c>
      <c r="P1781" s="11" t="s">
        <v>9749</v>
      </c>
      <c r="Q1781" s="13" t="s">
        <v>9750</v>
      </c>
      <c r="R1781" s="14" t="str">
        <f>HYPERLINK("https://drive.google.com/file/d/1EIvlzWY1ATqLucC_Lbm_bTXxS3-VF2Vw/view?usp=drivesdk","OFFER LETTER")</f>
        <v>OFFER LETTER</v>
      </c>
      <c r="S1781" s="11" t="s">
        <v>9751</v>
      </c>
    </row>
    <row r="1782" ht="22.5" customHeight="1">
      <c r="A1782" s="10">
        <v>46265.89092013889</v>
      </c>
      <c r="B1782" s="11" t="s">
        <v>9485</v>
      </c>
      <c r="C1782" s="11" t="s">
        <v>128</v>
      </c>
      <c r="D1782" s="11" t="s">
        <v>68</v>
      </c>
      <c r="E1782" s="12">
        <v>46175.0</v>
      </c>
      <c r="F1782" s="12">
        <v>46205.0</v>
      </c>
      <c r="G1782" s="11" t="s">
        <v>9486</v>
      </c>
      <c r="H1782" s="11">
        <v>9.324290766E9</v>
      </c>
      <c r="I1782" s="11" t="s">
        <v>70</v>
      </c>
      <c r="J1782" s="11" t="s">
        <v>71</v>
      </c>
      <c r="K1782" s="11" t="s">
        <v>110</v>
      </c>
      <c r="L1782" s="11" t="s">
        <v>73</v>
      </c>
      <c r="M1782" s="11" t="s">
        <v>9752</v>
      </c>
      <c r="N1782" s="11" t="s">
        <v>86</v>
      </c>
      <c r="O1782" s="11" t="s">
        <v>71</v>
      </c>
      <c r="P1782" s="11" t="s">
        <v>9753</v>
      </c>
      <c r="Q1782" s="13" t="s">
        <v>9754</v>
      </c>
      <c r="R1782" s="14" t="str">
        <f>HYPERLINK("https://drive.google.com/file/d/13d1vQt0kLweuBJlZP1lAH5n8FeA8z69E/view?usp=drivesdk","OFFER LETTER")</f>
        <v>OFFER LETTER</v>
      </c>
      <c r="S1782" s="11" t="s">
        <v>9755</v>
      </c>
    </row>
    <row r="1783" ht="22.5" customHeight="1">
      <c r="A1783" s="10">
        <v>46265.891103946764</v>
      </c>
      <c r="B1783" s="11" t="s">
        <v>9756</v>
      </c>
      <c r="C1783" s="11" t="s">
        <v>91</v>
      </c>
      <c r="D1783" s="11" t="s">
        <v>238</v>
      </c>
      <c r="E1783" s="12">
        <v>46266.0</v>
      </c>
      <c r="F1783" s="12">
        <v>46356.0</v>
      </c>
      <c r="G1783" s="11" t="s">
        <v>9757</v>
      </c>
      <c r="H1783" s="11">
        <v>8.709419278E9</v>
      </c>
      <c r="I1783" s="11" t="s">
        <v>82</v>
      </c>
      <c r="J1783" s="11" t="s">
        <v>71</v>
      </c>
      <c r="K1783" s="11" t="s">
        <v>72</v>
      </c>
      <c r="L1783" s="11" t="s">
        <v>131</v>
      </c>
      <c r="M1783" s="11" t="s">
        <v>9758</v>
      </c>
      <c r="N1783" s="11" t="s">
        <v>86</v>
      </c>
      <c r="O1783" s="11" t="s">
        <v>71</v>
      </c>
      <c r="P1783" s="11" t="s">
        <v>9759</v>
      </c>
      <c r="Q1783" s="13" t="s">
        <v>9760</v>
      </c>
      <c r="R1783" s="14" t="str">
        <f>HYPERLINK("https://drive.google.com/file/d/1W-FOHSVKaFgCsLalYaISGeOarD_kbJQh/view?usp=drivesdk","OFFER LETTER")</f>
        <v>OFFER LETTER</v>
      </c>
      <c r="S1783" s="11" t="s">
        <v>9761</v>
      </c>
    </row>
    <row r="1784" ht="22.5" customHeight="1">
      <c r="A1784" s="10">
        <v>46265.90110739583</v>
      </c>
      <c r="B1784" s="11" t="s">
        <v>9762</v>
      </c>
      <c r="C1784" s="11" t="s">
        <v>128</v>
      </c>
      <c r="D1784" s="11" t="s">
        <v>68</v>
      </c>
      <c r="E1784" s="12">
        <v>46265.0</v>
      </c>
      <c r="F1784" s="12">
        <v>46295.0</v>
      </c>
      <c r="G1784" s="11" t="s">
        <v>9763</v>
      </c>
      <c r="H1784" s="11">
        <v>9.86127796E9</v>
      </c>
      <c r="I1784" s="11" t="s">
        <v>82</v>
      </c>
      <c r="J1784" s="11" t="s">
        <v>71</v>
      </c>
      <c r="K1784" s="11" t="s">
        <v>1028</v>
      </c>
      <c r="L1784" s="11" t="s">
        <v>84</v>
      </c>
      <c r="M1784" s="11" t="s">
        <v>9764</v>
      </c>
      <c r="N1784" s="11" t="s">
        <v>1533</v>
      </c>
      <c r="O1784" s="11" t="s">
        <v>71</v>
      </c>
      <c r="P1784" s="11" t="s">
        <v>9765</v>
      </c>
      <c r="Q1784" s="13" t="s">
        <v>9766</v>
      </c>
      <c r="R1784" s="14" t="str">
        <f>HYPERLINK("https://drive.google.com/file/d/1Luzb6j_eZmazqXZda01vq_MTMc__ODzF/view?usp=drivesdk","OFFER LETTER")</f>
        <v>OFFER LETTER</v>
      </c>
      <c r="S1784" s="11" t="s">
        <v>9767</v>
      </c>
    </row>
    <row r="1785" ht="22.5" customHeight="1">
      <c r="A1785" s="10">
        <v>46265.901142511575</v>
      </c>
      <c r="B1785" s="11" t="s">
        <v>9768</v>
      </c>
      <c r="C1785" s="11" t="s">
        <v>259</v>
      </c>
      <c r="D1785" s="11" t="s">
        <v>68</v>
      </c>
      <c r="E1785" s="12">
        <v>46174.0</v>
      </c>
      <c r="F1785" s="12">
        <v>46203.0</v>
      </c>
      <c r="G1785" s="11" t="s">
        <v>9769</v>
      </c>
      <c r="H1785" s="11">
        <v>6.235792545E9</v>
      </c>
      <c r="I1785" s="11" t="s">
        <v>82</v>
      </c>
      <c r="J1785" s="11" t="s">
        <v>71</v>
      </c>
      <c r="K1785" s="11" t="s">
        <v>72</v>
      </c>
      <c r="L1785" s="11" t="s">
        <v>357</v>
      </c>
      <c r="M1785" s="11" t="s">
        <v>6592</v>
      </c>
      <c r="N1785" s="11" t="s">
        <v>75</v>
      </c>
      <c r="O1785" s="11" t="s">
        <v>71</v>
      </c>
      <c r="P1785" s="11" t="s">
        <v>9770</v>
      </c>
      <c r="Q1785" s="13" t="s">
        <v>9771</v>
      </c>
      <c r="R1785" s="14" t="str">
        <f>HYPERLINK("https://drive.google.com/file/d/12OSPLd-UFjcjhsEEvI_izddJTLdkK32F/view?usp=drivesdk","OFFER LETTER")</f>
        <v>OFFER LETTER</v>
      </c>
      <c r="S1785" s="11" t="s">
        <v>9772</v>
      </c>
    </row>
    <row r="1786" ht="22.5" customHeight="1">
      <c r="A1786" s="10">
        <v>46265.90236412037</v>
      </c>
      <c r="B1786" s="11" t="s">
        <v>9773</v>
      </c>
      <c r="C1786" s="11" t="s">
        <v>128</v>
      </c>
      <c r="D1786" s="11" t="s">
        <v>68</v>
      </c>
      <c r="E1786" s="12">
        <v>46265.0</v>
      </c>
      <c r="F1786" s="12">
        <v>46295.0</v>
      </c>
      <c r="G1786" s="11" t="s">
        <v>9774</v>
      </c>
      <c r="H1786" s="11">
        <v>9.83509099E9</v>
      </c>
      <c r="I1786" s="11" t="s">
        <v>82</v>
      </c>
      <c r="J1786" s="11" t="s">
        <v>130</v>
      </c>
      <c r="K1786" s="11" t="s">
        <v>72</v>
      </c>
      <c r="L1786" s="11" t="s">
        <v>84</v>
      </c>
      <c r="M1786" s="11" t="s">
        <v>8742</v>
      </c>
      <c r="N1786" s="11" t="s">
        <v>86</v>
      </c>
      <c r="O1786" s="11" t="s">
        <v>71</v>
      </c>
      <c r="P1786" s="11" t="s">
        <v>9775</v>
      </c>
      <c r="Q1786" s="13" t="s">
        <v>9776</v>
      </c>
      <c r="R1786" s="14" t="str">
        <f>HYPERLINK("https://drive.google.com/file/d/1a0e52mO88m0TQVLB6lXPPO67Jrcxi6YB/view?usp=drivesdk","OFFER LETTER")</f>
        <v>OFFER LETTER</v>
      </c>
      <c r="S1786" s="11" t="s">
        <v>9777</v>
      </c>
    </row>
    <row r="1787" ht="22.5" customHeight="1">
      <c r="A1787" s="10">
        <v>46265.90335266203</v>
      </c>
      <c r="B1787" s="11" t="s">
        <v>9778</v>
      </c>
      <c r="C1787" s="11" t="s">
        <v>107</v>
      </c>
      <c r="D1787" s="11" t="s">
        <v>108</v>
      </c>
      <c r="E1787" s="12">
        <v>46174.0</v>
      </c>
      <c r="F1787" s="12">
        <v>46235.0</v>
      </c>
      <c r="G1787" s="11" t="s">
        <v>9779</v>
      </c>
      <c r="H1787" s="11">
        <v>9.220319168E9</v>
      </c>
      <c r="I1787" s="11" t="s">
        <v>82</v>
      </c>
      <c r="J1787" s="11" t="s">
        <v>71</v>
      </c>
      <c r="K1787" s="11" t="s">
        <v>72</v>
      </c>
      <c r="L1787" s="11" t="s">
        <v>73</v>
      </c>
      <c r="M1787" s="11" t="s">
        <v>9648</v>
      </c>
      <c r="N1787" s="11" t="s">
        <v>5840</v>
      </c>
      <c r="O1787" s="11" t="s">
        <v>71</v>
      </c>
      <c r="P1787" s="11" t="s">
        <v>9780</v>
      </c>
      <c r="Q1787" s="13" t="s">
        <v>9781</v>
      </c>
      <c r="R1787" s="14" t="str">
        <f>HYPERLINK("https://drive.google.com/file/d/1usIBsYrF9GkBedp43gx_DOPmeT-CGfLG/view?usp=drivesdk","OFFER LETTER")</f>
        <v>OFFER LETTER</v>
      </c>
      <c r="S1787" s="11" t="s">
        <v>9782</v>
      </c>
    </row>
    <row r="1788" ht="22.5" customHeight="1">
      <c r="A1788" s="10">
        <v>46265.904693206016</v>
      </c>
      <c r="B1788" s="11" t="s">
        <v>9783</v>
      </c>
      <c r="C1788" s="11" t="s">
        <v>91</v>
      </c>
      <c r="D1788" s="11" t="s">
        <v>108</v>
      </c>
      <c r="E1788" s="12">
        <v>46203.0</v>
      </c>
      <c r="F1788" s="12">
        <v>46265.0</v>
      </c>
      <c r="G1788" s="11" t="s">
        <v>9784</v>
      </c>
      <c r="H1788" s="11">
        <v>7.675844858E9</v>
      </c>
      <c r="I1788" s="11" t="s">
        <v>70</v>
      </c>
      <c r="J1788" s="11" t="s">
        <v>71</v>
      </c>
      <c r="K1788" s="11" t="s">
        <v>356</v>
      </c>
      <c r="L1788" s="11" t="s">
        <v>84</v>
      </c>
      <c r="M1788" s="11" t="s">
        <v>9785</v>
      </c>
      <c r="N1788" s="11" t="s">
        <v>198</v>
      </c>
      <c r="O1788" s="11" t="s">
        <v>71</v>
      </c>
      <c r="P1788" s="11" t="s">
        <v>9786</v>
      </c>
      <c r="Q1788" s="13" t="s">
        <v>9787</v>
      </c>
      <c r="R1788" s="14" t="str">
        <f>HYPERLINK("https://drive.google.com/file/d/1FqHQKMG2pjlqvOtsmJcZ0KXbCihef22z/view?usp=drivesdk","OFFER LETTER")</f>
        <v>OFFER LETTER</v>
      </c>
      <c r="S1788" s="11" t="s">
        <v>9788</v>
      </c>
    </row>
    <row r="1789" ht="22.5" customHeight="1">
      <c r="A1789" s="10">
        <v>46265.909818518514</v>
      </c>
      <c r="B1789" s="11" t="s">
        <v>9789</v>
      </c>
      <c r="C1789" s="11" t="s">
        <v>1320</v>
      </c>
      <c r="D1789" s="11" t="s">
        <v>238</v>
      </c>
      <c r="E1789" s="12">
        <v>46266.0</v>
      </c>
      <c r="F1789" s="12">
        <v>46356.0</v>
      </c>
      <c r="G1789" s="11" t="s">
        <v>9790</v>
      </c>
      <c r="H1789" s="11">
        <v>8.581022837E9</v>
      </c>
      <c r="I1789" s="11" t="s">
        <v>82</v>
      </c>
      <c r="J1789" s="11" t="s">
        <v>71</v>
      </c>
      <c r="K1789" s="11" t="s">
        <v>72</v>
      </c>
      <c r="L1789" s="11" t="s">
        <v>131</v>
      </c>
      <c r="M1789" s="11" t="s">
        <v>3839</v>
      </c>
      <c r="N1789" s="11" t="s">
        <v>86</v>
      </c>
      <c r="O1789" s="11" t="s">
        <v>71</v>
      </c>
      <c r="P1789" s="11" t="s">
        <v>9791</v>
      </c>
      <c r="Q1789" s="13" t="s">
        <v>9792</v>
      </c>
      <c r="R1789" s="14" t="str">
        <f>HYPERLINK("https://drive.google.com/file/d/1TacurrLSu_dld0lX2nxMa3C5qnHFeM7p/view?usp=drivesdk","OFFER LETTER")</f>
        <v>OFFER LETTER</v>
      </c>
      <c r="S1789" s="11" t="s">
        <v>9793</v>
      </c>
    </row>
    <row r="1790" ht="22.5" customHeight="1">
      <c r="A1790" s="10">
        <v>46265.9131671412</v>
      </c>
      <c r="B1790" s="11" t="s">
        <v>9773</v>
      </c>
      <c r="C1790" s="11" t="s">
        <v>128</v>
      </c>
      <c r="D1790" s="11" t="s">
        <v>68</v>
      </c>
      <c r="E1790" s="12">
        <v>46265.0</v>
      </c>
      <c r="F1790" s="12">
        <v>46295.0</v>
      </c>
      <c r="G1790" s="11" t="s">
        <v>9774</v>
      </c>
      <c r="H1790" s="11">
        <v>9.83509099E9</v>
      </c>
      <c r="I1790" s="11" t="s">
        <v>82</v>
      </c>
      <c r="J1790" s="11" t="s">
        <v>130</v>
      </c>
      <c r="K1790" s="11" t="s">
        <v>72</v>
      </c>
      <c r="L1790" s="11" t="s">
        <v>84</v>
      </c>
      <c r="M1790" s="11" t="s">
        <v>8742</v>
      </c>
      <c r="N1790" s="11" t="s">
        <v>86</v>
      </c>
      <c r="O1790" s="11" t="s">
        <v>71</v>
      </c>
      <c r="P1790" s="11" t="s">
        <v>9794</v>
      </c>
      <c r="Q1790" s="13" t="s">
        <v>9795</v>
      </c>
      <c r="R1790" s="14" t="str">
        <f>HYPERLINK("https://drive.google.com/file/d/1_V8PJ6NSowC4plVzbj6f4_H3H0hnehuF/view?usp=drivesdk","OFFER LETTER")</f>
        <v>OFFER LETTER</v>
      </c>
      <c r="S1790" s="11" t="s">
        <v>9796</v>
      </c>
    </row>
    <row r="1791" ht="22.5" customHeight="1">
      <c r="A1791" s="10">
        <v>46265.916061261574</v>
      </c>
      <c r="B1791" s="11" t="s">
        <v>5787</v>
      </c>
      <c r="C1791" s="11" t="s">
        <v>107</v>
      </c>
      <c r="D1791" s="11" t="s">
        <v>68</v>
      </c>
      <c r="E1791" s="12">
        <v>46204.0</v>
      </c>
      <c r="F1791" s="12">
        <v>46234.0</v>
      </c>
      <c r="G1791" s="11" t="s">
        <v>5788</v>
      </c>
      <c r="H1791" s="11" t="s">
        <v>9797</v>
      </c>
      <c r="I1791" s="11" t="s">
        <v>82</v>
      </c>
      <c r="J1791" s="11" t="s">
        <v>71</v>
      </c>
      <c r="K1791" s="13" t="s">
        <v>443</v>
      </c>
      <c r="L1791" s="11" t="s">
        <v>73</v>
      </c>
      <c r="M1791" s="11" t="s">
        <v>1211</v>
      </c>
      <c r="N1791" s="11" t="s">
        <v>7116</v>
      </c>
      <c r="O1791" s="11" t="s">
        <v>71</v>
      </c>
      <c r="P1791" s="11" t="s">
        <v>9798</v>
      </c>
      <c r="Q1791" s="13" t="s">
        <v>9799</v>
      </c>
      <c r="R1791" s="14" t="str">
        <f>HYPERLINK("https://drive.google.com/file/d/1pE-6nngD0s47dBnPoOXXJU56LCJEUCi_/view?usp=drivesdk","OFFER LETTER")</f>
        <v>OFFER LETTER</v>
      </c>
      <c r="S1791" s="11" t="s">
        <v>9800</v>
      </c>
    </row>
    <row r="1792" ht="22.5" customHeight="1">
      <c r="A1792" s="10">
        <v>46265.91826142361</v>
      </c>
      <c r="B1792" s="11" t="s">
        <v>9801</v>
      </c>
      <c r="C1792" s="11" t="s">
        <v>259</v>
      </c>
      <c r="D1792" s="11" t="s">
        <v>68</v>
      </c>
      <c r="E1792" s="12">
        <v>46215.0</v>
      </c>
      <c r="F1792" s="12">
        <v>46246.0</v>
      </c>
      <c r="G1792" s="11" t="s">
        <v>9802</v>
      </c>
      <c r="H1792" s="11">
        <v>9.410399161E9</v>
      </c>
      <c r="I1792" s="11" t="s">
        <v>82</v>
      </c>
      <c r="J1792" s="11" t="s">
        <v>83</v>
      </c>
      <c r="K1792" s="11" t="s">
        <v>110</v>
      </c>
      <c r="L1792" s="11" t="s">
        <v>84</v>
      </c>
      <c r="M1792" s="11" t="s">
        <v>1211</v>
      </c>
      <c r="N1792" s="11" t="s">
        <v>86</v>
      </c>
      <c r="O1792" s="11" t="s">
        <v>71</v>
      </c>
      <c r="P1792" s="11" t="s">
        <v>9803</v>
      </c>
      <c r="Q1792" s="13" t="s">
        <v>9804</v>
      </c>
      <c r="R1792" s="14" t="str">
        <f>HYPERLINK("https://drive.google.com/file/d/1HmxdtmrE1_Hm19h4utV8d9pN8OCR5b24/view?usp=drivesdk","OFFER LETTER")</f>
        <v>OFFER LETTER</v>
      </c>
      <c r="S1792" s="11" t="s">
        <v>9805</v>
      </c>
    </row>
    <row r="1793" ht="22.5" customHeight="1">
      <c r="A1793" s="10">
        <v>46265.918512743054</v>
      </c>
      <c r="B1793" s="11" t="s">
        <v>9806</v>
      </c>
      <c r="C1793" s="11" t="s">
        <v>195</v>
      </c>
      <c r="D1793" s="11" t="s">
        <v>68</v>
      </c>
      <c r="E1793" s="12">
        <v>46265.0</v>
      </c>
      <c r="F1793" s="12">
        <v>46295.0</v>
      </c>
      <c r="G1793" s="11" t="s">
        <v>9807</v>
      </c>
      <c r="H1793" s="11">
        <v>7.03626308E9</v>
      </c>
      <c r="I1793" s="11" t="s">
        <v>70</v>
      </c>
      <c r="J1793" s="11" t="s">
        <v>71</v>
      </c>
      <c r="K1793" s="11" t="s">
        <v>72</v>
      </c>
      <c r="L1793" s="11" t="s">
        <v>73</v>
      </c>
      <c r="M1793" s="11" t="s">
        <v>9808</v>
      </c>
      <c r="N1793" s="11" t="s">
        <v>86</v>
      </c>
      <c r="O1793" s="11" t="s">
        <v>71</v>
      </c>
      <c r="P1793" s="11" t="s">
        <v>9809</v>
      </c>
      <c r="Q1793" s="13" t="s">
        <v>9810</v>
      </c>
      <c r="R1793" s="14" t="str">
        <f>HYPERLINK("https://drive.google.com/file/d/1PSAsSg24IU4lUlrGCL_b5bfNENGMTlyJ/view?usp=drivesdk","OFFER LETTER")</f>
        <v>OFFER LETTER</v>
      </c>
      <c r="S1793" s="11" t="s">
        <v>9811</v>
      </c>
    </row>
    <row r="1794" ht="22.5" customHeight="1">
      <c r="A1794" s="10">
        <v>46265.91855884259</v>
      </c>
      <c r="B1794" s="11" t="s">
        <v>9812</v>
      </c>
      <c r="C1794" s="11" t="s">
        <v>80</v>
      </c>
      <c r="D1794" s="11" t="s">
        <v>68</v>
      </c>
      <c r="E1794" s="12">
        <v>46255.0</v>
      </c>
      <c r="F1794" s="12">
        <v>46286.0</v>
      </c>
      <c r="G1794" s="11" t="s">
        <v>9813</v>
      </c>
      <c r="H1794" s="11">
        <v>6.384262592E9</v>
      </c>
      <c r="I1794" s="11" t="s">
        <v>82</v>
      </c>
      <c r="J1794" s="11" t="s">
        <v>83</v>
      </c>
      <c r="K1794" s="11" t="s">
        <v>72</v>
      </c>
      <c r="L1794" s="11" t="s">
        <v>131</v>
      </c>
      <c r="M1794" s="11" t="s">
        <v>9814</v>
      </c>
      <c r="N1794" s="11" t="s">
        <v>2736</v>
      </c>
      <c r="O1794" s="11" t="s">
        <v>71</v>
      </c>
      <c r="P1794" s="11" t="s">
        <v>9815</v>
      </c>
      <c r="Q1794" s="13" t="s">
        <v>9816</v>
      </c>
      <c r="R1794" s="14" t="str">
        <f>HYPERLINK("https://drive.google.com/file/d/1XNUcWT6PMZyRwF4yqNTow5Rqd6IYvp-1/view?usp=drivesdk","OFFER LETTER")</f>
        <v>OFFER LETTER</v>
      </c>
      <c r="S1794" s="11" t="s">
        <v>9817</v>
      </c>
    </row>
    <row r="1795" ht="22.5" customHeight="1">
      <c r="A1795" s="10">
        <v>46265.92000575231</v>
      </c>
      <c r="B1795" s="11" t="s">
        <v>9818</v>
      </c>
      <c r="C1795" s="11" t="s">
        <v>91</v>
      </c>
      <c r="D1795" s="11" t="s">
        <v>108</v>
      </c>
      <c r="E1795" s="12">
        <v>46203.0</v>
      </c>
      <c r="F1795" s="12">
        <v>46265.0</v>
      </c>
      <c r="G1795" s="11" t="s">
        <v>9784</v>
      </c>
      <c r="H1795" s="11">
        <v>7.675844858E9</v>
      </c>
      <c r="I1795" s="11" t="s">
        <v>70</v>
      </c>
      <c r="J1795" s="11" t="s">
        <v>71</v>
      </c>
      <c r="K1795" s="11" t="s">
        <v>356</v>
      </c>
      <c r="L1795" s="11" t="s">
        <v>84</v>
      </c>
      <c r="M1795" s="11" t="s">
        <v>9785</v>
      </c>
      <c r="N1795" s="11" t="s">
        <v>198</v>
      </c>
      <c r="O1795" s="11" t="s">
        <v>71</v>
      </c>
      <c r="P1795" s="11" t="s">
        <v>9819</v>
      </c>
      <c r="Q1795" s="13" t="s">
        <v>9820</v>
      </c>
      <c r="R1795" s="14" t="str">
        <f>HYPERLINK("https://drive.google.com/file/d/12wtsbPvn_OTjrHiFA809pSvy5laITj9f/view?usp=drivesdk","OFFER LETTER")</f>
        <v>OFFER LETTER</v>
      </c>
      <c r="S1795" s="11" t="s">
        <v>9821</v>
      </c>
    </row>
    <row r="1796" ht="22.5" customHeight="1">
      <c r="A1796" s="10">
        <v>46265.92291390046</v>
      </c>
      <c r="B1796" s="11" t="s">
        <v>9822</v>
      </c>
      <c r="C1796" s="11" t="s">
        <v>128</v>
      </c>
      <c r="D1796" s="11" t="s">
        <v>68</v>
      </c>
      <c r="E1796" s="12">
        <v>46175.0</v>
      </c>
      <c r="F1796" s="12">
        <v>46205.0</v>
      </c>
      <c r="G1796" s="11" t="s">
        <v>9823</v>
      </c>
      <c r="H1796" s="11">
        <v>9.963819751E9</v>
      </c>
      <c r="I1796" s="11" t="s">
        <v>82</v>
      </c>
      <c r="J1796" s="11" t="s">
        <v>71</v>
      </c>
      <c r="K1796" s="11" t="s">
        <v>72</v>
      </c>
      <c r="L1796" s="11" t="s">
        <v>84</v>
      </c>
      <c r="M1796" s="11" t="s">
        <v>6592</v>
      </c>
      <c r="N1796" s="11" t="s">
        <v>75</v>
      </c>
      <c r="O1796" s="11" t="s">
        <v>71</v>
      </c>
      <c r="P1796" s="11" t="s">
        <v>9824</v>
      </c>
      <c r="Q1796" s="13" t="s">
        <v>9825</v>
      </c>
      <c r="R1796" s="14" t="str">
        <f>HYPERLINK("https://drive.google.com/file/d/1Wr-7BWJN7QelP0xsPTiF0l9AIxGVWogQ/view?usp=drivesdk","OFFER LETTER")</f>
        <v>OFFER LETTER</v>
      </c>
      <c r="S1796" s="11" t="s">
        <v>9826</v>
      </c>
    </row>
    <row r="1797" ht="22.5" customHeight="1">
      <c r="A1797" s="10">
        <v>46265.92697934028</v>
      </c>
      <c r="B1797" s="11" t="s">
        <v>9827</v>
      </c>
      <c r="C1797" s="11" t="s">
        <v>173</v>
      </c>
      <c r="D1797" s="11" t="s">
        <v>68</v>
      </c>
      <c r="E1797" s="12">
        <v>46227.0</v>
      </c>
      <c r="F1797" s="12">
        <v>46258.0</v>
      </c>
      <c r="G1797" s="11" t="s">
        <v>9828</v>
      </c>
      <c r="H1797" s="11">
        <v>7.268990647E9</v>
      </c>
      <c r="I1797" s="11" t="s">
        <v>82</v>
      </c>
      <c r="J1797" s="11" t="s">
        <v>71</v>
      </c>
      <c r="K1797" s="11" t="s">
        <v>72</v>
      </c>
      <c r="L1797" s="11" t="s">
        <v>84</v>
      </c>
      <c r="M1797" s="11" t="s">
        <v>9829</v>
      </c>
      <c r="N1797" s="11" t="s">
        <v>86</v>
      </c>
      <c r="O1797" s="11" t="s">
        <v>71</v>
      </c>
      <c r="P1797" s="11" t="s">
        <v>9830</v>
      </c>
      <c r="Q1797" s="13" t="s">
        <v>9831</v>
      </c>
      <c r="R1797" s="14" t="str">
        <f>HYPERLINK("https://drive.google.com/file/d/1N4MjVrvr1L7g8wgEuu1XmzsZyrPGWgZr/view?usp=drivesdk","OFFER LETTER")</f>
        <v>OFFER LETTER</v>
      </c>
      <c r="S1797" s="11" t="s">
        <v>9832</v>
      </c>
    </row>
    <row r="1798" ht="22.5" customHeight="1">
      <c r="A1798" s="10">
        <v>46265.9272575463</v>
      </c>
      <c r="B1798" s="11" t="s">
        <v>9833</v>
      </c>
      <c r="C1798" s="11" t="s">
        <v>80</v>
      </c>
      <c r="D1798" s="11" t="s">
        <v>68</v>
      </c>
      <c r="E1798" s="12">
        <v>46255.0</v>
      </c>
      <c r="F1798" s="12">
        <v>46286.0</v>
      </c>
      <c r="G1798" s="11" t="s">
        <v>9834</v>
      </c>
      <c r="H1798" s="11">
        <v>7.601083037E9</v>
      </c>
      <c r="I1798" s="11" t="s">
        <v>82</v>
      </c>
      <c r="J1798" s="11" t="s">
        <v>71</v>
      </c>
      <c r="K1798" s="11" t="s">
        <v>72</v>
      </c>
      <c r="L1798" s="11" t="s">
        <v>131</v>
      </c>
      <c r="M1798" s="11" t="s">
        <v>9835</v>
      </c>
      <c r="N1798" s="11" t="s">
        <v>630</v>
      </c>
      <c r="O1798" s="11" t="s">
        <v>71</v>
      </c>
      <c r="P1798" s="11" t="s">
        <v>9836</v>
      </c>
      <c r="Q1798" s="13" t="s">
        <v>9837</v>
      </c>
      <c r="R1798" s="14" t="str">
        <f>HYPERLINK("https://drive.google.com/file/d/1ua4xGLgZHOfinexlJgvotkcb7eMCOgJy/view?usp=drivesdk","OFFER LETTER")</f>
        <v>OFFER LETTER</v>
      </c>
      <c r="S1798" s="11" t="s">
        <v>9838</v>
      </c>
    </row>
    <row r="1799" ht="22.5" customHeight="1">
      <c r="A1799" s="10">
        <v>46265.9293178588</v>
      </c>
      <c r="B1799" s="11" t="s">
        <v>9839</v>
      </c>
      <c r="C1799" s="11" t="s">
        <v>80</v>
      </c>
      <c r="D1799" s="11" t="s">
        <v>68</v>
      </c>
      <c r="E1799" s="12">
        <v>46255.0</v>
      </c>
      <c r="F1799" s="12">
        <v>46286.0</v>
      </c>
      <c r="G1799" s="11" t="s">
        <v>9840</v>
      </c>
      <c r="H1799" s="11">
        <v>8.10565356E9</v>
      </c>
      <c r="I1799" s="11" t="s">
        <v>82</v>
      </c>
      <c r="J1799" s="11" t="s">
        <v>71</v>
      </c>
      <c r="K1799" s="11" t="s">
        <v>72</v>
      </c>
      <c r="L1799" s="11" t="s">
        <v>131</v>
      </c>
      <c r="M1799" s="11" t="s">
        <v>9841</v>
      </c>
      <c r="N1799" s="11" t="s">
        <v>86</v>
      </c>
      <c r="O1799" s="11" t="s">
        <v>71</v>
      </c>
      <c r="P1799" s="11" t="s">
        <v>9842</v>
      </c>
      <c r="Q1799" s="13" t="s">
        <v>9843</v>
      </c>
      <c r="R1799" s="14" t="str">
        <f>HYPERLINK("https://drive.google.com/file/d/180kuQLcuNlJ4bHqkKwprLzg4nsHYNF7A/view?usp=drivesdk","OFFER LETTER")</f>
        <v>OFFER LETTER</v>
      </c>
      <c r="S1799" s="11" t="s">
        <v>9844</v>
      </c>
    </row>
    <row r="1800" ht="22.5" customHeight="1">
      <c r="A1800" s="10">
        <v>46265.93004607639</v>
      </c>
      <c r="B1800" s="11" t="s">
        <v>9845</v>
      </c>
      <c r="C1800" s="11" t="s">
        <v>237</v>
      </c>
      <c r="D1800" s="11" t="s">
        <v>68</v>
      </c>
      <c r="E1800" s="12">
        <v>46174.0</v>
      </c>
      <c r="F1800" s="12">
        <v>46203.0</v>
      </c>
      <c r="G1800" s="11" t="s">
        <v>9846</v>
      </c>
      <c r="H1800" s="11">
        <v>9.966504723E9</v>
      </c>
      <c r="I1800" s="11" t="s">
        <v>82</v>
      </c>
      <c r="J1800" s="11" t="s">
        <v>71</v>
      </c>
      <c r="K1800" s="11" t="s">
        <v>72</v>
      </c>
      <c r="L1800" s="11" t="s">
        <v>131</v>
      </c>
      <c r="M1800" s="11" t="s">
        <v>9847</v>
      </c>
      <c r="N1800" s="11" t="s">
        <v>226</v>
      </c>
      <c r="O1800" s="11" t="s">
        <v>71</v>
      </c>
      <c r="P1800" s="11" t="s">
        <v>9848</v>
      </c>
      <c r="Q1800" s="13" t="s">
        <v>9849</v>
      </c>
      <c r="R1800" s="14" t="str">
        <f>HYPERLINK("https://drive.google.com/file/d/17Pu3SWgn0kQqkAyaS6TrjFIRS31yCjzs/view?usp=drivesdk","OFFER LETTER")</f>
        <v>OFFER LETTER</v>
      </c>
      <c r="S1800" s="11" t="s">
        <v>9850</v>
      </c>
    </row>
    <row r="1801" ht="22.5" customHeight="1">
      <c r="A1801" s="10">
        <v>46265.93075673611</v>
      </c>
      <c r="B1801" s="11" t="s">
        <v>9851</v>
      </c>
      <c r="C1801" s="11" t="s">
        <v>195</v>
      </c>
      <c r="D1801" s="11" t="s">
        <v>68</v>
      </c>
      <c r="E1801" s="12">
        <v>46182.0</v>
      </c>
      <c r="F1801" s="12">
        <v>46212.0</v>
      </c>
      <c r="G1801" s="11" t="s">
        <v>9852</v>
      </c>
      <c r="H1801" s="11">
        <v>9.919759697E9</v>
      </c>
      <c r="I1801" s="11" t="s">
        <v>82</v>
      </c>
      <c r="J1801" s="11" t="s">
        <v>71</v>
      </c>
      <c r="K1801" s="11" t="s">
        <v>72</v>
      </c>
      <c r="L1801" s="11" t="s">
        <v>84</v>
      </c>
      <c r="M1801" s="11" t="s">
        <v>9853</v>
      </c>
      <c r="N1801" s="11" t="s">
        <v>75</v>
      </c>
      <c r="O1801" s="11" t="s">
        <v>71</v>
      </c>
      <c r="P1801" s="11" t="s">
        <v>9854</v>
      </c>
      <c r="Q1801" s="13" t="s">
        <v>9855</v>
      </c>
      <c r="R1801" s="14" t="str">
        <f>HYPERLINK("https://drive.google.com/file/d/1i8yN5ll9BapNBH6B-Ht5EASRa1R9BcMj/view?usp=drivesdk","OFFER LETTER")</f>
        <v>OFFER LETTER</v>
      </c>
      <c r="S1801" s="11" t="s">
        <v>9856</v>
      </c>
    </row>
    <row r="1802" ht="22.5" customHeight="1">
      <c r="A1802" s="10">
        <v>46265.93321815973</v>
      </c>
      <c r="B1802" s="11" t="s">
        <v>9857</v>
      </c>
      <c r="C1802" s="11" t="s">
        <v>128</v>
      </c>
      <c r="D1802" s="11" t="s">
        <v>68</v>
      </c>
      <c r="E1802" s="12">
        <v>46175.0</v>
      </c>
      <c r="F1802" s="12">
        <v>46205.0</v>
      </c>
      <c r="G1802" s="11" t="s">
        <v>9858</v>
      </c>
      <c r="H1802" s="11">
        <v>9.618754789E9</v>
      </c>
      <c r="I1802" s="11" t="s">
        <v>82</v>
      </c>
      <c r="J1802" s="11" t="s">
        <v>71</v>
      </c>
      <c r="K1802" s="11" t="s">
        <v>72</v>
      </c>
      <c r="L1802" s="11" t="s">
        <v>84</v>
      </c>
      <c r="M1802" s="11" t="s">
        <v>8230</v>
      </c>
      <c r="N1802" s="11" t="s">
        <v>75</v>
      </c>
      <c r="O1802" s="11" t="s">
        <v>71</v>
      </c>
      <c r="P1802" s="11" t="s">
        <v>9859</v>
      </c>
      <c r="Q1802" s="13" t="s">
        <v>9860</v>
      </c>
      <c r="R1802" s="14" t="str">
        <f>HYPERLINK("https://drive.google.com/file/d/1mGO9jldEdxCW_zlDmZ4cpfjixvxRhO_y/view?usp=drivesdk","OFFER LETTER")</f>
        <v>OFFER LETTER</v>
      </c>
      <c r="S1802" s="11" t="s">
        <v>9861</v>
      </c>
    </row>
    <row r="1803" ht="22.5" customHeight="1">
      <c r="A1803" s="10">
        <v>46265.93830317129</v>
      </c>
      <c r="B1803" s="11" t="s">
        <v>9862</v>
      </c>
      <c r="C1803" s="11" t="s">
        <v>195</v>
      </c>
      <c r="D1803" s="11" t="s">
        <v>238</v>
      </c>
      <c r="E1803" s="12">
        <v>46235.0</v>
      </c>
      <c r="F1803" s="12">
        <v>46325.0</v>
      </c>
      <c r="G1803" s="11" t="s">
        <v>9863</v>
      </c>
      <c r="H1803" s="11">
        <v>7.303875222E9</v>
      </c>
      <c r="I1803" s="11" t="s">
        <v>70</v>
      </c>
      <c r="J1803" s="11" t="s">
        <v>71</v>
      </c>
      <c r="K1803" s="11" t="s">
        <v>72</v>
      </c>
      <c r="L1803" s="11" t="s">
        <v>131</v>
      </c>
      <c r="M1803" s="11" t="s">
        <v>9864</v>
      </c>
      <c r="N1803" s="11" t="s">
        <v>9865</v>
      </c>
      <c r="O1803" s="11" t="s">
        <v>71</v>
      </c>
      <c r="P1803" s="11" t="s">
        <v>9866</v>
      </c>
      <c r="Q1803" s="13" t="s">
        <v>9867</v>
      </c>
      <c r="R1803" s="14" t="str">
        <f>HYPERLINK("https://drive.google.com/file/d/1S5USyRQbLPOhQmV-fi0GfslcqrXFkIfv/view?usp=drivesdk","OFFER LETTER")</f>
        <v>OFFER LETTER</v>
      </c>
      <c r="S1803" s="11" t="s">
        <v>9868</v>
      </c>
    </row>
    <row r="1804" ht="22.5" customHeight="1">
      <c r="A1804" s="10">
        <v>46265.9448565625</v>
      </c>
      <c r="B1804" s="11" t="s">
        <v>9869</v>
      </c>
      <c r="C1804" s="11" t="s">
        <v>195</v>
      </c>
      <c r="D1804" s="11" t="s">
        <v>68</v>
      </c>
      <c r="E1804" s="12">
        <v>46265.0</v>
      </c>
      <c r="F1804" s="12">
        <v>46296.0</v>
      </c>
      <c r="G1804" s="11" t="s">
        <v>9870</v>
      </c>
      <c r="H1804" s="11">
        <v>8.765829411E9</v>
      </c>
      <c r="I1804" s="11" t="s">
        <v>82</v>
      </c>
      <c r="J1804" s="11" t="s">
        <v>71</v>
      </c>
      <c r="K1804" s="11" t="s">
        <v>72</v>
      </c>
      <c r="L1804" s="11" t="s">
        <v>84</v>
      </c>
      <c r="M1804" s="11" t="s">
        <v>2754</v>
      </c>
      <c r="N1804" s="11" t="s">
        <v>75</v>
      </c>
      <c r="O1804" s="11" t="s">
        <v>71</v>
      </c>
      <c r="P1804" s="11" t="s">
        <v>9871</v>
      </c>
      <c r="Q1804" s="13" t="s">
        <v>9872</v>
      </c>
      <c r="R1804" s="14" t="str">
        <f>HYPERLINK("https://drive.google.com/file/d/1jiXz8voQEJ8beuIR8HXk3J3vP2O9UU_W/view?usp=drivesdk","OFFER LETTER")</f>
        <v>OFFER LETTER</v>
      </c>
      <c r="S1804" s="11" t="s">
        <v>9873</v>
      </c>
    </row>
    <row r="1805" ht="22.5" customHeight="1">
      <c r="A1805" s="10">
        <v>46265.9453316088</v>
      </c>
      <c r="B1805" s="11" t="s">
        <v>9874</v>
      </c>
      <c r="C1805" s="11" t="s">
        <v>298</v>
      </c>
      <c r="D1805" s="11" t="s">
        <v>108</v>
      </c>
      <c r="E1805" s="12">
        <v>46265.0</v>
      </c>
      <c r="F1805" s="12">
        <v>46325.0</v>
      </c>
      <c r="G1805" s="11" t="s">
        <v>9875</v>
      </c>
      <c r="H1805" s="11">
        <v>9.34685486E9</v>
      </c>
      <c r="I1805" s="11" t="s">
        <v>82</v>
      </c>
      <c r="J1805" s="11" t="s">
        <v>71</v>
      </c>
      <c r="K1805" s="11" t="s">
        <v>72</v>
      </c>
      <c r="L1805" s="11" t="s">
        <v>131</v>
      </c>
      <c r="M1805" s="11" t="s">
        <v>2833</v>
      </c>
      <c r="N1805" s="11" t="s">
        <v>86</v>
      </c>
      <c r="O1805" s="11" t="s">
        <v>71</v>
      </c>
      <c r="P1805" s="11" t="s">
        <v>9876</v>
      </c>
      <c r="Q1805" s="13" t="s">
        <v>9877</v>
      </c>
      <c r="R1805" s="14" t="str">
        <f>HYPERLINK("https://drive.google.com/file/d/1SG4rd0MokvHDQWiWiJ--W85JKrhH8-kM/view?usp=drivesdk","OFFER LETTER")</f>
        <v>OFFER LETTER</v>
      </c>
      <c r="S1805" s="11" t="s">
        <v>9878</v>
      </c>
    </row>
    <row r="1806" ht="22.5" customHeight="1">
      <c r="A1806" s="10">
        <v>46265.95060722222</v>
      </c>
      <c r="B1806" s="11" t="s">
        <v>9874</v>
      </c>
      <c r="C1806" s="11" t="s">
        <v>298</v>
      </c>
      <c r="D1806" s="11" t="s">
        <v>108</v>
      </c>
      <c r="E1806" s="12">
        <v>46265.0</v>
      </c>
      <c r="F1806" s="12">
        <v>46325.0</v>
      </c>
      <c r="G1806" s="11" t="s">
        <v>9875</v>
      </c>
      <c r="H1806" s="11">
        <v>9.34685486E9</v>
      </c>
      <c r="I1806" s="11" t="s">
        <v>82</v>
      </c>
      <c r="J1806" s="11" t="s">
        <v>71</v>
      </c>
      <c r="K1806" s="11" t="s">
        <v>72</v>
      </c>
      <c r="L1806" s="11" t="s">
        <v>131</v>
      </c>
      <c r="M1806" s="11" t="s">
        <v>2883</v>
      </c>
      <c r="N1806" s="11" t="s">
        <v>86</v>
      </c>
      <c r="O1806" s="11" t="s">
        <v>71</v>
      </c>
      <c r="P1806" s="11" t="s">
        <v>9879</v>
      </c>
      <c r="Q1806" s="13" t="s">
        <v>9880</v>
      </c>
      <c r="R1806" s="14" t="str">
        <f>HYPERLINK("https://drive.google.com/file/d/1F3PxWnRANTHsK0Q1h8H0A1IreTnGroJw/view?usp=drivesdk","OFFER LETTER")</f>
        <v>OFFER LETTER</v>
      </c>
      <c r="S1806" s="11" t="s">
        <v>9881</v>
      </c>
    </row>
    <row r="1807" ht="22.5" customHeight="1">
      <c r="A1807" s="10">
        <v>46265.95497503472</v>
      </c>
      <c r="B1807" s="11" t="s">
        <v>9882</v>
      </c>
      <c r="C1807" s="11" t="s">
        <v>195</v>
      </c>
      <c r="D1807" s="11" t="s">
        <v>108</v>
      </c>
      <c r="E1807" s="12">
        <v>46184.0</v>
      </c>
      <c r="F1807" s="12">
        <v>46245.0</v>
      </c>
      <c r="G1807" s="11" t="s">
        <v>9883</v>
      </c>
      <c r="H1807" s="11">
        <v>7.366097746E9</v>
      </c>
      <c r="I1807" s="11" t="s">
        <v>70</v>
      </c>
      <c r="J1807" s="11" t="s">
        <v>71</v>
      </c>
      <c r="K1807" s="11" t="s">
        <v>356</v>
      </c>
      <c r="L1807" s="11" t="s">
        <v>357</v>
      </c>
      <c r="M1807" s="11" t="s">
        <v>1118</v>
      </c>
      <c r="N1807" s="11" t="s">
        <v>2778</v>
      </c>
      <c r="O1807" s="11" t="s">
        <v>71</v>
      </c>
      <c r="P1807" s="11" t="s">
        <v>9884</v>
      </c>
      <c r="Q1807" s="13" t="s">
        <v>9885</v>
      </c>
      <c r="R1807" s="14" t="str">
        <f>HYPERLINK("https://drive.google.com/file/d/1j7q_Lqe1idJbbk0uVe5Tv357qpHD2cGZ/view?usp=drivesdk","OFFER LETTER")</f>
        <v>OFFER LETTER</v>
      </c>
      <c r="S1807" s="11" t="s">
        <v>9886</v>
      </c>
    </row>
    <row r="1808" ht="22.5" customHeight="1">
      <c r="A1808" s="10">
        <v>46265.9611459375</v>
      </c>
      <c r="B1808" s="11" t="s">
        <v>9882</v>
      </c>
      <c r="C1808" s="11" t="s">
        <v>195</v>
      </c>
      <c r="D1808" s="11" t="s">
        <v>108</v>
      </c>
      <c r="E1808" s="12">
        <v>46184.0</v>
      </c>
      <c r="F1808" s="12">
        <v>46245.0</v>
      </c>
      <c r="G1808" s="11" t="s">
        <v>9883</v>
      </c>
      <c r="H1808" s="11">
        <v>7.366097746E9</v>
      </c>
      <c r="I1808" s="11" t="s">
        <v>70</v>
      </c>
      <c r="J1808" s="11" t="s">
        <v>71</v>
      </c>
      <c r="K1808" s="11" t="s">
        <v>356</v>
      </c>
      <c r="L1808" s="11" t="s">
        <v>84</v>
      </c>
      <c r="M1808" s="11" t="s">
        <v>1118</v>
      </c>
      <c r="N1808" s="11" t="s">
        <v>2778</v>
      </c>
      <c r="O1808" s="11" t="s">
        <v>71</v>
      </c>
      <c r="P1808" s="11" t="s">
        <v>9887</v>
      </c>
      <c r="Q1808" s="13" t="s">
        <v>9888</v>
      </c>
      <c r="R1808" s="14" t="str">
        <f>HYPERLINK("https://drive.google.com/file/d/1MxA98bPQLa5D30ZppEN5ZMfaq0QR3L3-/view?usp=drivesdk","OFFER LETTER")</f>
        <v>OFFER LETTER</v>
      </c>
      <c r="S1808" s="11" t="s">
        <v>9889</v>
      </c>
    </row>
    <row r="1809" ht="22.5" customHeight="1">
      <c r="A1809" s="10">
        <v>46265.96676054398</v>
      </c>
      <c r="B1809" s="11" t="s">
        <v>9890</v>
      </c>
      <c r="C1809" s="11" t="s">
        <v>173</v>
      </c>
      <c r="D1809" s="11" t="s">
        <v>68</v>
      </c>
      <c r="E1809" s="12">
        <v>46209.0</v>
      </c>
      <c r="F1809" s="12">
        <v>46240.0</v>
      </c>
      <c r="G1809" s="11" t="s">
        <v>9891</v>
      </c>
      <c r="H1809" s="11">
        <v>9.369051646E9</v>
      </c>
      <c r="I1809" s="11" t="s">
        <v>82</v>
      </c>
      <c r="J1809" s="11" t="s">
        <v>71</v>
      </c>
      <c r="K1809" s="11" t="s">
        <v>72</v>
      </c>
      <c r="L1809" s="11" t="s">
        <v>131</v>
      </c>
      <c r="M1809" s="11" t="s">
        <v>9440</v>
      </c>
      <c r="N1809" s="11" t="s">
        <v>75</v>
      </c>
      <c r="O1809" s="11" t="s">
        <v>71</v>
      </c>
      <c r="P1809" s="11" t="s">
        <v>9892</v>
      </c>
      <c r="Q1809" s="13" t="s">
        <v>9893</v>
      </c>
      <c r="R1809" s="14" t="str">
        <f>HYPERLINK("https://drive.google.com/file/d/1YG4B0WW2sYjSTMmT7P9zKBM6gr90l0yR/view?usp=drivesdk","OFFER LETTER")</f>
        <v>OFFER LETTER</v>
      </c>
      <c r="S1809" s="11" t="s">
        <v>9894</v>
      </c>
    </row>
    <row r="1810" ht="22.5" customHeight="1">
      <c r="A1810" s="10">
        <v>46265.97073265046</v>
      </c>
      <c r="B1810" s="11" t="s">
        <v>9895</v>
      </c>
      <c r="C1810" s="11" t="s">
        <v>107</v>
      </c>
      <c r="D1810" s="11" t="s">
        <v>108</v>
      </c>
      <c r="E1810" s="12">
        <v>46185.0</v>
      </c>
      <c r="F1810" s="12">
        <v>46248.0</v>
      </c>
      <c r="G1810" s="11" t="s">
        <v>9896</v>
      </c>
      <c r="H1810" s="11">
        <v>6.390456459E9</v>
      </c>
      <c r="I1810" s="11" t="s">
        <v>82</v>
      </c>
      <c r="J1810" s="11" t="s">
        <v>71</v>
      </c>
      <c r="K1810" s="11" t="s">
        <v>356</v>
      </c>
      <c r="L1810" s="11" t="s">
        <v>84</v>
      </c>
      <c r="M1810" s="11" t="s">
        <v>1118</v>
      </c>
      <c r="N1810" s="11" t="s">
        <v>2778</v>
      </c>
      <c r="O1810" s="11" t="s">
        <v>71</v>
      </c>
      <c r="P1810" s="11" t="s">
        <v>9897</v>
      </c>
      <c r="Q1810" s="13" t="s">
        <v>9898</v>
      </c>
      <c r="R1810" s="14" t="str">
        <f>HYPERLINK("https://drive.google.com/file/d/1lNtAZgjNh5GSFHBHmPJvFvdy1AwxU0J6/view?usp=drivesdk","OFFER LETTER")</f>
        <v>OFFER LETTER</v>
      </c>
      <c r="S1810" s="11" t="s">
        <v>9899</v>
      </c>
    </row>
    <row r="1811" ht="22.5" customHeight="1">
      <c r="A1811" s="10">
        <v>46265.97350550926</v>
      </c>
      <c r="B1811" s="11" t="s">
        <v>9900</v>
      </c>
      <c r="C1811" s="11" t="s">
        <v>354</v>
      </c>
      <c r="D1811" s="11" t="s">
        <v>108</v>
      </c>
      <c r="E1811" s="12">
        <v>46177.0</v>
      </c>
      <c r="F1811" s="12">
        <v>46238.0</v>
      </c>
      <c r="G1811" s="11" t="s">
        <v>8581</v>
      </c>
      <c r="H1811" s="11">
        <v>7.011478149E9</v>
      </c>
      <c r="I1811" s="11" t="s">
        <v>82</v>
      </c>
      <c r="J1811" s="11" t="s">
        <v>71</v>
      </c>
      <c r="K1811" s="11" t="s">
        <v>72</v>
      </c>
      <c r="L1811" s="11" t="s">
        <v>73</v>
      </c>
      <c r="M1811" s="11" t="s">
        <v>9901</v>
      </c>
      <c r="N1811" s="11" t="s">
        <v>155</v>
      </c>
      <c r="O1811" s="11" t="s">
        <v>71</v>
      </c>
      <c r="P1811" s="11" t="s">
        <v>9902</v>
      </c>
      <c r="Q1811" s="13" t="s">
        <v>9903</v>
      </c>
      <c r="R1811" s="14" t="str">
        <f>HYPERLINK("https://drive.google.com/file/d/1pswLEPYA2IvSaiu6kZA9Ef0H5aVtVoKK/view?usp=drivesdk","OFFER LETTER")</f>
        <v>OFFER LETTER</v>
      </c>
      <c r="S1811" s="11" t="s">
        <v>9904</v>
      </c>
    </row>
    <row r="1812" ht="22.5" customHeight="1">
      <c r="A1812" s="10">
        <v>46265.97401355324</v>
      </c>
      <c r="B1812" s="11" t="s">
        <v>9905</v>
      </c>
      <c r="C1812" s="11" t="s">
        <v>128</v>
      </c>
      <c r="D1812" s="11" t="s">
        <v>68</v>
      </c>
      <c r="E1812" s="12">
        <v>46174.0</v>
      </c>
      <c r="F1812" s="12">
        <v>46204.0</v>
      </c>
      <c r="G1812" s="11" t="s">
        <v>9906</v>
      </c>
      <c r="H1812" s="11">
        <v>6.369192933E9</v>
      </c>
      <c r="I1812" s="11" t="s">
        <v>82</v>
      </c>
      <c r="J1812" s="11" t="s">
        <v>71</v>
      </c>
      <c r="K1812" s="11" t="s">
        <v>72</v>
      </c>
      <c r="L1812" s="11" t="s">
        <v>84</v>
      </c>
      <c r="M1812" s="11" t="s">
        <v>6592</v>
      </c>
      <c r="N1812" s="11" t="s">
        <v>86</v>
      </c>
      <c r="O1812" s="11" t="s">
        <v>71</v>
      </c>
      <c r="P1812" s="11" t="s">
        <v>9907</v>
      </c>
      <c r="Q1812" s="13" t="s">
        <v>9908</v>
      </c>
      <c r="R1812" s="14" t="str">
        <f>HYPERLINK("https://drive.google.com/file/d/1cVkXFU5RotYnHd9W4f6dvGR4dGSb6G6D/view?usp=drivesdk","OFFER LETTER")</f>
        <v>OFFER LETTER</v>
      </c>
      <c r="S1812" s="11" t="s">
        <v>9909</v>
      </c>
    </row>
    <row r="1813" ht="22.5" customHeight="1">
      <c r="A1813" s="10">
        <v>46265.980145</v>
      </c>
      <c r="B1813" s="11" t="s">
        <v>9910</v>
      </c>
      <c r="C1813" s="11" t="s">
        <v>107</v>
      </c>
      <c r="D1813" s="11" t="s">
        <v>238</v>
      </c>
      <c r="E1813" s="12">
        <v>46266.0</v>
      </c>
      <c r="F1813" s="12">
        <v>46356.0</v>
      </c>
      <c r="G1813" s="11" t="s">
        <v>9911</v>
      </c>
      <c r="H1813" s="11">
        <v>8.797447794E9</v>
      </c>
      <c r="I1813" s="11" t="s">
        <v>82</v>
      </c>
      <c r="K1813" s="11" t="s">
        <v>72</v>
      </c>
      <c r="L1813" s="11" t="s">
        <v>131</v>
      </c>
      <c r="M1813" s="11" t="s">
        <v>9912</v>
      </c>
      <c r="N1813" s="11" t="s">
        <v>2736</v>
      </c>
      <c r="O1813" s="11" t="s">
        <v>71</v>
      </c>
      <c r="P1813" s="11" t="s">
        <v>9913</v>
      </c>
      <c r="Q1813" s="13" t="s">
        <v>9914</v>
      </c>
      <c r="R1813" s="14" t="str">
        <f>HYPERLINK("https://drive.google.com/file/d/1IhLU06RQv8TbQNVyk392NPtivwn6qSXT/view?usp=drivesdk","OFFER LETTER")</f>
        <v>OFFER LETTER</v>
      </c>
      <c r="S1813" s="11" t="s">
        <v>9915</v>
      </c>
    </row>
    <row r="1814" ht="22.5" customHeight="1">
      <c r="A1814" s="10">
        <v>46265.98015497685</v>
      </c>
      <c r="B1814" s="11" t="s">
        <v>9916</v>
      </c>
      <c r="C1814" s="11" t="s">
        <v>298</v>
      </c>
      <c r="D1814" s="11" t="s">
        <v>108</v>
      </c>
      <c r="E1814" s="12">
        <v>46265.0</v>
      </c>
      <c r="F1814" s="12">
        <v>46325.0</v>
      </c>
      <c r="G1814" s="11" t="s">
        <v>9917</v>
      </c>
      <c r="H1814" s="11">
        <v>6.302428052E9</v>
      </c>
      <c r="I1814" s="11" t="s">
        <v>82</v>
      </c>
      <c r="J1814" s="11" t="s">
        <v>71</v>
      </c>
      <c r="K1814" s="11" t="s">
        <v>72</v>
      </c>
      <c r="L1814" s="11" t="s">
        <v>131</v>
      </c>
      <c r="M1814" s="11" t="s">
        <v>2369</v>
      </c>
      <c r="N1814" s="11" t="s">
        <v>86</v>
      </c>
      <c r="O1814" s="11" t="s">
        <v>71</v>
      </c>
      <c r="P1814" s="11" t="s">
        <v>9918</v>
      </c>
      <c r="Q1814" s="13" t="s">
        <v>9919</v>
      </c>
      <c r="R1814" s="14" t="str">
        <f>HYPERLINK("https://drive.google.com/file/d/1h7NM3ey9B4UGvZf6TM8sYfEy9pZy-kig/view?usp=drivesdk","OFFER LETTER")</f>
        <v>OFFER LETTER</v>
      </c>
      <c r="S1814" s="11" t="s">
        <v>9920</v>
      </c>
    </row>
    <row r="1815" ht="22.5" customHeight="1">
      <c r="A1815" s="10">
        <v>46265.98335361111</v>
      </c>
      <c r="B1815" s="11" t="s">
        <v>9921</v>
      </c>
      <c r="C1815" s="11" t="s">
        <v>107</v>
      </c>
      <c r="D1815" s="11" t="s">
        <v>68</v>
      </c>
      <c r="E1815" s="12">
        <v>46212.0</v>
      </c>
      <c r="F1815" s="12">
        <v>46243.0</v>
      </c>
      <c r="G1815" s="11" t="s">
        <v>9922</v>
      </c>
      <c r="H1815" s="11">
        <v>7.985064817E9</v>
      </c>
      <c r="I1815" s="11" t="s">
        <v>82</v>
      </c>
      <c r="J1815" s="11" t="s">
        <v>71</v>
      </c>
      <c r="K1815" s="11" t="s">
        <v>72</v>
      </c>
      <c r="L1815" s="11" t="s">
        <v>131</v>
      </c>
      <c r="M1815" s="11" t="s">
        <v>9923</v>
      </c>
      <c r="N1815" s="11" t="s">
        <v>75</v>
      </c>
      <c r="O1815" s="11" t="s">
        <v>71</v>
      </c>
      <c r="P1815" s="11" t="s">
        <v>9924</v>
      </c>
      <c r="Q1815" s="13" t="s">
        <v>9925</v>
      </c>
      <c r="R1815" s="14" t="str">
        <f>HYPERLINK("https://drive.google.com/file/d/1kLQgZ4GnHnXMthmNbZzM4qtnDSVXu-vX/view?usp=drivesdk","OFFER LETTER")</f>
        <v>OFFER LETTER</v>
      </c>
      <c r="S1815" s="11" t="s">
        <v>9926</v>
      </c>
    </row>
    <row r="1816" ht="22.5" customHeight="1">
      <c r="A1816" s="10">
        <v>46265.99761034722</v>
      </c>
      <c r="B1816" s="11" t="s">
        <v>9927</v>
      </c>
      <c r="C1816" s="11" t="s">
        <v>173</v>
      </c>
      <c r="D1816" s="11" t="s">
        <v>68</v>
      </c>
      <c r="E1816" s="12">
        <v>46180.0</v>
      </c>
      <c r="F1816" s="12">
        <v>46211.0</v>
      </c>
      <c r="G1816" s="11" t="s">
        <v>9508</v>
      </c>
      <c r="H1816" s="11">
        <v>7.091299545E9</v>
      </c>
      <c r="I1816" s="11" t="s">
        <v>82</v>
      </c>
      <c r="J1816" s="11" t="s">
        <v>71</v>
      </c>
      <c r="K1816" s="11" t="s">
        <v>72</v>
      </c>
      <c r="L1816" s="11" t="s">
        <v>84</v>
      </c>
      <c r="M1816" s="11" t="s">
        <v>9509</v>
      </c>
      <c r="N1816" s="11" t="s">
        <v>86</v>
      </c>
      <c r="O1816" s="11" t="s">
        <v>71</v>
      </c>
      <c r="P1816" s="11" t="s">
        <v>9928</v>
      </c>
      <c r="Q1816" s="13" t="s">
        <v>9929</v>
      </c>
      <c r="R1816" s="14" t="str">
        <f>HYPERLINK("https://drive.google.com/file/d/17lwlN6p4SLHAYnUEqty0wvb9gJotgJsX/view?usp=drivesdk","OFFER LETTER")</f>
        <v>OFFER LETTER</v>
      </c>
      <c r="S1816" s="11" t="s">
        <v>9930</v>
      </c>
    </row>
    <row r="1817" ht="22.5" customHeight="1">
      <c r="A1817" s="10">
        <v>46266.000514155094</v>
      </c>
      <c r="B1817" s="11" t="s">
        <v>9931</v>
      </c>
      <c r="C1817" s="11" t="s">
        <v>195</v>
      </c>
      <c r="D1817" s="11" t="s">
        <v>68</v>
      </c>
      <c r="E1817" s="12">
        <v>46230.0</v>
      </c>
      <c r="F1817" s="12">
        <v>46260.0</v>
      </c>
      <c r="G1817" s="11" t="s">
        <v>9932</v>
      </c>
      <c r="H1817" s="11">
        <v>9.390340044E9</v>
      </c>
      <c r="I1817" s="11" t="s">
        <v>82</v>
      </c>
      <c r="J1817" s="11" t="s">
        <v>71</v>
      </c>
      <c r="K1817" s="11" t="s">
        <v>72</v>
      </c>
      <c r="L1817" s="11" t="s">
        <v>131</v>
      </c>
      <c r="M1817" s="11" t="s">
        <v>9933</v>
      </c>
      <c r="N1817" s="11" t="s">
        <v>75</v>
      </c>
      <c r="O1817" s="11" t="s">
        <v>71</v>
      </c>
      <c r="P1817" s="11" t="s">
        <v>9934</v>
      </c>
      <c r="Q1817" s="13" t="s">
        <v>9935</v>
      </c>
      <c r="R1817" s="14" t="str">
        <f>HYPERLINK("https://drive.google.com/file/d/1XDifEsCBZp8hd3R9ahBDzUcxL3VQ8ZUR/view?usp=drivesdk","OFFER LETTER")</f>
        <v>OFFER LETTER</v>
      </c>
      <c r="S1817" s="11" t="s">
        <v>9936</v>
      </c>
    </row>
    <row r="1818" ht="22.5" customHeight="1">
      <c r="A1818" s="10">
        <v>46266.00302484954</v>
      </c>
      <c r="B1818" s="11" t="s">
        <v>9937</v>
      </c>
      <c r="C1818" s="11" t="s">
        <v>165</v>
      </c>
      <c r="D1818" s="11" t="s">
        <v>68</v>
      </c>
      <c r="E1818" s="12">
        <v>46235.0</v>
      </c>
      <c r="F1818" s="12">
        <v>46266.0</v>
      </c>
      <c r="G1818" s="11" t="s">
        <v>9938</v>
      </c>
      <c r="H1818" s="11">
        <v>8.688242922E9</v>
      </c>
      <c r="I1818" s="11" t="s">
        <v>82</v>
      </c>
      <c r="J1818" s="11" t="s">
        <v>71</v>
      </c>
      <c r="K1818" s="11" t="s">
        <v>167</v>
      </c>
      <c r="L1818" s="11" t="s">
        <v>84</v>
      </c>
      <c r="M1818" s="11" t="s">
        <v>9939</v>
      </c>
      <c r="N1818" s="11" t="s">
        <v>1533</v>
      </c>
      <c r="O1818" s="11" t="s">
        <v>71</v>
      </c>
      <c r="P1818" s="11" t="s">
        <v>9940</v>
      </c>
      <c r="Q1818" s="13" t="s">
        <v>9941</v>
      </c>
      <c r="R1818" s="14" t="str">
        <f>HYPERLINK("https://drive.google.com/file/d/1KAfUlVPd1PCKluBZmYF_nUk8iJ2leU4A/view?usp=drivesdk","OFFER LETTER")</f>
        <v>OFFER LETTER</v>
      </c>
      <c r="S1818" s="11" t="s">
        <v>9942</v>
      </c>
    </row>
    <row r="1819" ht="22.5" customHeight="1">
      <c r="A1819" s="10">
        <v>46266.01918783565</v>
      </c>
      <c r="B1819" s="11" t="s">
        <v>9943</v>
      </c>
      <c r="C1819" s="11" t="s">
        <v>165</v>
      </c>
      <c r="D1819" s="11" t="s">
        <v>68</v>
      </c>
      <c r="E1819" s="12">
        <v>46235.0</v>
      </c>
      <c r="F1819" s="12">
        <v>46266.0</v>
      </c>
      <c r="G1819" s="11" t="s">
        <v>9944</v>
      </c>
      <c r="H1819" s="11">
        <v>7.396270493E9</v>
      </c>
      <c r="I1819" s="11" t="s">
        <v>82</v>
      </c>
      <c r="J1819" s="11" t="s">
        <v>71</v>
      </c>
      <c r="K1819" s="11" t="s">
        <v>167</v>
      </c>
      <c r="L1819" s="11" t="s">
        <v>84</v>
      </c>
      <c r="M1819" s="11" t="s">
        <v>9945</v>
      </c>
      <c r="N1819" s="11" t="s">
        <v>75</v>
      </c>
      <c r="O1819" s="11" t="s">
        <v>71</v>
      </c>
      <c r="P1819" s="11" t="s">
        <v>9946</v>
      </c>
      <c r="Q1819" s="13" t="s">
        <v>9947</v>
      </c>
      <c r="R1819" s="14" t="str">
        <f>HYPERLINK("https://drive.google.com/file/d/1xl0M6EH2J-1eEooMKud8fFYmjr7MBWeG/view?usp=drivesdk","OFFER LETTER")</f>
        <v>OFFER LETTER</v>
      </c>
      <c r="S1819" s="11" t="s">
        <v>9948</v>
      </c>
    </row>
    <row r="1820" ht="22.5" customHeight="1">
      <c r="A1820" s="10">
        <v>46266.020452638884</v>
      </c>
      <c r="B1820" s="11" t="s">
        <v>9949</v>
      </c>
      <c r="C1820" s="11" t="s">
        <v>1320</v>
      </c>
      <c r="D1820" s="11" t="s">
        <v>68</v>
      </c>
      <c r="E1820" s="12">
        <v>46047.0</v>
      </c>
      <c r="F1820" s="12">
        <v>46076.0</v>
      </c>
      <c r="G1820" s="11" t="s">
        <v>9950</v>
      </c>
      <c r="H1820" s="11">
        <v>9.898870563E9</v>
      </c>
      <c r="I1820" s="11" t="s">
        <v>82</v>
      </c>
      <c r="J1820" s="11" t="s">
        <v>71</v>
      </c>
      <c r="K1820" s="11" t="s">
        <v>356</v>
      </c>
      <c r="L1820" s="11" t="s">
        <v>357</v>
      </c>
      <c r="M1820" s="11" t="s">
        <v>9951</v>
      </c>
      <c r="N1820" s="11" t="s">
        <v>198</v>
      </c>
      <c r="O1820" s="11" t="s">
        <v>71</v>
      </c>
      <c r="P1820" s="11" t="s">
        <v>9952</v>
      </c>
      <c r="Q1820" s="13" t="s">
        <v>9953</v>
      </c>
      <c r="R1820" s="14" t="str">
        <f>HYPERLINK("https://drive.google.com/file/d/1pS_kAx2FO0b7bFEsLoVfnyrQGrHpiL8k/view?usp=drivesdk","OFFER LETTER")</f>
        <v>OFFER LETTER</v>
      </c>
      <c r="S1820" s="11" t="s">
        <v>9954</v>
      </c>
    </row>
    <row r="1821" ht="22.5" customHeight="1">
      <c r="A1821" s="10">
        <v>46266.263297453705</v>
      </c>
      <c r="B1821" s="11" t="s">
        <v>9955</v>
      </c>
      <c r="C1821" s="11" t="s">
        <v>2591</v>
      </c>
      <c r="D1821" s="11" t="s">
        <v>929</v>
      </c>
      <c r="E1821" s="12">
        <v>46082.0</v>
      </c>
      <c r="F1821" s="12">
        <v>46264.0</v>
      </c>
      <c r="G1821" s="11" t="s">
        <v>9956</v>
      </c>
      <c r="H1821" s="17" t="s">
        <v>9957</v>
      </c>
      <c r="I1821" s="11" t="s">
        <v>82</v>
      </c>
      <c r="J1821" s="11" t="s">
        <v>71</v>
      </c>
      <c r="K1821" s="11" t="s">
        <v>72</v>
      </c>
      <c r="L1821" s="11" t="s">
        <v>73</v>
      </c>
      <c r="M1821" s="11" t="s">
        <v>9958</v>
      </c>
      <c r="N1821" s="11" t="s">
        <v>75</v>
      </c>
      <c r="O1821" s="11" t="s">
        <v>71</v>
      </c>
      <c r="P1821" s="11" t="s">
        <v>9959</v>
      </c>
      <c r="Q1821" s="13" t="s">
        <v>9960</v>
      </c>
      <c r="R1821" s="14" t="str">
        <f>HYPERLINK("https://drive.google.com/file/d/1C1MgQcD4czw5sEb3wOmgGvyqwasgcq7v/view?usp=drivesdk","OFFER LETTER")</f>
        <v>OFFER LETTER</v>
      </c>
      <c r="S1821" s="11" t="s">
        <v>9961</v>
      </c>
    </row>
    <row r="1822" ht="22.5" customHeight="1">
      <c r="A1822" s="10">
        <v>46266.265869166666</v>
      </c>
      <c r="B1822" s="11" t="s">
        <v>9962</v>
      </c>
      <c r="C1822" s="11" t="s">
        <v>80</v>
      </c>
      <c r="D1822" s="11" t="s">
        <v>108</v>
      </c>
      <c r="E1822" s="12">
        <v>46204.0</v>
      </c>
      <c r="F1822" s="12">
        <v>46264.0</v>
      </c>
      <c r="G1822" s="11" t="s">
        <v>9956</v>
      </c>
      <c r="H1822" s="17" t="s">
        <v>9957</v>
      </c>
      <c r="I1822" s="11" t="s">
        <v>82</v>
      </c>
      <c r="J1822" s="11" t="s">
        <v>71</v>
      </c>
      <c r="K1822" s="11" t="s">
        <v>72</v>
      </c>
      <c r="L1822" s="11" t="s">
        <v>73</v>
      </c>
      <c r="M1822" s="11" t="s">
        <v>9963</v>
      </c>
      <c r="N1822" s="11" t="s">
        <v>75</v>
      </c>
      <c r="O1822" s="11" t="s">
        <v>71</v>
      </c>
      <c r="P1822" s="11" t="s">
        <v>9964</v>
      </c>
      <c r="Q1822" s="13" t="s">
        <v>9965</v>
      </c>
      <c r="R1822" s="14" t="str">
        <f>HYPERLINK("https://drive.google.com/file/d/1-MwPvJZVdzdde83uGBjVVnMbsjd-fMFk/view?usp=drivesdk","OFFER LETTER")</f>
        <v>OFFER LETTER</v>
      </c>
      <c r="S1822" s="11" t="s">
        <v>9966</v>
      </c>
    </row>
    <row r="1823" ht="22.5" customHeight="1">
      <c r="A1823" s="10">
        <v>46266.303323761575</v>
      </c>
      <c r="B1823" s="11" t="s">
        <v>9967</v>
      </c>
      <c r="C1823" s="11" t="s">
        <v>195</v>
      </c>
      <c r="D1823" s="11" t="s">
        <v>68</v>
      </c>
      <c r="E1823" s="12">
        <v>46266.0</v>
      </c>
      <c r="F1823" s="12">
        <v>46296.0</v>
      </c>
      <c r="G1823" s="11" t="s">
        <v>9968</v>
      </c>
      <c r="H1823" s="11">
        <v>9.548112545E9</v>
      </c>
      <c r="I1823" s="11" t="s">
        <v>70</v>
      </c>
      <c r="J1823" s="11" t="s">
        <v>71</v>
      </c>
      <c r="K1823" s="11" t="s">
        <v>72</v>
      </c>
      <c r="L1823" s="11" t="s">
        <v>84</v>
      </c>
      <c r="M1823" s="11" t="s">
        <v>3857</v>
      </c>
      <c r="N1823" s="11" t="s">
        <v>75</v>
      </c>
      <c r="O1823" s="11" t="s">
        <v>71</v>
      </c>
      <c r="P1823" s="11" t="s">
        <v>9969</v>
      </c>
      <c r="Q1823" s="13" t="s">
        <v>9970</v>
      </c>
      <c r="R1823" s="14" t="str">
        <f>HYPERLINK("https://drive.google.com/file/d/1XOCM47N1xLG0P8b9X-UoEHSQpaXB-YpH/view?usp=drivesdk","OFFER LETTER")</f>
        <v>OFFER LETTER</v>
      </c>
      <c r="S1823" s="11" t="s">
        <v>9971</v>
      </c>
    </row>
    <row r="1824" ht="22.5" customHeight="1">
      <c r="A1824" s="10">
        <v>46266.30523559028</v>
      </c>
      <c r="B1824" s="11" t="s">
        <v>9967</v>
      </c>
      <c r="C1824" s="11" t="s">
        <v>195</v>
      </c>
      <c r="D1824" s="11" t="s">
        <v>68</v>
      </c>
      <c r="E1824" s="12">
        <v>46266.0</v>
      </c>
      <c r="F1824" s="12">
        <v>46296.0</v>
      </c>
      <c r="G1824" s="11" t="s">
        <v>9968</v>
      </c>
      <c r="H1824" s="11">
        <v>9.548112545E9</v>
      </c>
      <c r="I1824" s="11" t="s">
        <v>70</v>
      </c>
      <c r="J1824" s="11" t="s">
        <v>71</v>
      </c>
      <c r="K1824" s="11" t="s">
        <v>72</v>
      </c>
      <c r="L1824" s="11" t="s">
        <v>84</v>
      </c>
      <c r="M1824" s="11" t="s">
        <v>3857</v>
      </c>
      <c r="N1824" s="11" t="s">
        <v>75</v>
      </c>
      <c r="O1824" s="11" t="s">
        <v>71</v>
      </c>
      <c r="P1824" s="11" t="s">
        <v>9972</v>
      </c>
      <c r="Q1824" s="13" t="s">
        <v>9973</v>
      </c>
      <c r="R1824" s="14" t="str">
        <f>HYPERLINK("https://drive.google.com/file/d/1ca1oMAv92mbFXrTktDE-rOgm3cbmBQU_/view?usp=drivesdk","OFFER LETTER")</f>
        <v>OFFER LETTER</v>
      </c>
      <c r="S1824" s="11" t="s">
        <v>9974</v>
      </c>
    </row>
    <row r="1825" ht="22.5" customHeight="1">
      <c r="A1825" s="10">
        <v>46266.30682103009</v>
      </c>
      <c r="B1825" s="11" t="s">
        <v>9967</v>
      </c>
      <c r="C1825" s="11" t="s">
        <v>195</v>
      </c>
      <c r="D1825" s="11" t="s">
        <v>68</v>
      </c>
      <c r="E1825" s="12">
        <v>46266.0</v>
      </c>
      <c r="F1825" s="12">
        <v>46296.0</v>
      </c>
      <c r="G1825" s="11" t="s">
        <v>9968</v>
      </c>
      <c r="H1825" s="11">
        <v>9.548112545E9</v>
      </c>
      <c r="I1825" s="11" t="s">
        <v>70</v>
      </c>
      <c r="J1825" s="11" t="s">
        <v>71</v>
      </c>
      <c r="K1825" s="11" t="s">
        <v>72</v>
      </c>
      <c r="L1825" s="11" t="s">
        <v>84</v>
      </c>
      <c r="M1825" s="11" t="s">
        <v>3857</v>
      </c>
      <c r="N1825" s="11" t="s">
        <v>75</v>
      </c>
      <c r="O1825" s="11" t="s">
        <v>71</v>
      </c>
      <c r="P1825" s="11" t="s">
        <v>9975</v>
      </c>
      <c r="Q1825" s="13" t="s">
        <v>9976</v>
      </c>
      <c r="R1825" s="14" t="str">
        <f>HYPERLINK("https://drive.google.com/file/d/1Rhwgopqqk17ej1SjjAgdZUJqSw9Wg6SH/view?usp=drivesdk","OFFER LETTER")</f>
        <v>OFFER LETTER</v>
      </c>
      <c r="S1825" s="11" t="s">
        <v>9977</v>
      </c>
    </row>
    <row r="1826" ht="22.5" customHeight="1">
      <c r="A1826" s="10">
        <v>46266.345423113424</v>
      </c>
      <c r="B1826" s="11" t="s">
        <v>9978</v>
      </c>
      <c r="C1826" s="11" t="s">
        <v>107</v>
      </c>
      <c r="D1826" s="11" t="s">
        <v>238</v>
      </c>
      <c r="E1826" s="12">
        <v>46248.0</v>
      </c>
      <c r="F1826" s="12">
        <v>46340.0</v>
      </c>
      <c r="G1826" s="11" t="s">
        <v>9979</v>
      </c>
      <c r="H1826" s="11">
        <v>6.297034655E9</v>
      </c>
      <c r="I1826" s="11" t="s">
        <v>70</v>
      </c>
      <c r="J1826" s="11" t="s">
        <v>71</v>
      </c>
      <c r="K1826" s="11" t="s">
        <v>167</v>
      </c>
      <c r="L1826" s="11" t="s">
        <v>131</v>
      </c>
      <c r="M1826" s="11" t="s">
        <v>9980</v>
      </c>
      <c r="N1826" s="11" t="s">
        <v>241</v>
      </c>
      <c r="O1826" s="11" t="s">
        <v>71</v>
      </c>
      <c r="P1826" s="11" t="s">
        <v>9981</v>
      </c>
      <c r="Q1826" s="13" t="s">
        <v>9982</v>
      </c>
      <c r="R1826" s="14" t="str">
        <f>HYPERLINK("https://drive.google.com/file/d/18Tgv63fhWfHzJT645QnaovRRz1HC1e80/view?usp=drivesdk","OFFER LETTER")</f>
        <v>OFFER LETTER</v>
      </c>
      <c r="S1826" s="11" t="s">
        <v>9983</v>
      </c>
    </row>
    <row r="1827" ht="22.5" customHeight="1">
      <c r="A1827" s="10">
        <v>46266.35828180556</v>
      </c>
      <c r="B1827" s="11" t="s">
        <v>9984</v>
      </c>
      <c r="C1827" s="11" t="s">
        <v>128</v>
      </c>
      <c r="D1827" s="11" t="s">
        <v>68</v>
      </c>
      <c r="E1827" s="12">
        <v>46235.0</v>
      </c>
      <c r="F1827" s="12">
        <v>46264.0</v>
      </c>
      <c r="G1827" s="11" t="s">
        <v>9985</v>
      </c>
      <c r="H1827" s="11">
        <v>6.380883769E9</v>
      </c>
      <c r="I1827" s="11" t="s">
        <v>82</v>
      </c>
      <c r="J1827" s="11" t="s">
        <v>71</v>
      </c>
      <c r="K1827" s="11" t="s">
        <v>72</v>
      </c>
      <c r="L1827" s="11" t="s">
        <v>84</v>
      </c>
      <c r="M1827" s="11" t="s">
        <v>6005</v>
      </c>
      <c r="N1827" s="11" t="s">
        <v>86</v>
      </c>
      <c r="O1827" s="11" t="s">
        <v>71</v>
      </c>
      <c r="P1827" s="11" t="s">
        <v>9986</v>
      </c>
      <c r="Q1827" s="13" t="s">
        <v>9987</v>
      </c>
      <c r="R1827" s="14" t="str">
        <f>HYPERLINK("https://drive.google.com/file/d/1cbluUwsEfnekK-RTvINgVWQ40k41DexL/view?usp=drivesdk","OFFER LETTER")</f>
        <v>OFFER LETTER</v>
      </c>
      <c r="S1827" s="11" t="s">
        <v>9988</v>
      </c>
    </row>
    <row r="1828" ht="22.5" customHeight="1">
      <c r="A1828" s="10">
        <v>46266.3587034838</v>
      </c>
      <c r="B1828" s="11" t="s">
        <v>9989</v>
      </c>
      <c r="C1828" s="11" t="s">
        <v>80</v>
      </c>
      <c r="D1828" s="11" t="s">
        <v>68</v>
      </c>
      <c r="E1828" s="12">
        <v>46246.0</v>
      </c>
      <c r="F1828" s="12">
        <v>46276.0</v>
      </c>
      <c r="G1828" s="11" t="s">
        <v>9990</v>
      </c>
      <c r="H1828" s="11">
        <v>8.539958293E9</v>
      </c>
      <c r="I1828" s="11" t="s">
        <v>82</v>
      </c>
      <c r="J1828" s="11" t="s">
        <v>71</v>
      </c>
      <c r="K1828" s="11" t="s">
        <v>72</v>
      </c>
      <c r="L1828" s="11" t="s">
        <v>73</v>
      </c>
      <c r="M1828" s="11" t="s">
        <v>4915</v>
      </c>
      <c r="N1828" s="11" t="s">
        <v>75</v>
      </c>
      <c r="O1828" s="11" t="s">
        <v>71</v>
      </c>
      <c r="P1828" s="11" t="s">
        <v>9991</v>
      </c>
      <c r="Q1828" s="13" t="s">
        <v>9992</v>
      </c>
      <c r="R1828" s="14" t="str">
        <f>HYPERLINK("https://drive.google.com/file/d/19BSti7IdjNCopot1MGDHdmkAXVabAeOY/view?usp=drivesdk","OFFER LETTER")</f>
        <v>OFFER LETTER</v>
      </c>
      <c r="S1828" s="11" t="s">
        <v>9993</v>
      </c>
    </row>
    <row r="1829" ht="22.5" customHeight="1">
      <c r="A1829" s="10">
        <v>46266.371105451384</v>
      </c>
      <c r="B1829" s="11" t="s">
        <v>9994</v>
      </c>
      <c r="C1829" s="11" t="s">
        <v>165</v>
      </c>
      <c r="D1829" s="11" t="s">
        <v>108</v>
      </c>
      <c r="E1829" s="12">
        <v>46181.0</v>
      </c>
      <c r="F1829" s="12">
        <v>46244.0</v>
      </c>
      <c r="G1829" s="11" t="s">
        <v>9995</v>
      </c>
      <c r="H1829" s="11">
        <v>7.488618439E9</v>
      </c>
      <c r="I1829" s="11" t="s">
        <v>82</v>
      </c>
      <c r="J1829" s="11" t="s">
        <v>71</v>
      </c>
      <c r="K1829" s="11" t="s">
        <v>167</v>
      </c>
      <c r="L1829" s="11" t="s">
        <v>73</v>
      </c>
      <c r="M1829" s="11" t="s">
        <v>1211</v>
      </c>
      <c r="N1829" s="11" t="s">
        <v>86</v>
      </c>
      <c r="O1829" s="11" t="s">
        <v>71</v>
      </c>
      <c r="P1829" s="11" t="s">
        <v>9996</v>
      </c>
      <c r="Q1829" s="13" t="s">
        <v>9997</v>
      </c>
      <c r="R1829" s="14" t="str">
        <f>HYPERLINK("https://drive.google.com/file/d/11i8QpQP4x8uUWv9SJ8C6VUp5PsN9IDty/view?usp=drivesdk","OFFER LETTER")</f>
        <v>OFFER LETTER</v>
      </c>
      <c r="S1829" s="11" t="s">
        <v>9998</v>
      </c>
    </row>
    <row r="1830" ht="22.5" customHeight="1">
      <c r="A1830" s="10">
        <v>46266.37745925926</v>
      </c>
      <c r="B1830" s="11" t="s">
        <v>9999</v>
      </c>
      <c r="C1830" s="11" t="s">
        <v>91</v>
      </c>
      <c r="D1830" s="11" t="s">
        <v>68</v>
      </c>
      <c r="E1830" s="12">
        <v>46266.0</v>
      </c>
      <c r="F1830" s="12">
        <v>46296.0</v>
      </c>
      <c r="G1830" s="11" t="s">
        <v>10000</v>
      </c>
      <c r="H1830" s="11">
        <v>7.904778163E9</v>
      </c>
      <c r="I1830" s="11" t="s">
        <v>82</v>
      </c>
      <c r="J1830" s="11" t="s">
        <v>71</v>
      </c>
      <c r="K1830" s="11" t="s">
        <v>72</v>
      </c>
      <c r="L1830" s="11" t="s">
        <v>84</v>
      </c>
      <c r="M1830" s="11" t="s">
        <v>10001</v>
      </c>
      <c r="N1830" s="11" t="s">
        <v>86</v>
      </c>
      <c r="O1830" s="11" t="s">
        <v>71</v>
      </c>
      <c r="P1830" s="11" t="s">
        <v>10002</v>
      </c>
      <c r="Q1830" s="13" t="s">
        <v>10003</v>
      </c>
      <c r="R1830" s="14" t="str">
        <f>HYPERLINK("https://drive.google.com/file/d/1YtM6HlerVkd8BeGviKU5lebr3qhoNWen/view?usp=drivesdk","OFFER LETTER")</f>
        <v>OFFER LETTER</v>
      </c>
      <c r="S1830" s="11" t="s">
        <v>10004</v>
      </c>
    </row>
    <row r="1831" ht="22.5" customHeight="1">
      <c r="A1831" s="10">
        <v>46266.38184079861</v>
      </c>
      <c r="B1831" s="11" t="s">
        <v>10005</v>
      </c>
      <c r="C1831" s="11" t="s">
        <v>173</v>
      </c>
      <c r="D1831" s="11" t="s">
        <v>68</v>
      </c>
      <c r="E1831" s="12">
        <v>46213.0</v>
      </c>
      <c r="F1831" s="12">
        <v>46244.0</v>
      </c>
      <c r="G1831" s="11" t="s">
        <v>10006</v>
      </c>
      <c r="H1831" s="11">
        <v>8.800218384E9</v>
      </c>
      <c r="I1831" s="11" t="s">
        <v>82</v>
      </c>
      <c r="J1831" s="11" t="s">
        <v>83</v>
      </c>
      <c r="K1831" s="11" t="s">
        <v>72</v>
      </c>
      <c r="L1831" s="11" t="s">
        <v>84</v>
      </c>
      <c r="M1831" s="11" t="s">
        <v>10007</v>
      </c>
      <c r="N1831" s="11" t="s">
        <v>86</v>
      </c>
      <c r="O1831" s="11" t="s">
        <v>71</v>
      </c>
      <c r="P1831" s="11" t="s">
        <v>10008</v>
      </c>
      <c r="Q1831" s="13" t="s">
        <v>10009</v>
      </c>
      <c r="R1831" s="14" t="str">
        <f>HYPERLINK("https://drive.google.com/file/d/1UL3kEgKJndY_8XYSPZentTvLB2K2Z9XH/view?usp=drivesdk","OFFER LETTER")</f>
        <v>OFFER LETTER</v>
      </c>
      <c r="S1831" s="11" t="s">
        <v>10010</v>
      </c>
    </row>
    <row r="1832" ht="22.5" customHeight="1">
      <c r="A1832" s="10">
        <v>46266.384306921296</v>
      </c>
      <c r="B1832" s="11" t="s">
        <v>10011</v>
      </c>
      <c r="C1832" s="11" t="s">
        <v>195</v>
      </c>
      <c r="D1832" s="11" t="s">
        <v>68</v>
      </c>
      <c r="E1832" s="12">
        <v>46235.0</v>
      </c>
      <c r="F1832" s="12">
        <v>46264.0</v>
      </c>
      <c r="G1832" s="11" t="s">
        <v>10012</v>
      </c>
      <c r="H1832" s="11">
        <v>6.383357299E9</v>
      </c>
      <c r="I1832" s="11" t="s">
        <v>82</v>
      </c>
      <c r="J1832" s="11" t="s">
        <v>71</v>
      </c>
      <c r="K1832" s="11" t="s">
        <v>72</v>
      </c>
      <c r="L1832" s="11" t="s">
        <v>84</v>
      </c>
      <c r="M1832" s="11" t="s">
        <v>6005</v>
      </c>
      <c r="N1832" s="11" t="s">
        <v>86</v>
      </c>
      <c r="O1832" s="11" t="s">
        <v>71</v>
      </c>
      <c r="P1832" s="11" t="s">
        <v>10013</v>
      </c>
      <c r="Q1832" s="13" t="s">
        <v>10014</v>
      </c>
      <c r="R1832" s="14" t="str">
        <f>HYPERLINK("https://drive.google.com/file/d/1fbJj4HE1iAbR8a-t9twuoLJotbE1qJMH/view?usp=drivesdk","OFFER LETTER")</f>
        <v>OFFER LETTER</v>
      </c>
      <c r="S1832" s="11" t="s">
        <v>10015</v>
      </c>
    </row>
    <row r="1833" ht="22.5" customHeight="1">
      <c r="A1833" s="10">
        <v>46266.389232754635</v>
      </c>
      <c r="B1833" s="11" t="s">
        <v>10016</v>
      </c>
      <c r="C1833" s="11" t="s">
        <v>195</v>
      </c>
      <c r="D1833" s="11" t="s">
        <v>68</v>
      </c>
      <c r="E1833" s="12">
        <v>46235.0</v>
      </c>
      <c r="F1833" s="12">
        <v>46266.0</v>
      </c>
      <c r="G1833" s="11" t="s">
        <v>10017</v>
      </c>
      <c r="H1833" s="11">
        <v>7.330921788E9</v>
      </c>
      <c r="I1833" s="11" t="s">
        <v>82</v>
      </c>
      <c r="J1833" s="11" t="s">
        <v>71</v>
      </c>
      <c r="K1833" s="11" t="s">
        <v>72</v>
      </c>
      <c r="L1833" s="11" t="s">
        <v>84</v>
      </c>
      <c r="M1833" s="11" t="s">
        <v>10018</v>
      </c>
      <c r="N1833" s="11" t="s">
        <v>86</v>
      </c>
      <c r="O1833" s="11" t="s">
        <v>71</v>
      </c>
      <c r="P1833" s="11" t="s">
        <v>10019</v>
      </c>
      <c r="Q1833" s="13" t="s">
        <v>10020</v>
      </c>
      <c r="R1833" s="14" t="str">
        <f>HYPERLINK("https://drive.google.com/file/d/19XbqlWcLAMMxVSHNojeU9dgGwkr8Qw9g/view?usp=drivesdk","OFFER LETTER")</f>
        <v>OFFER LETTER</v>
      </c>
      <c r="S1833" s="11" t="s">
        <v>10021</v>
      </c>
    </row>
    <row r="1834" ht="22.5" customHeight="1">
      <c r="A1834" s="10">
        <v>46266.39218189815</v>
      </c>
      <c r="B1834" s="11" t="s">
        <v>10022</v>
      </c>
      <c r="C1834" s="11" t="s">
        <v>259</v>
      </c>
      <c r="D1834" s="11" t="s">
        <v>68</v>
      </c>
      <c r="E1834" s="12">
        <v>46267.0</v>
      </c>
      <c r="F1834" s="12">
        <v>46297.0</v>
      </c>
      <c r="G1834" s="11" t="s">
        <v>10023</v>
      </c>
      <c r="H1834" s="11">
        <v>8.639039178E9</v>
      </c>
      <c r="I1834" s="11" t="s">
        <v>70</v>
      </c>
      <c r="J1834" s="11" t="s">
        <v>130</v>
      </c>
      <c r="K1834" s="11" t="s">
        <v>72</v>
      </c>
      <c r="L1834" s="11" t="s">
        <v>73</v>
      </c>
      <c r="M1834" s="11" t="s">
        <v>10024</v>
      </c>
      <c r="N1834" s="11" t="s">
        <v>86</v>
      </c>
      <c r="O1834" s="11" t="s">
        <v>71</v>
      </c>
      <c r="P1834" s="11" t="s">
        <v>10025</v>
      </c>
      <c r="Q1834" s="13" t="s">
        <v>10026</v>
      </c>
      <c r="R1834" s="14" t="str">
        <f>HYPERLINK("https://drive.google.com/file/d/1cyO16rixYtU4y2gvmTQma1qk2h81SBGQ/view?usp=drivesdk","OFFER LETTER")</f>
        <v>OFFER LETTER</v>
      </c>
      <c r="S1834" s="11" t="s">
        <v>10027</v>
      </c>
    </row>
    <row r="1835" ht="22.5" customHeight="1">
      <c r="A1835" s="10">
        <v>46266.41477769676</v>
      </c>
      <c r="B1835" s="11" t="s">
        <v>10028</v>
      </c>
      <c r="C1835" s="11" t="s">
        <v>259</v>
      </c>
      <c r="D1835" s="11" t="s">
        <v>68</v>
      </c>
      <c r="E1835" s="12">
        <v>46266.0</v>
      </c>
      <c r="F1835" s="12">
        <v>46295.0</v>
      </c>
      <c r="G1835" s="11" t="s">
        <v>10029</v>
      </c>
      <c r="H1835" s="11">
        <v>7.415570971E9</v>
      </c>
      <c r="I1835" s="11" t="s">
        <v>82</v>
      </c>
      <c r="J1835" s="11" t="s">
        <v>71</v>
      </c>
      <c r="K1835" s="11" t="s">
        <v>72</v>
      </c>
      <c r="L1835" s="11" t="s">
        <v>131</v>
      </c>
      <c r="M1835" s="11" t="s">
        <v>10030</v>
      </c>
      <c r="N1835" s="11" t="s">
        <v>86</v>
      </c>
      <c r="O1835" s="11" t="s">
        <v>71</v>
      </c>
      <c r="P1835" s="11" t="s">
        <v>10031</v>
      </c>
      <c r="Q1835" s="13" t="s">
        <v>10032</v>
      </c>
      <c r="R1835" s="14" t="str">
        <f>HYPERLINK("https://drive.google.com/file/d/1rzKesF8QsB8lcE-zOSZCh7ATSU5-uhVK/view?usp=drivesdk","OFFER LETTER")</f>
        <v>OFFER LETTER</v>
      </c>
      <c r="S1835" s="11" t="s">
        <v>10033</v>
      </c>
    </row>
    <row r="1836" ht="22.5" customHeight="1">
      <c r="A1836" s="10">
        <v>46266.422044085644</v>
      </c>
      <c r="B1836" s="11" t="s">
        <v>10034</v>
      </c>
      <c r="C1836" s="11" t="s">
        <v>195</v>
      </c>
      <c r="D1836" s="11" t="s">
        <v>68</v>
      </c>
      <c r="E1836" s="12">
        <v>46211.0</v>
      </c>
      <c r="F1836" s="12">
        <v>46243.0</v>
      </c>
      <c r="G1836" s="11" t="s">
        <v>10035</v>
      </c>
      <c r="H1836" s="11">
        <v>8.978795052E9</v>
      </c>
      <c r="I1836" s="11" t="s">
        <v>82</v>
      </c>
      <c r="J1836" s="11" t="s">
        <v>83</v>
      </c>
      <c r="K1836" s="11" t="s">
        <v>72</v>
      </c>
      <c r="L1836" s="11" t="s">
        <v>73</v>
      </c>
      <c r="M1836" s="11" t="s">
        <v>5753</v>
      </c>
      <c r="N1836" s="11" t="s">
        <v>198</v>
      </c>
      <c r="O1836" s="11" t="s">
        <v>130</v>
      </c>
      <c r="P1836" s="11" t="s">
        <v>10036</v>
      </c>
      <c r="Q1836" s="13" t="s">
        <v>10037</v>
      </c>
      <c r="R1836" s="14" t="str">
        <f>HYPERLINK("https://drive.google.com/file/d/1F8X-nRCVtwRBAzwb8EHeo_q-gNn6CopR/view?usp=drivesdk","OFFER LETTER")</f>
        <v>OFFER LETTER</v>
      </c>
      <c r="S1836" s="11" t="s">
        <v>10038</v>
      </c>
    </row>
    <row r="1837" ht="22.5" customHeight="1">
      <c r="A1837" s="10">
        <v>46266.43047201389</v>
      </c>
      <c r="B1837" s="11" t="s">
        <v>10039</v>
      </c>
      <c r="C1837" s="11" t="s">
        <v>195</v>
      </c>
      <c r="D1837" s="11" t="s">
        <v>68</v>
      </c>
      <c r="E1837" s="12">
        <v>46266.0</v>
      </c>
      <c r="F1837" s="12">
        <v>46296.0</v>
      </c>
      <c r="G1837" s="11" t="s">
        <v>10040</v>
      </c>
      <c r="H1837" s="11">
        <v>6.379737056E9</v>
      </c>
      <c r="I1837" s="11" t="s">
        <v>82</v>
      </c>
      <c r="J1837" s="11" t="s">
        <v>71</v>
      </c>
      <c r="K1837" s="11" t="s">
        <v>72</v>
      </c>
      <c r="L1837" s="11" t="s">
        <v>84</v>
      </c>
      <c r="M1837" s="11" t="s">
        <v>10041</v>
      </c>
      <c r="N1837" s="11" t="s">
        <v>86</v>
      </c>
      <c r="O1837" s="11" t="s">
        <v>71</v>
      </c>
      <c r="P1837" s="11" t="s">
        <v>10042</v>
      </c>
      <c r="Q1837" s="13" t="s">
        <v>10043</v>
      </c>
      <c r="R1837" s="14" t="str">
        <f>HYPERLINK("https://drive.google.com/file/d/14PZKdfWSU_kva2Q63MCyWUMbs-9y03Nb/view?usp=drivesdk","OFFER LETTER")</f>
        <v>OFFER LETTER</v>
      </c>
      <c r="S1837" s="11" t="s">
        <v>10044</v>
      </c>
    </row>
    <row r="1838" ht="22.5" customHeight="1">
      <c r="A1838" s="10">
        <v>46266.44225289352</v>
      </c>
      <c r="B1838" s="11" t="s">
        <v>10045</v>
      </c>
      <c r="C1838" s="11" t="s">
        <v>195</v>
      </c>
      <c r="D1838" s="11" t="s">
        <v>68</v>
      </c>
      <c r="E1838" s="12">
        <v>46234.0</v>
      </c>
      <c r="F1838" s="12">
        <v>46265.0</v>
      </c>
      <c r="G1838" s="11" t="s">
        <v>10046</v>
      </c>
      <c r="H1838" s="11">
        <v>9.163353568E9</v>
      </c>
      <c r="I1838" s="11" t="s">
        <v>70</v>
      </c>
      <c r="J1838" s="11" t="s">
        <v>71</v>
      </c>
      <c r="K1838" s="11" t="s">
        <v>72</v>
      </c>
      <c r="L1838" s="11" t="s">
        <v>84</v>
      </c>
      <c r="M1838" s="11" t="s">
        <v>2535</v>
      </c>
      <c r="N1838" s="11" t="s">
        <v>86</v>
      </c>
      <c r="O1838" s="11" t="s">
        <v>71</v>
      </c>
      <c r="P1838" s="11" t="s">
        <v>10047</v>
      </c>
      <c r="Q1838" s="13" t="s">
        <v>10048</v>
      </c>
      <c r="R1838" s="14" t="str">
        <f>HYPERLINK("https://drive.google.com/file/d/1q2ptt5psGZii9Gl5DhVp2Si-SeCXDSev/view?usp=drivesdk","OFFER LETTER")</f>
        <v>OFFER LETTER</v>
      </c>
      <c r="S1838" s="11" t="s">
        <v>10049</v>
      </c>
    </row>
    <row r="1839" ht="22.5" customHeight="1">
      <c r="A1839" s="10">
        <v>46266.4437577662</v>
      </c>
      <c r="B1839" s="11" t="s">
        <v>10045</v>
      </c>
      <c r="C1839" s="11" t="s">
        <v>195</v>
      </c>
      <c r="D1839" s="11" t="s">
        <v>68</v>
      </c>
      <c r="E1839" s="12">
        <v>46234.0</v>
      </c>
      <c r="F1839" s="12">
        <v>46265.0</v>
      </c>
      <c r="G1839" s="11" t="s">
        <v>10046</v>
      </c>
      <c r="H1839" s="11">
        <v>9.163353568E9</v>
      </c>
      <c r="I1839" s="11" t="s">
        <v>70</v>
      </c>
      <c r="J1839" s="11" t="s">
        <v>71</v>
      </c>
      <c r="K1839" s="11" t="s">
        <v>72</v>
      </c>
      <c r="L1839" s="11" t="s">
        <v>84</v>
      </c>
      <c r="M1839" s="11" t="s">
        <v>1217</v>
      </c>
      <c r="N1839" s="11" t="s">
        <v>86</v>
      </c>
      <c r="O1839" s="11" t="s">
        <v>71</v>
      </c>
      <c r="P1839" s="11" t="s">
        <v>10050</v>
      </c>
      <c r="Q1839" s="13" t="s">
        <v>10051</v>
      </c>
      <c r="R1839" s="14" t="str">
        <f>HYPERLINK("https://drive.google.com/file/d/1qO1MT43kg_DQ2Yjb99QDlakBxFj0iL6W/view?usp=drivesdk","OFFER LETTER")</f>
        <v>OFFER LETTER</v>
      </c>
      <c r="S1839" s="11" t="s">
        <v>10052</v>
      </c>
    </row>
    <row r="1840" ht="22.5" customHeight="1">
      <c r="A1840" s="10">
        <v>46266.444826226856</v>
      </c>
      <c r="B1840" s="11" t="s">
        <v>10053</v>
      </c>
      <c r="C1840" s="11" t="s">
        <v>298</v>
      </c>
      <c r="D1840" s="11" t="s">
        <v>238</v>
      </c>
      <c r="E1840" s="12">
        <v>46266.0</v>
      </c>
      <c r="F1840" s="12">
        <v>46356.0</v>
      </c>
      <c r="G1840" s="11" t="s">
        <v>10054</v>
      </c>
      <c r="H1840" s="11">
        <v>7.31960543E9</v>
      </c>
      <c r="I1840" s="11" t="s">
        <v>82</v>
      </c>
      <c r="K1840" s="11" t="s">
        <v>72</v>
      </c>
      <c r="L1840" s="11" t="s">
        <v>131</v>
      </c>
      <c r="M1840" s="11" t="s">
        <v>10055</v>
      </c>
      <c r="N1840" s="11" t="s">
        <v>86</v>
      </c>
      <c r="O1840" s="11" t="s">
        <v>71</v>
      </c>
      <c r="P1840" s="11" t="s">
        <v>10056</v>
      </c>
      <c r="Q1840" s="13" t="s">
        <v>10057</v>
      </c>
      <c r="R1840" s="14" t="str">
        <f>HYPERLINK("https://drive.google.com/file/d/1otd8tag3Sg8_46MScQ-zNxgAli6gxZEI/view?usp=drivesdk","OFFER LETTER")</f>
        <v>OFFER LETTER</v>
      </c>
      <c r="S1840" s="11" t="s">
        <v>10058</v>
      </c>
    </row>
    <row r="1841" ht="22.5" customHeight="1">
      <c r="A1841" s="10">
        <v>46266.44971361111</v>
      </c>
      <c r="B1841" s="11" t="s">
        <v>10059</v>
      </c>
      <c r="C1841" s="11" t="s">
        <v>237</v>
      </c>
      <c r="D1841" s="11" t="s">
        <v>68</v>
      </c>
      <c r="E1841" s="12">
        <v>46266.0</v>
      </c>
      <c r="F1841" s="12">
        <v>46295.0</v>
      </c>
      <c r="G1841" s="11" t="s">
        <v>10060</v>
      </c>
      <c r="H1841" s="11">
        <v>9.043481394E9</v>
      </c>
      <c r="I1841" s="11" t="s">
        <v>82</v>
      </c>
      <c r="J1841" s="11" t="s">
        <v>71</v>
      </c>
      <c r="K1841" s="11" t="s">
        <v>72</v>
      </c>
      <c r="L1841" s="11" t="s">
        <v>131</v>
      </c>
      <c r="M1841" s="11" t="s">
        <v>10061</v>
      </c>
      <c r="N1841" s="11" t="s">
        <v>86</v>
      </c>
      <c r="O1841" s="11" t="s">
        <v>71</v>
      </c>
      <c r="P1841" s="11" t="s">
        <v>10062</v>
      </c>
      <c r="Q1841" s="13" t="s">
        <v>10063</v>
      </c>
      <c r="R1841" s="14" t="str">
        <f>HYPERLINK("https://drive.google.com/file/d/1XLcJzkvKrqoMKsiDwWfWZuK3vwe5wnmi/view?usp=drivesdk","OFFER LETTER")</f>
        <v>OFFER LETTER</v>
      </c>
      <c r="S1841" s="11" t="s">
        <v>10064</v>
      </c>
    </row>
    <row r="1842" ht="22.5" customHeight="1">
      <c r="A1842" s="10">
        <v>46266.450827939814</v>
      </c>
      <c r="B1842" s="11" t="s">
        <v>10065</v>
      </c>
      <c r="C1842" s="11" t="s">
        <v>237</v>
      </c>
      <c r="D1842" s="11" t="s">
        <v>68</v>
      </c>
      <c r="E1842" s="12">
        <v>46266.0</v>
      </c>
      <c r="F1842" s="12">
        <v>46295.0</v>
      </c>
      <c r="G1842" s="11" t="s">
        <v>10066</v>
      </c>
      <c r="H1842" s="11">
        <v>9.677810383E9</v>
      </c>
      <c r="I1842" s="11" t="s">
        <v>82</v>
      </c>
      <c r="J1842" s="11" t="s">
        <v>71</v>
      </c>
      <c r="K1842" s="11" t="s">
        <v>72</v>
      </c>
      <c r="L1842" s="11" t="s">
        <v>131</v>
      </c>
      <c r="M1842" s="11" t="s">
        <v>10061</v>
      </c>
      <c r="N1842" s="11" t="s">
        <v>86</v>
      </c>
      <c r="O1842" s="11" t="s">
        <v>71</v>
      </c>
      <c r="P1842" s="11" t="s">
        <v>10067</v>
      </c>
      <c r="Q1842" s="13" t="s">
        <v>10068</v>
      </c>
      <c r="R1842" s="14" t="str">
        <f>HYPERLINK("https://drive.google.com/file/d/1AgsGb4WtJjFVu1Balg-u7-TsmcKXn2BY/view?usp=drivesdk","OFFER LETTER")</f>
        <v>OFFER LETTER</v>
      </c>
      <c r="S1842" s="11" t="s">
        <v>10069</v>
      </c>
    </row>
    <row r="1843" ht="22.5" customHeight="1">
      <c r="A1843" s="10">
        <v>46266.45537802084</v>
      </c>
      <c r="B1843" s="11" t="s">
        <v>10070</v>
      </c>
      <c r="C1843" s="11" t="s">
        <v>195</v>
      </c>
      <c r="D1843" s="11" t="s">
        <v>68</v>
      </c>
      <c r="E1843" s="12">
        <v>46213.0</v>
      </c>
      <c r="F1843" s="12">
        <v>46243.0</v>
      </c>
      <c r="G1843" s="11" t="s">
        <v>10071</v>
      </c>
      <c r="H1843" s="11">
        <v>7.702128023E9</v>
      </c>
      <c r="I1843" s="11" t="s">
        <v>82</v>
      </c>
      <c r="J1843" s="11" t="s">
        <v>71</v>
      </c>
      <c r="K1843" s="11" t="s">
        <v>72</v>
      </c>
      <c r="L1843" s="11" t="s">
        <v>247</v>
      </c>
      <c r="M1843" s="11" t="s">
        <v>10072</v>
      </c>
      <c r="N1843" s="11" t="s">
        <v>86</v>
      </c>
      <c r="O1843" s="11" t="s">
        <v>71</v>
      </c>
      <c r="P1843" s="11" t="s">
        <v>10073</v>
      </c>
      <c r="Q1843" s="13" t="s">
        <v>10074</v>
      </c>
      <c r="R1843" s="14" t="str">
        <f>HYPERLINK("https://drive.google.com/file/d/14GDwka5WXo01MRrZjxyWucHufF4-v6LD/view?usp=drivesdk","OFFER LETTER")</f>
        <v>OFFER LETTER</v>
      </c>
      <c r="S1843" s="11" t="s">
        <v>10075</v>
      </c>
    </row>
    <row r="1844" ht="22.5" customHeight="1">
      <c r="A1844" s="10">
        <v>46266.457403125</v>
      </c>
      <c r="B1844" s="11" t="s">
        <v>10076</v>
      </c>
      <c r="C1844" s="11" t="s">
        <v>91</v>
      </c>
      <c r="D1844" s="11" t="s">
        <v>68</v>
      </c>
      <c r="E1844" s="12">
        <v>46290.0</v>
      </c>
      <c r="F1844" s="12">
        <v>46320.0</v>
      </c>
      <c r="G1844" s="11" t="s">
        <v>9635</v>
      </c>
      <c r="H1844" s="11">
        <v>6.387244989E9</v>
      </c>
      <c r="I1844" s="11" t="s">
        <v>82</v>
      </c>
      <c r="J1844" s="11" t="s">
        <v>71</v>
      </c>
      <c r="K1844" s="11" t="s">
        <v>72</v>
      </c>
      <c r="L1844" s="11" t="s">
        <v>84</v>
      </c>
      <c r="M1844" s="11" t="s">
        <v>10077</v>
      </c>
      <c r="N1844" s="11" t="s">
        <v>75</v>
      </c>
      <c r="O1844" s="11" t="s">
        <v>71</v>
      </c>
      <c r="P1844" s="11" t="s">
        <v>10078</v>
      </c>
      <c r="Q1844" s="13" t="s">
        <v>10079</v>
      </c>
      <c r="R1844" s="14" t="str">
        <f>HYPERLINK("https://drive.google.com/file/d/1Cr-qe0lZtCD2FMVk1u6SVmb5AcUr2qDH/view?usp=drivesdk","OFFER LETTER")</f>
        <v>OFFER LETTER</v>
      </c>
      <c r="S1844" s="11" t="s">
        <v>10080</v>
      </c>
    </row>
    <row r="1845" ht="22.5" customHeight="1">
      <c r="A1845" s="10">
        <v>46266.459445243054</v>
      </c>
      <c r="B1845" s="11" t="s">
        <v>10081</v>
      </c>
      <c r="C1845" s="11" t="s">
        <v>91</v>
      </c>
      <c r="D1845" s="11" t="s">
        <v>238</v>
      </c>
      <c r="E1845" s="12">
        <v>46296.0</v>
      </c>
      <c r="F1845" s="12">
        <v>46326.0</v>
      </c>
      <c r="G1845" s="11" t="s">
        <v>10082</v>
      </c>
      <c r="H1845" s="11" t="s">
        <v>10083</v>
      </c>
      <c r="I1845" s="11" t="s">
        <v>70</v>
      </c>
      <c r="J1845" s="11" t="s">
        <v>71</v>
      </c>
      <c r="K1845" s="11" t="s">
        <v>72</v>
      </c>
      <c r="L1845" s="11" t="s">
        <v>131</v>
      </c>
      <c r="M1845" s="11" t="s">
        <v>10084</v>
      </c>
      <c r="N1845" s="11" t="s">
        <v>86</v>
      </c>
      <c r="O1845" s="11" t="s">
        <v>130</v>
      </c>
      <c r="P1845" s="11" t="s">
        <v>10085</v>
      </c>
      <c r="Q1845" s="13" t="s">
        <v>10086</v>
      </c>
      <c r="R1845" s="14" t="str">
        <f>HYPERLINK("https://drive.google.com/file/d/1ZeqX6nAO_yrHa6hzzGh784dC24lN3SVg/view?usp=drivesdk","OFFER LETTER")</f>
        <v>OFFER LETTER</v>
      </c>
      <c r="S1845" s="11" t="s">
        <v>10087</v>
      </c>
    </row>
    <row r="1846" ht="22.5" customHeight="1">
      <c r="A1846" s="10">
        <v>46266.46856721065</v>
      </c>
      <c r="B1846" s="11" t="s">
        <v>10088</v>
      </c>
      <c r="C1846" s="11" t="s">
        <v>91</v>
      </c>
      <c r="D1846" s="11" t="s">
        <v>68</v>
      </c>
      <c r="E1846" s="12">
        <v>46235.0</v>
      </c>
      <c r="F1846" s="12">
        <v>46266.0</v>
      </c>
      <c r="G1846" s="11" t="s">
        <v>10089</v>
      </c>
      <c r="H1846" s="11">
        <v>9.162696888E9</v>
      </c>
      <c r="I1846" s="11" t="s">
        <v>82</v>
      </c>
      <c r="J1846" s="11" t="s">
        <v>71</v>
      </c>
      <c r="K1846" s="11" t="s">
        <v>72</v>
      </c>
      <c r="L1846" s="11" t="s">
        <v>84</v>
      </c>
      <c r="M1846" s="11" t="s">
        <v>10090</v>
      </c>
      <c r="N1846" s="11" t="s">
        <v>219</v>
      </c>
      <c r="O1846" s="11" t="s">
        <v>71</v>
      </c>
      <c r="P1846" s="11" t="s">
        <v>10091</v>
      </c>
      <c r="Q1846" s="13" t="s">
        <v>10092</v>
      </c>
      <c r="R1846" s="14" t="str">
        <f>HYPERLINK("https://drive.google.com/file/d/1yoJLVxJf7sK5lyhRHzBpQUbD1u65SBfP/view?usp=drivesdk","OFFER LETTER")</f>
        <v>OFFER LETTER</v>
      </c>
      <c r="S1846" s="11" t="s">
        <v>10093</v>
      </c>
    </row>
    <row r="1847" ht="22.5" customHeight="1">
      <c r="A1847" s="10">
        <v>46266.46902777778</v>
      </c>
      <c r="B1847" s="11" t="s">
        <v>10094</v>
      </c>
      <c r="C1847" s="11" t="s">
        <v>173</v>
      </c>
      <c r="D1847" s="11" t="s">
        <v>68</v>
      </c>
      <c r="E1847" s="12">
        <v>46235.0</v>
      </c>
      <c r="F1847" s="12">
        <v>46265.0</v>
      </c>
      <c r="G1847" s="11" t="s">
        <v>10095</v>
      </c>
      <c r="H1847" s="11">
        <v>7.303378515E9</v>
      </c>
      <c r="I1847" s="11" t="s">
        <v>82</v>
      </c>
      <c r="J1847" s="11" t="s">
        <v>71</v>
      </c>
      <c r="K1847" s="11" t="s">
        <v>72</v>
      </c>
      <c r="L1847" s="11" t="s">
        <v>84</v>
      </c>
      <c r="M1847" s="11" t="s">
        <v>849</v>
      </c>
      <c r="N1847" s="11" t="s">
        <v>86</v>
      </c>
      <c r="O1847" s="11" t="s">
        <v>71</v>
      </c>
      <c r="P1847" s="11" t="s">
        <v>10096</v>
      </c>
      <c r="Q1847" s="13" t="s">
        <v>10097</v>
      </c>
      <c r="R1847" s="14" t="str">
        <f>HYPERLINK("https://drive.google.com/file/d/15PaWQNDSxLEP1IHhH-uc46D9HiQ46Qso/view?usp=drivesdk","OFFER LETTER")</f>
        <v>OFFER LETTER</v>
      </c>
      <c r="S1847" s="11" t="s">
        <v>10098</v>
      </c>
    </row>
    <row r="1848" ht="22.5" customHeight="1">
      <c r="A1848" s="10">
        <v>46266.47791429398</v>
      </c>
      <c r="B1848" s="11" t="s">
        <v>10099</v>
      </c>
      <c r="C1848" s="11" t="s">
        <v>128</v>
      </c>
      <c r="D1848" s="11" t="s">
        <v>68</v>
      </c>
      <c r="E1848" s="12">
        <v>46266.0</v>
      </c>
      <c r="F1848" s="12">
        <v>46295.0</v>
      </c>
      <c r="G1848" s="11" t="s">
        <v>10100</v>
      </c>
      <c r="H1848" s="11">
        <v>7.302939863E9</v>
      </c>
      <c r="I1848" s="11" t="s">
        <v>70</v>
      </c>
      <c r="J1848" s="11" t="s">
        <v>71</v>
      </c>
      <c r="K1848" s="11" t="s">
        <v>72</v>
      </c>
      <c r="L1848" s="11" t="s">
        <v>73</v>
      </c>
      <c r="M1848" s="11" t="s">
        <v>10101</v>
      </c>
      <c r="N1848" s="11" t="s">
        <v>86</v>
      </c>
      <c r="O1848" s="11" t="s">
        <v>71</v>
      </c>
      <c r="P1848" s="11" t="s">
        <v>10102</v>
      </c>
      <c r="Q1848" s="13" t="s">
        <v>10103</v>
      </c>
      <c r="R1848" s="14" t="str">
        <f>HYPERLINK("https://drive.google.com/file/d/10CrBmqPdYCjZMqYIc8sDxmyUPR729vzW/view?usp=drivesdk","OFFER LETTER")</f>
        <v>OFFER LETTER</v>
      </c>
      <c r="S1848" s="11" t="s">
        <v>10104</v>
      </c>
    </row>
    <row r="1849" ht="22.5" customHeight="1">
      <c r="A1849" s="10">
        <v>46266.478245185186</v>
      </c>
      <c r="B1849" s="11" t="s">
        <v>10105</v>
      </c>
      <c r="C1849" s="11" t="s">
        <v>107</v>
      </c>
      <c r="D1849" s="11" t="s">
        <v>68</v>
      </c>
      <c r="E1849" s="12">
        <v>46235.0</v>
      </c>
      <c r="F1849" s="12">
        <v>46266.0</v>
      </c>
      <c r="G1849" s="11" t="s">
        <v>10106</v>
      </c>
      <c r="H1849" s="11">
        <v>9.054565436E9</v>
      </c>
      <c r="I1849" s="11" t="s">
        <v>82</v>
      </c>
      <c r="J1849" s="11" t="s">
        <v>71</v>
      </c>
      <c r="K1849" s="11" t="s">
        <v>72</v>
      </c>
      <c r="L1849" s="11" t="s">
        <v>131</v>
      </c>
      <c r="M1849" s="11" t="s">
        <v>598</v>
      </c>
      <c r="N1849" s="11" t="s">
        <v>155</v>
      </c>
      <c r="O1849" s="11" t="s">
        <v>71</v>
      </c>
      <c r="P1849" s="11" t="s">
        <v>10107</v>
      </c>
      <c r="Q1849" s="13" t="s">
        <v>10108</v>
      </c>
      <c r="R1849" s="14" t="str">
        <f>HYPERLINK("https://drive.google.com/file/d/1Z1g0Pb6a8voclW3hsipRuesBukPy7AMW/view?usp=drivesdk","OFFER LETTER")</f>
        <v>OFFER LETTER</v>
      </c>
      <c r="S1849" s="11" t="s">
        <v>10109</v>
      </c>
    </row>
    <row r="1850" ht="22.5" customHeight="1">
      <c r="A1850" s="10">
        <v>46266.47853707176</v>
      </c>
      <c r="B1850" s="11" t="s">
        <v>10110</v>
      </c>
      <c r="C1850" s="11" t="s">
        <v>80</v>
      </c>
      <c r="D1850" s="11" t="s">
        <v>68</v>
      </c>
      <c r="E1850" s="12">
        <v>46191.0</v>
      </c>
      <c r="F1850" s="12">
        <v>46221.0</v>
      </c>
      <c r="G1850" s="11" t="s">
        <v>10111</v>
      </c>
      <c r="H1850" s="11">
        <v>7.893676856E9</v>
      </c>
      <c r="I1850" s="11" t="s">
        <v>70</v>
      </c>
      <c r="J1850" s="11" t="s">
        <v>71</v>
      </c>
      <c r="K1850" s="11" t="s">
        <v>72</v>
      </c>
      <c r="L1850" s="11" t="s">
        <v>131</v>
      </c>
      <c r="M1850" s="11" t="s">
        <v>10112</v>
      </c>
      <c r="N1850" s="11" t="s">
        <v>86</v>
      </c>
      <c r="O1850" s="11" t="s">
        <v>71</v>
      </c>
      <c r="P1850" s="11" t="s">
        <v>10113</v>
      </c>
      <c r="Q1850" s="13" t="s">
        <v>10114</v>
      </c>
      <c r="R1850" s="14" t="str">
        <f>HYPERLINK("https://drive.google.com/file/d/1R5OG4NZc5deQ9vHNbMKWNsNdvZrXqFMp/view?usp=drivesdk","OFFER LETTER")</f>
        <v>OFFER LETTER</v>
      </c>
      <c r="S1850" s="11" t="s">
        <v>10115</v>
      </c>
    </row>
    <row r="1851" ht="22.5" customHeight="1">
      <c r="A1851" s="10">
        <v>46266.480105532406</v>
      </c>
      <c r="B1851" s="11" t="s">
        <v>10116</v>
      </c>
      <c r="C1851" s="11" t="s">
        <v>128</v>
      </c>
      <c r="D1851" s="11" t="s">
        <v>68</v>
      </c>
      <c r="E1851" s="12">
        <v>46266.0</v>
      </c>
      <c r="F1851" s="12">
        <v>46295.0</v>
      </c>
      <c r="G1851" s="11" t="s">
        <v>10117</v>
      </c>
      <c r="H1851" s="11">
        <v>7.895290888E9</v>
      </c>
      <c r="I1851" s="11" t="s">
        <v>82</v>
      </c>
      <c r="J1851" s="11" t="s">
        <v>130</v>
      </c>
      <c r="K1851" s="11" t="s">
        <v>72</v>
      </c>
      <c r="L1851" s="11" t="s">
        <v>84</v>
      </c>
      <c r="M1851" s="11" t="s">
        <v>6646</v>
      </c>
      <c r="N1851" s="11" t="s">
        <v>86</v>
      </c>
      <c r="O1851" s="11" t="s">
        <v>71</v>
      </c>
      <c r="P1851" s="11" t="s">
        <v>10118</v>
      </c>
      <c r="Q1851" s="13" t="s">
        <v>10119</v>
      </c>
      <c r="R1851" s="14" t="str">
        <f>HYPERLINK("https://drive.google.com/file/d/1lNP_2eEqmPYtlwQExTExI-V9ljhJx9dM/view?usp=drivesdk","OFFER LETTER")</f>
        <v>OFFER LETTER</v>
      </c>
      <c r="S1851" s="11" t="s">
        <v>10120</v>
      </c>
    </row>
    <row r="1852" ht="22.5" customHeight="1">
      <c r="A1852" s="10">
        <v>46266.48043736111</v>
      </c>
      <c r="B1852" s="11" t="s">
        <v>10121</v>
      </c>
      <c r="C1852" s="11" t="s">
        <v>128</v>
      </c>
      <c r="D1852" s="11" t="s">
        <v>68</v>
      </c>
      <c r="E1852" s="12">
        <v>46228.0</v>
      </c>
      <c r="F1852" s="12">
        <v>46249.0</v>
      </c>
      <c r="G1852" s="11" t="s">
        <v>10122</v>
      </c>
      <c r="H1852" s="11">
        <v>9.084184377E9</v>
      </c>
      <c r="I1852" s="11" t="s">
        <v>70</v>
      </c>
      <c r="J1852" s="11" t="s">
        <v>71</v>
      </c>
      <c r="K1852" s="11" t="s">
        <v>72</v>
      </c>
      <c r="L1852" s="11" t="s">
        <v>73</v>
      </c>
      <c r="M1852" s="11" t="s">
        <v>10101</v>
      </c>
      <c r="N1852" s="11" t="s">
        <v>86</v>
      </c>
      <c r="O1852" s="11" t="s">
        <v>71</v>
      </c>
      <c r="P1852" s="11" t="s">
        <v>10123</v>
      </c>
      <c r="Q1852" s="13" t="s">
        <v>10124</v>
      </c>
      <c r="R1852" s="14" t="str">
        <f>HYPERLINK("https://drive.google.com/file/d/1CVK3bK2ysJEjv-HYfhhAObvG7mbsMVHW/view?usp=drivesdk","OFFER LETTER")</f>
        <v>OFFER LETTER</v>
      </c>
      <c r="S1852" s="11" t="s">
        <v>10125</v>
      </c>
    </row>
    <row r="1853" ht="22.5" customHeight="1">
      <c r="A1853" s="10">
        <v>46266.48069725695</v>
      </c>
      <c r="B1853" s="11" t="s">
        <v>1707</v>
      </c>
      <c r="C1853" s="11" t="s">
        <v>128</v>
      </c>
      <c r="D1853" s="11" t="s">
        <v>68</v>
      </c>
      <c r="E1853" s="12">
        <v>46218.0</v>
      </c>
      <c r="F1853" s="12">
        <v>46280.0</v>
      </c>
      <c r="G1853" s="11" t="s">
        <v>1708</v>
      </c>
      <c r="H1853" s="11">
        <v>8.534811806E9</v>
      </c>
      <c r="I1853" s="11" t="s">
        <v>70</v>
      </c>
      <c r="J1853" s="11" t="s">
        <v>71</v>
      </c>
      <c r="K1853" s="11" t="s">
        <v>72</v>
      </c>
      <c r="L1853" s="11" t="s">
        <v>73</v>
      </c>
      <c r="M1853" s="11" t="s">
        <v>10126</v>
      </c>
      <c r="N1853" s="11" t="s">
        <v>86</v>
      </c>
      <c r="O1853" s="11" t="s">
        <v>71</v>
      </c>
      <c r="P1853" s="11" t="s">
        <v>10127</v>
      </c>
      <c r="Q1853" s="13" t="s">
        <v>10128</v>
      </c>
      <c r="R1853" s="14" t="str">
        <f>HYPERLINK("https://drive.google.com/file/d/16B0xEt8_W2kqHSfy_plEn87P8NYCZDMg/view?usp=drivesdk","OFFER LETTER")</f>
        <v>OFFER LETTER</v>
      </c>
      <c r="S1853" s="11" t="s">
        <v>10129</v>
      </c>
    </row>
    <row r="1854" ht="22.5" customHeight="1">
      <c r="A1854" s="10">
        <v>46266.48219109954</v>
      </c>
      <c r="B1854" s="11" t="s">
        <v>10130</v>
      </c>
      <c r="C1854" s="11" t="s">
        <v>1200</v>
      </c>
      <c r="D1854" s="11" t="s">
        <v>68</v>
      </c>
      <c r="E1854" s="12">
        <v>46182.0</v>
      </c>
      <c r="F1854" s="12">
        <v>46295.0</v>
      </c>
      <c r="G1854" s="11" t="s">
        <v>10131</v>
      </c>
      <c r="H1854" s="11">
        <v>7.603859892E9</v>
      </c>
      <c r="I1854" s="11" t="s">
        <v>82</v>
      </c>
      <c r="K1854" s="11" t="s">
        <v>72</v>
      </c>
      <c r="L1854" s="11" t="s">
        <v>73</v>
      </c>
      <c r="M1854" s="11" t="s">
        <v>10132</v>
      </c>
      <c r="N1854" s="11" t="s">
        <v>4248</v>
      </c>
      <c r="O1854" s="11" t="s">
        <v>130</v>
      </c>
      <c r="P1854" s="11" t="s">
        <v>10133</v>
      </c>
      <c r="Q1854" s="13" t="s">
        <v>10134</v>
      </c>
      <c r="R1854" s="14" t="str">
        <f>HYPERLINK("https://drive.google.com/file/d/1AsKs6E-EwOxxsXtZ85ct5uF56WiHc3E8/view?usp=drivesdk","OFFER LETTER")</f>
        <v>OFFER LETTER</v>
      </c>
      <c r="S1854" s="11" t="s">
        <v>10135</v>
      </c>
    </row>
    <row r="1855" ht="22.5" customHeight="1">
      <c r="A1855" s="10">
        <v>46266.48644125</v>
      </c>
      <c r="B1855" s="11" t="s">
        <v>10136</v>
      </c>
      <c r="C1855" s="11" t="s">
        <v>173</v>
      </c>
      <c r="D1855" s="11" t="s">
        <v>68</v>
      </c>
      <c r="E1855" s="12">
        <v>46143.0</v>
      </c>
      <c r="F1855" s="12">
        <v>46174.0</v>
      </c>
      <c r="G1855" s="11" t="s">
        <v>10137</v>
      </c>
      <c r="H1855" s="11">
        <v>9.025908934E9</v>
      </c>
      <c r="I1855" s="11" t="s">
        <v>82</v>
      </c>
      <c r="J1855" s="11" t="s">
        <v>130</v>
      </c>
      <c r="K1855" s="11" t="s">
        <v>72</v>
      </c>
      <c r="L1855" s="11" t="s">
        <v>131</v>
      </c>
      <c r="M1855" s="11" t="s">
        <v>10138</v>
      </c>
      <c r="N1855" s="11" t="s">
        <v>86</v>
      </c>
      <c r="O1855" s="11" t="s">
        <v>71</v>
      </c>
      <c r="P1855" s="11" t="s">
        <v>10139</v>
      </c>
      <c r="Q1855" s="13" t="s">
        <v>10140</v>
      </c>
      <c r="R1855" s="14" t="str">
        <f>HYPERLINK("https://drive.google.com/file/d/18yH-hVmUgpkF-CCPxGG1z8WsdgIMlK0O/view?usp=drivesdk","OFFER LETTER")</f>
        <v>OFFER LETTER</v>
      </c>
      <c r="S1855" s="11" t="s">
        <v>10141</v>
      </c>
    </row>
    <row r="1856" ht="22.5" customHeight="1">
      <c r="A1856" s="10">
        <v>46266.48671107639</v>
      </c>
      <c r="B1856" s="11" t="s">
        <v>10142</v>
      </c>
      <c r="C1856" s="11" t="s">
        <v>107</v>
      </c>
      <c r="D1856" s="11" t="s">
        <v>238</v>
      </c>
      <c r="E1856" s="12">
        <v>46209.0</v>
      </c>
      <c r="F1856" s="12">
        <v>46291.0</v>
      </c>
      <c r="G1856" s="11" t="s">
        <v>10143</v>
      </c>
      <c r="H1856" s="11">
        <v>9.529214323E9</v>
      </c>
      <c r="I1856" s="11" t="s">
        <v>82</v>
      </c>
      <c r="J1856" s="11" t="s">
        <v>71</v>
      </c>
      <c r="K1856" s="11" t="s">
        <v>1028</v>
      </c>
      <c r="L1856" s="11" t="s">
        <v>73</v>
      </c>
      <c r="M1856" s="11" t="s">
        <v>10144</v>
      </c>
      <c r="N1856" s="11" t="s">
        <v>198</v>
      </c>
      <c r="O1856" s="11" t="s">
        <v>71</v>
      </c>
      <c r="P1856" s="11" t="s">
        <v>10145</v>
      </c>
      <c r="Q1856" s="13" t="s">
        <v>10146</v>
      </c>
      <c r="R1856" s="14" t="str">
        <f>HYPERLINK("https://drive.google.com/file/d/1WjXezzm8sfr8RI8UuPU5w1dWK5lkwzzb/view?usp=drivesdk","OFFER LETTER")</f>
        <v>OFFER LETTER</v>
      </c>
      <c r="S1856" s="11" t="s">
        <v>10147</v>
      </c>
    </row>
    <row r="1857" ht="22.5" customHeight="1">
      <c r="A1857" s="10">
        <v>46266.488213634264</v>
      </c>
      <c r="B1857" s="11" t="s">
        <v>10148</v>
      </c>
      <c r="C1857" s="11" t="s">
        <v>195</v>
      </c>
      <c r="D1857" s="11" t="s">
        <v>68</v>
      </c>
      <c r="E1857" s="12">
        <v>46267.0</v>
      </c>
      <c r="F1857" s="12">
        <v>46297.0</v>
      </c>
      <c r="G1857" s="11" t="s">
        <v>10149</v>
      </c>
      <c r="H1857" s="11">
        <v>8.431162493E9</v>
      </c>
      <c r="I1857" s="11" t="s">
        <v>70</v>
      </c>
      <c r="J1857" s="11" t="s">
        <v>71</v>
      </c>
      <c r="K1857" s="11" t="s">
        <v>72</v>
      </c>
      <c r="L1857" s="11" t="s">
        <v>131</v>
      </c>
      <c r="M1857" s="11" t="s">
        <v>10150</v>
      </c>
      <c r="N1857" s="11" t="s">
        <v>241</v>
      </c>
      <c r="O1857" s="11" t="s">
        <v>71</v>
      </c>
      <c r="P1857" s="11" t="s">
        <v>10151</v>
      </c>
      <c r="Q1857" s="13" t="s">
        <v>10152</v>
      </c>
      <c r="R1857" s="14" t="str">
        <f>HYPERLINK("https://drive.google.com/file/d/1BRzNAiCVTTzoOFmMmkWZYssRaIAZjbMr/view?usp=drivesdk","OFFER LETTER")</f>
        <v>OFFER LETTER</v>
      </c>
      <c r="S1857" s="11" t="s">
        <v>10153</v>
      </c>
    </row>
    <row r="1858" ht="22.5" customHeight="1">
      <c r="A1858" s="10">
        <v>46266.50921025463</v>
      </c>
      <c r="B1858" s="11" t="s">
        <v>10154</v>
      </c>
      <c r="C1858" s="11" t="s">
        <v>165</v>
      </c>
      <c r="D1858" s="11" t="s">
        <v>68</v>
      </c>
      <c r="E1858" s="12">
        <v>46266.0</v>
      </c>
      <c r="F1858" s="12">
        <v>46296.0</v>
      </c>
      <c r="G1858" s="11" t="s">
        <v>10155</v>
      </c>
      <c r="H1858" s="11">
        <v>9.790368967E9</v>
      </c>
      <c r="I1858" s="11" t="s">
        <v>70</v>
      </c>
      <c r="J1858" s="11" t="s">
        <v>71</v>
      </c>
      <c r="K1858" s="11" t="s">
        <v>167</v>
      </c>
      <c r="L1858" s="11" t="s">
        <v>84</v>
      </c>
      <c r="M1858" s="11" t="s">
        <v>9294</v>
      </c>
      <c r="N1858" s="11" t="s">
        <v>75</v>
      </c>
      <c r="O1858" s="11" t="s">
        <v>71</v>
      </c>
      <c r="P1858" s="11" t="s">
        <v>10156</v>
      </c>
      <c r="Q1858" s="13" t="s">
        <v>10157</v>
      </c>
      <c r="R1858" s="14" t="str">
        <f>HYPERLINK("https://drive.google.com/file/d/1bcFQDNofy80mXKO2gko7z5KIHqsS3vrb/view?usp=drivesdk","OFFER LETTER")</f>
        <v>OFFER LETTER</v>
      </c>
      <c r="S1858" s="11" t="s">
        <v>10158</v>
      </c>
    </row>
    <row r="1859" ht="22.5" customHeight="1">
      <c r="A1859" s="10">
        <v>46266.512294872686</v>
      </c>
      <c r="B1859" s="11" t="s">
        <v>10159</v>
      </c>
      <c r="C1859" s="11" t="s">
        <v>107</v>
      </c>
      <c r="D1859" s="11" t="s">
        <v>68</v>
      </c>
      <c r="E1859" s="12">
        <v>46234.0</v>
      </c>
      <c r="F1859" s="12">
        <v>46265.0</v>
      </c>
      <c r="G1859" s="11" t="s">
        <v>9434</v>
      </c>
      <c r="H1859" s="11">
        <v>9.962262633E9</v>
      </c>
      <c r="I1859" s="11" t="s">
        <v>82</v>
      </c>
      <c r="J1859" s="11" t="s">
        <v>71</v>
      </c>
      <c r="K1859" s="11" t="s">
        <v>110</v>
      </c>
      <c r="L1859" s="11" t="s">
        <v>73</v>
      </c>
      <c r="M1859" s="11" t="s">
        <v>8665</v>
      </c>
      <c r="N1859" s="11" t="s">
        <v>630</v>
      </c>
      <c r="O1859" s="11" t="s">
        <v>71</v>
      </c>
      <c r="P1859" s="11" t="s">
        <v>10160</v>
      </c>
      <c r="Q1859" s="13" t="s">
        <v>10161</v>
      </c>
      <c r="R1859" s="14" t="str">
        <f>HYPERLINK("https://drive.google.com/file/d/10ztpsk_hy9mdSxwO0Nn8iONd14pSVcB9/view?usp=drivesdk","OFFER LETTER")</f>
        <v>OFFER LETTER</v>
      </c>
      <c r="S1859" s="11" t="s">
        <v>10162</v>
      </c>
    </row>
    <row r="1860" ht="22.5" customHeight="1">
      <c r="A1860" s="10">
        <v>46266.51744314814</v>
      </c>
      <c r="B1860" s="11" t="s">
        <v>10163</v>
      </c>
      <c r="C1860" s="11" t="s">
        <v>173</v>
      </c>
      <c r="D1860" s="11" t="s">
        <v>68</v>
      </c>
      <c r="E1860" s="12">
        <v>46174.0</v>
      </c>
      <c r="F1860" s="12">
        <v>46203.0</v>
      </c>
      <c r="G1860" s="11" t="s">
        <v>10164</v>
      </c>
      <c r="H1860" s="11">
        <v>9.598532212E9</v>
      </c>
      <c r="I1860" s="11" t="s">
        <v>82</v>
      </c>
      <c r="J1860" s="11" t="s">
        <v>130</v>
      </c>
      <c r="K1860" s="11" t="s">
        <v>110</v>
      </c>
      <c r="L1860" s="11" t="s">
        <v>73</v>
      </c>
      <c r="M1860" s="11" t="s">
        <v>287</v>
      </c>
      <c r="N1860" s="11" t="s">
        <v>219</v>
      </c>
      <c r="O1860" s="11" t="s">
        <v>71</v>
      </c>
      <c r="P1860" s="11" t="s">
        <v>10165</v>
      </c>
      <c r="Q1860" s="13" t="s">
        <v>10166</v>
      </c>
      <c r="R1860" s="14" t="str">
        <f>HYPERLINK("https://drive.google.com/file/d/1JTnyNuNAsFODpaWMFktkRp7ymuc6084R/view?usp=drivesdk","OFFER LETTER")</f>
        <v>OFFER LETTER</v>
      </c>
      <c r="S1860" s="11" t="s">
        <v>10167</v>
      </c>
    </row>
    <row r="1861" ht="22.5" customHeight="1">
      <c r="A1861" s="10">
        <v>46266.522338090275</v>
      </c>
      <c r="B1861" s="11" t="s">
        <v>10168</v>
      </c>
      <c r="C1861" s="11" t="s">
        <v>165</v>
      </c>
      <c r="D1861" s="11" t="s">
        <v>68</v>
      </c>
      <c r="E1861" s="12">
        <v>46266.0</v>
      </c>
      <c r="F1861" s="12">
        <v>46296.0</v>
      </c>
      <c r="G1861" s="11" t="s">
        <v>10169</v>
      </c>
      <c r="H1861" s="11">
        <v>6.381448823E9</v>
      </c>
      <c r="I1861" s="11" t="s">
        <v>70</v>
      </c>
      <c r="J1861" s="11" t="s">
        <v>71</v>
      </c>
      <c r="K1861" s="11" t="s">
        <v>167</v>
      </c>
      <c r="L1861" s="11" t="s">
        <v>84</v>
      </c>
      <c r="M1861" s="11" t="s">
        <v>10170</v>
      </c>
      <c r="N1861" s="11" t="s">
        <v>86</v>
      </c>
      <c r="O1861" s="11" t="s">
        <v>71</v>
      </c>
      <c r="P1861" s="11" t="s">
        <v>10171</v>
      </c>
      <c r="Q1861" s="13" t="s">
        <v>10172</v>
      </c>
      <c r="R1861" s="14" t="str">
        <f>HYPERLINK("https://drive.google.com/file/d/1whJZhuKjAThGbE-PPY3auUbcrOT1W_4-/view?usp=drivesdk","OFFER LETTER")</f>
        <v>OFFER LETTER</v>
      </c>
      <c r="S1861" s="11" t="s">
        <v>10173</v>
      </c>
    </row>
    <row r="1862" ht="22.5" customHeight="1">
      <c r="A1862" s="10">
        <v>46266.52983866898</v>
      </c>
      <c r="B1862" s="11" t="s">
        <v>10174</v>
      </c>
      <c r="C1862" s="11" t="s">
        <v>173</v>
      </c>
      <c r="D1862" s="11" t="s">
        <v>108</v>
      </c>
      <c r="E1862" s="12">
        <v>46266.0</v>
      </c>
      <c r="F1862" s="12">
        <v>46326.0</v>
      </c>
      <c r="G1862" s="11" t="s">
        <v>10175</v>
      </c>
      <c r="H1862" s="11">
        <v>7.439921211E9</v>
      </c>
      <c r="I1862" s="11" t="s">
        <v>82</v>
      </c>
      <c r="J1862" s="11" t="s">
        <v>71</v>
      </c>
      <c r="K1862" s="11" t="s">
        <v>110</v>
      </c>
      <c r="L1862" s="11" t="s">
        <v>73</v>
      </c>
      <c r="M1862" s="11" t="s">
        <v>10176</v>
      </c>
      <c r="N1862" s="11" t="s">
        <v>75</v>
      </c>
      <c r="O1862" s="11" t="s">
        <v>71</v>
      </c>
      <c r="P1862" s="11" t="s">
        <v>10177</v>
      </c>
      <c r="Q1862" s="13" t="s">
        <v>10178</v>
      </c>
      <c r="R1862" s="14" t="str">
        <f>HYPERLINK("https://drive.google.com/file/d/1C7Z_4vck2SrFq17fe0PO81ajrzeT1mF1/view?usp=drivesdk","OFFER LETTER")</f>
        <v>OFFER LETTER</v>
      </c>
      <c r="S1862" s="11" t="s">
        <v>10179</v>
      </c>
    </row>
    <row r="1863" ht="22.5" customHeight="1">
      <c r="A1863" s="10">
        <v>46266.53244443287</v>
      </c>
      <c r="B1863" s="11" t="s">
        <v>10180</v>
      </c>
      <c r="C1863" s="11" t="s">
        <v>173</v>
      </c>
      <c r="D1863" s="11" t="s">
        <v>68</v>
      </c>
      <c r="E1863" s="12">
        <v>46235.0</v>
      </c>
      <c r="F1863" s="12">
        <v>46264.0</v>
      </c>
      <c r="G1863" s="11" t="s">
        <v>10181</v>
      </c>
      <c r="H1863" s="11">
        <v>9.042492512E9</v>
      </c>
      <c r="I1863" s="11" t="s">
        <v>82</v>
      </c>
      <c r="J1863" s="11" t="s">
        <v>83</v>
      </c>
      <c r="K1863" s="11" t="s">
        <v>72</v>
      </c>
      <c r="L1863" s="11" t="s">
        <v>84</v>
      </c>
      <c r="M1863" s="11" t="s">
        <v>6005</v>
      </c>
      <c r="N1863" s="11" t="s">
        <v>86</v>
      </c>
      <c r="O1863" s="11" t="s">
        <v>71</v>
      </c>
      <c r="P1863" s="11" t="s">
        <v>10182</v>
      </c>
      <c r="Q1863" s="13" t="s">
        <v>10183</v>
      </c>
      <c r="R1863" s="14" t="str">
        <f>HYPERLINK("https://drive.google.com/file/d/1aV51NLZ6YKOl0kqujxU8y2H8YC8Pn9v_/view?usp=drivesdk","OFFER LETTER")</f>
        <v>OFFER LETTER</v>
      </c>
      <c r="S1863" s="11" t="s">
        <v>10184</v>
      </c>
    </row>
    <row r="1864" ht="22.5" customHeight="1">
      <c r="A1864" s="10">
        <v>46266.53833269676</v>
      </c>
      <c r="B1864" s="11" t="s">
        <v>10185</v>
      </c>
      <c r="C1864" s="11" t="s">
        <v>80</v>
      </c>
      <c r="D1864" s="11" t="s">
        <v>68</v>
      </c>
      <c r="E1864" s="12">
        <v>46266.0</v>
      </c>
      <c r="F1864" s="12">
        <v>46295.0</v>
      </c>
      <c r="G1864" s="11" t="s">
        <v>10186</v>
      </c>
      <c r="H1864" s="11">
        <v>9.982727709E9</v>
      </c>
      <c r="I1864" s="11" t="s">
        <v>82</v>
      </c>
      <c r="J1864" s="11" t="s">
        <v>71</v>
      </c>
      <c r="K1864" s="11" t="s">
        <v>72</v>
      </c>
      <c r="L1864" s="11" t="s">
        <v>131</v>
      </c>
      <c r="M1864" s="11" t="s">
        <v>10187</v>
      </c>
      <c r="N1864" s="11" t="s">
        <v>10188</v>
      </c>
      <c r="O1864" s="11" t="s">
        <v>71</v>
      </c>
      <c r="P1864" s="11" t="s">
        <v>10189</v>
      </c>
      <c r="Q1864" s="13" t="s">
        <v>10190</v>
      </c>
      <c r="R1864" s="14" t="str">
        <f>HYPERLINK("https://drive.google.com/file/d/1DCH3wY22i_uhQc78dPKPVEahCnJ8QObo/view?usp=drivesdk","OFFER LETTER")</f>
        <v>OFFER LETTER</v>
      </c>
      <c r="S1864" s="11" t="s">
        <v>10191</v>
      </c>
    </row>
    <row r="1865" ht="22.5" customHeight="1">
      <c r="A1865" s="10">
        <v>46266.53966328704</v>
      </c>
      <c r="B1865" s="11" t="s">
        <v>10192</v>
      </c>
      <c r="C1865" s="11" t="s">
        <v>80</v>
      </c>
      <c r="D1865" s="11" t="s">
        <v>68</v>
      </c>
      <c r="E1865" s="12">
        <v>46266.0</v>
      </c>
      <c r="F1865" s="12">
        <v>46295.0</v>
      </c>
      <c r="G1865" s="11" t="s">
        <v>10193</v>
      </c>
      <c r="H1865" s="11">
        <v>9.140191915E9</v>
      </c>
      <c r="I1865" s="11" t="s">
        <v>82</v>
      </c>
      <c r="J1865" s="11" t="s">
        <v>71</v>
      </c>
      <c r="K1865" s="11" t="s">
        <v>72</v>
      </c>
      <c r="L1865" s="11" t="s">
        <v>131</v>
      </c>
      <c r="M1865" s="11" t="s">
        <v>10194</v>
      </c>
      <c r="N1865" s="11" t="s">
        <v>10195</v>
      </c>
      <c r="O1865" s="11" t="s">
        <v>71</v>
      </c>
      <c r="P1865" s="11" t="s">
        <v>10196</v>
      </c>
      <c r="Q1865" s="13" t="s">
        <v>10197</v>
      </c>
      <c r="R1865" s="14" t="str">
        <f>HYPERLINK("https://drive.google.com/file/d/1qAEO9e6eKUm_wW404oX4uX28ms1vvz3Q/view?usp=drivesdk","OFFER LETTER")</f>
        <v>OFFER LETTER</v>
      </c>
      <c r="S1865" s="11" t="s">
        <v>10198</v>
      </c>
    </row>
    <row r="1866" ht="22.5" customHeight="1">
      <c r="A1866" s="10">
        <v>46266.55454834491</v>
      </c>
      <c r="B1866" s="11" t="s">
        <v>10199</v>
      </c>
      <c r="C1866" s="11" t="s">
        <v>91</v>
      </c>
      <c r="D1866" s="11" t="s">
        <v>68</v>
      </c>
      <c r="E1866" s="12">
        <v>46235.0</v>
      </c>
      <c r="F1866" s="12">
        <v>46265.0</v>
      </c>
      <c r="G1866" s="11" t="s">
        <v>10200</v>
      </c>
      <c r="H1866" s="11">
        <v>9.342046481E9</v>
      </c>
      <c r="I1866" s="11" t="s">
        <v>70</v>
      </c>
      <c r="J1866" s="11" t="s">
        <v>71</v>
      </c>
      <c r="K1866" s="11" t="s">
        <v>72</v>
      </c>
      <c r="L1866" s="11" t="s">
        <v>73</v>
      </c>
      <c r="M1866" s="11" t="s">
        <v>5239</v>
      </c>
      <c r="N1866" s="11" t="s">
        <v>86</v>
      </c>
      <c r="O1866" s="11" t="s">
        <v>71</v>
      </c>
      <c r="P1866" s="11" t="s">
        <v>10201</v>
      </c>
      <c r="Q1866" s="13" t="s">
        <v>10202</v>
      </c>
      <c r="R1866" s="14" t="str">
        <f>HYPERLINK("https://drive.google.com/file/d/1Wx419s6qSQ4_uY3EfBxTdWz10lQnhYQ-/view?usp=drivesdk","OFFER LETTER")</f>
        <v>OFFER LETTER</v>
      </c>
      <c r="S1866" s="11" t="s">
        <v>10203</v>
      </c>
    </row>
    <row r="1867" ht="22.5" customHeight="1">
      <c r="A1867" s="10">
        <v>46266.57524951389</v>
      </c>
      <c r="B1867" s="11" t="s">
        <v>10204</v>
      </c>
      <c r="C1867" s="11" t="s">
        <v>259</v>
      </c>
      <c r="D1867" s="11" t="s">
        <v>68</v>
      </c>
      <c r="E1867" s="12">
        <v>46266.0</v>
      </c>
      <c r="F1867" s="12">
        <v>46296.0</v>
      </c>
      <c r="G1867" s="11" t="s">
        <v>10205</v>
      </c>
      <c r="H1867" s="11">
        <v>8.149918029E9</v>
      </c>
      <c r="I1867" s="11" t="s">
        <v>82</v>
      </c>
      <c r="J1867" s="11" t="s">
        <v>71</v>
      </c>
      <c r="K1867" s="11" t="s">
        <v>72</v>
      </c>
      <c r="L1867" s="11" t="s">
        <v>131</v>
      </c>
      <c r="M1867" s="11" t="s">
        <v>10206</v>
      </c>
      <c r="N1867" s="11" t="s">
        <v>226</v>
      </c>
      <c r="O1867" s="11" t="s">
        <v>263</v>
      </c>
      <c r="P1867" s="11" t="s">
        <v>10207</v>
      </c>
      <c r="Q1867" s="13" t="s">
        <v>10208</v>
      </c>
      <c r="R1867" s="14" t="str">
        <f>HYPERLINK("https://drive.google.com/file/d/1sYEnvLHpxsSF3OSwnIyMSRE6zeSJ7AYs/view?usp=drivesdk","OFFER LETTER")</f>
        <v>OFFER LETTER</v>
      </c>
      <c r="S1867" s="11" t="s">
        <v>10209</v>
      </c>
    </row>
    <row r="1868" ht="22.5" customHeight="1">
      <c r="A1868" s="10">
        <v>46266.57845248842</v>
      </c>
      <c r="B1868" s="11" t="s">
        <v>10210</v>
      </c>
      <c r="C1868" s="11" t="s">
        <v>107</v>
      </c>
      <c r="D1868" s="11" t="s">
        <v>68</v>
      </c>
      <c r="E1868" s="12">
        <v>46205.0</v>
      </c>
      <c r="F1868" s="12">
        <v>46236.0</v>
      </c>
      <c r="G1868" s="11" t="s">
        <v>10211</v>
      </c>
      <c r="H1868" s="11">
        <v>9.006643971E9</v>
      </c>
      <c r="I1868" s="11" t="s">
        <v>82</v>
      </c>
      <c r="J1868" s="11" t="s">
        <v>71</v>
      </c>
      <c r="K1868" s="11" t="s">
        <v>72</v>
      </c>
      <c r="L1868" s="11" t="s">
        <v>73</v>
      </c>
      <c r="M1868" s="11" t="s">
        <v>7908</v>
      </c>
      <c r="N1868" s="11" t="s">
        <v>75</v>
      </c>
      <c r="O1868" s="11" t="s">
        <v>71</v>
      </c>
      <c r="P1868" s="11" t="s">
        <v>10212</v>
      </c>
      <c r="Q1868" s="13" t="s">
        <v>10213</v>
      </c>
      <c r="R1868" s="14" t="str">
        <f>HYPERLINK("https://drive.google.com/file/d/18_qLeOFhZR5gccoLQ4jS-0_Uti8Qitnq/view?usp=drivesdk","OFFER LETTER")</f>
        <v>OFFER LETTER</v>
      </c>
      <c r="S1868" s="11" t="s">
        <v>10214</v>
      </c>
    </row>
    <row r="1869" ht="22.5" customHeight="1">
      <c r="A1869" s="10">
        <v>46266.592244872685</v>
      </c>
      <c r="B1869" s="11" t="s">
        <v>10215</v>
      </c>
      <c r="C1869" s="11" t="s">
        <v>67</v>
      </c>
      <c r="D1869" s="11" t="s">
        <v>108</v>
      </c>
      <c r="E1869" s="12">
        <v>46114.0</v>
      </c>
      <c r="F1869" s="12">
        <v>46178.0</v>
      </c>
      <c r="G1869" s="11" t="s">
        <v>10216</v>
      </c>
      <c r="H1869" s="11">
        <v>6.207802963E9</v>
      </c>
      <c r="I1869" s="11" t="s">
        <v>82</v>
      </c>
      <c r="J1869" s="11" t="s">
        <v>71</v>
      </c>
      <c r="K1869" s="11" t="s">
        <v>72</v>
      </c>
      <c r="L1869" s="11" t="s">
        <v>131</v>
      </c>
      <c r="M1869" s="11" t="s">
        <v>5261</v>
      </c>
      <c r="N1869" s="11" t="s">
        <v>86</v>
      </c>
      <c r="O1869" s="11" t="s">
        <v>71</v>
      </c>
      <c r="P1869" s="11" t="s">
        <v>10217</v>
      </c>
      <c r="Q1869" s="13" t="s">
        <v>10218</v>
      </c>
      <c r="R1869" s="14" t="str">
        <f>HYPERLINK("https://drive.google.com/file/d/1jk-X6B_e5wTejxU43RWBHM_nspXIGMT9/view?usp=drivesdk","OFFER LETTER")</f>
        <v>OFFER LETTER</v>
      </c>
      <c r="S1869" s="11" t="s">
        <v>10219</v>
      </c>
    </row>
    <row r="1870" ht="22.5" customHeight="1">
      <c r="A1870" s="10">
        <v>46266.59231684028</v>
      </c>
      <c r="B1870" s="11" t="s">
        <v>10220</v>
      </c>
      <c r="C1870" s="11" t="s">
        <v>91</v>
      </c>
      <c r="D1870" s="11" t="s">
        <v>68</v>
      </c>
      <c r="E1870" s="12">
        <v>46266.0</v>
      </c>
      <c r="F1870" s="12">
        <v>46296.0</v>
      </c>
      <c r="G1870" s="11" t="s">
        <v>10221</v>
      </c>
      <c r="H1870" s="11">
        <v>8.522857724E9</v>
      </c>
      <c r="I1870" s="11" t="s">
        <v>70</v>
      </c>
      <c r="J1870" s="11" t="s">
        <v>71</v>
      </c>
      <c r="K1870" s="11" t="s">
        <v>72</v>
      </c>
      <c r="L1870" s="11" t="s">
        <v>73</v>
      </c>
      <c r="M1870" s="11" t="s">
        <v>10222</v>
      </c>
      <c r="N1870" s="11" t="s">
        <v>75</v>
      </c>
      <c r="O1870" s="11" t="s">
        <v>71</v>
      </c>
      <c r="P1870" s="11" t="s">
        <v>10223</v>
      </c>
      <c r="Q1870" s="13" t="s">
        <v>10224</v>
      </c>
      <c r="R1870" s="14" t="str">
        <f>HYPERLINK("https://drive.google.com/file/d/1QuU4fXxs7QCFTJ4wnIhjmidwEfhl6LWc/view?usp=drivesdk","OFFER LETTER")</f>
        <v>OFFER LETTER</v>
      </c>
      <c r="S1870" s="11" t="s">
        <v>10225</v>
      </c>
    </row>
    <row r="1871" ht="22.5" customHeight="1">
      <c r="A1871" s="10">
        <v>46266.599690682866</v>
      </c>
      <c r="B1871" s="11" t="s">
        <v>10226</v>
      </c>
      <c r="C1871" s="11" t="s">
        <v>173</v>
      </c>
      <c r="D1871" s="11" t="s">
        <v>68</v>
      </c>
      <c r="E1871" s="12">
        <v>46203.0</v>
      </c>
      <c r="F1871" s="12">
        <v>46234.0</v>
      </c>
      <c r="G1871" s="11" t="s">
        <v>10227</v>
      </c>
      <c r="H1871" s="11">
        <v>8.210170568E9</v>
      </c>
      <c r="I1871" s="11" t="s">
        <v>82</v>
      </c>
      <c r="J1871" s="11" t="s">
        <v>71</v>
      </c>
      <c r="K1871" s="11" t="s">
        <v>72</v>
      </c>
      <c r="L1871" s="11" t="s">
        <v>84</v>
      </c>
      <c r="M1871" s="11" t="s">
        <v>9205</v>
      </c>
      <c r="N1871" s="11" t="s">
        <v>86</v>
      </c>
      <c r="O1871" s="11" t="s">
        <v>71</v>
      </c>
      <c r="P1871" s="11" t="s">
        <v>10228</v>
      </c>
      <c r="Q1871" s="13" t="s">
        <v>10229</v>
      </c>
      <c r="R1871" s="14" t="str">
        <f>HYPERLINK("https://drive.google.com/file/d/1ICk2DSEyEKf39lhaWV_0itI0CgUzqExk/view?usp=drivesdk","OFFER LETTER")</f>
        <v>OFFER LETTER</v>
      </c>
      <c r="S1871" s="11" t="s">
        <v>10230</v>
      </c>
    </row>
    <row r="1872" ht="22.5" customHeight="1">
      <c r="A1872" s="10">
        <v>46266.62048162037</v>
      </c>
      <c r="B1872" s="11" t="s">
        <v>10220</v>
      </c>
      <c r="C1872" s="11" t="s">
        <v>298</v>
      </c>
      <c r="D1872" s="11" t="s">
        <v>68</v>
      </c>
      <c r="E1872" s="12">
        <v>46266.0</v>
      </c>
      <c r="F1872" s="12">
        <v>46296.0</v>
      </c>
      <c r="G1872" s="11" t="s">
        <v>10221</v>
      </c>
      <c r="H1872" s="11">
        <v>8.522857724E9</v>
      </c>
      <c r="I1872" s="11" t="s">
        <v>70</v>
      </c>
      <c r="J1872" s="11" t="s">
        <v>71</v>
      </c>
      <c r="K1872" s="11" t="s">
        <v>72</v>
      </c>
      <c r="L1872" s="11" t="s">
        <v>73</v>
      </c>
      <c r="M1872" s="11" t="s">
        <v>10222</v>
      </c>
      <c r="N1872" s="11" t="s">
        <v>75</v>
      </c>
      <c r="O1872" s="11" t="s">
        <v>71</v>
      </c>
      <c r="P1872" s="11" t="s">
        <v>10231</v>
      </c>
      <c r="Q1872" s="13" t="s">
        <v>10232</v>
      </c>
      <c r="R1872" s="14" t="str">
        <f>HYPERLINK("https://drive.google.com/file/d/1pQBvEdTQTB-RCSBiNsYSjdwTu_naTs0S/view?usp=drivesdk","OFFER LETTER")</f>
        <v>OFFER LETTER</v>
      </c>
      <c r="S1872" s="11" t="s">
        <v>10233</v>
      </c>
    </row>
    <row r="1873" ht="22.5" customHeight="1">
      <c r="A1873" s="10">
        <v>46266.621371863424</v>
      </c>
      <c r="B1873" s="11" t="s">
        <v>10011</v>
      </c>
      <c r="C1873" s="11" t="s">
        <v>354</v>
      </c>
      <c r="D1873" s="11" t="s">
        <v>68</v>
      </c>
      <c r="E1873" s="12">
        <v>46235.0</v>
      </c>
      <c r="F1873" s="12">
        <v>46264.0</v>
      </c>
      <c r="G1873" s="11" t="s">
        <v>10012</v>
      </c>
      <c r="H1873" s="11">
        <v>6.383357299E9</v>
      </c>
      <c r="I1873" s="11" t="s">
        <v>82</v>
      </c>
      <c r="J1873" s="11" t="s">
        <v>83</v>
      </c>
      <c r="K1873" s="11" t="s">
        <v>72</v>
      </c>
      <c r="L1873" s="11" t="s">
        <v>84</v>
      </c>
      <c r="M1873" s="11" t="s">
        <v>6005</v>
      </c>
      <c r="N1873" s="11" t="s">
        <v>86</v>
      </c>
      <c r="O1873" s="11" t="s">
        <v>71</v>
      </c>
      <c r="P1873" s="11" t="s">
        <v>10234</v>
      </c>
      <c r="Q1873" s="13" t="s">
        <v>10235</v>
      </c>
      <c r="R1873" s="14" t="str">
        <f>HYPERLINK("https://drive.google.com/file/d/1IQnXY1SWFEyRVoF-GvwgahcpbiUzWzY2/view?usp=drivesdk","OFFER LETTER")</f>
        <v>OFFER LETTER</v>
      </c>
      <c r="S1873" s="11" t="s">
        <v>10236</v>
      </c>
    </row>
    <row r="1874" ht="22.5" customHeight="1">
      <c r="A1874" s="10">
        <v>46266.62944096065</v>
      </c>
      <c r="B1874" s="11" t="s">
        <v>10237</v>
      </c>
      <c r="C1874" s="11" t="s">
        <v>107</v>
      </c>
      <c r="D1874" s="11" t="s">
        <v>68</v>
      </c>
      <c r="E1874" s="12">
        <v>46266.0</v>
      </c>
      <c r="F1874" s="12">
        <v>46295.0</v>
      </c>
      <c r="G1874" s="11" t="s">
        <v>10238</v>
      </c>
      <c r="H1874" s="11">
        <v>9.047793379E9</v>
      </c>
      <c r="I1874" s="11" t="s">
        <v>70</v>
      </c>
      <c r="J1874" s="11" t="s">
        <v>71</v>
      </c>
      <c r="K1874" s="11" t="s">
        <v>72</v>
      </c>
      <c r="L1874" s="11" t="s">
        <v>131</v>
      </c>
      <c r="M1874" s="11" t="s">
        <v>10239</v>
      </c>
      <c r="N1874" s="11" t="s">
        <v>241</v>
      </c>
      <c r="O1874" s="11" t="s">
        <v>71</v>
      </c>
      <c r="P1874" s="11" t="s">
        <v>10240</v>
      </c>
      <c r="Q1874" s="13" t="s">
        <v>10241</v>
      </c>
      <c r="R1874" s="14" t="str">
        <f>HYPERLINK("https://drive.google.com/file/d/13i7ox2NwUhFrmASFdI2RF3IJSgkGoTAA/view?usp=drivesdk","OFFER LETTER")</f>
        <v>OFFER LETTER</v>
      </c>
      <c r="S1874" s="11" t="s">
        <v>10242</v>
      </c>
    </row>
    <row r="1875" ht="22.5" customHeight="1">
      <c r="A1875" s="10">
        <v>46266.631757951385</v>
      </c>
      <c r="B1875" s="11" t="s">
        <v>5891</v>
      </c>
      <c r="C1875" s="11" t="s">
        <v>195</v>
      </c>
      <c r="D1875" s="11" t="s">
        <v>108</v>
      </c>
      <c r="E1875" s="12">
        <v>46160.0</v>
      </c>
      <c r="F1875" s="12">
        <v>46220.0</v>
      </c>
      <c r="G1875" s="11" t="s">
        <v>10243</v>
      </c>
      <c r="H1875" s="11">
        <v>9.709831477E9</v>
      </c>
      <c r="I1875" s="11" t="s">
        <v>82</v>
      </c>
      <c r="J1875" s="11" t="s">
        <v>71</v>
      </c>
      <c r="K1875" s="11" t="s">
        <v>72</v>
      </c>
      <c r="L1875" s="11" t="s">
        <v>131</v>
      </c>
      <c r="M1875" s="11" t="s">
        <v>10244</v>
      </c>
      <c r="N1875" s="11" t="s">
        <v>198</v>
      </c>
      <c r="O1875" s="11" t="s">
        <v>71</v>
      </c>
      <c r="P1875" s="11" t="s">
        <v>10245</v>
      </c>
      <c r="Q1875" s="13" t="s">
        <v>10246</v>
      </c>
      <c r="R1875" s="14" t="str">
        <f>HYPERLINK("https://drive.google.com/file/d/1QlIzVCbWHXU-IN6FhbirNfIUIijHpGY4/view?usp=drivesdk","OFFER LETTER")</f>
        <v>OFFER LETTER</v>
      </c>
      <c r="S1875" s="11" t="s">
        <v>10247</v>
      </c>
    </row>
    <row r="1876" ht="22.5" customHeight="1">
      <c r="A1876" s="10">
        <v>46266.63907767361</v>
      </c>
      <c r="B1876" s="11" t="s">
        <v>10248</v>
      </c>
      <c r="C1876" s="11" t="s">
        <v>596</v>
      </c>
      <c r="D1876" s="11" t="s">
        <v>68</v>
      </c>
      <c r="E1876" s="12">
        <v>46160.0</v>
      </c>
      <c r="F1876" s="12">
        <v>46190.0</v>
      </c>
      <c r="G1876" s="11" t="s">
        <v>10249</v>
      </c>
      <c r="H1876" s="11">
        <v>6.205256517E9</v>
      </c>
      <c r="I1876" s="11" t="s">
        <v>82</v>
      </c>
      <c r="J1876" s="11" t="s">
        <v>71</v>
      </c>
      <c r="K1876" s="11" t="s">
        <v>72</v>
      </c>
      <c r="L1876" s="11" t="s">
        <v>131</v>
      </c>
      <c r="M1876" s="11" t="s">
        <v>10244</v>
      </c>
      <c r="N1876" s="11" t="s">
        <v>86</v>
      </c>
      <c r="O1876" s="11" t="s">
        <v>71</v>
      </c>
      <c r="P1876" s="11" t="s">
        <v>10250</v>
      </c>
      <c r="Q1876" s="13" t="s">
        <v>10251</v>
      </c>
      <c r="R1876" s="14" t="str">
        <f>HYPERLINK("https://drive.google.com/file/d/1AMmW6xDicYI11YEJP0VcU5FoNV0TVw8E/view?usp=drivesdk","OFFER LETTER")</f>
        <v>OFFER LETTER</v>
      </c>
      <c r="S1876" s="11" t="s">
        <v>10252</v>
      </c>
    </row>
    <row r="1877" ht="22.5" customHeight="1">
      <c r="A1877" s="10">
        <v>46266.64190041667</v>
      </c>
      <c r="B1877" s="11" t="s">
        <v>10253</v>
      </c>
      <c r="C1877" s="11" t="s">
        <v>195</v>
      </c>
      <c r="D1877" s="11" t="s">
        <v>108</v>
      </c>
      <c r="E1877" s="12">
        <v>46157.0</v>
      </c>
      <c r="F1877" s="12">
        <v>46213.0</v>
      </c>
      <c r="G1877" s="11" t="s">
        <v>10254</v>
      </c>
      <c r="H1877" s="11">
        <v>987.0</v>
      </c>
      <c r="I1877" s="11" t="s">
        <v>82</v>
      </c>
      <c r="K1877" s="11" t="s">
        <v>72</v>
      </c>
      <c r="L1877" s="11" t="s">
        <v>131</v>
      </c>
      <c r="M1877" s="11" t="s">
        <v>10244</v>
      </c>
      <c r="N1877" s="11" t="s">
        <v>198</v>
      </c>
      <c r="O1877" s="11" t="s">
        <v>71</v>
      </c>
      <c r="P1877" s="11" t="s">
        <v>10255</v>
      </c>
      <c r="Q1877" s="13" t="s">
        <v>10256</v>
      </c>
      <c r="R1877" s="14" t="str">
        <f>HYPERLINK("https://drive.google.com/file/d/1YW87D2lR65TpLvMCWBLxopE8l6QKJ2JD/view?usp=drivesdk","OFFER LETTER")</f>
        <v>OFFER LETTER</v>
      </c>
      <c r="S1877" s="11" t="s">
        <v>10257</v>
      </c>
    </row>
    <row r="1878" ht="22.5" customHeight="1">
      <c r="A1878" s="10">
        <v>46266.644741041666</v>
      </c>
      <c r="B1878" s="11" t="s">
        <v>8255</v>
      </c>
      <c r="C1878" s="11" t="s">
        <v>596</v>
      </c>
      <c r="D1878" s="11" t="s">
        <v>108</v>
      </c>
      <c r="E1878" s="12">
        <v>46157.0</v>
      </c>
      <c r="F1878" s="12">
        <v>46213.0</v>
      </c>
      <c r="G1878" s="11" t="s">
        <v>10258</v>
      </c>
      <c r="H1878" s="11">
        <v>987.0</v>
      </c>
      <c r="I1878" s="11" t="s">
        <v>82</v>
      </c>
      <c r="K1878" s="11" t="s">
        <v>72</v>
      </c>
      <c r="L1878" s="11" t="s">
        <v>131</v>
      </c>
      <c r="M1878" s="11" t="s">
        <v>10244</v>
      </c>
      <c r="N1878" s="11" t="s">
        <v>86</v>
      </c>
      <c r="O1878" s="11" t="s">
        <v>71</v>
      </c>
      <c r="P1878" s="11" t="s">
        <v>10259</v>
      </c>
      <c r="Q1878" s="13" t="s">
        <v>10260</v>
      </c>
      <c r="R1878" s="14" t="str">
        <f>HYPERLINK("https://drive.google.com/file/d/1uzFfVMaQbyRdPgYl2O_uZ--Xrfvf42M6/view?usp=drivesdk","OFFER LETTER")</f>
        <v>OFFER LETTER</v>
      </c>
      <c r="S1878" s="11" t="s">
        <v>10261</v>
      </c>
    </row>
    <row r="1879" ht="22.5" customHeight="1">
      <c r="A1879" s="10">
        <v>46266.648698460645</v>
      </c>
      <c r="B1879" s="11" t="s">
        <v>10262</v>
      </c>
      <c r="C1879" s="11" t="s">
        <v>298</v>
      </c>
      <c r="D1879" s="11" t="s">
        <v>108</v>
      </c>
      <c r="E1879" s="12">
        <v>46161.0</v>
      </c>
      <c r="F1879" s="12">
        <v>46222.0</v>
      </c>
      <c r="G1879" s="11" t="s">
        <v>10263</v>
      </c>
      <c r="H1879" s="11">
        <v>7.978482374E9</v>
      </c>
      <c r="I1879" s="11" t="s">
        <v>70</v>
      </c>
      <c r="J1879" s="11" t="s">
        <v>83</v>
      </c>
      <c r="K1879" s="11" t="s">
        <v>110</v>
      </c>
      <c r="L1879" s="11" t="s">
        <v>73</v>
      </c>
      <c r="M1879" s="11" t="s">
        <v>10264</v>
      </c>
      <c r="N1879" s="11" t="s">
        <v>86</v>
      </c>
      <c r="O1879" s="11" t="s">
        <v>71</v>
      </c>
      <c r="P1879" s="11" t="s">
        <v>10265</v>
      </c>
      <c r="Q1879" s="13" t="s">
        <v>10266</v>
      </c>
      <c r="R1879" s="14" t="str">
        <f>HYPERLINK("https://drive.google.com/file/d/15p0kV0kQZep8See4wuoupuWR3yQYHF1g/view?usp=drivesdk","OFFER LETTER")</f>
        <v>OFFER LETTER</v>
      </c>
      <c r="S1879" s="11" t="s">
        <v>10267</v>
      </c>
    </row>
    <row r="1880" ht="22.5" customHeight="1">
      <c r="A1880" s="10">
        <v>46266.64893734954</v>
      </c>
      <c r="B1880" s="11" t="s">
        <v>10268</v>
      </c>
      <c r="C1880" s="11" t="s">
        <v>298</v>
      </c>
      <c r="D1880" s="11" t="s">
        <v>108</v>
      </c>
      <c r="E1880" s="12">
        <v>46161.0</v>
      </c>
      <c r="F1880" s="12">
        <v>46222.0</v>
      </c>
      <c r="G1880" s="11" t="s">
        <v>10269</v>
      </c>
      <c r="H1880" s="11">
        <v>7.008816451E9</v>
      </c>
      <c r="I1880" s="11" t="s">
        <v>70</v>
      </c>
      <c r="J1880" s="11" t="s">
        <v>71</v>
      </c>
      <c r="K1880" s="11" t="s">
        <v>110</v>
      </c>
      <c r="L1880" s="11" t="s">
        <v>73</v>
      </c>
      <c r="M1880" s="11" t="s">
        <v>10270</v>
      </c>
      <c r="N1880" s="11" t="s">
        <v>86</v>
      </c>
      <c r="O1880" s="11" t="s">
        <v>71</v>
      </c>
      <c r="P1880" s="11" t="s">
        <v>10271</v>
      </c>
      <c r="Q1880" s="13" t="s">
        <v>10272</v>
      </c>
      <c r="R1880" s="14" t="str">
        <f>HYPERLINK("https://drive.google.com/file/d/1Ms5A6nAKa-sKf4uxmXHV_sbIDPqMVSLM/view?usp=drivesdk","OFFER LETTER")</f>
        <v>OFFER LETTER</v>
      </c>
      <c r="S1880" s="11" t="s">
        <v>10273</v>
      </c>
    </row>
    <row r="1881" ht="22.5" customHeight="1">
      <c r="A1881" s="10">
        <v>46266.65003708334</v>
      </c>
      <c r="B1881" s="11" t="s">
        <v>10274</v>
      </c>
      <c r="C1881" s="11" t="s">
        <v>107</v>
      </c>
      <c r="D1881" s="11" t="s">
        <v>108</v>
      </c>
      <c r="E1881" s="12">
        <v>46266.0</v>
      </c>
      <c r="F1881" s="12">
        <v>46326.0</v>
      </c>
      <c r="G1881" s="11" t="s">
        <v>10275</v>
      </c>
      <c r="H1881" s="11">
        <v>8.780837243E9</v>
      </c>
      <c r="I1881" s="11" t="s">
        <v>82</v>
      </c>
      <c r="J1881" s="11" t="s">
        <v>71</v>
      </c>
      <c r="K1881" s="11" t="s">
        <v>72</v>
      </c>
      <c r="L1881" s="11" t="s">
        <v>131</v>
      </c>
      <c r="M1881" s="11" t="s">
        <v>1309</v>
      </c>
      <c r="N1881" s="11" t="s">
        <v>86</v>
      </c>
      <c r="O1881" s="11" t="s">
        <v>71</v>
      </c>
      <c r="P1881" s="11" t="s">
        <v>10276</v>
      </c>
      <c r="Q1881" s="13" t="s">
        <v>10277</v>
      </c>
      <c r="R1881" s="14" t="str">
        <f>HYPERLINK("https://drive.google.com/file/d/1cNlmpRBLiby0FvCXHjuDkLtT5q9IhKCu/view?usp=drivesdk","OFFER LETTER")</f>
        <v>OFFER LETTER</v>
      </c>
      <c r="S1881" s="11" t="s">
        <v>10278</v>
      </c>
    </row>
    <row r="1882" ht="22.5" customHeight="1">
      <c r="A1882" s="10">
        <v>46266.65036053241</v>
      </c>
      <c r="B1882" s="11" t="s">
        <v>10279</v>
      </c>
      <c r="C1882" s="11" t="s">
        <v>107</v>
      </c>
      <c r="D1882" s="11" t="s">
        <v>108</v>
      </c>
      <c r="E1882" s="12">
        <v>46270.0</v>
      </c>
      <c r="F1882" s="12">
        <v>46331.0</v>
      </c>
      <c r="G1882" s="11" t="s">
        <v>10280</v>
      </c>
      <c r="H1882" s="11">
        <v>8.05496085E9</v>
      </c>
      <c r="I1882" s="11" t="s">
        <v>82</v>
      </c>
      <c r="J1882" s="11" t="s">
        <v>71</v>
      </c>
      <c r="K1882" s="11" t="s">
        <v>167</v>
      </c>
      <c r="L1882" s="11" t="s">
        <v>247</v>
      </c>
      <c r="M1882" s="11" t="s">
        <v>10281</v>
      </c>
      <c r="N1882" s="11" t="s">
        <v>86</v>
      </c>
      <c r="O1882" s="11" t="s">
        <v>71</v>
      </c>
      <c r="P1882" s="11" t="s">
        <v>10282</v>
      </c>
      <c r="Q1882" s="13" t="s">
        <v>10283</v>
      </c>
      <c r="R1882" s="14" t="str">
        <f>HYPERLINK("https://drive.google.com/file/d/1Et-Mkn9kTn-XucWAYBDHl7_9zLvjpYoY/view?usp=drivesdk","OFFER LETTER")</f>
        <v>OFFER LETTER</v>
      </c>
      <c r="S1882" s="11" t="s">
        <v>10284</v>
      </c>
    </row>
    <row r="1883" ht="22.5" customHeight="1">
      <c r="A1883" s="10">
        <v>46266.66027729167</v>
      </c>
      <c r="B1883" s="11" t="s">
        <v>10285</v>
      </c>
      <c r="C1883" s="11" t="s">
        <v>354</v>
      </c>
      <c r="D1883" s="11" t="s">
        <v>68</v>
      </c>
      <c r="E1883" s="12">
        <v>46266.0</v>
      </c>
      <c r="F1883" s="12">
        <v>46296.0</v>
      </c>
      <c r="G1883" s="11" t="s">
        <v>10286</v>
      </c>
      <c r="H1883" s="11">
        <v>9.193775489E9</v>
      </c>
      <c r="I1883" s="11" t="s">
        <v>82</v>
      </c>
      <c r="J1883" s="11" t="s">
        <v>71</v>
      </c>
      <c r="K1883" s="11" t="s">
        <v>110</v>
      </c>
      <c r="L1883" s="11" t="s">
        <v>73</v>
      </c>
      <c r="M1883" s="11" t="s">
        <v>10287</v>
      </c>
      <c r="N1883" s="11" t="s">
        <v>86</v>
      </c>
      <c r="O1883" s="11" t="s">
        <v>71</v>
      </c>
      <c r="P1883" s="11" t="s">
        <v>10288</v>
      </c>
      <c r="Q1883" s="13" t="s">
        <v>10289</v>
      </c>
      <c r="R1883" s="14" t="str">
        <f>HYPERLINK("https://drive.google.com/file/d/1iYRIi2xsgBpxp2sL3wHWBT-rg81tNZ7x/view?usp=drivesdk","OFFER LETTER")</f>
        <v>OFFER LETTER</v>
      </c>
      <c r="S1883" s="11" t="s">
        <v>10290</v>
      </c>
    </row>
    <row r="1884" ht="22.5" customHeight="1">
      <c r="A1884" s="10">
        <v>46266.66725111111</v>
      </c>
      <c r="B1884" s="11" t="s">
        <v>10291</v>
      </c>
      <c r="C1884" s="11" t="s">
        <v>91</v>
      </c>
      <c r="D1884" s="11" t="s">
        <v>929</v>
      </c>
      <c r="E1884" s="12">
        <v>46635.0</v>
      </c>
      <c r="F1884" s="12">
        <v>46757.0</v>
      </c>
      <c r="G1884" s="11" t="s">
        <v>10292</v>
      </c>
      <c r="H1884" s="11">
        <v>9.373796546E9</v>
      </c>
      <c r="I1884" s="11" t="s">
        <v>82</v>
      </c>
      <c r="J1884" s="11" t="s">
        <v>71</v>
      </c>
      <c r="K1884" s="11" t="s">
        <v>72</v>
      </c>
      <c r="L1884" s="11" t="s">
        <v>131</v>
      </c>
      <c r="M1884" s="11" t="s">
        <v>10293</v>
      </c>
      <c r="N1884" s="11" t="s">
        <v>219</v>
      </c>
      <c r="O1884" s="11" t="s">
        <v>71</v>
      </c>
      <c r="P1884" s="11" t="s">
        <v>10294</v>
      </c>
      <c r="Q1884" s="13" t="s">
        <v>10295</v>
      </c>
      <c r="R1884" s="14" t="str">
        <f>HYPERLINK("https://drive.google.com/file/d/1oY4hUY2_9sflEO9yYYSd7l_NrqVQVmq9/view?usp=drivesdk","OFFER LETTER")</f>
        <v>OFFER LETTER</v>
      </c>
      <c r="S1884" s="11" t="s">
        <v>10296</v>
      </c>
    </row>
    <row r="1885" ht="22.5" customHeight="1">
      <c r="A1885" s="10">
        <v>46266.66979435185</v>
      </c>
      <c r="B1885" s="11" t="s">
        <v>10297</v>
      </c>
      <c r="C1885" s="11" t="s">
        <v>128</v>
      </c>
      <c r="D1885" s="11" t="s">
        <v>68</v>
      </c>
      <c r="E1885" s="12">
        <v>46257.0</v>
      </c>
      <c r="F1885" s="12">
        <v>46288.0</v>
      </c>
      <c r="G1885" s="11" t="s">
        <v>647</v>
      </c>
      <c r="H1885" s="11">
        <v>8.318895781E9</v>
      </c>
      <c r="I1885" s="11" t="s">
        <v>70</v>
      </c>
      <c r="J1885" s="11" t="s">
        <v>83</v>
      </c>
      <c r="K1885" s="11" t="s">
        <v>72</v>
      </c>
      <c r="L1885" s="11" t="s">
        <v>84</v>
      </c>
      <c r="M1885" s="11" t="s">
        <v>648</v>
      </c>
      <c r="N1885" s="11" t="s">
        <v>86</v>
      </c>
      <c r="O1885" s="11" t="s">
        <v>71</v>
      </c>
      <c r="P1885" s="11" t="s">
        <v>10298</v>
      </c>
      <c r="Q1885" s="13" t="s">
        <v>10299</v>
      </c>
      <c r="R1885" s="14" t="str">
        <f>HYPERLINK("https://drive.google.com/file/d/11zaSCeDrqb1Q27-CrSzdRLHFRWU9vira/view?usp=drivesdk","OFFER LETTER")</f>
        <v>OFFER LETTER</v>
      </c>
      <c r="S1885" s="11" t="s">
        <v>10300</v>
      </c>
    </row>
    <row r="1886" ht="22.5" customHeight="1">
      <c r="A1886" s="10">
        <v>46266.67427018518</v>
      </c>
      <c r="B1886" s="11" t="s">
        <v>10301</v>
      </c>
      <c r="C1886" s="11" t="s">
        <v>128</v>
      </c>
      <c r="D1886" s="11" t="s">
        <v>68</v>
      </c>
      <c r="E1886" s="12">
        <v>46266.0</v>
      </c>
      <c r="F1886" s="12">
        <v>46296.0</v>
      </c>
      <c r="G1886" s="11" t="s">
        <v>10302</v>
      </c>
      <c r="H1886" s="11">
        <v>7.338569178E9</v>
      </c>
      <c r="I1886" s="11" t="s">
        <v>70</v>
      </c>
      <c r="J1886" s="11" t="s">
        <v>130</v>
      </c>
      <c r="K1886" s="11" t="s">
        <v>110</v>
      </c>
      <c r="L1886" s="11" t="s">
        <v>73</v>
      </c>
      <c r="M1886" s="11" t="s">
        <v>10303</v>
      </c>
      <c r="N1886" s="11" t="s">
        <v>86</v>
      </c>
      <c r="O1886" s="11" t="s">
        <v>71</v>
      </c>
      <c r="P1886" s="11" t="s">
        <v>10304</v>
      </c>
      <c r="Q1886" s="13" t="s">
        <v>10305</v>
      </c>
      <c r="R1886" s="14" t="str">
        <f>HYPERLINK("https://drive.google.com/file/d/1uhjKvYz3-Ju4sLRHJGu9FpCWC2cajYpx/view?usp=drivesdk","OFFER LETTER")</f>
        <v>OFFER LETTER</v>
      </c>
      <c r="S1886" s="11" t="s">
        <v>10306</v>
      </c>
    </row>
    <row r="1887" ht="22.5" customHeight="1">
      <c r="A1887" s="10">
        <v>46266.677718437495</v>
      </c>
      <c r="B1887" s="11" t="s">
        <v>10307</v>
      </c>
      <c r="C1887" s="11" t="s">
        <v>91</v>
      </c>
      <c r="D1887" s="11" t="s">
        <v>68</v>
      </c>
      <c r="E1887" s="12">
        <v>46174.0</v>
      </c>
      <c r="F1887" s="12">
        <v>46203.0</v>
      </c>
      <c r="G1887" s="11" t="s">
        <v>10308</v>
      </c>
      <c r="H1887" s="11">
        <v>8.943274326E9</v>
      </c>
      <c r="I1887" s="11" t="s">
        <v>82</v>
      </c>
      <c r="J1887" s="11" t="s">
        <v>71</v>
      </c>
      <c r="K1887" s="11" t="s">
        <v>72</v>
      </c>
      <c r="L1887" s="11" t="s">
        <v>84</v>
      </c>
      <c r="M1887" s="11" t="s">
        <v>9727</v>
      </c>
      <c r="N1887" s="11" t="s">
        <v>86</v>
      </c>
      <c r="O1887" s="11" t="s">
        <v>71</v>
      </c>
      <c r="P1887" s="11" t="s">
        <v>10309</v>
      </c>
      <c r="Q1887" s="13" t="s">
        <v>10310</v>
      </c>
      <c r="R1887" s="14" t="str">
        <f>HYPERLINK("https://drive.google.com/file/d/1Frsp1ERe0TZcOtwfR5TPi-8z17MyT1dM/view?usp=drivesdk","OFFER LETTER")</f>
        <v>OFFER LETTER</v>
      </c>
      <c r="S1887" s="11" t="s">
        <v>10311</v>
      </c>
    </row>
    <row r="1888" ht="22.5" customHeight="1">
      <c r="A1888" s="10">
        <v>46266.69012733796</v>
      </c>
      <c r="B1888" s="11" t="s">
        <v>10312</v>
      </c>
      <c r="C1888" s="11" t="s">
        <v>173</v>
      </c>
      <c r="D1888" s="11" t="s">
        <v>68</v>
      </c>
      <c r="E1888" s="12">
        <v>46204.0</v>
      </c>
      <c r="F1888" s="12">
        <v>46235.0</v>
      </c>
      <c r="G1888" s="11" t="s">
        <v>10313</v>
      </c>
      <c r="H1888" s="11">
        <v>7.654153988E9</v>
      </c>
      <c r="I1888" s="11" t="s">
        <v>82</v>
      </c>
      <c r="J1888" s="11" t="s">
        <v>71</v>
      </c>
      <c r="K1888" s="11" t="s">
        <v>72</v>
      </c>
      <c r="L1888" s="11" t="s">
        <v>84</v>
      </c>
      <c r="M1888" s="11" t="s">
        <v>10314</v>
      </c>
      <c r="N1888" s="11" t="s">
        <v>86</v>
      </c>
      <c r="O1888" s="11" t="s">
        <v>71</v>
      </c>
      <c r="P1888" s="11" t="s">
        <v>10315</v>
      </c>
      <c r="Q1888" s="13" t="s">
        <v>10316</v>
      </c>
      <c r="R1888" s="14" t="str">
        <f>HYPERLINK("https://drive.google.com/file/d/1UtZUmIRHEOp2P_7w5IWBkFzAG-fBAOSE/view?usp=drivesdk","OFFER LETTER")</f>
        <v>OFFER LETTER</v>
      </c>
      <c r="S1888" s="11" t="s">
        <v>10317</v>
      </c>
    </row>
    <row r="1889" ht="22.5" customHeight="1">
      <c r="A1889" s="10">
        <v>46266.705992222225</v>
      </c>
      <c r="B1889" s="11" t="s">
        <v>10318</v>
      </c>
      <c r="C1889" s="11" t="s">
        <v>259</v>
      </c>
      <c r="D1889" s="11" t="s">
        <v>238</v>
      </c>
      <c r="E1889" s="12">
        <v>46266.0</v>
      </c>
      <c r="F1889" s="12">
        <v>46356.0</v>
      </c>
      <c r="G1889" s="11" t="s">
        <v>10319</v>
      </c>
      <c r="H1889" s="11">
        <v>9.34574756E9</v>
      </c>
      <c r="I1889" s="11" t="s">
        <v>70</v>
      </c>
      <c r="J1889" s="11" t="s">
        <v>71</v>
      </c>
      <c r="K1889" s="11" t="s">
        <v>72</v>
      </c>
      <c r="L1889" s="11" t="s">
        <v>131</v>
      </c>
      <c r="M1889" s="11" t="s">
        <v>10320</v>
      </c>
      <c r="N1889" s="11" t="s">
        <v>241</v>
      </c>
      <c r="O1889" s="11" t="s">
        <v>71</v>
      </c>
      <c r="P1889" s="11" t="s">
        <v>10321</v>
      </c>
      <c r="Q1889" s="13" t="s">
        <v>10322</v>
      </c>
      <c r="R1889" s="14" t="str">
        <f>HYPERLINK("https://drive.google.com/file/d/1SreU_xb-p0qFbq23m2HaZCxeb_a_5zzs/view?usp=drivesdk","OFFER LETTER")</f>
        <v>OFFER LETTER</v>
      </c>
      <c r="S1889" s="11" t="s">
        <v>10323</v>
      </c>
    </row>
    <row r="1890" ht="22.5" customHeight="1">
      <c r="A1890" s="10">
        <v>46266.73030931713</v>
      </c>
      <c r="B1890" s="11" t="s">
        <v>10324</v>
      </c>
      <c r="C1890" s="11" t="s">
        <v>67</v>
      </c>
      <c r="D1890" s="11" t="s">
        <v>108</v>
      </c>
      <c r="E1890" s="12">
        <v>46157.0</v>
      </c>
      <c r="F1890" s="12">
        <v>46218.0</v>
      </c>
      <c r="G1890" s="11" t="s">
        <v>10325</v>
      </c>
      <c r="H1890" s="11">
        <v>8.955276721E9</v>
      </c>
      <c r="I1890" s="11" t="s">
        <v>82</v>
      </c>
      <c r="J1890" s="11" t="s">
        <v>71</v>
      </c>
      <c r="K1890" s="11" t="s">
        <v>72</v>
      </c>
      <c r="L1890" s="11" t="s">
        <v>131</v>
      </c>
      <c r="M1890" s="11" t="s">
        <v>10326</v>
      </c>
      <c r="N1890" s="11" t="s">
        <v>86</v>
      </c>
      <c r="O1890" s="11" t="s">
        <v>71</v>
      </c>
      <c r="P1890" s="11" t="s">
        <v>10327</v>
      </c>
      <c r="Q1890" s="13" t="s">
        <v>10328</v>
      </c>
      <c r="R1890" s="14" t="str">
        <f>HYPERLINK("https://drive.google.com/file/d/1PWmAajIgJroDS_X57-wo38ILzdsRz9bD/view?usp=drivesdk","OFFER LETTER")</f>
        <v>OFFER LETTER</v>
      </c>
      <c r="S1890" s="11" t="s">
        <v>10329</v>
      </c>
    </row>
    <row r="1891" ht="22.5" customHeight="1">
      <c r="A1891" s="10">
        <v>46266.7400409838</v>
      </c>
      <c r="B1891" s="11" t="s">
        <v>10330</v>
      </c>
      <c r="C1891" s="11" t="s">
        <v>107</v>
      </c>
      <c r="D1891" s="11" t="s">
        <v>108</v>
      </c>
      <c r="E1891" s="12">
        <v>46178.0</v>
      </c>
      <c r="F1891" s="12">
        <v>46239.0</v>
      </c>
      <c r="G1891" s="11" t="s">
        <v>10331</v>
      </c>
      <c r="H1891" s="11">
        <v>8.780702302E9</v>
      </c>
      <c r="I1891" s="11" t="s">
        <v>82</v>
      </c>
      <c r="J1891" s="11" t="s">
        <v>71</v>
      </c>
      <c r="K1891" s="11" t="s">
        <v>356</v>
      </c>
      <c r="L1891" s="11" t="s">
        <v>84</v>
      </c>
      <c r="M1891" s="11" t="s">
        <v>2784</v>
      </c>
      <c r="N1891" s="11" t="s">
        <v>3833</v>
      </c>
      <c r="O1891" s="11" t="s">
        <v>71</v>
      </c>
      <c r="P1891" s="11" t="s">
        <v>10332</v>
      </c>
      <c r="Q1891" s="13" t="s">
        <v>10333</v>
      </c>
      <c r="R1891" s="14" t="str">
        <f>HYPERLINK("https://drive.google.com/file/d/1_X6xS1ZjwBG5swDxd-1howaKAAw4iWlt/view?usp=drivesdk","OFFER LETTER")</f>
        <v>OFFER LETTER</v>
      </c>
      <c r="S1891" s="11" t="s">
        <v>10334</v>
      </c>
    </row>
    <row r="1892" ht="22.5" customHeight="1">
      <c r="A1892" s="10">
        <v>46266.74171890046</v>
      </c>
      <c r="B1892" s="11" t="s">
        <v>10335</v>
      </c>
      <c r="C1892" s="11" t="s">
        <v>298</v>
      </c>
      <c r="D1892" s="11" t="s">
        <v>238</v>
      </c>
      <c r="E1892" s="12">
        <v>46266.0</v>
      </c>
      <c r="F1892" s="12">
        <v>46357.0</v>
      </c>
      <c r="G1892" s="11" t="s">
        <v>10336</v>
      </c>
      <c r="H1892" s="11">
        <v>8.318679416E9</v>
      </c>
      <c r="I1892" s="11" t="s">
        <v>82</v>
      </c>
      <c r="J1892" s="11" t="s">
        <v>83</v>
      </c>
      <c r="K1892" s="11" t="s">
        <v>72</v>
      </c>
      <c r="L1892" s="11" t="s">
        <v>73</v>
      </c>
      <c r="M1892" s="11" t="s">
        <v>10337</v>
      </c>
      <c r="N1892" s="11" t="s">
        <v>226</v>
      </c>
      <c r="O1892" s="11" t="s">
        <v>71</v>
      </c>
      <c r="P1892" s="11" t="s">
        <v>10338</v>
      </c>
      <c r="Q1892" s="13" t="s">
        <v>10339</v>
      </c>
      <c r="R1892" s="14" t="str">
        <f>HYPERLINK("https://drive.google.com/file/d/16HfOYW3NdlLejya_wJd8dvU2mFNZBhVs/view?usp=drivesdk","OFFER LETTER")</f>
        <v>OFFER LETTER</v>
      </c>
      <c r="S1892" s="11" t="s">
        <v>10340</v>
      </c>
    </row>
    <row r="1893" ht="22.5" customHeight="1">
      <c r="A1893" s="10">
        <v>46266.74230324074</v>
      </c>
      <c r="B1893" s="11" t="s">
        <v>10341</v>
      </c>
      <c r="C1893" s="11" t="s">
        <v>195</v>
      </c>
      <c r="D1893" s="11" t="s">
        <v>108</v>
      </c>
      <c r="E1893" s="12">
        <v>46266.0</v>
      </c>
      <c r="F1893" s="12">
        <v>46326.0</v>
      </c>
      <c r="G1893" s="11" t="s">
        <v>10342</v>
      </c>
      <c r="H1893" s="11">
        <v>8.247892167E9</v>
      </c>
      <c r="I1893" s="11" t="s">
        <v>70</v>
      </c>
      <c r="J1893" s="11" t="s">
        <v>83</v>
      </c>
      <c r="K1893" s="11" t="s">
        <v>72</v>
      </c>
      <c r="L1893" s="11" t="s">
        <v>73</v>
      </c>
      <c r="M1893" s="11" t="s">
        <v>10343</v>
      </c>
      <c r="N1893" s="11" t="s">
        <v>2778</v>
      </c>
      <c r="O1893" s="11" t="s">
        <v>71</v>
      </c>
      <c r="P1893" s="11" t="s">
        <v>10344</v>
      </c>
      <c r="Q1893" s="13" t="s">
        <v>10345</v>
      </c>
      <c r="R1893" s="14" t="str">
        <f>HYPERLINK("https://drive.google.com/file/d/1UBCU1xBferm316qcmJoUHqwYE4_H5zWE/view?usp=drivesdk","OFFER LETTER")</f>
        <v>OFFER LETTER</v>
      </c>
      <c r="S1893" s="11" t="s">
        <v>10346</v>
      </c>
    </row>
    <row r="1894" ht="22.5" customHeight="1">
      <c r="A1894" s="10">
        <v>46266.752213287036</v>
      </c>
      <c r="B1894" s="11" t="s">
        <v>10347</v>
      </c>
      <c r="C1894" s="11" t="s">
        <v>195</v>
      </c>
      <c r="D1894" s="11" t="s">
        <v>68</v>
      </c>
      <c r="E1894" s="12">
        <v>46174.0</v>
      </c>
      <c r="F1894" s="12">
        <v>46203.0</v>
      </c>
      <c r="G1894" s="11" t="s">
        <v>10348</v>
      </c>
      <c r="H1894" s="11">
        <v>9.742888787E9</v>
      </c>
      <c r="I1894" s="11" t="s">
        <v>82</v>
      </c>
      <c r="J1894" s="11" t="s">
        <v>71</v>
      </c>
      <c r="K1894" s="11" t="s">
        <v>72</v>
      </c>
      <c r="L1894" s="11" t="s">
        <v>73</v>
      </c>
      <c r="M1894" s="11" t="s">
        <v>10349</v>
      </c>
      <c r="N1894" s="11" t="s">
        <v>75</v>
      </c>
      <c r="O1894" s="11" t="s">
        <v>71</v>
      </c>
      <c r="P1894" s="11" t="s">
        <v>10350</v>
      </c>
      <c r="Q1894" s="13" t="s">
        <v>10351</v>
      </c>
      <c r="R1894" s="14" t="str">
        <f>HYPERLINK("https://drive.google.com/file/d/1iZ6Td3DLAoY5X-QoXhJlHcjhxEBkU9KY/view?usp=drivesdk","OFFER LETTER")</f>
        <v>OFFER LETTER</v>
      </c>
      <c r="S1894" s="11" t="s">
        <v>10352</v>
      </c>
    </row>
    <row r="1895" ht="22.5" customHeight="1">
      <c r="A1895" s="10">
        <v>46266.75371153935</v>
      </c>
      <c r="B1895" s="11" t="s">
        <v>10353</v>
      </c>
      <c r="C1895" s="11" t="s">
        <v>195</v>
      </c>
      <c r="D1895" s="11" t="s">
        <v>68</v>
      </c>
      <c r="E1895" s="12">
        <v>46266.0</v>
      </c>
      <c r="F1895" s="12">
        <v>46295.0</v>
      </c>
      <c r="G1895" s="11" t="s">
        <v>10354</v>
      </c>
      <c r="H1895" s="11">
        <v>8.604168746E9</v>
      </c>
      <c r="I1895" s="11" t="s">
        <v>82</v>
      </c>
      <c r="J1895" s="11" t="s">
        <v>71</v>
      </c>
      <c r="K1895" s="11" t="s">
        <v>72</v>
      </c>
      <c r="L1895" s="11" t="s">
        <v>73</v>
      </c>
      <c r="M1895" s="11" t="s">
        <v>10355</v>
      </c>
      <c r="N1895" s="11" t="s">
        <v>75</v>
      </c>
      <c r="O1895" s="11" t="s">
        <v>71</v>
      </c>
      <c r="P1895" s="11" t="s">
        <v>10356</v>
      </c>
      <c r="Q1895" s="13" t="s">
        <v>10357</v>
      </c>
      <c r="R1895" s="14" t="str">
        <f>HYPERLINK("https://drive.google.com/file/d/1Vq57he1otbvR-i9OUSBsOSxQrV-89ciX/view?usp=drivesdk","OFFER LETTER")</f>
        <v>OFFER LETTER</v>
      </c>
      <c r="S1895" s="11" t="s">
        <v>10358</v>
      </c>
    </row>
    <row r="1896" ht="22.5" customHeight="1">
      <c r="A1896" s="10">
        <v>46266.75470608796</v>
      </c>
      <c r="B1896" s="11" t="s">
        <v>10359</v>
      </c>
      <c r="C1896" s="11" t="s">
        <v>237</v>
      </c>
      <c r="D1896" s="11" t="s">
        <v>68</v>
      </c>
      <c r="E1896" s="12">
        <v>46210.0</v>
      </c>
      <c r="F1896" s="12">
        <v>46240.0</v>
      </c>
      <c r="G1896" s="11" t="s">
        <v>10360</v>
      </c>
      <c r="H1896" s="11">
        <v>8.37447336E9</v>
      </c>
      <c r="I1896" s="11" t="s">
        <v>82</v>
      </c>
      <c r="J1896" s="11" t="s">
        <v>71</v>
      </c>
      <c r="K1896" s="11" t="s">
        <v>72</v>
      </c>
      <c r="L1896" s="11" t="s">
        <v>131</v>
      </c>
      <c r="M1896" s="11" t="s">
        <v>9847</v>
      </c>
      <c r="N1896" s="11" t="s">
        <v>75</v>
      </c>
      <c r="O1896" s="11" t="s">
        <v>71</v>
      </c>
      <c r="P1896" s="11" t="s">
        <v>10361</v>
      </c>
      <c r="Q1896" s="13" t="s">
        <v>10362</v>
      </c>
      <c r="R1896" s="14" t="str">
        <f>HYPERLINK("https://drive.google.com/file/d/1PcZw9oQ8uaU1mq7-tbYrUXDDZ2uT2L69/view?usp=drivesdk","OFFER LETTER")</f>
        <v>OFFER LETTER</v>
      </c>
      <c r="S1896" s="11" t="s">
        <v>10363</v>
      </c>
    </row>
    <row r="1897" ht="22.5" customHeight="1">
      <c r="A1897" s="10">
        <v>46266.76407738426</v>
      </c>
      <c r="B1897" s="11" t="s">
        <v>10364</v>
      </c>
      <c r="C1897" s="11" t="s">
        <v>80</v>
      </c>
      <c r="D1897" s="11" t="s">
        <v>68</v>
      </c>
      <c r="E1897" s="12">
        <v>38572.0</v>
      </c>
      <c r="F1897" s="12" t="s">
        <v>10365</v>
      </c>
      <c r="G1897" s="11" t="s">
        <v>10366</v>
      </c>
      <c r="H1897" s="11">
        <v>9.7406628E9</v>
      </c>
      <c r="I1897" s="11" t="s">
        <v>70</v>
      </c>
      <c r="J1897" s="11" t="s">
        <v>71</v>
      </c>
      <c r="K1897" s="11" t="s">
        <v>72</v>
      </c>
      <c r="L1897" s="11" t="s">
        <v>131</v>
      </c>
      <c r="M1897" s="11" t="s">
        <v>10367</v>
      </c>
      <c r="N1897" s="11" t="s">
        <v>86</v>
      </c>
      <c r="O1897" s="11" t="s">
        <v>263</v>
      </c>
      <c r="P1897" s="11" t="s">
        <v>10368</v>
      </c>
      <c r="Q1897" s="13" t="s">
        <v>10369</v>
      </c>
      <c r="R1897" s="14" t="str">
        <f>HYPERLINK("https://drive.google.com/file/d/1ZLc49sEjSORL7DEUnSjHMYSvhZtBoyJo/view?usp=drivesdk","OFFER LETTER")</f>
        <v>OFFER LETTER</v>
      </c>
      <c r="S1897" s="11" t="s">
        <v>10370</v>
      </c>
    </row>
    <row r="1898" ht="22.5" customHeight="1">
      <c r="A1898" s="10">
        <v>46266.76604300926</v>
      </c>
      <c r="B1898" s="11" t="s">
        <v>10371</v>
      </c>
      <c r="C1898" s="11" t="s">
        <v>107</v>
      </c>
      <c r="D1898" s="11" t="s">
        <v>929</v>
      </c>
      <c r="E1898" s="12">
        <v>46031.0</v>
      </c>
      <c r="F1898" s="12">
        <v>46182.0</v>
      </c>
      <c r="G1898" s="11" t="s">
        <v>10372</v>
      </c>
      <c r="H1898" s="11">
        <v>9.698881733E9</v>
      </c>
      <c r="I1898" s="11" t="s">
        <v>70</v>
      </c>
      <c r="J1898" s="11" t="s">
        <v>71</v>
      </c>
      <c r="K1898" s="11" t="s">
        <v>167</v>
      </c>
      <c r="L1898" s="11" t="s">
        <v>247</v>
      </c>
      <c r="M1898" s="11" t="s">
        <v>10373</v>
      </c>
      <c r="N1898" s="11" t="s">
        <v>86</v>
      </c>
      <c r="O1898" s="11" t="s">
        <v>71</v>
      </c>
      <c r="P1898" s="11" t="s">
        <v>10374</v>
      </c>
      <c r="Q1898" s="13" t="s">
        <v>10375</v>
      </c>
      <c r="R1898" s="14" t="str">
        <f>HYPERLINK("https://drive.google.com/file/d/1Jk3OGQxROHsIrR7oEUYGGlBNq-xQQfYF/view?usp=drivesdk","OFFER LETTER")</f>
        <v>OFFER LETTER</v>
      </c>
      <c r="S1898" s="11" t="s">
        <v>10376</v>
      </c>
    </row>
    <row r="1899" ht="22.5" customHeight="1">
      <c r="A1899" s="10">
        <v>46266.77703039352</v>
      </c>
      <c r="B1899" s="11" t="s">
        <v>10377</v>
      </c>
      <c r="C1899" s="11" t="s">
        <v>237</v>
      </c>
      <c r="D1899" s="11" t="s">
        <v>68</v>
      </c>
      <c r="E1899" s="12">
        <v>46208.0</v>
      </c>
      <c r="F1899" s="12">
        <v>46238.0</v>
      </c>
      <c r="G1899" s="11" t="s">
        <v>10378</v>
      </c>
      <c r="H1899" s="11">
        <v>8.309681454E9</v>
      </c>
      <c r="I1899" s="11" t="s">
        <v>82</v>
      </c>
      <c r="J1899" s="11" t="s">
        <v>71</v>
      </c>
      <c r="K1899" s="11" t="s">
        <v>72</v>
      </c>
      <c r="L1899" s="11" t="s">
        <v>357</v>
      </c>
      <c r="M1899" s="11" t="s">
        <v>10379</v>
      </c>
      <c r="N1899" s="11" t="s">
        <v>226</v>
      </c>
      <c r="O1899" s="11" t="s">
        <v>71</v>
      </c>
      <c r="P1899" s="11" t="s">
        <v>10380</v>
      </c>
      <c r="Q1899" s="13" t="s">
        <v>10381</v>
      </c>
      <c r="R1899" s="14" t="str">
        <f>HYPERLINK("https://drive.google.com/file/d/1UWWR7mqT-QPwC3FdXytSJJRdzW-ZeOmM/view?usp=drivesdk","OFFER LETTER")</f>
        <v>OFFER LETTER</v>
      </c>
      <c r="S1899" s="11" t="s">
        <v>10382</v>
      </c>
    </row>
    <row r="1900" ht="22.5" customHeight="1">
      <c r="A1900" s="10">
        <v>46266.78100741898</v>
      </c>
      <c r="B1900" s="11" t="s">
        <v>10383</v>
      </c>
      <c r="C1900" s="11" t="s">
        <v>165</v>
      </c>
      <c r="D1900" s="11" t="s">
        <v>68</v>
      </c>
      <c r="E1900" s="12">
        <v>46266.0</v>
      </c>
      <c r="F1900" s="12">
        <v>46295.0</v>
      </c>
      <c r="G1900" s="11" t="s">
        <v>10384</v>
      </c>
      <c r="H1900" s="11">
        <v>9.56610557E9</v>
      </c>
      <c r="I1900" s="11" t="s">
        <v>70</v>
      </c>
      <c r="J1900" s="11" t="s">
        <v>71</v>
      </c>
      <c r="K1900" s="11" t="s">
        <v>110</v>
      </c>
      <c r="L1900" s="11" t="s">
        <v>247</v>
      </c>
      <c r="M1900" s="11" t="s">
        <v>10385</v>
      </c>
      <c r="N1900" s="11" t="s">
        <v>198</v>
      </c>
      <c r="O1900" s="11" t="s">
        <v>71</v>
      </c>
      <c r="P1900" s="11" t="s">
        <v>10386</v>
      </c>
      <c r="Q1900" s="13" t="s">
        <v>10387</v>
      </c>
      <c r="R1900" s="14" t="str">
        <f>HYPERLINK("https://drive.google.com/file/d/1T6tg8D76gIRLZjrJM-W8oH5HBizj8awx/view?usp=drivesdk","OFFER LETTER")</f>
        <v>OFFER LETTER</v>
      </c>
      <c r="S1900" s="11" t="s">
        <v>10388</v>
      </c>
    </row>
    <row r="1901" ht="22.5" customHeight="1">
      <c r="A1901" s="10">
        <v>46266.790073842596</v>
      </c>
      <c r="B1901" s="11" t="s">
        <v>10389</v>
      </c>
      <c r="C1901" s="11" t="s">
        <v>80</v>
      </c>
      <c r="D1901" s="11" t="s">
        <v>68</v>
      </c>
      <c r="E1901" s="12">
        <v>46257.0</v>
      </c>
      <c r="F1901" s="12">
        <v>46287.0</v>
      </c>
      <c r="G1901" s="11" t="s">
        <v>10390</v>
      </c>
      <c r="H1901" s="11">
        <v>6.386940267E9</v>
      </c>
      <c r="I1901" s="11" t="s">
        <v>82</v>
      </c>
      <c r="J1901" s="11" t="s">
        <v>71</v>
      </c>
      <c r="K1901" s="11" t="s">
        <v>72</v>
      </c>
      <c r="L1901" s="11" t="s">
        <v>73</v>
      </c>
      <c r="M1901" s="11" t="s">
        <v>10391</v>
      </c>
      <c r="N1901" s="11" t="s">
        <v>6850</v>
      </c>
      <c r="O1901" s="11" t="s">
        <v>71</v>
      </c>
      <c r="P1901" s="11" t="s">
        <v>10392</v>
      </c>
      <c r="Q1901" s="13" t="s">
        <v>10393</v>
      </c>
      <c r="R1901" s="14" t="str">
        <f>HYPERLINK("https://drive.google.com/file/d/1-tbO460_CNxxxyKaOodQX4QIgawEckZ2/view?usp=drivesdk","OFFER LETTER")</f>
        <v>OFFER LETTER</v>
      </c>
      <c r="S1901" s="11" t="s">
        <v>10394</v>
      </c>
    </row>
    <row r="1902" ht="22.5" customHeight="1">
      <c r="A1902" s="10">
        <v>46266.80350325232</v>
      </c>
      <c r="B1902" s="11" t="s">
        <v>10301</v>
      </c>
      <c r="C1902" s="11" t="s">
        <v>128</v>
      </c>
      <c r="D1902" s="11" t="s">
        <v>68</v>
      </c>
      <c r="E1902" s="12">
        <v>46266.0</v>
      </c>
      <c r="F1902" s="12">
        <v>46296.0</v>
      </c>
      <c r="G1902" s="11" t="s">
        <v>10302</v>
      </c>
      <c r="H1902" s="11">
        <v>7.338569178E9</v>
      </c>
      <c r="I1902" s="11" t="s">
        <v>70</v>
      </c>
      <c r="J1902" s="11" t="s">
        <v>83</v>
      </c>
      <c r="K1902" s="11" t="s">
        <v>110</v>
      </c>
      <c r="L1902" s="11" t="s">
        <v>73</v>
      </c>
      <c r="M1902" s="11" t="s">
        <v>10303</v>
      </c>
      <c r="N1902" s="11" t="s">
        <v>86</v>
      </c>
      <c r="O1902" s="11" t="s">
        <v>71</v>
      </c>
      <c r="P1902" s="11" t="s">
        <v>10395</v>
      </c>
      <c r="Q1902" s="13" t="s">
        <v>10396</v>
      </c>
      <c r="R1902" s="14" t="str">
        <f>HYPERLINK("https://drive.google.com/file/d/1gbjtq3xJdO0bl9zLh92t83FdTyFcN5c0/view?usp=drivesdk","OFFER LETTER")</f>
        <v>OFFER LETTER</v>
      </c>
      <c r="S1902" s="11" t="s">
        <v>10397</v>
      </c>
    </row>
    <row r="1903" ht="22.5" customHeight="1">
      <c r="A1903" s="10">
        <v>46266.812653298606</v>
      </c>
      <c r="B1903" s="11" t="s">
        <v>10301</v>
      </c>
      <c r="C1903" s="11" t="s">
        <v>128</v>
      </c>
      <c r="D1903" s="11" t="s">
        <v>68</v>
      </c>
      <c r="E1903" s="12">
        <v>46266.0</v>
      </c>
      <c r="F1903" s="12">
        <v>46296.0</v>
      </c>
      <c r="G1903" s="11" t="s">
        <v>10302</v>
      </c>
      <c r="H1903" s="11">
        <v>7.338569178E9</v>
      </c>
      <c r="I1903" s="11" t="s">
        <v>70</v>
      </c>
      <c r="J1903" s="11" t="s">
        <v>83</v>
      </c>
      <c r="K1903" s="11" t="s">
        <v>110</v>
      </c>
      <c r="L1903" s="11" t="s">
        <v>73</v>
      </c>
      <c r="M1903" s="11" t="s">
        <v>10303</v>
      </c>
      <c r="N1903" s="11" t="s">
        <v>86</v>
      </c>
      <c r="O1903" s="11" t="s">
        <v>71</v>
      </c>
      <c r="P1903" s="11" t="s">
        <v>10398</v>
      </c>
      <c r="Q1903" s="13" t="s">
        <v>10399</v>
      </c>
      <c r="R1903" s="14" t="str">
        <f>HYPERLINK("https://drive.google.com/file/d/1Yn6bp7o917U4gJl5OoE6r9oJ8V1eoU6K/view?usp=drivesdk","OFFER LETTER")</f>
        <v>OFFER LETTER</v>
      </c>
      <c r="S1903" s="11" t="s">
        <v>10400</v>
      </c>
    </row>
    <row r="1904" ht="22.5" customHeight="1">
      <c r="A1904" s="10">
        <v>46266.821708958334</v>
      </c>
      <c r="B1904" s="11" t="s">
        <v>10401</v>
      </c>
      <c r="C1904" s="11" t="s">
        <v>91</v>
      </c>
      <c r="D1904" s="11" t="s">
        <v>238</v>
      </c>
      <c r="E1904" s="12">
        <v>46295.0</v>
      </c>
      <c r="F1904" s="12">
        <v>46386.0</v>
      </c>
      <c r="G1904" s="11" t="s">
        <v>10402</v>
      </c>
      <c r="H1904" s="11">
        <v>9.731645089E9</v>
      </c>
      <c r="I1904" s="11" t="s">
        <v>82</v>
      </c>
      <c r="J1904" s="11" t="s">
        <v>71</v>
      </c>
      <c r="K1904" s="11" t="s">
        <v>72</v>
      </c>
      <c r="L1904" s="11" t="s">
        <v>131</v>
      </c>
      <c r="M1904" s="11" t="s">
        <v>10403</v>
      </c>
      <c r="N1904" s="11" t="s">
        <v>86</v>
      </c>
      <c r="O1904" s="11" t="s">
        <v>71</v>
      </c>
      <c r="P1904" s="11" t="s">
        <v>10404</v>
      </c>
      <c r="Q1904" s="13" t="s">
        <v>10405</v>
      </c>
      <c r="R1904" s="14" t="str">
        <f>HYPERLINK("https://drive.google.com/file/d/1vdoOwT7zpHJiWSgpNtnmZXxI2frFHtpE/view?usp=drivesdk","OFFER LETTER")</f>
        <v>OFFER LETTER</v>
      </c>
      <c r="S1904" s="11" t="s">
        <v>10406</v>
      </c>
    </row>
    <row r="1905" ht="22.5" customHeight="1">
      <c r="A1905" s="10">
        <v>46266.82333421297</v>
      </c>
      <c r="B1905" s="11" t="s">
        <v>10407</v>
      </c>
      <c r="C1905" s="11" t="s">
        <v>2591</v>
      </c>
      <c r="D1905" s="11" t="s">
        <v>68</v>
      </c>
      <c r="E1905" s="12">
        <v>46266.0</v>
      </c>
      <c r="F1905" s="12">
        <v>46296.0</v>
      </c>
      <c r="G1905" s="11" t="s">
        <v>10408</v>
      </c>
      <c r="H1905" s="11">
        <v>7.019196403E9</v>
      </c>
      <c r="I1905" s="11" t="s">
        <v>82</v>
      </c>
      <c r="J1905" s="11" t="s">
        <v>83</v>
      </c>
      <c r="K1905" s="11" t="s">
        <v>72</v>
      </c>
      <c r="L1905" s="11" t="s">
        <v>131</v>
      </c>
      <c r="M1905" s="11" t="s">
        <v>7648</v>
      </c>
      <c r="N1905" s="11" t="s">
        <v>86</v>
      </c>
      <c r="O1905" s="11" t="s">
        <v>71</v>
      </c>
      <c r="P1905" s="11" t="s">
        <v>10409</v>
      </c>
      <c r="Q1905" s="13" t="s">
        <v>10410</v>
      </c>
      <c r="R1905" s="14" t="str">
        <f>HYPERLINK("https://drive.google.com/file/d/12knrn_eDrEpMbF9kfEOw7c7FjAXWSxpl/view?usp=drivesdk","OFFER LETTER")</f>
        <v>OFFER LETTER</v>
      </c>
      <c r="S1905" s="11" t="s">
        <v>10411</v>
      </c>
    </row>
    <row r="1906" ht="22.5" customHeight="1">
      <c r="A1906" s="10">
        <v>46266.826057303246</v>
      </c>
      <c r="B1906" s="11" t="s">
        <v>10412</v>
      </c>
      <c r="C1906" s="11" t="s">
        <v>173</v>
      </c>
      <c r="D1906" s="11" t="s">
        <v>68</v>
      </c>
      <c r="E1906" s="12">
        <v>46266.0</v>
      </c>
      <c r="F1906" s="12">
        <v>46295.0</v>
      </c>
      <c r="G1906" s="11" t="s">
        <v>10413</v>
      </c>
      <c r="H1906" s="11">
        <v>9.334751661E9</v>
      </c>
      <c r="I1906" s="11" t="s">
        <v>82</v>
      </c>
      <c r="J1906" s="11" t="s">
        <v>71</v>
      </c>
      <c r="K1906" s="11" t="s">
        <v>72</v>
      </c>
      <c r="L1906" s="11" t="s">
        <v>247</v>
      </c>
      <c r="M1906" s="11" t="s">
        <v>10414</v>
      </c>
      <c r="N1906" s="11" t="s">
        <v>75</v>
      </c>
      <c r="O1906" s="11" t="s">
        <v>71</v>
      </c>
      <c r="P1906" s="11" t="s">
        <v>10415</v>
      </c>
      <c r="Q1906" s="13" t="s">
        <v>10416</v>
      </c>
      <c r="R1906" s="14" t="str">
        <f>HYPERLINK("https://drive.google.com/file/d/1luOdGs6R8a_0-HDkNn2yIAE5HAjD96ou/view?usp=drivesdk","OFFER LETTER")</f>
        <v>OFFER LETTER</v>
      </c>
      <c r="S1906" s="11" t="s">
        <v>10417</v>
      </c>
    </row>
    <row r="1907" ht="22.5" customHeight="1">
      <c r="A1907" s="10">
        <v>46266.830215486116</v>
      </c>
      <c r="B1907" s="11" t="s">
        <v>10418</v>
      </c>
      <c r="C1907" s="11" t="s">
        <v>237</v>
      </c>
      <c r="D1907" s="11" t="s">
        <v>68</v>
      </c>
      <c r="E1907" s="12">
        <v>46211.0</v>
      </c>
      <c r="F1907" s="12">
        <v>46241.0</v>
      </c>
      <c r="G1907" s="11" t="s">
        <v>10419</v>
      </c>
      <c r="H1907" s="11">
        <v>9.381646504E9</v>
      </c>
      <c r="I1907" s="11" t="s">
        <v>82</v>
      </c>
      <c r="J1907" s="11" t="s">
        <v>71</v>
      </c>
      <c r="K1907" s="11" t="s">
        <v>72</v>
      </c>
      <c r="L1907" s="11" t="s">
        <v>131</v>
      </c>
      <c r="M1907" s="11" t="s">
        <v>579</v>
      </c>
      <c r="N1907" s="11" t="s">
        <v>155</v>
      </c>
      <c r="O1907" s="11" t="s">
        <v>71</v>
      </c>
      <c r="P1907" s="11" t="s">
        <v>10420</v>
      </c>
      <c r="Q1907" s="13" t="s">
        <v>10421</v>
      </c>
      <c r="R1907" s="14" t="str">
        <f>HYPERLINK("https://drive.google.com/file/d/1OK46uV6IQ2vc97alKPJSeeK5_4y7E4xh/view?usp=drivesdk","OFFER LETTER")</f>
        <v>OFFER LETTER</v>
      </c>
      <c r="S1907" s="11" t="s">
        <v>10422</v>
      </c>
    </row>
    <row r="1908" ht="22.5" customHeight="1">
      <c r="A1908" s="10">
        <v>46266.83128356481</v>
      </c>
      <c r="B1908" s="11" t="s">
        <v>10423</v>
      </c>
      <c r="C1908" s="11" t="s">
        <v>237</v>
      </c>
      <c r="D1908" s="11" t="s">
        <v>68</v>
      </c>
      <c r="E1908" s="12">
        <v>46187.0</v>
      </c>
      <c r="F1908" s="12">
        <v>46217.0</v>
      </c>
      <c r="G1908" s="11" t="s">
        <v>10424</v>
      </c>
      <c r="H1908" s="11">
        <v>9.3989191E9</v>
      </c>
      <c r="I1908" s="11" t="s">
        <v>82</v>
      </c>
      <c r="J1908" s="11" t="s">
        <v>71</v>
      </c>
      <c r="K1908" s="11" t="s">
        <v>72</v>
      </c>
      <c r="L1908" s="11" t="s">
        <v>131</v>
      </c>
      <c r="M1908" s="11" t="s">
        <v>132</v>
      </c>
      <c r="N1908" s="11" t="s">
        <v>75</v>
      </c>
      <c r="O1908" s="11" t="s">
        <v>71</v>
      </c>
      <c r="P1908" s="11" t="s">
        <v>10425</v>
      </c>
      <c r="Q1908" s="13" t="s">
        <v>10426</v>
      </c>
      <c r="R1908" s="14" t="str">
        <f>HYPERLINK("https://drive.google.com/file/d/1Vf_d82gm5yvcgDfIFR4y7pwvS6BOSUPA/view?usp=drivesdk","OFFER LETTER")</f>
        <v>OFFER LETTER</v>
      </c>
      <c r="S1908" s="11" t="s">
        <v>10427</v>
      </c>
    </row>
    <row r="1909" ht="22.5" customHeight="1">
      <c r="A1909" s="10">
        <v>46266.83908140047</v>
      </c>
      <c r="B1909" s="11" t="s">
        <v>4646</v>
      </c>
      <c r="C1909" s="11" t="s">
        <v>80</v>
      </c>
      <c r="D1909" s="11" t="s">
        <v>68</v>
      </c>
      <c r="E1909" s="12">
        <v>46221.0</v>
      </c>
      <c r="F1909" s="12">
        <v>46250.0</v>
      </c>
      <c r="G1909" s="11" t="s">
        <v>10428</v>
      </c>
      <c r="H1909" s="11">
        <v>9.518475568E9</v>
      </c>
      <c r="I1909" s="11" t="s">
        <v>82</v>
      </c>
      <c r="J1909" s="11" t="s">
        <v>71</v>
      </c>
      <c r="K1909" s="11" t="s">
        <v>72</v>
      </c>
      <c r="L1909" s="11" t="s">
        <v>73</v>
      </c>
      <c r="M1909" s="11" t="s">
        <v>10429</v>
      </c>
      <c r="N1909" s="11" t="s">
        <v>86</v>
      </c>
      <c r="O1909" s="11" t="s">
        <v>71</v>
      </c>
      <c r="P1909" s="11" t="s">
        <v>10430</v>
      </c>
      <c r="Q1909" s="13" t="s">
        <v>10431</v>
      </c>
      <c r="R1909" s="14" t="str">
        <f>HYPERLINK("https://drive.google.com/file/d/1MRxpINBbnyp3rR41899dBT2YUY9auLwm/view?usp=drivesdk","OFFER LETTER")</f>
        <v>OFFER LETTER</v>
      </c>
      <c r="S1909" s="11" t="s">
        <v>10432</v>
      </c>
    </row>
    <row r="1910" ht="22.5" customHeight="1">
      <c r="A1910" s="10">
        <v>46266.85407439814</v>
      </c>
      <c r="B1910" s="11" t="s">
        <v>9292</v>
      </c>
      <c r="C1910" s="11" t="s">
        <v>165</v>
      </c>
      <c r="D1910" s="11" t="s">
        <v>68</v>
      </c>
      <c r="E1910" s="12">
        <v>46266.0</v>
      </c>
      <c r="F1910" s="12">
        <v>46295.0</v>
      </c>
      <c r="G1910" s="11" t="s">
        <v>9293</v>
      </c>
      <c r="H1910" s="11">
        <v>6.382445467E9</v>
      </c>
      <c r="I1910" s="11" t="s">
        <v>70</v>
      </c>
      <c r="J1910" s="11" t="s">
        <v>71</v>
      </c>
      <c r="K1910" s="11" t="s">
        <v>167</v>
      </c>
      <c r="L1910" s="11" t="s">
        <v>84</v>
      </c>
      <c r="M1910" s="11" t="s">
        <v>10433</v>
      </c>
      <c r="N1910" s="11" t="s">
        <v>241</v>
      </c>
      <c r="O1910" s="11" t="s">
        <v>71</v>
      </c>
      <c r="P1910" s="11" t="s">
        <v>10434</v>
      </c>
      <c r="Q1910" s="13" t="s">
        <v>10435</v>
      </c>
      <c r="R1910" s="14" t="str">
        <f>HYPERLINK("https://drive.google.com/file/d/12SD8ynr0Eqgsp1DFaMlOMVV9WnrzX1rB/view?usp=drivesdk","OFFER LETTER")</f>
        <v>OFFER LETTER</v>
      </c>
      <c r="S1910" s="11" t="s">
        <v>10436</v>
      </c>
    </row>
    <row r="1911" ht="22.5" customHeight="1">
      <c r="A1911" s="10">
        <v>46266.85728246528</v>
      </c>
      <c r="B1911" s="11" t="s">
        <v>10437</v>
      </c>
      <c r="C1911" s="11" t="s">
        <v>237</v>
      </c>
      <c r="D1911" s="11" t="s">
        <v>68</v>
      </c>
      <c r="E1911" s="12">
        <v>46217.0</v>
      </c>
      <c r="F1911" s="12">
        <v>46247.0</v>
      </c>
      <c r="G1911" s="11" t="s">
        <v>10438</v>
      </c>
      <c r="H1911" s="11">
        <v>9.398812436E9</v>
      </c>
      <c r="I1911" s="11" t="s">
        <v>82</v>
      </c>
      <c r="J1911" s="11" t="s">
        <v>71</v>
      </c>
      <c r="K1911" s="11" t="s">
        <v>72</v>
      </c>
      <c r="L1911" s="11" t="s">
        <v>131</v>
      </c>
      <c r="M1911" s="11" t="s">
        <v>132</v>
      </c>
      <c r="N1911" s="11" t="s">
        <v>226</v>
      </c>
      <c r="O1911" s="11" t="s">
        <v>71</v>
      </c>
      <c r="P1911" s="11" t="s">
        <v>10439</v>
      </c>
      <c r="Q1911" s="13" t="s">
        <v>10440</v>
      </c>
      <c r="R1911" s="14" t="str">
        <f>HYPERLINK("https://drive.google.com/file/d/1rOG_cBnNP6jRPX4l2PrgeCLXBe3eqUtv/view?usp=drivesdk","OFFER LETTER")</f>
        <v>OFFER LETTER</v>
      </c>
      <c r="S1911" s="11" t="s">
        <v>10441</v>
      </c>
    </row>
    <row r="1912" ht="22.5" customHeight="1">
      <c r="A1912" s="10">
        <v>46266.857633321764</v>
      </c>
      <c r="B1912" s="11" t="s">
        <v>10442</v>
      </c>
      <c r="C1912" s="11" t="s">
        <v>195</v>
      </c>
      <c r="D1912" s="11" t="s">
        <v>68</v>
      </c>
      <c r="E1912" s="12">
        <v>46175.0</v>
      </c>
      <c r="F1912" s="12">
        <v>46205.0</v>
      </c>
      <c r="G1912" s="11" t="s">
        <v>10443</v>
      </c>
      <c r="H1912" s="11">
        <v>6.30586005E9</v>
      </c>
      <c r="I1912" s="11" t="s">
        <v>82</v>
      </c>
      <c r="K1912" s="11" t="s">
        <v>72</v>
      </c>
      <c r="L1912" s="11" t="s">
        <v>84</v>
      </c>
      <c r="M1912" s="11" t="s">
        <v>6592</v>
      </c>
      <c r="N1912" s="11" t="s">
        <v>655</v>
      </c>
      <c r="O1912" s="11" t="s">
        <v>71</v>
      </c>
      <c r="P1912" s="11" t="s">
        <v>10444</v>
      </c>
      <c r="Q1912" s="13" t="s">
        <v>10445</v>
      </c>
      <c r="R1912" s="14" t="str">
        <f>HYPERLINK("https://drive.google.com/file/d/1mZEYT752-fYQEHyhzG6JSRzvv1oscf-8/view?usp=drivesdk","OFFER LETTER")</f>
        <v>OFFER LETTER</v>
      </c>
      <c r="S1912" s="11" t="s">
        <v>10446</v>
      </c>
    </row>
    <row r="1913" ht="22.5" customHeight="1">
      <c r="A1913" s="10">
        <v>46266.85889310185</v>
      </c>
      <c r="B1913" s="11" t="s">
        <v>9292</v>
      </c>
      <c r="C1913" s="11" t="s">
        <v>107</v>
      </c>
      <c r="D1913" s="11" t="s">
        <v>68</v>
      </c>
      <c r="E1913" s="12">
        <v>46266.0</v>
      </c>
      <c r="F1913" s="12">
        <v>46295.0</v>
      </c>
      <c r="G1913" s="11" t="s">
        <v>9293</v>
      </c>
      <c r="H1913" s="11">
        <v>6.382445467E9</v>
      </c>
      <c r="I1913" s="11" t="s">
        <v>70</v>
      </c>
      <c r="J1913" s="11" t="s">
        <v>71</v>
      </c>
      <c r="K1913" s="11" t="s">
        <v>167</v>
      </c>
      <c r="L1913" s="11" t="s">
        <v>84</v>
      </c>
      <c r="M1913" s="11" t="s">
        <v>10447</v>
      </c>
      <c r="N1913" s="11" t="s">
        <v>241</v>
      </c>
      <c r="O1913" s="11" t="s">
        <v>71</v>
      </c>
      <c r="P1913" s="11" t="s">
        <v>10448</v>
      </c>
      <c r="Q1913" s="13" t="s">
        <v>10449</v>
      </c>
      <c r="R1913" s="14" t="str">
        <f>HYPERLINK("https://drive.google.com/file/d/1F3B9gheHiyw_CyE1ilNBxhRE0VAQxH5x/view?usp=drivesdk","OFFER LETTER")</f>
        <v>OFFER LETTER</v>
      </c>
      <c r="S1913" s="11" t="s">
        <v>10450</v>
      </c>
    </row>
    <row r="1914" ht="22.5" customHeight="1">
      <c r="A1914" s="10">
        <v>46266.86059318287</v>
      </c>
      <c r="B1914" s="11" t="s">
        <v>10451</v>
      </c>
      <c r="C1914" s="11" t="s">
        <v>173</v>
      </c>
      <c r="D1914" s="11" t="s">
        <v>68</v>
      </c>
      <c r="E1914" s="12">
        <v>46267.0</v>
      </c>
      <c r="F1914" s="12">
        <v>46296.0</v>
      </c>
      <c r="G1914" s="11" t="s">
        <v>10452</v>
      </c>
      <c r="H1914" s="11">
        <v>8.279843381E9</v>
      </c>
      <c r="I1914" s="11" t="s">
        <v>82</v>
      </c>
      <c r="J1914" s="11" t="s">
        <v>71</v>
      </c>
      <c r="K1914" s="11" t="s">
        <v>72</v>
      </c>
      <c r="L1914" s="11" t="s">
        <v>84</v>
      </c>
      <c r="M1914" s="11" t="s">
        <v>301</v>
      </c>
      <c r="N1914" s="11" t="s">
        <v>86</v>
      </c>
      <c r="O1914" s="11" t="s">
        <v>71</v>
      </c>
      <c r="P1914" s="11" t="s">
        <v>10453</v>
      </c>
      <c r="Q1914" s="13" t="s">
        <v>10454</v>
      </c>
      <c r="R1914" s="14" t="str">
        <f>HYPERLINK("https://drive.google.com/file/d/1s4yy-jMWtAJOzTgzTJQgy3ZRbctiijrM/view?usp=drivesdk","OFFER LETTER")</f>
        <v>OFFER LETTER</v>
      </c>
      <c r="S1914" s="11" t="s">
        <v>10455</v>
      </c>
    </row>
    <row r="1915" ht="22.5" customHeight="1">
      <c r="A1915" s="10">
        <v>46266.86279853009</v>
      </c>
      <c r="B1915" s="11" t="s">
        <v>10456</v>
      </c>
      <c r="C1915" s="11" t="s">
        <v>80</v>
      </c>
      <c r="D1915" s="11" t="s">
        <v>68</v>
      </c>
      <c r="E1915" s="12">
        <v>46296.0</v>
      </c>
      <c r="F1915" s="12">
        <v>46327.0</v>
      </c>
      <c r="G1915" s="11" t="s">
        <v>10408</v>
      </c>
      <c r="H1915" s="11">
        <v>7.019196403E9</v>
      </c>
      <c r="I1915" s="11" t="s">
        <v>82</v>
      </c>
      <c r="J1915" s="11" t="s">
        <v>83</v>
      </c>
      <c r="K1915" s="11" t="s">
        <v>72</v>
      </c>
      <c r="L1915" s="11" t="s">
        <v>131</v>
      </c>
      <c r="M1915" s="11" t="s">
        <v>7648</v>
      </c>
      <c r="N1915" s="11" t="s">
        <v>86</v>
      </c>
      <c r="O1915" s="11" t="s">
        <v>71</v>
      </c>
      <c r="P1915" s="11" t="s">
        <v>10457</v>
      </c>
      <c r="Q1915" s="13" t="s">
        <v>10458</v>
      </c>
      <c r="R1915" s="14" t="str">
        <f>HYPERLINK("https://drive.google.com/file/d/1AMIwkGT8yR-1C10esIuzN4l-spzLi3Rf/view?usp=drivesdk","OFFER LETTER")</f>
        <v>OFFER LETTER</v>
      </c>
      <c r="S1915" s="11" t="s">
        <v>10459</v>
      </c>
    </row>
    <row r="1916" ht="22.5" customHeight="1">
      <c r="A1916" s="10">
        <v>46266.862956689816</v>
      </c>
      <c r="B1916" s="11" t="s">
        <v>10460</v>
      </c>
      <c r="C1916" s="11" t="s">
        <v>173</v>
      </c>
      <c r="D1916" s="11" t="s">
        <v>68</v>
      </c>
      <c r="E1916" s="12">
        <v>46265.0</v>
      </c>
      <c r="F1916" s="12">
        <v>46264.0</v>
      </c>
      <c r="G1916" s="11" t="s">
        <v>10461</v>
      </c>
      <c r="H1916" s="11">
        <v>8.181098068E9</v>
      </c>
      <c r="I1916" s="11" t="s">
        <v>70</v>
      </c>
      <c r="J1916" s="11" t="s">
        <v>71</v>
      </c>
      <c r="K1916" s="11" t="s">
        <v>110</v>
      </c>
      <c r="L1916" s="11" t="s">
        <v>73</v>
      </c>
      <c r="M1916" s="11" t="s">
        <v>10462</v>
      </c>
      <c r="N1916" s="11" t="s">
        <v>86</v>
      </c>
      <c r="O1916" s="11" t="s">
        <v>71</v>
      </c>
      <c r="P1916" s="11" t="s">
        <v>10463</v>
      </c>
      <c r="Q1916" s="13" t="s">
        <v>10464</v>
      </c>
      <c r="R1916" s="14" t="str">
        <f>HYPERLINK("https://drive.google.com/file/d/11kI-HTup4b0F_70XxT520lfTAEvEBCuc/view?usp=drivesdk","OFFER LETTER")</f>
        <v>OFFER LETTER</v>
      </c>
      <c r="S1916" s="11" t="s">
        <v>10465</v>
      </c>
    </row>
    <row r="1917" ht="22.5" customHeight="1">
      <c r="A1917" s="10">
        <v>46266.86917835649</v>
      </c>
      <c r="B1917" s="11" t="s">
        <v>10466</v>
      </c>
      <c r="C1917" s="11" t="s">
        <v>195</v>
      </c>
      <c r="D1917" s="11" t="s">
        <v>68</v>
      </c>
      <c r="E1917" s="12">
        <v>46255.0</v>
      </c>
      <c r="F1917" s="12">
        <v>46286.0</v>
      </c>
      <c r="G1917" s="11" t="s">
        <v>10467</v>
      </c>
      <c r="H1917" s="11">
        <v>9.634899957E9</v>
      </c>
      <c r="I1917" s="11" t="s">
        <v>82</v>
      </c>
      <c r="J1917" s="11" t="s">
        <v>71</v>
      </c>
      <c r="K1917" s="11" t="s">
        <v>72</v>
      </c>
      <c r="L1917" s="11" t="s">
        <v>84</v>
      </c>
      <c r="M1917" s="11" t="s">
        <v>6175</v>
      </c>
      <c r="N1917" s="11" t="s">
        <v>86</v>
      </c>
      <c r="O1917" s="11" t="s">
        <v>71</v>
      </c>
      <c r="P1917" s="11" t="s">
        <v>10468</v>
      </c>
      <c r="Q1917" s="13" t="s">
        <v>10469</v>
      </c>
      <c r="R1917" s="14" t="str">
        <f>HYPERLINK("https://drive.google.com/file/d/1j3I5SEtas8HXIv0p4HUeY06X3B4ricQE/view?usp=drivesdk","OFFER LETTER")</f>
        <v>OFFER LETTER</v>
      </c>
      <c r="S1917" s="11" t="s">
        <v>10470</v>
      </c>
    </row>
    <row r="1918" ht="22.5" customHeight="1">
      <c r="A1918" s="10">
        <v>46266.87154466435</v>
      </c>
      <c r="B1918" s="11" t="s">
        <v>10471</v>
      </c>
      <c r="C1918" s="11" t="s">
        <v>128</v>
      </c>
      <c r="D1918" s="11" t="s">
        <v>68</v>
      </c>
      <c r="E1918" s="12">
        <v>46174.0</v>
      </c>
      <c r="F1918" s="12">
        <v>46203.0</v>
      </c>
      <c r="G1918" s="11" t="s">
        <v>10472</v>
      </c>
      <c r="H1918" s="11">
        <v>8.248822195E9</v>
      </c>
      <c r="I1918" s="11" t="s">
        <v>82</v>
      </c>
      <c r="J1918" s="11" t="s">
        <v>71</v>
      </c>
      <c r="K1918" s="11" t="s">
        <v>72</v>
      </c>
      <c r="L1918" s="11" t="s">
        <v>84</v>
      </c>
      <c r="M1918" s="11" t="s">
        <v>6592</v>
      </c>
      <c r="N1918" s="11" t="s">
        <v>86</v>
      </c>
      <c r="O1918" s="11" t="s">
        <v>71</v>
      </c>
      <c r="P1918" s="11" t="s">
        <v>10473</v>
      </c>
      <c r="Q1918" s="13" t="s">
        <v>10474</v>
      </c>
      <c r="R1918" s="14" t="str">
        <f>HYPERLINK("https://drive.google.com/file/d/1DvHPdP2vuYYN1u8S7R2o4nYhfrkUgoNP/view?usp=drivesdk","OFFER LETTER")</f>
        <v>OFFER LETTER</v>
      </c>
      <c r="S1918" s="11" t="s">
        <v>10475</v>
      </c>
    </row>
    <row r="1919" ht="22.5" customHeight="1">
      <c r="A1919" s="10">
        <v>46266.876722326386</v>
      </c>
      <c r="B1919" s="11" t="s">
        <v>10476</v>
      </c>
      <c r="C1919" s="11" t="s">
        <v>195</v>
      </c>
      <c r="D1919" s="11" t="s">
        <v>68</v>
      </c>
      <c r="E1919" s="12">
        <v>46028.0</v>
      </c>
      <c r="F1919" s="12">
        <v>46029.0</v>
      </c>
      <c r="G1919" s="11" t="s">
        <v>10477</v>
      </c>
      <c r="H1919" s="17" t="s">
        <v>10478</v>
      </c>
      <c r="I1919" s="11" t="s">
        <v>70</v>
      </c>
      <c r="J1919" s="11" t="s">
        <v>71</v>
      </c>
      <c r="K1919" s="11" t="s">
        <v>72</v>
      </c>
      <c r="L1919" s="11" t="s">
        <v>84</v>
      </c>
      <c r="M1919" s="11" t="s">
        <v>886</v>
      </c>
      <c r="N1919" s="11" t="s">
        <v>86</v>
      </c>
      <c r="O1919" s="11" t="s">
        <v>71</v>
      </c>
      <c r="P1919" s="11" t="s">
        <v>10479</v>
      </c>
      <c r="Q1919" s="13" t="s">
        <v>10480</v>
      </c>
      <c r="R1919" s="14" t="str">
        <f>HYPERLINK("https://drive.google.com/file/d/1_8oKcKdANgS5DK0GQPxJPETR15xLRIQ9/view?usp=drivesdk","OFFER LETTER")</f>
        <v>OFFER LETTER</v>
      </c>
      <c r="S1919" s="11" t="s">
        <v>10481</v>
      </c>
    </row>
    <row r="1920" ht="22.5" customHeight="1">
      <c r="A1920" s="10">
        <v>46266.87736784722</v>
      </c>
      <c r="B1920" s="11" t="s">
        <v>10482</v>
      </c>
      <c r="C1920" s="11" t="s">
        <v>195</v>
      </c>
      <c r="D1920" s="11" t="s">
        <v>68</v>
      </c>
      <c r="E1920" s="12">
        <v>46266.0</v>
      </c>
      <c r="F1920" s="12">
        <v>46296.0</v>
      </c>
      <c r="G1920" s="11" t="s">
        <v>10483</v>
      </c>
      <c r="H1920" s="11">
        <v>9.891307181E9</v>
      </c>
      <c r="I1920" s="11" t="s">
        <v>70</v>
      </c>
      <c r="J1920" s="11" t="s">
        <v>71</v>
      </c>
      <c r="K1920" s="11" t="s">
        <v>72</v>
      </c>
      <c r="L1920" s="11" t="s">
        <v>131</v>
      </c>
      <c r="M1920" s="11" t="s">
        <v>10484</v>
      </c>
      <c r="N1920" s="11" t="s">
        <v>75</v>
      </c>
      <c r="O1920" s="11" t="s">
        <v>71</v>
      </c>
      <c r="P1920" s="11" t="s">
        <v>10485</v>
      </c>
      <c r="Q1920" s="13" t="s">
        <v>10486</v>
      </c>
      <c r="R1920" s="14" t="str">
        <f>HYPERLINK("https://drive.google.com/file/d/1DjXiC6465MJqP6y6tvmqZiebZzxW5ubQ/view?usp=drivesdk","OFFER LETTER")</f>
        <v>OFFER LETTER</v>
      </c>
      <c r="S1920" s="11" t="s">
        <v>10487</v>
      </c>
    </row>
    <row r="1921" ht="22.5" customHeight="1">
      <c r="A1921" s="10">
        <v>46266.87838511574</v>
      </c>
      <c r="B1921" s="11" t="s">
        <v>10488</v>
      </c>
      <c r="C1921" s="11" t="s">
        <v>128</v>
      </c>
      <c r="D1921" s="11" t="s">
        <v>68</v>
      </c>
      <c r="E1921" s="12">
        <v>46174.0</v>
      </c>
      <c r="F1921" s="12">
        <v>46204.0</v>
      </c>
      <c r="G1921" s="11" t="s">
        <v>10489</v>
      </c>
      <c r="H1921" s="11">
        <v>9.789793389E9</v>
      </c>
      <c r="I1921" s="11" t="s">
        <v>82</v>
      </c>
      <c r="J1921" s="11" t="s">
        <v>130</v>
      </c>
      <c r="K1921" s="11" t="s">
        <v>72</v>
      </c>
      <c r="L1921" s="11" t="s">
        <v>84</v>
      </c>
      <c r="M1921" s="11" t="s">
        <v>10490</v>
      </c>
      <c r="N1921" s="11" t="s">
        <v>75</v>
      </c>
      <c r="O1921" s="11" t="s">
        <v>71</v>
      </c>
      <c r="P1921" s="11" t="s">
        <v>10491</v>
      </c>
      <c r="Q1921" s="13" t="s">
        <v>10492</v>
      </c>
      <c r="R1921" s="14" t="str">
        <f>HYPERLINK("https://drive.google.com/file/d/1rqMb5ml2-cbtecA6uR4n6ganPzttXfqs/view?usp=drivesdk","OFFER LETTER")</f>
        <v>OFFER LETTER</v>
      </c>
      <c r="S1921" s="11" t="s">
        <v>10493</v>
      </c>
    </row>
    <row r="1922" ht="22.5" customHeight="1">
      <c r="A1922" s="10">
        <v>46266.881574467596</v>
      </c>
      <c r="B1922" s="11" t="s">
        <v>10494</v>
      </c>
      <c r="C1922" s="11" t="s">
        <v>195</v>
      </c>
      <c r="D1922" s="11" t="s">
        <v>68</v>
      </c>
      <c r="E1922" s="12">
        <v>46204.0</v>
      </c>
      <c r="F1922" s="12">
        <v>46235.0</v>
      </c>
      <c r="G1922" s="11" t="s">
        <v>10477</v>
      </c>
      <c r="H1922" s="11">
        <v>7.536834359E9</v>
      </c>
      <c r="I1922" s="11" t="s">
        <v>70</v>
      </c>
      <c r="J1922" s="11" t="s">
        <v>71</v>
      </c>
      <c r="K1922" s="11" t="s">
        <v>72</v>
      </c>
      <c r="L1922" s="11" t="s">
        <v>84</v>
      </c>
      <c r="M1922" s="11" t="s">
        <v>2021</v>
      </c>
      <c r="N1922" s="11" t="s">
        <v>86</v>
      </c>
      <c r="O1922" s="11" t="s">
        <v>71</v>
      </c>
      <c r="P1922" s="11" t="s">
        <v>10495</v>
      </c>
      <c r="Q1922" s="13" t="s">
        <v>10496</v>
      </c>
      <c r="R1922" s="14" t="str">
        <f>HYPERLINK("https://drive.google.com/file/d/1iUdwXBDNPKM_9Y47qab5n5gSeSKvDAPx/view?usp=drivesdk","OFFER LETTER")</f>
        <v>OFFER LETTER</v>
      </c>
      <c r="S1922" s="11" t="s">
        <v>10497</v>
      </c>
    </row>
    <row r="1923" ht="22.5" customHeight="1">
      <c r="A1923" s="10">
        <v>46266.883407789355</v>
      </c>
      <c r="B1923" s="11" t="s">
        <v>10498</v>
      </c>
      <c r="C1923" s="11" t="s">
        <v>128</v>
      </c>
      <c r="D1923" s="11" t="s">
        <v>68</v>
      </c>
      <c r="E1923" s="12">
        <v>46266.0</v>
      </c>
      <c r="F1923" s="12">
        <v>46296.0</v>
      </c>
      <c r="G1923" s="11" t="s">
        <v>10499</v>
      </c>
      <c r="H1923" s="11">
        <v>7.27690017E9</v>
      </c>
      <c r="I1923" s="11" t="s">
        <v>82</v>
      </c>
      <c r="J1923" s="11" t="s">
        <v>71</v>
      </c>
      <c r="K1923" s="11" t="s">
        <v>72</v>
      </c>
      <c r="L1923" s="11" t="s">
        <v>84</v>
      </c>
      <c r="M1923" s="11" t="s">
        <v>886</v>
      </c>
      <c r="N1923" s="11" t="s">
        <v>86</v>
      </c>
      <c r="O1923" s="11" t="s">
        <v>71</v>
      </c>
      <c r="P1923" s="11" t="s">
        <v>10500</v>
      </c>
      <c r="Q1923" s="13" t="s">
        <v>10501</v>
      </c>
      <c r="R1923" s="14" t="str">
        <f>HYPERLINK("https://drive.google.com/file/d/1-Nf3aHyYsbJS9Sl25fZkqUvJO8ZCTkSt/view?usp=drivesdk","OFFER LETTER")</f>
        <v>OFFER LETTER</v>
      </c>
      <c r="S1923" s="11" t="s">
        <v>10502</v>
      </c>
    </row>
    <row r="1924" ht="22.5" customHeight="1">
      <c r="A1924" s="10">
        <v>46266.89318787037</v>
      </c>
      <c r="B1924" s="11" t="s">
        <v>10503</v>
      </c>
      <c r="C1924" s="11" t="s">
        <v>80</v>
      </c>
      <c r="D1924" s="11" t="s">
        <v>68</v>
      </c>
      <c r="E1924" s="12">
        <v>46266.0</v>
      </c>
      <c r="F1924" s="12">
        <v>46297.0</v>
      </c>
      <c r="G1924" s="11" t="s">
        <v>10504</v>
      </c>
      <c r="H1924" s="11">
        <v>9.606139149E9</v>
      </c>
      <c r="I1924" s="11" t="s">
        <v>70</v>
      </c>
      <c r="J1924" s="11" t="s">
        <v>71</v>
      </c>
      <c r="K1924" s="11" t="s">
        <v>72</v>
      </c>
      <c r="L1924" s="11" t="s">
        <v>131</v>
      </c>
      <c r="M1924" s="11" t="s">
        <v>7648</v>
      </c>
      <c r="N1924" s="11" t="s">
        <v>86</v>
      </c>
      <c r="O1924" s="11" t="s">
        <v>71</v>
      </c>
      <c r="P1924" s="11" t="s">
        <v>10505</v>
      </c>
      <c r="Q1924" s="13" t="s">
        <v>10506</v>
      </c>
      <c r="R1924" s="14" t="str">
        <f>HYPERLINK("https://drive.google.com/file/d/1g_glAsTt3zwVBm6aQQfAwsaEKcOGXeaZ/view?usp=drivesdk","OFFER LETTER")</f>
        <v>OFFER LETTER</v>
      </c>
      <c r="S1924" s="11" t="s">
        <v>10507</v>
      </c>
    </row>
    <row r="1925" ht="22.5" customHeight="1">
      <c r="A1925" s="10">
        <v>46266.89894293981</v>
      </c>
      <c r="B1925" s="11" t="s">
        <v>10508</v>
      </c>
      <c r="C1925" s="11" t="s">
        <v>91</v>
      </c>
      <c r="D1925" s="11" t="s">
        <v>68</v>
      </c>
      <c r="E1925" s="12">
        <v>46238.0</v>
      </c>
      <c r="F1925" s="12">
        <v>46269.0</v>
      </c>
      <c r="G1925" s="11" t="s">
        <v>10509</v>
      </c>
      <c r="H1925" s="11">
        <v>8.015402409E9</v>
      </c>
      <c r="I1925" s="11" t="s">
        <v>82</v>
      </c>
      <c r="J1925" s="11" t="s">
        <v>71</v>
      </c>
      <c r="K1925" s="11" t="s">
        <v>72</v>
      </c>
      <c r="L1925" s="11" t="s">
        <v>84</v>
      </c>
      <c r="M1925" s="11" t="s">
        <v>10510</v>
      </c>
      <c r="N1925" s="11" t="s">
        <v>75</v>
      </c>
      <c r="O1925" s="11" t="s">
        <v>71</v>
      </c>
      <c r="P1925" s="11" t="s">
        <v>10511</v>
      </c>
      <c r="Q1925" s="13" t="s">
        <v>10512</v>
      </c>
      <c r="R1925" s="14" t="str">
        <f>HYPERLINK("https://drive.google.com/file/d/1dnjjql4ENWULVq84Fvy4TzNw0q7GF1W9/view?usp=drivesdk","OFFER LETTER")</f>
        <v>OFFER LETTER</v>
      </c>
      <c r="S1925" s="11" t="s">
        <v>10513</v>
      </c>
    </row>
    <row r="1926" ht="22.5" customHeight="1">
      <c r="A1926" s="10">
        <v>46266.909357372686</v>
      </c>
      <c r="B1926" s="11" t="s">
        <v>10514</v>
      </c>
      <c r="C1926" s="11" t="s">
        <v>91</v>
      </c>
      <c r="D1926" s="11" t="s">
        <v>68</v>
      </c>
      <c r="E1926" s="12">
        <v>46266.0</v>
      </c>
      <c r="F1926" s="12">
        <v>46296.0</v>
      </c>
      <c r="G1926" s="11" t="s">
        <v>10515</v>
      </c>
      <c r="H1926" s="11">
        <v>9.691354543E9</v>
      </c>
      <c r="I1926" s="11" t="s">
        <v>70</v>
      </c>
      <c r="J1926" s="11" t="s">
        <v>71</v>
      </c>
      <c r="K1926" s="11" t="s">
        <v>110</v>
      </c>
      <c r="L1926" s="11" t="s">
        <v>73</v>
      </c>
      <c r="M1926" s="11" t="s">
        <v>10516</v>
      </c>
      <c r="N1926" s="11" t="s">
        <v>86</v>
      </c>
      <c r="O1926" s="11" t="s">
        <v>71</v>
      </c>
      <c r="P1926" s="11" t="s">
        <v>10517</v>
      </c>
      <c r="Q1926" s="13" t="s">
        <v>10518</v>
      </c>
      <c r="R1926" s="14" t="str">
        <f>HYPERLINK("https://drive.google.com/file/d/16KIYrbHtAN2OV1d_TSQ-IYErP_7oSK8c/view?usp=drivesdk","OFFER LETTER")</f>
        <v>OFFER LETTER</v>
      </c>
      <c r="S1926" s="11" t="s">
        <v>10519</v>
      </c>
    </row>
    <row r="1927" ht="22.5" customHeight="1">
      <c r="A1927" s="10">
        <v>46266.913210694445</v>
      </c>
      <c r="B1927" s="11" t="s">
        <v>10520</v>
      </c>
      <c r="C1927" s="11" t="s">
        <v>173</v>
      </c>
      <c r="D1927" s="11" t="s">
        <v>68</v>
      </c>
      <c r="E1927" s="12">
        <v>46240.0</v>
      </c>
      <c r="F1927" s="12">
        <v>46271.0</v>
      </c>
      <c r="G1927" s="11" t="s">
        <v>10521</v>
      </c>
      <c r="H1927" s="11">
        <v>9.55945504E9</v>
      </c>
      <c r="I1927" s="11" t="s">
        <v>82</v>
      </c>
      <c r="J1927" s="11" t="s">
        <v>71</v>
      </c>
      <c r="K1927" s="11" t="s">
        <v>72</v>
      </c>
      <c r="L1927" s="11" t="s">
        <v>131</v>
      </c>
      <c r="M1927" s="11" t="s">
        <v>10522</v>
      </c>
      <c r="N1927" s="11" t="s">
        <v>241</v>
      </c>
      <c r="O1927" s="11" t="s">
        <v>71</v>
      </c>
      <c r="P1927" s="11" t="s">
        <v>10523</v>
      </c>
      <c r="Q1927" s="13" t="s">
        <v>10524</v>
      </c>
      <c r="R1927" s="14" t="str">
        <f>HYPERLINK("https://drive.google.com/file/d/1nDeJON72qe0E3ch5rXi6njmmLRx3xRCA/view?usp=drivesdk","OFFER LETTER")</f>
        <v>OFFER LETTER</v>
      </c>
      <c r="S1927" s="11" t="s">
        <v>10525</v>
      </c>
    </row>
    <row r="1928" ht="22.5" customHeight="1">
      <c r="A1928" s="10">
        <v>46266.917108587964</v>
      </c>
      <c r="B1928" s="11" t="s">
        <v>10526</v>
      </c>
      <c r="C1928" s="11" t="s">
        <v>80</v>
      </c>
      <c r="D1928" s="11" t="s">
        <v>68</v>
      </c>
      <c r="E1928" s="12">
        <v>46235.0</v>
      </c>
      <c r="F1928" s="12">
        <v>46265.0</v>
      </c>
      <c r="G1928" s="11" t="s">
        <v>10527</v>
      </c>
      <c r="H1928" s="11">
        <v>8.218633615E9</v>
      </c>
      <c r="I1928" s="11" t="s">
        <v>82</v>
      </c>
      <c r="J1928" s="11" t="s">
        <v>71</v>
      </c>
      <c r="K1928" s="11" t="s">
        <v>72</v>
      </c>
      <c r="L1928" s="11" t="s">
        <v>131</v>
      </c>
      <c r="M1928" s="11" t="s">
        <v>10528</v>
      </c>
      <c r="N1928" s="11" t="s">
        <v>198</v>
      </c>
      <c r="O1928" s="11" t="s">
        <v>130</v>
      </c>
      <c r="P1928" s="11" t="s">
        <v>10529</v>
      </c>
      <c r="Q1928" s="13" t="s">
        <v>10530</v>
      </c>
      <c r="R1928" s="14" t="str">
        <f>HYPERLINK("https://drive.google.com/file/d/1kaImrMGB3dMa0jwWw224nm6oJQjb7Q84/view?usp=drivesdk","OFFER LETTER")</f>
        <v>OFFER LETTER</v>
      </c>
      <c r="S1928" s="11" t="s">
        <v>10531</v>
      </c>
    </row>
    <row r="1929" ht="22.5" customHeight="1">
      <c r="A1929" s="10">
        <v>46266.92106143519</v>
      </c>
      <c r="B1929" s="11" t="s">
        <v>10532</v>
      </c>
      <c r="C1929" s="11" t="s">
        <v>195</v>
      </c>
      <c r="D1929" s="11" t="s">
        <v>68</v>
      </c>
      <c r="E1929" s="12">
        <v>46266.0</v>
      </c>
      <c r="F1929" s="12">
        <v>46296.0</v>
      </c>
      <c r="G1929" s="11" t="s">
        <v>10533</v>
      </c>
      <c r="H1929" s="11">
        <v>9.21014915E9</v>
      </c>
      <c r="I1929" s="11" t="s">
        <v>82</v>
      </c>
      <c r="J1929" s="11" t="s">
        <v>83</v>
      </c>
      <c r="K1929" s="11" t="s">
        <v>72</v>
      </c>
      <c r="L1929" s="11" t="s">
        <v>73</v>
      </c>
      <c r="M1929" s="11" t="s">
        <v>197</v>
      </c>
      <c r="N1929" s="11" t="s">
        <v>86</v>
      </c>
      <c r="O1929" s="11" t="s">
        <v>263</v>
      </c>
      <c r="P1929" s="11" t="s">
        <v>10534</v>
      </c>
      <c r="Q1929" s="13" t="s">
        <v>10535</v>
      </c>
      <c r="R1929" s="14" t="str">
        <f>HYPERLINK("https://drive.google.com/file/d/1Y8FA8fK4JKlYW08416aF5NAI_bONyrNm/view?usp=drivesdk","OFFER LETTER")</f>
        <v>OFFER LETTER</v>
      </c>
      <c r="S1929" s="11" t="s">
        <v>10536</v>
      </c>
    </row>
    <row r="1930" ht="22.5" customHeight="1">
      <c r="A1930" s="10">
        <v>46266.92131289352</v>
      </c>
      <c r="B1930" s="11" t="s">
        <v>10537</v>
      </c>
      <c r="C1930" s="11" t="s">
        <v>91</v>
      </c>
      <c r="D1930" s="11" t="s">
        <v>68</v>
      </c>
      <c r="E1930" s="12">
        <v>46266.0</v>
      </c>
      <c r="F1930" s="12">
        <v>46296.0</v>
      </c>
      <c r="G1930" s="11" t="s">
        <v>10538</v>
      </c>
      <c r="H1930" s="11">
        <v>9.302004276E9</v>
      </c>
      <c r="I1930" s="11" t="s">
        <v>70</v>
      </c>
      <c r="J1930" s="11" t="s">
        <v>71</v>
      </c>
      <c r="K1930" s="11" t="s">
        <v>110</v>
      </c>
      <c r="L1930" s="11" t="s">
        <v>73</v>
      </c>
      <c r="M1930" s="11" t="s">
        <v>10539</v>
      </c>
      <c r="N1930" s="11" t="s">
        <v>86</v>
      </c>
      <c r="O1930" s="11" t="s">
        <v>71</v>
      </c>
      <c r="P1930" s="11" t="s">
        <v>10540</v>
      </c>
      <c r="Q1930" s="13" t="s">
        <v>10541</v>
      </c>
      <c r="R1930" s="14" t="str">
        <f>HYPERLINK("https://drive.google.com/file/d/1UUqguLPK9OVLeVTXA1Nd3UJB7B0YcPZ_/view?usp=drivesdk","OFFER LETTER")</f>
        <v>OFFER LETTER</v>
      </c>
      <c r="S1930" s="11" t="s">
        <v>10542</v>
      </c>
    </row>
    <row r="1931" ht="22.5" customHeight="1">
      <c r="A1931" s="10">
        <v>46266.92334159723</v>
      </c>
      <c r="B1931" s="11" t="s">
        <v>10543</v>
      </c>
      <c r="C1931" s="11" t="s">
        <v>80</v>
      </c>
      <c r="D1931" s="11" t="s">
        <v>68</v>
      </c>
      <c r="E1931" s="12">
        <v>46266.0</v>
      </c>
      <c r="F1931" s="12">
        <v>46297.0</v>
      </c>
      <c r="G1931" s="11" t="s">
        <v>10544</v>
      </c>
      <c r="H1931" s="11">
        <v>9.380862693E9</v>
      </c>
      <c r="I1931" s="11" t="s">
        <v>70</v>
      </c>
      <c r="J1931" s="11" t="s">
        <v>71</v>
      </c>
      <c r="K1931" s="11" t="s">
        <v>72</v>
      </c>
      <c r="L1931" s="11" t="s">
        <v>131</v>
      </c>
      <c r="M1931" s="11" t="s">
        <v>10545</v>
      </c>
      <c r="N1931" s="11" t="s">
        <v>86</v>
      </c>
      <c r="O1931" s="11" t="s">
        <v>71</v>
      </c>
      <c r="P1931" s="11" t="s">
        <v>10546</v>
      </c>
      <c r="Q1931" s="13" t="s">
        <v>10547</v>
      </c>
      <c r="R1931" s="14" t="str">
        <f>HYPERLINK("https://drive.google.com/file/d/16ZOKBkonyHYR7EL5GWaosRajb-rx4aTB/view?usp=drivesdk","OFFER LETTER")</f>
        <v>OFFER LETTER</v>
      </c>
      <c r="S1931" s="11" t="s">
        <v>10548</v>
      </c>
    </row>
    <row r="1932" ht="22.5" customHeight="1">
      <c r="A1932" s="10">
        <v>46266.935704965275</v>
      </c>
      <c r="B1932" s="11" t="s">
        <v>10549</v>
      </c>
      <c r="C1932" s="11" t="s">
        <v>195</v>
      </c>
      <c r="D1932" s="11" t="s">
        <v>68</v>
      </c>
      <c r="E1932" s="12">
        <v>46266.0</v>
      </c>
      <c r="F1932" s="12">
        <v>46296.0</v>
      </c>
      <c r="G1932" s="11" t="s">
        <v>10550</v>
      </c>
      <c r="H1932" s="11">
        <v>7.752040277E9</v>
      </c>
      <c r="I1932" s="11" t="s">
        <v>82</v>
      </c>
      <c r="J1932" s="11" t="s">
        <v>71</v>
      </c>
      <c r="K1932" s="11" t="s">
        <v>167</v>
      </c>
      <c r="L1932" s="11" t="s">
        <v>247</v>
      </c>
      <c r="M1932" s="11" t="s">
        <v>10551</v>
      </c>
      <c r="N1932" s="11" t="s">
        <v>75</v>
      </c>
      <c r="O1932" s="11" t="s">
        <v>71</v>
      </c>
      <c r="P1932" s="11" t="s">
        <v>10552</v>
      </c>
      <c r="Q1932" s="13" t="s">
        <v>10553</v>
      </c>
      <c r="R1932" s="14" t="str">
        <f>HYPERLINK("https://drive.google.com/file/d/10TkOwxiPyEik3GYStMGhGSl69UMYw6Vn/view?usp=drivesdk","OFFER LETTER")</f>
        <v>OFFER LETTER</v>
      </c>
      <c r="S1932" s="11" t="s">
        <v>10554</v>
      </c>
    </row>
    <row r="1933" ht="22.5" customHeight="1">
      <c r="A1933" s="10">
        <v>46266.94263260417</v>
      </c>
      <c r="B1933" s="11" t="s">
        <v>10555</v>
      </c>
      <c r="C1933" s="11" t="s">
        <v>128</v>
      </c>
      <c r="D1933" s="11" t="s">
        <v>108</v>
      </c>
      <c r="E1933" s="12">
        <v>46266.0</v>
      </c>
      <c r="F1933" s="12">
        <v>46327.0</v>
      </c>
      <c r="G1933" s="11" t="s">
        <v>10556</v>
      </c>
      <c r="H1933" s="11">
        <v>8.103296163E9</v>
      </c>
      <c r="I1933" s="11" t="s">
        <v>82</v>
      </c>
      <c r="J1933" s="11" t="s">
        <v>83</v>
      </c>
      <c r="K1933" s="11" t="s">
        <v>72</v>
      </c>
      <c r="L1933" s="11" t="s">
        <v>131</v>
      </c>
      <c r="M1933" s="11" t="s">
        <v>10557</v>
      </c>
      <c r="N1933" s="11" t="s">
        <v>75</v>
      </c>
      <c r="O1933" s="11" t="s">
        <v>71</v>
      </c>
      <c r="P1933" s="11" t="s">
        <v>10558</v>
      </c>
      <c r="Q1933" s="13" t="s">
        <v>10559</v>
      </c>
      <c r="R1933" s="14" t="str">
        <f>HYPERLINK("https://drive.google.com/file/d/189UQarNMIloHCyYZxf4JLNy6diyZcjcm/view?usp=drivesdk","OFFER LETTER")</f>
        <v>OFFER LETTER</v>
      </c>
      <c r="S1933" s="11" t="s">
        <v>10560</v>
      </c>
    </row>
    <row r="1934" ht="22.5" customHeight="1">
      <c r="A1934" s="10">
        <v>46266.94424589121</v>
      </c>
      <c r="B1934" s="11" t="s">
        <v>10561</v>
      </c>
      <c r="C1934" s="11" t="s">
        <v>195</v>
      </c>
      <c r="D1934" s="11" t="s">
        <v>68</v>
      </c>
      <c r="E1934" s="12">
        <v>46235.0</v>
      </c>
      <c r="F1934" s="12">
        <v>46266.0</v>
      </c>
      <c r="G1934" s="11" t="s">
        <v>10562</v>
      </c>
      <c r="H1934" s="11">
        <v>9.927052911E9</v>
      </c>
      <c r="I1934" s="11" t="s">
        <v>70</v>
      </c>
      <c r="J1934" s="11" t="s">
        <v>71</v>
      </c>
      <c r="K1934" s="11" t="s">
        <v>72</v>
      </c>
      <c r="L1934" s="11" t="s">
        <v>84</v>
      </c>
      <c r="M1934" s="11" t="s">
        <v>886</v>
      </c>
      <c r="N1934" s="11" t="s">
        <v>86</v>
      </c>
      <c r="O1934" s="11" t="s">
        <v>71</v>
      </c>
      <c r="P1934" s="11" t="s">
        <v>10563</v>
      </c>
      <c r="Q1934" s="13" t="s">
        <v>10564</v>
      </c>
      <c r="R1934" s="14" t="str">
        <f>HYPERLINK("https://drive.google.com/file/d/18zP5rLJIL_7SuKNLTzeubVrbDz8znKYE/view?usp=drivesdk","OFFER LETTER")</f>
        <v>OFFER LETTER</v>
      </c>
      <c r="S1934" s="11" t="s">
        <v>10565</v>
      </c>
    </row>
    <row r="1935" ht="22.5" customHeight="1">
      <c r="A1935" s="10">
        <v>46266.950745277776</v>
      </c>
      <c r="B1935" s="11" t="s">
        <v>9340</v>
      </c>
      <c r="C1935" s="11" t="s">
        <v>173</v>
      </c>
      <c r="D1935" s="11" t="s">
        <v>68</v>
      </c>
      <c r="E1935" s="12">
        <v>46265.0</v>
      </c>
      <c r="F1935" s="12">
        <v>46279.0</v>
      </c>
      <c r="G1935" s="11" t="s">
        <v>9341</v>
      </c>
      <c r="H1935" s="11">
        <v>8.80920184E9</v>
      </c>
      <c r="I1935" s="11" t="s">
        <v>82</v>
      </c>
      <c r="J1935" s="11" t="s">
        <v>71</v>
      </c>
      <c r="K1935" s="11" t="s">
        <v>72</v>
      </c>
      <c r="L1935" s="11" t="s">
        <v>84</v>
      </c>
      <c r="M1935" s="11" t="s">
        <v>7006</v>
      </c>
      <c r="N1935" s="11" t="s">
        <v>47</v>
      </c>
      <c r="O1935" s="11" t="s">
        <v>71</v>
      </c>
      <c r="P1935" s="11" t="s">
        <v>10566</v>
      </c>
      <c r="Q1935" s="13" t="s">
        <v>10567</v>
      </c>
      <c r="R1935" s="14" t="str">
        <f>HYPERLINK("https://drive.google.com/file/d/1yWESnoWVWig50g7pH4GYZtdPoiKEjo7U/view?usp=drivesdk","OFFER LETTER")</f>
        <v>OFFER LETTER</v>
      </c>
      <c r="S1935" s="11" t="s">
        <v>10568</v>
      </c>
    </row>
    <row r="1936" ht="22.5" customHeight="1">
      <c r="A1936" s="10">
        <v>46266.95398385417</v>
      </c>
      <c r="B1936" s="11" t="s">
        <v>10569</v>
      </c>
      <c r="C1936" s="11" t="s">
        <v>195</v>
      </c>
      <c r="D1936" s="11" t="s">
        <v>68</v>
      </c>
      <c r="E1936" s="12">
        <v>46274.0</v>
      </c>
      <c r="F1936" s="12">
        <v>46304.0</v>
      </c>
      <c r="G1936" s="11" t="s">
        <v>10570</v>
      </c>
      <c r="H1936" s="11">
        <v>8.9763161E9</v>
      </c>
      <c r="I1936" s="11" t="s">
        <v>82</v>
      </c>
      <c r="J1936" s="11" t="s">
        <v>71</v>
      </c>
      <c r="K1936" s="11" t="s">
        <v>72</v>
      </c>
      <c r="L1936" s="11" t="s">
        <v>73</v>
      </c>
      <c r="M1936" s="11" t="s">
        <v>10571</v>
      </c>
      <c r="N1936" s="11" t="s">
        <v>86</v>
      </c>
      <c r="O1936" s="11" t="s">
        <v>71</v>
      </c>
      <c r="P1936" s="11" t="s">
        <v>10572</v>
      </c>
      <c r="Q1936" s="13" t="s">
        <v>10573</v>
      </c>
      <c r="R1936" s="14" t="str">
        <f>HYPERLINK("https://drive.google.com/file/d/1js_x8IUBLyi1L7XeDKOsZW3yiHIzhPha/view?usp=drivesdk","OFFER LETTER")</f>
        <v>OFFER LETTER</v>
      </c>
      <c r="S1936" s="11" t="s">
        <v>10574</v>
      </c>
    </row>
    <row r="1937" ht="22.5" customHeight="1">
      <c r="A1937" s="10">
        <v>46266.957298078705</v>
      </c>
      <c r="B1937" s="11" t="s">
        <v>10575</v>
      </c>
      <c r="C1937" s="11" t="s">
        <v>80</v>
      </c>
      <c r="D1937" s="11" t="s">
        <v>68</v>
      </c>
      <c r="E1937" s="12">
        <v>46266.0</v>
      </c>
      <c r="F1937" s="12">
        <v>46296.0</v>
      </c>
      <c r="G1937" s="11" t="s">
        <v>8104</v>
      </c>
      <c r="H1937" s="11">
        <v>8.660768219E9</v>
      </c>
      <c r="I1937" s="11" t="s">
        <v>82</v>
      </c>
      <c r="J1937" s="11" t="s">
        <v>71</v>
      </c>
      <c r="K1937" s="11" t="s">
        <v>72</v>
      </c>
      <c r="L1937" s="11" t="s">
        <v>131</v>
      </c>
      <c r="M1937" s="11" t="s">
        <v>10576</v>
      </c>
      <c r="N1937" s="11" t="s">
        <v>75</v>
      </c>
      <c r="O1937" s="11" t="s">
        <v>71</v>
      </c>
      <c r="P1937" s="11" t="s">
        <v>10577</v>
      </c>
      <c r="Q1937" s="13" t="s">
        <v>10578</v>
      </c>
      <c r="R1937" s="14" t="str">
        <f>HYPERLINK("https://drive.google.com/file/d/1LiXYZL7_NaBDUC6h0T8SjJWzt-DHicnh/view?usp=drivesdk","OFFER LETTER")</f>
        <v>OFFER LETTER</v>
      </c>
      <c r="S1937" s="11" t="s">
        <v>10579</v>
      </c>
    </row>
    <row r="1938" ht="22.5" customHeight="1">
      <c r="A1938" s="10">
        <v>46266.9620994213</v>
      </c>
      <c r="B1938" s="11" t="s">
        <v>10580</v>
      </c>
      <c r="C1938" s="11" t="s">
        <v>107</v>
      </c>
      <c r="D1938" s="11" t="s">
        <v>68</v>
      </c>
      <c r="E1938" s="12">
        <v>46266.0</v>
      </c>
      <c r="F1938" s="12">
        <v>46295.0</v>
      </c>
      <c r="G1938" s="11" t="s">
        <v>10581</v>
      </c>
      <c r="H1938" s="11">
        <v>8.828715823E9</v>
      </c>
      <c r="I1938" s="11" t="s">
        <v>70</v>
      </c>
      <c r="J1938" s="11" t="s">
        <v>71</v>
      </c>
      <c r="K1938" s="11" t="s">
        <v>72</v>
      </c>
      <c r="L1938" s="11" t="s">
        <v>84</v>
      </c>
      <c r="M1938" s="11" t="s">
        <v>10582</v>
      </c>
      <c r="N1938" s="11" t="s">
        <v>86</v>
      </c>
      <c r="O1938" s="11" t="s">
        <v>71</v>
      </c>
      <c r="P1938" s="11" t="s">
        <v>10583</v>
      </c>
      <c r="Q1938" s="13" t="s">
        <v>10584</v>
      </c>
      <c r="R1938" s="14" t="str">
        <f>HYPERLINK("https://drive.google.com/file/d/158vp7AHQMEeddiYQO_gDLUEKWUtkmcfv/view?usp=drivesdk","OFFER LETTER")</f>
        <v>OFFER LETTER</v>
      </c>
      <c r="S1938" s="11" t="s">
        <v>10585</v>
      </c>
    </row>
    <row r="1939" ht="22.5" customHeight="1">
      <c r="A1939" s="10">
        <v>46266.96406690972</v>
      </c>
      <c r="B1939" s="11" t="s">
        <v>10586</v>
      </c>
      <c r="C1939" s="11" t="s">
        <v>107</v>
      </c>
      <c r="D1939" s="11" t="s">
        <v>68</v>
      </c>
      <c r="E1939" s="12">
        <v>46267.0</v>
      </c>
      <c r="F1939" s="12">
        <v>46310.0</v>
      </c>
      <c r="G1939" s="11" t="s">
        <v>10587</v>
      </c>
      <c r="H1939" s="11">
        <v>8.921941544E9</v>
      </c>
      <c r="I1939" s="11" t="s">
        <v>70</v>
      </c>
      <c r="J1939" s="11" t="s">
        <v>130</v>
      </c>
      <c r="K1939" s="11" t="s">
        <v>72</v>
      </c>
      <c r="L1939" s="11" t="s">
        <v>247</v>
      </c>
      <c r="M1939" s="11" t="s">
        <v>4773</v>
      </c>
      <c r="N1939" s="11" t="s">
        <v>226</v>
      </c>
      <c r="O1939" s="11" t="s">
        <v>71</v>
      </c>
      <c r="P1939" s="11" t="s">
        <v>10588</v>
      </c>
      <c r="Q1939" s="13" t="s">
        <v>10589</v>
      </c>
      <c r="R1939" s="14" t="str">
        <f>HYPERLINK("https://drive.google.com/file/d/1kkG1-C2Vv_ma_OpVyya9EAPm2Mv4jZzU/view?usp=drivesdk","OFFER LETTER")</f>
        <v>OFFER LETTER</v>
      </c>
      <c r="S1939" s="11" t="s">
        <v>10590</v>
      </c>
    </row>
    <row r="1940" ht="22.5" customHeight="1">
      <c r="A1940" s="10">
        <v>46266.96693707176</v>
      </c>
      <c r="B1940" s="11" t="s">
        <v>10591</v>
      </c>
      <c r="C1940" s="11" t="s">
        <v>165</v>
      </c>
      <c r="D1940" s="11" t="s">
        <v>68</v>
      </c>
      <c r="E1940" s="12">
        <v>46266.0</v>
      </c>
      <c r="F1940" s="12">
        <v>46296.0</v>
      </c>
      <c r="G1940" s="11" t="s">
        <v>10169</v>
      </c>
      <c r="H1940" s="11">
        <v>6.381448823E9</v>
      </c>
      <c r="I1940" s="11" t="s">
        <v>70</v>
      </c>
      <c r="J1940" s="11" t="s">
        <v>71</v>
      </c>
      <c r="K1940" s="11" t="s">
        <v>167</v>
      </c>
      <c r="L1940" s="11" t="s">
        <v>84</v>
      </c>
      <c r="M1940" s="11" t="s">
        <v>10592</v>
      </c>
      <c r="N1940" s="11" t="s">
        <v>86</v>
      </c>
      <c r="O1940" s="11" t="s">
        <v>71</v>
      </c>
      <c r="P1940" s="11" t="s">
        <v>10593</v>
      </c>
      <c r="Q1940" s="13" t="s">
        <v>10594</v>
      </c>
      <c r="R1940" s="14" t="str">
        <f>HYPERLINK("https://drive.google.com/file/d/1dlMBcw4MPRdBVfZRpvaT2Z8T8_fb0Xfd/view?usp=drivesdk","OFFER LETTER")</f>
        <v>OFFER LETTER</v>
      </c>
      <c r="S1940" s="11" t="s">
        <v>10595</v>
      </c>
    </row>
    <row r="1941" ht="22.5" customHeight="1">
      <c r="A1941" s="10">
        <v>46266.97233280093</v>
      </c>
      <c r="B1941" s="11" t="s">
        <v>10596</v>
      </c>
      <c r="C1941" s="11" t="s">
        <v>354</v>
      </c>
      <c r="D1941" s="11" t="s">
        <v>68</v>
      </c>
      <c r="E1941" s="12">
        <v>46237.0</v>
      </c>
      <c r="F1941" s="12">
        <v>46268.0</v>
      </c>
      <c r="G1941" s="11" t="s">
        <v>10597</v>
      </c>
      <c r="H1941" s="11">
        <v>9.205565086E9</v>
      </c>
      <c r="I1941" s="11" t="s">
        <v>82</v>
      </c>
      <c r="J1941" s="11" t="s">
        <v>83</v>
      </c>
      <c r="K1941" s="11" t="s">
        <v>72</v>
      </c>
      <c r="L1941" s="11" t="s">
        <v>131</v>
      </c>
      <c r="M1941" s="11" t="s">
        <v>10598</v>
      </c>
      <c r="N1941" s="11" t="s">
        <v>198</v>
      </c>
      <c r="O1941" s="11" t="s">
        <v>71</v>
      </c>
      <c r="P1941" s="11" t="s">
        <v>10599</v>
      </c>
      <c r="Q1941" s="13" t="s">
        <v>10600</v>
      </c>
      <c r="R1941" s="14" t="str">
        <f>HYPERLINK("https://drive.google.com/file/d/12Fumd2wk_vDHxAYkAICvl5T_NwTFi9zl/view?usp=drivesdk","OFFER LETTER")</f>
        <v>OFFER LETTER</v>
      </c>
      <c r="S1941" s="11" t="s">
        <v>10601</v>
      </c>
    </row>
    <row r="1942" ht="22.5" customHeight="1">
      <c r="A1942" s="10">
        <v>46267.01449695602</v>
      </c>
      <c r="B1942" s="11" t="s">
        <v>10602</v>
      </c>
      <c r="C1942" s="11" t="s">
        <v>128</v>
      </c>
      <c r="D1942" s="11" t="s">
        <v>238</v>
      </c>
      <c r="E1942" s="12">
        <v>46213.0</v>
      </c>
      <c r="F1942" s="12">
        <v>46305.0</v>
      </c>
      <c r="G1942" s="11" t="s">
        <v>10603</v>
      </c>
      <c r="H1942" s="11">
        <v>9.932787569E9</v>
      </c>
      <c r="I1942" s="11" t="s">
        <v>82</v>
      </c>
      <c r="J1942" s="11" t="s">
        <v>71</v>
      </c>
      <c r="K1942" s="11" t="s">
        <v>72</v>
      </c>
      <c r="L1942" s="11" t="s">
        <v>247</v>
      </c>
      <c r="M1942" s="11" t="s">
        <v>10604</v>
      </c>
      <c r="N1942" s="11" t="s">
        <v>198</v>
      </c>
      <c r="O1942" s="11" t="s">
        <v>71</v>
      </c>
      <c r="P1942" s="11" t="s">
        <v>10605</v>
      </c>
      <c r="Q1942" s="13" t="s">
        <v>10606</v>
      </c>
      <c r="R1942" s="14" t="str">
        <f>HYPERLINK("https://drive.google.com/file/d/1NdmScYJ_caAcv-G5r_3OvvLyMqUV46Cq/view?usp=drivesdk","OFFER LETTER")</f>
        <v>OFFER LETTER</v>
      </c>
      <c r="S1942" s="11" t="s">
        <v>10607</v>
      </c>
    </row>
    <row r="1943" ht="22.5" customHeight="1">
      <c r="A1943" s="10">
        <v>46267.020301157405</v>
      </c>
      <c r="B1943" s="11" t="s">
        <v>10608</v>
      </c>
      <c r="C1943" s="11" t="s">
        <v>173</v>
      </c>
      <c r="D1943" s="11" t="s">
        <v>238</v>
      </c>
      <c r="E1943" s="12">
        <v>46268.0</v>
      </c>
      <c r="F1943" s="12">
        <v>46359.0</v>
      </c>
      <c r="G1943" s="11" t="s">
        <v>10609</v>
      </c>
      <c r="H1943" s="11" t="s">
        <v>10610</v>
      </c>
      <c r="I1943" s="11" t="s">
        <v>70</v>
      </c>
      <c r="J1943" s="11" t="s">
        <v>71</v>
      </c>
      <c r="K1943" s="11" t="s">
        <v>110</v>
      </c>
      <c r="L1943" s="11" t="s">
        <v>73</v>
      </c>
      <c r="M1943" s="11" t="s">
        <v>10611</v>
      </c>
      <c r="N1943" s="11" t="s">
        <v>86</v>
      </c>
      <c r="O1943" s="11" t="s">
        <v>71</v>
      </c>
      <c r="P1943" s="11" t="s">
        <v>10612</v>
      </c>
      <c r="Q1943" s="13" t="s">
        <v>10613</v>
      </c>
      <c r="R1943" s="14" t="str">
        <f>HYPERLINK("https://drive.google.com/file/d/1WP5GFHkbhXJQTOSJbMSVk-tsvwSwCtFD/view?usp=drivesdk","OFFER LETTER")</f>
        <v>OFFER LETTER</v>
      </c>
      <c r="S1943" s="11" t="s">
        <v>10614</v>
      </c>
    </row>
    <row r="1944" ht="22.5" customHeight="1">
      <c r="A1944" s="10">
        <v>46267.26695373842</v>
      </c>
      <c r="B1944" s="11" t="s">
        <v>10615</v>
      </c>
      <c r="C1944" s="11" t="s">
        <v>237</v>
      </c>
      <c r="D1944" s="11" t="s">
        <v>929</v>
      </c>
      <c r="E1944" s="12">
        <v>46258.0</v>
      </c>
      <c r="F1944" s="12">
        <v>46569.0</v>
      </c>
      <c r="G1944" s="11" t="s">
        <v>10616</v>
      </c>
      <c r="H1944" s="11">
        <v>9.360548243E9</v>
      </c>
      <c r="I1944" s="11" t="s">
        <v>82</v>
      </c>
      <c r="J1944" s="11" t="s">
        <v>71</v>
      </c>
      <c r="K1944" s="11" t="s">
        <v>167</v>
      </c>
      <c r="L1944" s="11" t="s">
        <v>247</v>
      </c>
      <c r="M1944" s="11" t="s">
        <v>5473</v>
      </c>
      <c r="N1944" s="11" t="s">
        <v>2778</v>
      </c>
      <c r="O1944" s="11" t="s">
        <v>71</v>
      </c>
      <c r="P1944" s="11" t="s">
        <v>10617</v>
      </c>
      <c r="Q1944" s="13" t="s">
        <v>10618</v>
      </c>
      <c r="R1944" s="14" t="str">
        <f>HYPERLINK("https://drive.google.com/file/d/1OLRWEqdk92mH8AlDYYUncxVENoWbN0zf/view?usp=drivesdk","OFFER LETTER")</f>
        <v>OFFER LETTER</v>
      </c>
      <c r="S1944" s="11" t="s">
        <v>10619</v>
      </c>
    </row>
    <row r="1945" ht="22.5" customHeight="1">
      <c r="A1945" s="10">
        <v>46267.296386898146</v>
      </c>
      <c r="B1945" s="11" t="s">
        <v>10620</v>
      </c>
      <c r="C1945" s="11" t="s">
        <v>80</v>
      </c>
      <c r="D1945" s="11" t="s">
        <v>929</v>
      </c>
      <c r="E1945" s="12">
        <v>46259.0</v>
      </c>
      <c r="F1945" s="12">
        <v>46569.0</v>
      </c>
      <c r="G1945" s="11" t="s">
        <v>10616</v>
      </c>
      <c r="H1945" s="11">
        <v>9.360548243E9</v>
      </c>
      <c r="I1945" s="11" t="s">
        <v>82</v>
      </c>
      <c r="J1945" s="11" t="s">
        <v>71</v>
      </c>
      <c r="K1945" s="11" t="s">
        <v>167</v>
      </c>
      <c r="L1945" s="11" t="s">
        <v>247</v>
      </c>
      <c r="M1945" s="11" t="s">
        <v>5473</v>
      </c>
      <c r="N1945" s="11" t="s">
        <v>2778</v>
      </c>
      <c r="O1945" s="11" t="s">
        <v>71</v>
      </c>
      <c r="P1945" s="11" t="s">
        <v>10621</v>
      </c>
      <c r="Q1945" s="13" t="s">
        <v>10622</v>
      </c>
      <c r="R1945" s="14" t="str">
        <f>HYPERLINK("https://drive.google.com/file/d/1MrJrZOA1WYTtSslhdkhQWseGQ5GuEbhB/view?usp=drivesdk","OFFER LETTER")</f>
        <v>OFFER LETTER</v>
      </c>
      <c r="S1945" s="11" t="s">
        <v>10623</v>
      </c>
    </row>
    <row r="1946" ht="22.5" customHeight="1">
      <c r="A1946" s="10">
        <v>46267.299553530094</v>
      </c>
      <c r="B1946" s="11" t="s">
        <v>10620</v>
      </c>
      <c r="C1946" s="11" t="s">
        <v>2591</v>
      </c>
      <c r="D1946" s="11" t="s">
        <v>929</v>
      </c>
      <c r="E1946" s="12">
        <v>46259.0</v>
      </c>
      <c r="F1946" s="12">
        <v>46569.0</v>
      </c>
      <c r="G1946" s="11" t="s">
        <v>10616</v>
      </c>
      <c r="H1946" s="11">
        <v>9.360548243E9</v>
      </c>
      <c r="I1946" s="11" t="s">
        <v>82</v>
      </c>
      <c r="J1946" s="11" t="s">
        <v>71</v>
      </c>
      <c r="K1946" s="11" t="s">
        <v>167</v>
      </c>
      <c r="L1946" s="11" t="s">
        <v>247</v>
      </c>
      <c r="M1946" s="11" t="s">
        <v>2697</v>
      </c>
      <c r="N1946" s="11" t="s">
        <v>2778</v>
      </c>
      <c r="O1946" s="11" t="s">
        <v>71</v>
      </c>
      <c r="P1946" s="11" t="s">
        <v>10624</v>
      </c>
      <c r="Q1946" s="13" t="s">
        <v>10625</v>
      </c>
      <c r="R1946" s="14" t="str">
        <f>HYPERLINK("https://drive.google.com/file/d/12aDj0k1UfJeg08LPSDH-g_0ugDzbOuRl/view?usp=drivesdk","OFFER LETTER")</f>
        <v>OFFER LETTER</v>
      </c>
      <c r="S1946" s="11" t="s">
        <v>10626</v>
      </c>
    </row>
    <row r="1947" ht="22.5" customHeight="1">
      <c r="A1947" s="10">
        <v>46267.302330914354</v>
      </c>
      <c r="B1947" s="11" t="s">
        <v>10620</v>
      </c>
      <c r="C1947" s="11" t="s">
        <v>259</v>
      </c>
      <c r="D1947" s="11" t="s">
        <v>929</v>
      </c>
      <c r="E1947" s="12">
        <v>46259.0</v>
      </c>
      <c r="F1947" s="12">
        <v>46539.0</v>
      </c>
      <c r="G1947" s="11" t="s">
        <v>10627</v>
      </c>
      <c r="H1947" s="11">
        <v>9.36054243E8</v>
      </c>
      <c r="I1947" s="11" t="s">
        <v>82</v>
      </c>
      <c r="J1947" s="11" t="s">
        <v>71</v>
      </c>
      <c r="K1947" s="11" t="s">
        <v>167</v>
      </c>
      <c r="L1947" s="11" t="s">
        <v>247</v>
      </c>
      <c r="M1947" s="11" t="s">
        <v>5473</v>
      </c>
      <c r="N1947" s="11" t="s">
        <v>2778</v>
      </c>
      <c r="O1947" s="11" t="s">
        <v>71</v>
      </c>
      <c r="P1947" s="11" t="s">
        <v>10628</v>
      </c>
      <c r="Q1947" s="13" t="s">
        <v>10629</v>
      </c>
      <c r="R1947" s="14" t="str">
        <f>HYPERLINK("https://drive.google.com/file/d/1pp6lC00ZUD4J31QjQuw3LbFn-pZ2pZG-/view?usp=drivesdk","OFFER LETTER")</f>
        <v>OFFER LETTER</v>
      </c>
      <c r="S1947" s="11" t="s">
        <v>10630</v>
      </c>
    </row>
    <row r="1948" ht="22.5" customHeight="1">
      <c r="A1948" s="10">
        <v>46267.315798564814</v>
      </c>
      <c r="B1948" s="11" t="s">
        <v>9371</v>
      </c>
      <c r="C1948" s="11" t="s">
        <v>354</v>
      </c>
      <c r="D1948" s="11" t="s">
        <v>238</v>
      </c>
      <c r="E1948" s="12">
        <v>46266.0</v>
      </c>
      <c r="F1948" s="12">
        <v>46327.0</v>
      </c>
      <c r="G1948" s="11" t="s">
        <v>9372</v>
      </c>
      <c r="H1948" s="11">
        <v>6.206024623E9</v>
      </c>
      <c r="I1948" s="11" t="s">
        <v>82</v>
      </c>
      <c r="J1948" s="11" t="s">
        <v>71</v>
      </c>
      <c r="K1948" s="11" t="s">
        <v>72</v>
      </c>
      <c r="L1948" s="11" t="s">
        <v>131</v>
      </c>
      <c r="M1948" s="11" t="s">
        <v>9373</v>
      </c>
      <c r="N1948" s="11" t="s">
        <v>86</v>
      </c>
      <c r="O1948" s="11" t="s">
        <v>71</v>
      </c>
      <c r="P1948" s="11" t="s">
        <v>10631</v>
      </c>
      <c r="Q1948" s="13" t="s">
        <v>10632</v>
      </c>
      <c r="R1948" s="14" t="str">
        <f>HYPERLINK("https://drive.google.com/file/d/1tj5PKvfuupvca9xtHUeW-lZeOIJT5SNk/view?usp=drivesdk","OFFER LETTER")</f>
        <v>OFFER LETTER</v>
      </c>
      <c r="S1948" s="11" t="s">
        <v>10633</v>
      </c>
    </row>
    <row r="1949" ht="22.5" customHeight="1">
      <c r="A1949" s="10">
        <v>46267.325672453706</v>
      </c>
      <c r="B1949" s="11" t="s">
        <v>10634</v>
      </c>
      <c r="C1949" s="11" t="s">
        <v>128</v>
      </c>
      <c r="D1949" s="11" t="s">
        <v>68</v>
      </c>
      <c r="E1949" s="12">
        <v>46267.0</v>
      </c>
      <c r="F1949" s="12">
        <v>46297.0</v>
      </c>
      <c r="G1949" s="11" t="s">
        <v>10635</v>
      </c>
      <c r="H1949" s="11">
        <v>8.00545679E9</v>
      </c>
      <c r="I1949" s="11" t="s">
        <v>82</v>
      </c>
      <c r="J1949" s="11" t="s">
        <v>71</v>
      </c>
      <c r="K1949" s="11" t="s">
        <v>72</v>
      </c>
      <c r="L1949" s="11" t="s">
        <v>84</v>
      </c>
      <c r="M1949" s="11" t="s">
        <v>10636</v>
      </c>
      <c r="N1949" s="11" t="s">
        <v>4653</v>
      </c>
      <c r="O1949" s="11" t="s">
        <v>263</v>
      </c>
      <c r="P1949" s="11" t="s">
        <v>10637</v>
      </c>
      <c r="Q1949" s="13" t="s">
        <v>10638</v>
      </c>
      <c r="R1949" s="14" t="str">
        <f>HYPERLINK("https://drive.google.com/file/d/1sfy8WzUPsYjEG7ccldqTtYZo7r0pBJre/view?usp=drivesdk","OFFER LETTER")</f>
        <v>OFFER LETTER</v>
      </c>
      <c r="S1949" s="11" t="s">
        <v>10639</v>
      </c>
    </row>
    <row r="1950" ht="22.5" customHeight="1">
      <c r="A1950" s="10">
        <v>46267.35022491898</v>
      </c>
      <c r="B1950" s="11" t="s">
        <v>10640</v>
      </c>
      <c r="C1950" s="11" t="s">
        <v>259</v>
      </c>
      <c r="D1950" s="11" t="s">
        <v>238</v>
      </c>
      <c r="E1950" s="12">
        <v>46267.0</v>
      </c>
      <c r="F1950" s="12">
        <v>46358.0</v>
      </c>
      <c r="G1950" s="11" t="s">
        <v>10641</v>
      </c>
      <c r="H1950" s="11">
        <v>7.498191357E9</v>
      </c>
      <c r="I1950" s="11" t="s">
        <v>82</v>
      </c>
      <c r="J1950" s="11" t="s">
        <v>71</v>
      </c>
      <c r="K1950" s="11" t="s">
        <v>110</v>
      </c>
      <c r="L1950" s="11" t="s">
        <v>73</v>
      </c>
      <c r="M1950" s="11" t="s">
        <v>10642</v>
      </c>
      <c r="N1950" s="11" t="s">
        <v>226</v>
      </c>
      <c r="O1950" s="11" t="s">
        <v>71</v>
      </c>
      <c r="P1950" s="11" t="s">
        <v>10643</v>
      </c>
      <c r="Q1950" s="13" t="s">
        <v>10644</v>
      </c>
      <c r="R1950" s="14" t="str">
        <f>HYPERLINK("https://drive.google.com/file/d/10D-JSWroSXqxkLWWn687NNePKEmZlJry/view?usp=drivesdk","OFFER LETTER")</f>
        <v>OFFER LETTER</v>
      </c>
      <c r="S1950" s="11" t="s">
        <v>10645</v>
      </c>
    </row>
    <row r="1951" ht="22.5" customHeight="1">
      <c r="A1951" s="10">
        <v>46267.36075984954</v>
      </c>
      <c r="B1951" s="11" t="s">
        <v>10646</v>
      </c>
      <c r="C1951" s="11" t="s">
        <v>107</v>
      </c>
      <c r="D1951" s="11" t="s">
        <v>68</v>
      </c>
      <c r="E1951" s="12">
        <v>46267.0</v>
      </c>
      <c r="F1951" s="12">
        <v>46297.0</v>
      </c>
      <c r="G1951" s="11" t="s">
        <v>10647</v>
      </c>
      <c r="H1951" s="11">
        <v>9.150710771E9</v>
      </c>
      <c r="I1951" s="11" t="s">
        <v>82</v>
      </c>
      <c r="J1951" s="11" t="s">
        <v>71</v>
      </c>
      <c r="K1951" s="11" t="s">
        <v>72</v>
      </c>
      <c r="L1951" s="11" t="s">
        <v>131</v>
      </c>
      <c r="M1951" s="11" t="s">
        <v>10648</v>
      </c>
      <c r="N1951" s="11" t="s">
        <v>75</v>
      </c>
      <c r="O1951" s="11" t="s">
        <v>71</v>
      </c>
      <c r="P1951" s="11" t="s">
        <v>10649</v>
      </c>
      <c r="Q1951" s="13" t="s">
        <v>10650</v>
      </c>
      <c r="R1951" s="14" t="str">
        <f>HYPERLINK("https://drive.google.com/file/d/1Ey_b7J3hgVbAJbx0YKsumYwP3Vvps2qi/view?usp=drivesdk","OFFER LETTER")</f>
        <v>OFFER LETTER</v>
      </c>
      <c r="S1951" s="11" t="s">
        <v>10651</v>
      </c>
    </row>
    <row r="1952" ht="22.5" customHeight="1">
      <c r="A1952" s="10">
        <v>46267.36788854167</v>
      </c>
      <c r="B1952" s="11" t="s">
        <v>10301</v>
      </c>
      <c r="C1952" s="11" t="s">
        <v>128</v>
      </c>
      <c r="D1952" s="11" t="s">
        <v>68</v>
      </c>
      <c r="E1952" s="12">
        <v>46266.0</v>
      </c>
      <c r="F1952" s="12">
        <v>46296.0</v>
      </c>
      <c r="G1952" s="11" t="s">
        <v>10302</v>
      </c>
      <c r="H1952" s="11">
        <v>7.338569178E9</v>
      </c>
      <c r="I1952" s="11" t="s">
        <v>70</v>
      </c>
      <c r="J1952" s="11" t="s">
        <v>83</v>
      </c>
      <c r="K1952" s="11" t="s">
        <v>110</v>
      </c>
      <c r="L1952" s="11" t="s">
        <v>73</v>
      </c>
      <c r="M1952" s="11" t="s">
        <v>10303</v>
      </c>
      <c r="N1952" s="11" t="s">
        <v>86</v>
      </c>
      <c r="O1952" s="11" t="s">
        <v>71</v>
      </c>
      <c r="P1952" s="11" t="s">
        <v>10652</v>
      </c>
      <c r="Q1952" s="13" t="s">
        <v>10653</v>
      </c>
      <c r="R1952" s="14" t="str">
        <f>HYPERLINK("https://drive.google.com/file/d/1NQKXLFBFzlNovSelWsmMZavOxtOlybb1/view?usp=drivesdk","OFFER LETTER")</f>
        <v>OFFER LETTER</v>
      </c>
      <c r="S1952" s="11" t="s">
        <v>10654</v>
      </c>
    </row>
    <row r="1953" ht="22.5" customHeight="1">
      <c r="A1953" s="10">
        <v>46267.38971837963</v>
      </c>
      <c r="B1953" s="11" t="s">
        <v>10655</v>
      </c>
      <c r="C1953" s="11" t="s">
        <v>128</v>
      </c>
      <c r="D1953" s="11" t="s">
        <v>68</v>
      </c>
      <c r="E1953" s="12">
        <v>46267.0</v>
      </c>
      <c r="F1953" s="12">
        <v>46297.0</v>
      </c>
      <c r="G1953" s="11" t="s">
        <v>10656</v>
      </c>
      <c r="H1953" s="11">
        <v>7.810035175E9</v>
      </c>
      <c r="I1953" s="11" t="s">
        <v>82</v>
      </c>
      <c r="J1953" s="11" t="s">
        <v>71</v>
      </c>
      <c r="K1953" s="11" t="s">
        <v>72</v>
      </c>
      <c r="L1953" s="11" t="s">
        <v>131</v>
      </c>
      <c r="M1953" s="11" t="s">
        <v>10657</v>
      </c>
      <c r="N1953" s="11" t="s">
        <v>86</v>
      </c>
      <c r="O1953" s="11" t="s">
        <v>71</v>
      </c>
      <c r="P1953" s="11" t="s">
        <v>10658</v>
      </c>
      <c r="Q1953" s="13" t="s">
        <v>10659</v>
      </c>
      <c r="R1953" s="14" t="str">
        <f>HYPERLINK("https://drive.google.com/file/d/1B_3owxImOA2AUzAX-jGxR-qSufTs5NUf/view?usp=drivesdk","OFFER LETTER")</f>
        <v>OFFER LETTER</v>
      </c>
      <c r="S1953" s="11" t="s">
        <v>10660</v>
      </c>
    </row>
    <row r="1954" ht="22.5" customHeight="1">
      <c r="A1954" s="10">
        <v>46267.40940040509</v>
      </c>
      <c r="B1954" s="11" t="s">
        <v>10661</v>
      </c>
      <c r="C1954" s="11" t="s">
        <v>173</v>
      </c>
      <c r="D1954" s="11" t="s">
        <v>68</v>
      </c>
      <c r="E1954" s="12">
        <v>46181.0</v>
      </c>
      <c r="F1954" s="12">
        <v>46211.0</v>
      </c>
      <c r="G1954" s="11" t="s">
        <v>10662</v>
      </c>
      <c r="H1954" s="11">
        <v>8.295937619E9</v>
      </c>
      <c r="I1954" s="11" t="s">
        <v>82</v>
      </c>
      <c r="J1954" s="11" t="s">
        <v>71</v>
      </c>
      <c r="K1954" s="11" t="s">
        <v>72</v>
      </c>
      <c r="L1954" s="11" t="s">
        <v>84</v>
      </c>
      <c r="M1954" s="11" t="s">
        <v>5710</v>
      </c>
      <c r="N1954" s="11" t="s">
        <v>86</v>
      </c>
      <c r="O1954" s="11" t="s">
        <v>71</v>
      </c>
      <c r="P1954" s="11" t="s">
        <v>10663</v>
      </c>
      <c r="Q1954" s="13" t="s">
        <v>10664</v>
      </c>
      <c r="R1954" s="14" t="str">
        <f>HYPERLINK("https://drive.google.com/file/d/1uNJ0vHfodsMth1MQfQGVWaIiH05PbsU8/view?usp=drivesdk","OFFER LETTER")</f>
        <v>OFFER LETTER</v>
      </c>
      <c r="S1954" s="11" t="s">
        <v>10665</v>
      </c>
    </row>
    <row r="1955" ht="22.5" customHeight="1">
      <c r="A1955" s="10">
        <v>46267.41182302083</v>
      </c>
      <c r="B1955" s="11" t="s">
        <v>10666</v>
      </c>
      <c r="C1955" s="11" t="s">
        <v>298</v>
      </c>
      <c r="D1955" s="11" t="s">
        <v>108</v>
      </c>
      <c r="E1955" s="12">
        <v>46236.0</v>
      </c>
      <c r="F1955" s="12">
        <v>46297.0</v>
      </c>
      <c r="G1955" s="11" t="s">
        <v>10667</v>
      </c>
      <c r="H1955" s="11">
        <v>6.304428031E9</v>
      </c>
      <c r="I1955" s="11" t="s">
        <v>82</v>
      </c>
      <c r="J1955" s="11" t="s">
        <v>71</v>
      </c>
      <c r="K1955" s="11" t="s">
        <v>72</v>
      </c>
      <c r="L1955" s="11" t="s">
        <v>131</v>
      </c>
      <c r="M1955" s="11" t="s">
        <v>2369</v>
      </c>
      <c r="N1955" s="11" t="s">
        <v>86</v>
      </c>
      <c r="O1955" s="11" t="s">
        <v>71</v>
      </c>
      <c r="P1955" s="11" t="s">
        <v>10668</v>
      </c>
      <c r="Q1955" s="13" t="s">
        <v>10669</v>
      </c>
      <c r="R1955" s="14" t="str">
        <f>HYPERLINK("https://drive.google.com/file/d/173EIs_LmgZ23iqRe59IfkPrJmIDOgCv1/view?usp=drivesdk","OFFER LETTER")</f>
        <v>OFFER LETTER</v>
      </c>
      <c r="S1955" s="11" t="s">
        <v>10670</v>
      </c>
    </row>
    <row r="1956" ht="22.5" customHeight="1">
      <c r="A1956" s="10">
        <v>46267.416361932876</v>
      </c>
      <c r="B1956" s="11" t="s">
        <v>10671</v>
      </c>
      <c r="C1956" s="11" t="s">
        <v>237</v>
      </c>
      <c r="D1956" s="11" t="s">
        <v>68</v>
      </c>
      <c r="E1956" s="12">
        <v>46224.0</v>
      </c>
      <c r="F1956" s="12">
        <v>46255.0</v>
      </c>
      <c r="G1956" s="11" t="s">
        <v>10672</v>
      </c>
      <c r="H1956" s="11">
        <v>8.247871428E9</v>
      </c>
      <c r="I1956" s="11" t="s">
        <v>82</v>
      </c>
      <c r="J1956" s="11" t="s">
        <v>71</v>
      </c>
      <c r="K1956" s="11" t="s">
        <v>72</v>
      </c>
      <c r="L1956" s="11" t="s">
        <v>131</v>
      </c>
      <c r="M1956" s="11" t="s">
        <v>3949</v>
      </c>
      <c r="N1956" s="11" t="s">
        <v>1323</v>
      </c>
      <c r="O1956" s="11" t="s">
        <v>71</v>
      </c>
      <c r="P1956" s="11" t="s">
        <v>10673</v>
      </c>
      <c r="Q1956" s="13" t="s">
        <v>10674</v>
      </c>
      <c r="R1956" s="14" t="str">
        <f>HYPERLINK("https://drive.google.com/file/d/1u4dtMuIKdwJ2cOCgBok0JysBCZifU5xN/view?usp=drivesdk","OFFER LETTER")</f>
        <v>OFFER LETTER</v>
      </c>
      <c r="S1956" s="11" t="s">
        <v>10675</v>
      </c>
    </row>
    <row r="1957" ht="22.5" customHeight="1">
      <c r="A1957" s="10">
        <v>46267.41847729166</v>
      </c>
      <c r="B1957" s="11" t="s">
        <v>10676</v>
      </c>
      <c r="C1957" s="11" t="s">
        <v>128</v>
      </c>
      <c r="D1957" s="11" t="s">
        <v>68</v>
      </c>
      <c r="E1957" s="12">
        <v>46113.0</v>
      </c>
      <c r="F1957" s="12">
        <v>46143.0</v>
      </c>
      <c r="G1957" s="11" t="s">
        <v>10677</v>
      </c>
      <c r="H1957" s="11">
        <v>6.281696269E9</v>
      </c>
      <c r="I1957" s="11" t="s">
        <v>82</v>
      </c>
      <c r="J1957" s="11" t="s">
        <v>71</v>
      </c>
      <c r="K1957" s="11" t="s">
        <v>356</v>
      </c>
      <c r="L1957" s="11" t="s">
        <v>84</v>
      </c>
      <c r="M1957" s="11" t="s">
        <v>10678</v>
      </c>
      <c r="N1957" s="11" t="s">
        <v>86</v>
      </c>
      <c r="O1957" s="11" t="s">
        <v>71</v>
      </c>
      <c r="P1957" s="11" t="s">
        <v>10679</v>
      </c>
      <c r="Q1957" s="13" t="s">
        <v>10680</v>
      </c>
      <c r="R1957" s="14" t="str">
        <f>HYPERLINK("https://drive.google.com/file/d/1QymUj8epVG5W9n6Fq1kjc2TyD7hIug4N/view?usp=drivesdk","OFFER LETTER")</f>
        <v>OFFER LETTER</v>
      </c>
      <c r="S1957" s="11" t="s">
        <v>10681</v>
      </c>
    </row>
    <row r="1958" ht="22.5" customHeight="1">
      <c r="A1958" s="10">
        <v>46267.423975011574</v>
      </c>
      <c r="B1958" s="11" t="s">
        <v>10682</v>
      </c>
      <c r="C1958" s="11" t="s">
        <v>298</v>
      </c>
      <c r="D1958" s="11" t="s">
        <v>68</v>
      </c>
      <c r="E1958" s="12">
        <v>46267.0</v>
      </c>
      <c r="F1958" s="12">
        <v>46297.0</v>
      </c>
      <c r="G1958" s="11" t="s">
        <v>10683</v>
      </c>
      <c r="H1958" s="11">
        <v>8.79010225E9</v>
      </c>
      <c r="I1958" s="11" t="s">
        <v>70</v>
      </c>
      <c r="J1958" s="11" t="s">
        <v>71</v>
      </c>
      <c r="K1958" s="11" t="s">
        <v>72</v>
      </c>
      <c r="L1958" s="11" t="s">
        <v>84</v>
      </c>
      <c r="M1958" s="11" t="s">
        <v>10684</v>
      </c>
      <c r="N1958" s="11" t="s">
        <v>75</v>
      </c>
      <c r="O1958" s="11" t="s">
        <v>71</v>
      </c>
      <c r="P1958" s="11" t="s">
        <v>10685</v>
      </c>
      <c r="Q1958" s="13" t="s">
        <v>10686</v>
      </c>
      <c r="R1958" s="14" t="str">
        <f>HYPERLINK("https://drive.google.com/file/d/1lNq1ax4staoz_nXt1Ny1xWS_lQ3Ra-kD/view?usp=drivesdk","OFFER LETTER")</f>
        <v>OFFER LETTER</v>
      </c>
      <c r="S1958" s="11" t="s">
        <v>10687</v>
      </c>
    </row>
    <row r="1959" ht="22.5" customHeight="1">
      <c r="A1959" s="10">
        <v>46267.4240203588</v>
      </c>
      <c r="B1959" s="11" t="s">
        <v>10688</v>
      </c>
      <c r="C1959" s="11" t="s">
        <v>298</v>
      </c>
      <c r="D1959" s="11" t="s">
        <v>68</v>
      </c>
      <c r="E1959" s="12">
        <v>46267.0</v>
      </c>
      <c r="F1959" s="12">
        <v>46297.0</v>
      </c>
      <c r="G1959" s="11" t="s">
        <v>10689</v>
      </c>
      <c r="H1959" s="11">
        <v>8.688229751E9</v>
      </c>
      <c r="I1959" s="11" t="s">
        <v>70</v>
      </c>
      <c r="J1959" s="11" t="s">
        <v>71</v>
      </c>
      <c r="K1959" s="11" t="s">
        <v>72</v>
      </c>
      <c r="L1959" s="11" t="s">
        <v>84</v>
      </c>
      <c r="M1959" s="11" t="s">
        <v>4753</v>
      </c>
      <c r="N1959" s="11" t="s">
        <v>75</v>
      </c>
      <c r="O1959" s="11" t="s">
        <v>71</v>
      </c>
      <c r="P1959" s="11" t="s">
        <v>10690</v>
      </c>
      <c r="Q1959" s="13" t="s">
        <v>10691</v>
      </c>
      <c r="R1959" s="14" t="str">
        <f>HYPERLINK("https://drive.google.com/file/d/1VkZHyhdF3cAxhTnxA6tOLHajDrQ5YELo/view?usp=drivesdk","OFFER LETTER")</f>
        <v>OFFER LETTER</v>
      </c>
      <c r="S1959" s="11" t="s">
        <v>10692</v>
      </c>
    </row>
    <row r="1960" ht="22.5" customHeight="1">
      <c r="A1960" s="10">
        <v>46267.42657582176</v>
      </c>
      <c r="B1960" s="11" t="s">
        <v>10676</v>
      </c>
      <c r="C1960" s="11" t="s">
        <v>195</v>
      </c>
      <c r="D1960" s="11" t="s">
        <v>238</v>
      </c>
      <c r="E1960" s="12">
        <v>46152.0</v>
      </c>
      <c r="F1960" s="12">
        <v>46244.0</v>
      </c>
      <c r="G1960" s="11" t="s">
        <v>10677</v>
      </c>
      <c r="H1960" s="11">
        <v>6.281696269E9</v>
      </c>
      <c r="I1960" s="11" t="s">
        <v>82</v>
      </c>
      <c r="J1960" s="11" t="s">
        <v>71</v>
      </c>
      <c r="K1960" s="11" t="s">
        <v>356</v>
      </c>
      <c r="L1960" s="11" t="s">
        <v>84</v>
      </c>
      <c r="M1960" s="11" t="s">
        <v>10678</v>
      </c>
      <c r="N1960" s="11" t="s">
        <v>86</v>
      </c>
      <c r="O1960" s="11" t="s">
        <v>71</v>
      </c>
      <c r="P1960" s="11" t="s">
        <v>10693</v>
      </c>
      <c r="Q1960" s="13" t="s">
        <v>10694</v>
      </c>
      <c r="R1960" s="14" t="str">
        <f>HYPERLINK("https://drive.google.com/file/d/19ttb9IYGLqU2kQR7IE1oivvr--C3CEgL/view?usp=drivesdk","OFFER LETTER")</f>
        <v>OFFER LETTER</v>
      </c>
      <c r="S1960" s="11" t="s">
        <v>10695</v>
      </c>
    </row>
    <row r="1961" ht="22.5" customHeight="1">
      <c r="A1961" s="10">
        <v>46267.42951787037</v>
      </c>
      <c r="B1961" s="11" t="s">
        <v>10383</v>
      </c>
      <c r="C1961" s="11" t="s">
        <v>165</v>
      </c>
      <c r="D1961" s="11" t="s">
        <v>68</v>
      </c>
      <c r="E1961" s="12">
        <v>46266.0</v>
      </c>
      <c r="F1961" s="12">
        <v>46295.0</v>
      </c>
      <c r="G1961" s="11" t="s">
        <v>10384</v>
      </c>
      <c r="H1961" s="11">
        <v>9.56610557E9</v>
      </c>
      <c r="I1961" s="11" t="s">
        <v>70</v>
      </c>
      <c r="J1961" s="11" t="s">
        <v>71</v>
      </c>
      <c r="K1961" s="11" t="s">
        <v>110</v>
      </c>
      <c r="L1961" s="11" t="s">
        <v>247</v>
      </c>
      <c r="M1961" s="11" t="s">
        <v>10696</v>
      </c>
      <c r="N1961" s="11" t="s">
        <v>198</v>
      </c>
      <c r="O1961" s="11" t="s">
        <v>71</v>
      </c>
      <c r="P1961" s="11" t="s">
        <v>10697</v>
      </c>
      <c r="Q1961" s="13" t="s">
        <v>10698</v>
      </c>
      <c r="R1961" s="14" t="str">
        <f>HYPERLINK("https://drive.google.com/file/d/1AaFdXwhAxMn7_teZ1mW6ZWLldzD6VvXN/view?usp=drivesdk","OFFER LETTER")</f>
        <v>OFFER LETTER</v>
      </c>
      <c r="S1961" s="11" t="s">
        <v>10699</v>
      </c>
    </row>
    <row r="1962" ht="22.5" customHeight="1">
      <c r="A1962" s="10">
        <v>46267.43347216435</v>
      </c>
      <c r="B1962" s="11" t="s">
        <v>2213</v>
      </c>
      <c r="C1962" s="11" t="s">
        <v>195</v>
      </c>
      <c r="D1962" s="11" t="s">
        <v>68</v>
      </c>
      <c r="E1962" s="12">
        <v>46188.0</v>
      </c>
      <c r="F1962" s="12">
        <v>46218.0</v>
      </c>
      <c r="G1962" s="11" t="s">
        <v>10700</v>
      </c>
      <c r="H1962" s="11">
        <v>9.279750082E9</v>
      </c>
      <c r="I1962" s="11" t="s">
        <v>82</v>
      </c>
      <c r="J1962" s="11" t="s">
        <v>71</v>
      </c>
      <c r="K1962" s="11" t="s">
        <v>72</v>
      </c>
      <c r="L1962" s="11" t="s">
        <v>84</v>
      </c>
      <c r="M1962" s="11" t="s">
        <v>5088</v>
      </c>
      <c r="N1962" s="11" t="s">
        <v>86</v>
      </c>
      <c r="O1962" s="11" t="s">
        <v>71</v>
      </c>
      <c r="P1962" s="11" t="s">
        <v>10701</v>
      </c>
      <c r="Q1962" s="13" t="s">
        <v>10702</v>
      </c>
      <c r="R1962" s="14" t="str">
        <f>HYPERLINK("https://drive.google.com/file/d/1fKwM0uGQv9XEzEiHd3pB_70SLvqa01Ad/view?usp=drivesdk","OFFER LETTER")</f>
        <v>OFFER LETTER</v>
      </c>
      <c r="S1962" s="11" t="s">
        <v>10703</v>
      </c>
    </row>
    <row r="1963" ht="22.5" customHeight="1">
      <c r="A1963" s="10">
        <v>46267.43375344908</v>
      </c>
      <c r="B1963" s="11" t="s">
        <v>10704</v>
      </c>
      <c r="C1963" s="11" t="s">
        <v>237</v>
      </c>
      <c r="D1963" s="11" t="s">
        <v>68</v>
      </c>
      <c r="E1963" s="12">
        <v>46181.0</v>
      </c>
      <c r="F1963" s="12">
        <v>46211.0</v>
      </c>
      <c r="G1963" s="11" t="s">
        <v>10705</v>
      </c>
      <c r="H1963" s="11">
        <v>8.53488968E9</v>
      </c>
      <c r="I1963" s="11" t="s">
        <v>82</v>
      </c>
      <c r="J1963" s="11" t="s">
        <v>71</v>
      </c>
      <c r="K1963" s="11" t="s">
        <v>72</v>
      </c>
      <c r="L1963" s="11" t="s">
        <v>84</v>
      </c>
      <c r="M1963" s="11" t="s">
        <v>560</v>
      </c>
      <c r="N1963" s="11" t="s">
        <v>86</v>
      </c>
      <c r="O1963" s="11" t="s">
        <v>71</v>
      </c>
      <c r="P1963" s="11" t="s">
        <v>10706</v>
      </c>
      <c r="Q1963" s="13" t="s">
        <v>10707</v>
      </c>
      <c r="R1963" s="14" t="str">
        <f>HYPERLINK("https://drive.google.com/file/d/1keDEPjRG99VsR_L2YulrQ62BeGESKq7U/view?usp=drivesdk","OFFER LETTER")</f>
        <v>OFFER LETTER</v>
      </c>
      <c r="S1963" s="11" t="s">
        <v>10708</v>
      </c>
    </row>
    <row r="1964" ht="22.5" customHeight="1">
      <c r="A1964" s="10">
        <v>46267.43972460648</v>
      </c>
      <c r="B1964" s="11" t="s">
        <v>10709</v>
      </c>
      <c r="C1964" s="11" t="s">
        <v>195</v>
      </c>
      <c r="D1964" s="11" t="s">
        <v>68</v>
      </c>
      <c r="E1964" s="12">
        <v>46167.0</v>
      </c>
      <c r="F1964" s="12">
        <v>46198.0</v>
      </c>
      <c r="G1964" s="11" t="s">
        <v>10710</v>
      </c>
      <c r="H1964" s="11">
        <v>9.867346836E9</v>
      </c>
      <c r="I1964" s="11" t="s">
        <v>82</v>
      </c>
      <c r="J1964" s="11" t="s">
        <v>71</v>
      </c>
      <c r="K1964" s="13" t="s">
        <v>443</v>
      </c>
      <c r="L1964" s="11" t="s">
        <v>73</v>
      </c>
      <c r="M1964" s="11" t="s">
        <v>10711</v>
      </c>
      <c r="N1964" s="11" t="s">
        <v>86</v>
      </c>
      <c r="O1964" s="11" t="s">
        <v>71</v>
      </c>
      <c r="P1964" s="11" t="s">
        <v>10712</v>
      </c>
      <c r="Q1964" s="13" t="s">
        <v>10713</v>
      </c>
      <c r="R1964" s="14" t="str">
        <f>HYPERLINK("https://drive.google.com/file/d/1eBPB_FTOS93unnExyQjEJZMtHdVTPCUF/view?usp=drivesdk","OFFER LETTER")</f>
        <v>OFFER LETTER</v>
      </c>
      <c r="S1964" s="11" t="s">
        <v>10714</v>
      </c>
    </row>
    <row r="1965" ht="22.5" customHeight="1">
      <c r="A1965" s="10">
        <v>46267.439851620366</v>
      </c>
      <c r="B1965" s="11" t="s">
        <v>10715</v>
      </c>
      <c r="C1965" s="11" t="s">
        <v>742</v>
      </c>
      <c r="D1965" s="11" t="s">
        <v>68</v>
      </c>
      <c r="E1965" s="12">
        <v>46267.0</v>
      </c>
      <c r="F1965" s="12">
        <v>46297.0</v>
      </c>
      <c r="G1965" s="11" t="s">
        <v>10716</v>
      </c>
      <c r="H1965" s="11">
        <v>9.384737039E9</v>
      </c>
      <c r="I1965" s="11" t="s">
        <v>82</v>
      </c>
      <c r="J1965" s="11" t="s">
        <v>83</v>
      </c>
      <c r="K1965" s="11" t="s">
        <v>72</v>
      </c>
      <c r="L1965" s="11" t="s">
        <v>73</v>
      </c>
      <c r="M1965" s="11" t="s">
        <v>10717</v>
      </c>
      <c r="N1965" s="11" t="s">
        <v>86</v>
      </c>
      <c r="O1965" s="11" t="s">
        <v>71</v>
      </c>
      <c r="P1965" s="11" t="s">
        <v>10718</v>
      </c>
      <c r="Q1965" s="13" t="s">
        <v>10719</v>
      </c>
      <c r="R1965" s="14" t="str">
        <f>HYPERLINK("https://drive.google.com/file/d/19dCqKoTi21wT-AVU6Bom407PGVDEPGcg/view?usp=drivesdk","OFFER LETTER")</f>
        <v>OFFER LETTER</v>
      </c>
      <c r="S1965" s="11" t="s">
        <v>10720</v>
      </c>
    </row>
    <row r="1966" ht="22.5" customHeight="1">
      <c r="A1966" s="10">
        <v>46267.44403795138</v>
      </c>
      <c r="B1966" s="11" t="s">
        <v>9485</v>
      </c>
      <c r="C1966" s="11" t="s">
        <v>128</v>
      </c>
      <c r="D1966" s="11" t="s">
        <v>68</v>
      </c>
      <c r="E1966" s="12">
        <v>46175.0</v>
      </c>
      <c r="F1966" s="12">
        <v>46205.0</v>
      </c>
      <c r="G1966" s="11" t="s">
        <v>9486</v>
      </c>
      <c r="H1966" s="11">
        <v>9.324290766E9</v>
      </c>
      <c r="I1966" s="11" t="s">
        <v>70</v>
      </c>
      <c r="J1966" s="11" t="s">
        <v>71</v>
      </c>
      <c r="K1966" s="13" t="s">
        <v>443</v>
      </c>
      <c r="L1966" s="11" t="s">
        <v>73</v>
      </c>
      <c r="M1966" s="11" t="s">
        <v>10721</v>
      </c>
      <c r="N1966" s="11" t="s">
        <v>86</v>
      </c>
      <c r="O1966" s="11" t="s">
        <v>71</v>
      </c>
      <c r="P1966" s="11" t="s">
        <v>10722</v>
      </c>
      <c r="Q1966" s="13" t="s">
        <v>10723</v>
      </c>
      <c r="R1966" s="14" t="str">
        <f>HYPERLINK("https://drive.google.com/file/d/1A7t24rG2UDLr2wqn9XgS68mw6oTAItxM/view?usp=drivesdk","OFFER LETTER")</f>
        <v>OFFER LETTER</v>
      </c>
      <c r="S1966" s="11" t="s">
        <v>10724</v>
      </c>
    </row>
    <row r="1967" ht="22.5" customHeight="1">
      <c r="A1967" s="10">
        <v>46267.451556898144</v>
      </c>
      <c r="B1967" s="11" t="s">
        <v>10725</v>
      </c>
      <c r="C1967" s="11" t="s">
        <v>354</v>
      </c>
      <c r="D1967" s="11" t="s">
        <v>108</v>
      </c>
      <c r="E1967" s="12">
        <v>46172.0</v>
      </c>
      <c r="F1967" s="12">
        <v>46233.0</v>
      </c>
      <c r="G1967" s="11" t="s">
        <v>10726</v>
      </c>
      <c r="H1967" s="11">
        <v>7.008909543E9</v>
      </c>
      <c r="I1967" s="11" t="s">
        <v>82</v>
      </c>
      <c r="J1967" s="11" t="s">
        <v>71</v>
      </c>
      <c r="K1967" s="11" t="s">
        <v>110</v>
      </c>
      <c r="L1967" s="11" t="s">
        <v>73</v>
      </c>
      <c r="M1967" s="11" t="s">
        <v>10270</v>
      </c>
      <c r="N1967" s="11" t="s">
        <v>86</v>
      </c>
      <c r="O1967" s="11" t="s">
        <v>71</v>
      </c>
      <c r="P1967" s="11" t="s">
        <v>10727</v>
      </c>
      <c r="Q1967" s="13" t="s">
        <v>10728</v>
      </c>
      <c r="R1967" s="14" t="str">
        <f>HYPERLINK("https://drive.google.com/file/d/1k3UApTWG1jMJN2m7QEDa17gJn-AAeHBi/view?usp=drivesdk","OFFER LETTER")</f>
        <v>OFFER LETTER</v>
      </c>
      <c r="S1967" s="11" t="s">
        <v>10729</v>
      </c>
    </row>
    <row r="1968" ht="22.5" customHeight="1">
      <c r="A1968" s="10">
        <v>46267.46294444444</v>
      </c>
      <c r="B1968" s="11" t="s">
        <v>10730</v>
      </c>
      <c r="C1968" s="11" t="s">
        <v>354</v>
      </c>
      <c r="D1968" s="11" t="s">
        <v>68</v>
      </c>
      <c r="E1968" s="12">
        <v>46167.0</v>
      </c>
      <c r="F1968" s="12">
        <v>46199.0</v>
      </c>
      <c r="G1968" s="11" t="s">
        <v>10731</v>
      </c>
      <c r="H1968" s="11">
        <v>9.392567918E9</v>
      </c>
      <c r="I1968" s="11" t="s">
        <v>82</v>
      </c>
      <c r="J1968" s="11" t="s">
        <v>71</v>
      </c>
      <c r="K1968" s="11" t="s">
        <v>167</v>
      </c>
      <c r="L1968" s="11" t="s">
        <v>131</v>
      </c>
      <c r="M1968" s="11" t="s">
        <v>10732</v>
      </c>
      <c r="N1968" s="11" t="s">
        <v>86</v>
      </c>
      <c r="O1968" s="11" t="s">
        <v>71</v>
      </c>
      <c r="P1968" s="11" t="s">
        <v>10733</v>
      </c>
      <c r="Q1968" s="13" t="s">
        <v>10734</v>
      </c>
      <c r="R1968" s="14" t="str">
        <f>HYPERLINK("https://drive.google.com/file/d/1BpNenldof3zSBTmpZhAaSplcR2S1ascC/view?usp=drivesdk","OFFER LETTER")</f>
        <v>OFFER LETTER</v>
      </c>
      <c r="S1968" s="11" t="s">
        <v>10735</v>
      </c>
    </row>
    <row r="1969" ht="22.5" customHeight="1">
      <c r="A1969" s="10">
        <v>46267.46392354167</v>
      </c>
      <c r="B1969" s="11" t="s">
        <v>10736</v>
      </c>
      <c r="C1969" s="11" t="s">
        <v>237</v>
      </c>
      <c r="D1969" s="11" t="s">
        <v>68</v>
      </c>
      <c r="E1969" s="12">
        <v>46205.0</v>
      </c>
      <c r="F1969" s="12">
        <v>46235.0</v>
      </c>
      <c r="G1969" s="11" t="s">
        <v>10737</v>
      </c>
      <c r="H1969" s="17" t="s">
        <v>10738</v>
      </c>
      <c r="I1969" s="11" t="s">
        <v>82</v>
      </c>
      <c r="J1969" s="11" t="s">
        <v>71</v>
      </c>
      <c r="K1969" s="11" t="s">
        <v>72</v>
      </c>
      <c r="L1969" s="11" t="s">
        <v>73</v>
      </c>
      <c r="M1969" s="11" t="s">
        <v>10739</v>
      </c>
      <c r="N1969" s="11" t="s">
        <v>86</v>
      </c>
      <c r="O1969" s="11" t="s">
        <v>71</v>
      </c>
      <c r="P1969" s="11" t="s">
        <v>10740</v>
      </c>
      <c r="Q1969" s="13" t="s">
        <v>10741</v>
      </c>
      <c r="R1969" s="14" t="str">
        <f>HYPERLINK("https://drive.google.com/file/d/1sv95LhE7NPc3hJPBPMbluxMgkK_Gukpz/view?usp=drivesdk","OFFER LETTER")</f>
        <v>OFFER LETTER</v>
      </c>
      <c r="S1969" s="11" t="s">
        <v>10742</v>
      </c>
    </row>
    <row r="1970" ht="22.5" customHeight="1">
      <c r="A1970" s="10">
        <v>46267.469680208334</v>
      </c>
      <c r="B1970" s="11" t="s">
        <v>9311</v>
      </c>
      <c r="C1970" s="11" t="s">
        <v>195</v>
      </c>
      <c r="D1970" s="11" t="s">
        <v>68</v>
      </c>
      <c r="E1970" s="12">
        <v>46213.0</v>
      </c>
      <c r="F1970" s="12">
        <v>46244.0</v>
      </c>
      <c r="G1970" s="11" t="s">
        <v>9312</v>
      </c>
      <c r="H1970" s="11">
        <v>6.260953568E9</v>
      </c>
      <c r="I1970" s="11" t="s">
        <v>82</v>
      </c>
      <c r="J1970" s="11" t="s">
        <v>130</v>
      </c>
      <c r="K1970" s="11" t="s">
        <v>72</v>
      </c>
      <c r="L1970" s="11" t="s">
        <v>73</v>
      </c>
      <c r="M1970" s="11" t="s">
        <v>9313</v>
      </c>
      <c r="N1970" s="11" t="s">
        <v>226</v>
      </c>
      <c r="O1970" s="11" t="s">
        <v>71</v>
      </c>
      <c r="P1970" s="11" t="s">
        <v>10743</v>
      </c>
      <c r="Q1970" s="13" t="s">
        <v>10744</v>
      </c>
      <c r="R1970" s="14" t="str">
        <f>HYPERLINK("https://drive.google.com/file/d/1AXSDFugxBueZL6xmw87t2C6pTeTJHHkj/view?usp=drivesdk","OFFER LETTER")</f>
        <v>OFFER LETTER</v>
      </c>
      <c r="S1970" s="11" t="s">
        <v>10745</v>
      </c>
    </row>
    <row r="1971" ht="22.5" customHeight="1">
      <c r="A1971" s="10">
        <v>46267.471125509255</v>
      </c>
      <c r="B1971" s="11" t="s">
        <v>10746</v>
      </c>
      <c r="C1971" s="11" t="s">
        <v>195</v>
      </c>
      <c r="D1971" s="11" t="s">
        <v>68</v>
      </c>
      <c r="E1971" s="12">
        <v>46204.0</v>
      </c>
      <c r="F1971" s="12">
        <v>46205.0</v>
      </c>
      <c r="G1971" s="11" t="s">
        <v>10747</v>
      </c>
      <c r="H1971" s="11">
        <v>7.995988339E9</v>
      </c>
      <c r="I1971" s="11" t="s">
        <v>82</v>
      </c>
      <c r="J1971" s="11" t="s">
        <v>71</v>
      </c>
      <c r="K1971" s="11" t="s">
        <v>72</v>
      </c>
      <c r="L1971" s="11" t="s">
        <v>73</v>
      </c>
      <c r="M1971" s="11" t="s">
        <v>10739</v>
      </c>
      <c r="N1971" s="11" t="s">
        <v>226</v>
      </c>
      <c r="O1971" s="11" t="s">
        <v>71</v>
      </c>
      <c r="P1971" s="11" t="s">
        <v>10748</v>
      </c>
      <c r="Q1971" s="13" t="s">
        <v>10749</v>
      </c>
      <c r="R1971" s="14" t="str">
        <f>HYPERLINK("https://drive.google.com/file/d/1MnOsCh3Xh41ABa6YXvZzCD1tCcebDxkD/view?usp=drivesdk","OFFER LETTER")</f>
        <v>OFFER LETTER</v>
      </c>
      <c r="S1971" s="11" t="s">
        <v>10750</v>
      </c>
    </row>
    <row r="1972" ht="22.5" customHeight="1">
      <c r="A1972" s="10">
        <v>46267.47401597222</v>
      </c>
      <c r="B1972" s="11" t="s">
        <v>10751</v>
      </c>
      <c r="C1972" s="11" t="s">
        <v>173</v>
      </c>
      <c r="D1972" s="11" t="s">
        <v>68</v>
      </c>
      <c r="E1972" s="12">
        <v>46231.0</v>
      </c>
      <c r="F1972" s="12">
        <v>46262.0</v>
      </c>
      <c r="G1972" s="11" t="s">
        <v>10752</v>
      </c>
      <c r="H1972" s="11">
        <v>7.247660698E9</v>
      </c>
      <c r="I1972" s="11" t="s">
        <v>82</v>
      </c>
      <c r="J1972" s="11" t="s">
        <v>130</v>
      </c>
      <c r="K1972" s="11" t="s">
        <v>72</v>
      </c>
      <c r="L1972" s="11" t="s">
        <v>73</v>
      </c>
      <c r="M1972" s="11" t="s">
        <v>10753</v>
      </c>
      <c r="N1972" s="11" t="s">
        <v>198</v>
      </c>
      <c r="O1972" s="11" t="s">
        <v>71</v>
      </c>
      <c r="P1972" s="11" t="s">
        <v>10754</v>
      </c>
      <c r="Q1972" s="13" t="s">
        <v>10755</v>
      </c>
      <c r="R1972" s="14" t="str">
        <f>HYPERLINK("https://drive.google.com/file/d/11W4Ts77pX_i1k28nClLV-MU07AtvlPJ5/view?usp=drivesdk","OFFER LETTER")</f>
        <v>OFFER LETTER</v>
      </c>
      <c r="S1972" s="11" t="s">
        <v>10756</v>
      </c>
    </row>
    <row r="1973" ht="22.5" customHeight="1">
      <c r="A1973" s="10">
        <v>46267.474892488426</v>
      </c>
      <c r="B1973" s="11" t="s">
        <v>10757</v>
      </c>
      <c r="C1973" s="11" t="s">
        <v>237</v>
      </c>
      <c r="D1973" s="11" t="s">
        <v>68</v>
      </c>
      <c r="E1973" s="12">
        <v>46205.0</v>
      </c>
      <c r="F1973" s="12">
        <v>46267.0</v>
      </c>
      <c r="G1973" s="11" t="s">
        <v>10747</v>
      </c>
      <c r="H1973" s="11">
        <v>7.995988339E9</v>
      </c>
      <c r="I1973" s="11" t="s">
        <v>82</v>
      </c>
      <c r="J1973" s="11" t="s">
        <v>71</v>
      </c>
      <c r="K1973" s="11" t="s">
        <v>72</v>
      </c>
      <c r="L1973" s="11" t="s">
        <v>73</v>
      </c>
      <c r="M1973" s="11" t="s">
        <v>10739</v>
      </c>
      <c r="N1973" s="11" t="s">
        <v>86</v>
      </c>
      <c r="O1973" s="11" t="s">
        <v>71</v>
      </c>
      <c r="P1973" s="11" t="s">
        <v>10758</v>
      </c>
      <c r="Q1973" s="13" t="s">
        <v>10759</v>
      </c>
      <c r="R1973" s="14" t="str">
        <f>HYPERLINK("https://drive.google.com/file/d/1hjkDnPjG5dhkjFzkyS_2oqVQR2tLH_C0/view?usp=drivesdk","OFFER LETTER")</f>
        <v>OFFER LETTER</v>
      </c>
      <c r="S1973" s="11" t="s">
        <v>10760</v>
      </c>
    </row>
    <row r="1974" ht="22.5" customHeight="1">
      <c r="A1974" s="10">
        <v>46267.476515393515</v>
      </c>
      <c r="B1974" s="11" t="s">
        <v>10761</v>
      </c>
      <c r="C1974" s="11" t="s">
        <v>128</v>
      </c>
      <c r="D1974" s="11" t="s">
        <v>108</v>
      </c>
      <c r="E1974" s="12">
        <v>46267.0</v>
      </c>
      <c r="F1974" s="12">
        <v>46328.0</v>
      </c>
      <c r="G1974" s="11" t="s">
        <v>10762</v>
      </c>
      <c r="H1974" s="11">
        <v>6.370614437E9</v>
      </c>
      <c r="I1974" s="11" t="s">
        <v>70</v>
      </c>
      <c r="J1974" s="11" t="s">
        <v>71</v>
      </c>
      <c r="K1974" s="11" t="s">
        <v>110</v>
      </c>
      <c r="L1974" s="11" t="s">
        <v>84</v>
      </c>
      <c r="M1974" s="11" t="s">
        <v>481</v>
      </c>
      <c r="N1974" s="11" t="s">
        <v>86</v>
      </c>
      <c r="O1974" s="11" t="s">
        <v>71</v>
      </c>
      <c r="P1974" s="11" t="s">
        <v>10763</v>
      </c>
      <c r="Q1974" s="13" t="s">
        <v>10764</v>
      </c>
      <c r="R1974" s="14" t="str">
        <f>HYPERLINK("https://drive.google.com/file/d/1XRJavSISa7noFLKFT7yNo-BaQpFizx4j/view?usp=drivesdk","OFFER LETTER")</f>
        <v>OFFER LETTER</v>
      </c>
      <c r="S1974" s="11" t="s">
        <v>10765</v>
      </c>
    </row>
    <row r="1975" ht="22.5" customHeight="1">
      <c r="A1975" s="10">
        <v>46267.48163918982</v>
      </c>
      <c r="B1975" s="11" t="s">
        <v>10766</v>
      </c>
      <c r="C1975" s="11" t="s">
        <v>259</v>
      </c>
      <c r="D1975" s="11" t="s">
        <v>68</v>
      </c>
      <c r="E1975" s="12">
        <v>46178.0</v>
      </c>
      <c r="F1975" s="12">
        <v>46208.0</v>
      </c>
      <c r="G1975" s="11" t="s">
        <v>10767</v>
      </c>
      <c r="H1975" s="11">
        <v>7.601038998E9</v>
      </c>
      <c r="I1975" s="11" t="s">
        <v>82</v>
      </c>
      <c r="J1975" s="11" t="s">
        <v>71</v>
      </c>
      <c r="K1975" s="11" t="s">
        <v>72</v>
      </c>
      <c r="L1975" s="11" t="s">
        <v>131</v>
      </c>
      <c r="M1975" s="11" t="s">
        <v>8490</v>
      </c>
      <c r="N1975" s="11" t="s">
        <v>241</v>
      </c>
      <c r="O1975" s="11" t="s">
        <v>71</v>
      </c>
      <c r="P1975" s="11" t="s">
        <v>10768</v>
      </c>
      <c r="Q1975" s="13" t="s">
        <v>10769</v>
      </c>
      <c r="R1975" s="14" t="str">
        <f>HYPERLINK("https://drive.google.com/file/d/1uQXYcL80_VAWdDoAJdj2XnjuK6Sl8PJQ/view?usp=drivesdk","OFFER LETTER")</f>
        <v>OFFER LETTER</v>
      </c>
      <c r="S1975" s="11" t="s">
        <v>10770</v>
      </c>
    </row>
    <row r="1976" ht="22.5" customHeight="1">
      <c r="A1976" s="10">
        <v>46267.48585802084</v>
      </c>
      <c r="B1976" s="11" t="s">
        <v>10771</v>
      </c>
      <c r="C1976" s="11" t="s">
        <v>195</v>
      </c>
      <c r="D1976" s="11" t="s">
        <v>68</v>
      </c>
      <c r="E1976" s="12">
        <v>46185.0</v>
      </c>
      <c r="F1976" s="12">
        <v>46218.0</v>
      </c>
      <c r="G1976" s="11" t="s">
        <v>10772</v>
      </c>
      <c r="H1976" s="11">
        <v>9.973094611E9</v>
      </c>
      <c r="I1976" s="11" t="s">
        <v>82</v>
      </c>
      <c r="J1976" s="11" t="s">
        <v>71</v>
      </c>
      <c r="K1976" s="11" t="s">
        <v>72</v>
      </c>
      <c r="L1976" s="11" t="s">
        <v>84</v>
      </c>
      <c r="M1976" s="11" t="s">
        <v>2535</v>
      </c>
      <c r="N1976" s="11" t="s">
        <v>5502</v>
      </c>
      <c r="O1976" s="11" t="s">
        <v>71</v>
      </c>
      <c r="P1976" s="11" t="s">
        <v>10773</v>
      </c>
      <c r="Q1976" s="13" t="s">
        <v>10774</v>
      </c>
      <c r="R1976" s="14" t="str">
        <f>HYPERLINK("https://drive.google.com/file/d/12Ws4TDRE2S8i_c9viR7CqSBM2v-SV4oW/view?usp=drivesdk","OFFER LETTER")</f>
        <v>OFFER LETTER</v>
      </c>
      <c r="S1976" s="11" t="s">
        <v>10775</v>
      </c>
    </row>
    <row r="1977" ht="22.5" customHeight="1">
      <c r="A1977" s="10">
        <v>46267.489504212965</v>
      </c>
      <c r="B1977" s="11" t="s">
        <v>10776</v>
      </c>
      <c r="C1977" s="11" t="s">
        <v>1320</v>
      </c>
      <c r="D1977" s="11" t="s">
        <v>108</v>
      </c>
      <c r="E1977" s="12">
        <v>46267.0</v>
      </c>
      <c r="F1977" s="12">
        <v>46328.0</v>
      </c>
      <c r="G1977" s="11" t="s">
        <v>10777</v>
      </c>
      <c r="H1977" s="11">
        <v>9.555069521E9</v>
      </c>
      <c r="I1977" s="11" t="s">
        <v>82</v>
      </c>
      <c r="J1977" s="11" t="s">
        <v>71</v>
      </c>
      <c r="K1977" s="11" t="s">
        <v>72</v>
      </c>
      <c r="L1977" s="11" t="s">
        <v>131</v>
      </c>
      <c r="M1977" s="11" t="s">
        <v>10778</v>
      </c>
      <c r="N1977" s="11" t="s">
        <v>75</v>
      </c>
      <c r="O1977" s="11" t="s">
        <v>263</v>
      </c>
      <c r="P1977" s="11" t="s">
        <v>10779</v>
      </c>
      <c r="Q1977" s="13" t="s">
        <v>10780</v>
      </c>
      <c r="R1977" s="14" t="str">
        <f>HYPERLINK("https://drive.google.com/file/d/1oT76pzbOTEP4Wpj1eBNbJICV3wk5ZUsL/view?usp=drivesdk","OFFER LETTER")</f>
        <v>OFFER LETTER</v>
      </c>
      <c r="S1977" s="11" t="s">
        <v>10781</v>
      </c>
    </row>
    <row r="1978" ht="22.5" customHeight="1">
      <c r="A1978" s="10">
        <v>46267.49312252315</v>
      </c>
      <c r="B1978" s="11" t="s">
        <v>10782</v>
      </c>
      <c r="C1978" s="11" t="s">
        <v>173</v>
      </c>
      <c r="D1978" s="11" t="s">
        <v>68</v>
      </c>
      <c r="E1978" s="12">
        <v>46209.0</v>
      </c>
      <c r="F1978" s="12">
        <v>46240.0</v>
      </c>
      <c r="G1978" s="11" t="s">
        <v>10783</v>
      </c>
      <c r="H1978" s="11">
        <v>9.412310711E9</v>
      </c>
      <c r="I1978" s="11" t="s">
        <v>82</v>
      </c>
      <c r="J1978" s="11" t="s">
        <v>71</v>
      </c>
      <c r="K1978" s="11" t="s">
        <v>72</v>
      </c>
      <c r="L1978" s="11" t="s">
        <v>84</v>
      </c>
      <c r="M1978" s="11" t="s">
        <v>849</v>
      </c>
      <c r="N1978" s="11" t="s">
        <v>86</v>
      </c>
      <c r="O1978" s="11" t="s">
        <v>71</v>
      </c>
      <c r="P1978" s="11" t="s">
        <v>10784</v>
      </c>
      <c r="Q1978" s="13" t="s">
        <v>10785</v>
      </c>
      <c r="R1978" s="14" t="str">
        <f>HYPERLINK("https://drive.google.com/file/d/1l1Iz2poLlkRTPLUv44PFDcO2OcIS0V9m/view?usp=drivesdk","OFFER LETTER")</f>
        <v>OFFER LETTER</v>
      </c>
      <c r="S1978" s="11" t="s">
        <v>10786</v>
      </c>
    </row>
    <row r="1979" ht="22.5" customHeight="1">
      <c r="A1979" s="10">
        <v>46267.50597949074</v>
      </c>
      <c r="B1979" s="11" t="s">
        <v>10787</v>
      </c>
      <c r="C1979" s="11" t="s">
        <v>91</v>
      </c>
      <c r="D1979" s="11" t="s">
        <v>68</v>
      </c>
      <c r="E1979" s="12">
        <v>46218.0</v>
      </c>
      <c r="F1979" s="12">
        <v>46250.0</v>
      </c>
      <c r="G1979" s="11" t="s">
        <v>10788</v>
      </c>
      <c r="H1979" s="11">
        <v>6.20793362E9</v>
      </c>
      <c r="I1979" s="11" t="s">
        <v>82</v>
      </c>
      <c r="J1979" s="11" t="s">
        <v>71</v>
      </c>
      <c r="K1979" s="11" t="s">
        <v>72</v>
      </c>
      <c r="L1979" s="11" t="s">
        <v>84</v>
      </c>
      <c r="M1979" s="11" t="s">
        <v>10789</v>
      </c>
      <c r="N1979" s="11" t="s">
        <v>86</v>
      </c>
      <c r="O1979" s="11" t="s">
        <v>71</v>
      </c>
      <c r="P1979" s="11" t="s">
        <v>10790</v>
      </c>
      <c r="Q1979" s="13" t="s">
        <v>10791</v>
      </c>
      <c r="R1979" s="14" t="str">
        <f>HYPERLINK("https://drive.google.com/file/d/1aIUjBIPaKtJ-jO6EmxbjNq7fRrOkqCu4/view?usp=drivesdk","OFFER LETTER")</f>
        <v>OFFER LETTER</v>
      </c>
      <c r="S1979" s="11" t="s">
        <v>10792</v>
      </c>
    </row>
    <row r="1980" ht="22.5" customHeight="1">
      <c r="A1980" s="10">
        <v>46267.508851446764</v>
      </c>
      <c r="B1980" s="11" t="s">
        <v>10793</v>
      </c>
      <c r="C1980" s="11" t="s">
        <v>195</v>
      </c>
      <c r="D1980" s="11" t="s">
        <v>68</v>
      </c>
      <c r="E1980" s="12">
        <v>46204.0</v>
      </c>
      <c r="F1980" s="12">
        <v>46235.0</v>
      </c>
      <c r="G1980" s="11" t="s">
        <v>10794</v>
      </c>
      <c r="H1980" s="11">
        <v>7.678455446E9</v>
      </c>
      <c r="I1980" s="11" t="s">
        <v>82</v>
      </c>
      <c r="J1980" s="11" t="s">
        <v>130</v>
      </c>
      <c r="K1980" s="11" t="s">
        <v>72</v>
      </c>
      <c r="L1980" s="11" t="s">
        <v>84</v>
      </c>
      <c r="M1980" s="11" t="s">
        <v>886</v>
      </c>
      <c r="N1980" s="11" t="s">
        <v>86</v>
      </c>
      <c r="O1980" s="11" t="s">
        <v>71</v>
      </c>
      <c r="P1980" s="11" t="s">
        <v>10795</v>
      </c>
      <c r="Q1980" s="13" t="s">
        <v>10796</v>
      </c>
      <c r="R1980" s="14" t="str">
        <f>HYPERLINK("https://drive.google.com/file/d/1N7EPjwqaT2Re85j7rPz9DYIk8fnE1xin/view?usp=drivesdk","OFFER LETTER")</f>
        <v>OFFER LETTER</v>
      </c>
      <c r="S1980" s="11" t="s">
        <v>10797</v>
      </c>
    </row>
    <row r="1981" ht="22.5" customHeight="1">
      <c r="A1981" s="10">
        <v>46267.51455216436</v>
      </c>
      <c r="B1981" s="11" t="s">
        <v>10798</v>
      </c>
      <c r="C1981" s="11" t="s">
        <v>195</v>
      </c>
      <c r="D1981" s="11" t="s">
        <v>68</v>
      </c>
      <c r="E1981" s="12">
        <v>46268.0</v>
      </c>
      <c r="F1981" s="12">
        <v>46298.0</v>
      </c>
      <c r="G1981" s="11" t="s">
        <v>10799</v>
      </c>
      <c r="H1981" s="11" t="s">
        <v>10800</v>
      </c>
      <c r="I1981" s="11" t="s">
        <v>70</v>
      </c>
      <c r="J1981" s="11" t="s">
        <v>71</v>
      </c>
      <c r="K1981" s="11" t="s">
        <v>72</v>
      </c>
      <c r="L1981" s="11" t="s">
        <v>73</v>
      </c>
      <c r="M1981" s="11" t="s">
        <v>10801</v>
      </c>
      <c r="N1981" s="11" t="s">
        <v>241</v>
      </c>
      <c r="O1981" s="11" t="s">
        <v>71</v>
      </c>
      <c r="P1981" s="11" t="s">
        <v>10802</v>
      </c>
      <c r="Q1981" s="13" t="s">
        <v>10803</v>
      </c>
      <c r="R1981" s="14" t="str">
        <f>HYPERLINK("https://drive.google.com/file/d/1LrQE1ymFZ3vSm8Uf7NRch6SwpQZbtZuE/view?usp=drivesdk","OFFER LETTER")</f>
        <v>OFFER LETTER</v>
      </c>
      <c r="S1981" s="11" t="s">
        <v>10804</v>
      </c>
    </row>
    <row r="1982" ht="22.5" customHeight="1">
      <c r="A1982" s="10">
        <v>46267.51844678241</v>
      </c>
      <c r="B1982" s="11" t="s">
        <v>10805</v>
      </c>
      <c r="C1982" s="11" t="s">
        <v>173</v>
      </c>
      <c r="D1982" s="11" t="s">
        <v>68</v>
      </c>
      <c r="E1982" s="12">
        <v>46231.0</v>
      </c>
      <c r="F1982" s="12">
        <v>46262.0</v>
      </c>
      <c r="G1982" s="11" t="s">
        <v>10806</v>
      </c>
      <c r="H1982" s="11">
        <v>9.893753369E9</v>
      </c>
      <c r="I1982" s="11" t="s">
        <v>82</v>
      </c>
      <c r="J1982" s="11" t="s">
        <v>71</v>
      </c>
      <c r="K1982" s="11" t="s">
        <v>72</v>
      </c>
      <c r="L1982" s="11" t="s">
        <v>73</v>
      </c>
      <c r="M1982" s="11" t="s">
        <v>10807</v>
      </c>
      <c r="N1982" s="11" t="s">
        <v>198</v>
      </c>
      <c r="O1982" s="11" t="s">
        <v>130</v>
      </c>
      <c r="P1982" s="11" t="s">
        <v>10808</v>
      </c>
      <c r="Q1982" s="13" t="s">
        <v>10809</v>
      </c>
      <c r="R1982" s="14" t="str">
        <f>HYPERLINK("https://drive.google.com/file/d/1AtlPBrc8ILeGAbYoIxiawjqvi4t6mYUF/view?usp=drivesdk","OFFER LETTER")</f>
        <v>OFFER LETTER</v>
      </c>
      <c r="S1982" s="11" t="s">
        <v>10810</v>
      </c>
    </row>
    <row r="1983" ht="22.5" customHeight="1">
      <c r="A1983" s="10">
        <v>46267.51953667824</v>
      </c>
      <c r="B1983" s="11" t="s">
        <v>10811</v>
      </c>
      <c r="C1983" s="11" t="s">
        <v>237</v>
      </c>
      <c r="D1983" s="11" t="s">
        <v>68</v>
      </c>
      <c r="E1983" s="12">
        <v>46266.0</v>
      </c>
      <c r="F1983" s="12">
        <v>46295.0</v>
      </c>
      <c r="G1983" s="11" t="s">
        <v>10812</v>
      </c>
      <c r="H1983" s="11">
        <v>9.966065661E9</v>
      </c>
      <c r="I1983" s="11" t="s">
        <v>82</v>
      </c>
      <c r="J1983" s="11" t="s">
        <v>71</v>
      </c>
      <c r="K1983" s="11" t="s">
        <v>2045</v>
      </c>
      <c r="L1983" s="11" t="s">
        <v>84</v>
      </c>
      <c r="M1983" s="11" t="s">
        <v>10813</v>
      </c>
      <c r="N1983" s="11" t="s">
        <v>219</v>
      </c>
      <c r="O1983" s="11" t="s">
        <v>71</v>
      </c>
      <c r="P1983" s="11" t="s">
        <v>10814</v>
      </c>
      <c r="Q1983" s="13" t="s">
        <v>10815</v>
      </c>
      <c r="R1983" s="14" t="str">
        <f>HYPERLINK("https://drive.google.com/file/d/1TmCX6jsX2YNUmr7R2UIwE4oi0PfiTvMs/view?usp=drivesdk","OFFER LETTER")</f>
        <v>OFFER LETTER</v>
      </c>
      <c r="S1983" s="11" t="s">
        <v>10816</v>
      </c>
    </row>
    <row r="1984" ht="22.5" customHeight="1">
      <c r="A1984" s="10">
        <v>46267.5202671875</v>
      </c>
      <c r="B1984" s="11" t="s">
        <v>10817</v>
      </c>
      <c r="C1984" s="11" t="s">
        <v>259</v>
      </c>
      <c r="D1984" s="11" t="s">
        <v>108</v>
      </c>
      <c r="E1984" s="12">
        <v>46031.0</v>
      </c>
      <c r="F1984" s="12">
        <v>46033.0</v>
      </c>
      <c r="G1984" s="11" t="s">
        <v>10818</v>
      </c>
      <c r="H1984" s="11">
        <v>8.080203757E9</v>
      </c>
      <c r="I1984" s="11" t="s">
        <v>70</v>
      </c>
      <c r="J1984" s="11" t="s">
        <v>71</v>
      </c>
      <c r="K1984" s="11" t="s">
        <v>72</v>
      </c>
      <c r="L1984" s="11" t="s">
        <v>131</v>
      </c>
      <c r="M1984" s="11" t="s">
        <v>3370</v>
      </c>
      <c r="N1984" s="11" t="s">
        <v>86</v>
      </c>
      <c r="O1984" s="11" t="s">
        <v>71</v>
      </c>
      <c r="P1984" s="11" t="s">
        <v>10819</v>
      </c>
      <c r="Q1984" s="13" t="s">
        <v>10820</v>
      </c>
      <c r="R1984" s="14" t="str">
        <f>HYPERLINK("https://drive.google.com/file/d/1oOCBG_ZivJhoku1ncBc0wPEhotxkn5KK/view?usp=drivesdk","OFFER LETTER")</f>
        <v>OFFER LETTER</v>
      </c>
      <c r="S1984" s="11" t="s">
        <v>10821</v>
      </c>
    </row>
    <row r="1985" ht="22.5" customHeight="1">
      <c r="A1985" s="10">
        <v>46267.521105277774</v>
      </c>
      <c r="B1985" s="11" t="s">
        <v>10822</v>
      </c>
      <c r="C1985" s="11" t="s">
        <v>237</v>
      </c>
      <c r="D1985" s="11" t="s">
        <v>68</v>
      </c>
      <c r="E1985" s="12">
        <v>46174.0</v>
      </c>
      <c r="F1985" s="12">
        <v>46204.0</v>
      </c>
      <c r="G1985" s="11" t="s">
        <v>10823</v>
      </c>
      <c r="H1985" s="11">
        <v>9.696992926E9</v>
      </c>
      <c r="I1985" s="11" t="s">
        <v>70</v>
      </c>
      <c r="J1985" s="11" t="s">
        <v>71</v>
      </c>
      <c r="K1985" s="11" t="s">
        <v>72</v>
      </c>
      <c r="L1985" s="11" t="s">
        <v>84</v>
      </c>
      <c r="M1985" s="11" t="s">
        <v>10824</v>
      </c>
      <c r="N1985" s="11" t="s">
        <v>86</v>
      </c>
      <c r="O1985" s="11" t="s">
        <v>71</v>
      </c>
      <c r="P1985" s="11" t="s">
        <v>10825</v>
      </c>
      <c r="Q1985" s="13" t="s">
        <v>10826</v>
      </c>
      <c r="R1985" s="14" t="str">
        <f>HYPERLINK("https://drive.google.com/file/d/1Q_qDvyZ-B7m-uzTWCL33h2dYhPNT09Rr/view?usp=drivesdk","OFFER LETTER")</f>
        <v>OFFER LETTER</v>
      </c>
      <c r="S1985" s="11" t="s">
        <v>10827</v>
      </c>
    </row>
    <row r="1986" ht="22.5" customHeight="1">
      <c r="A1986" s="10">
        <v>46267.522382546296</v>
      </c>
      <c r="B1986" s="11" t="s">
        <v>10828</v>
      </c>
      <c r="C1986" s="11" t="s">
        <v>173</v>
      </c>
      <c r="D1986" s="11" t="s">
        <v>68</v>
      </c>
      <c r="E1986" s="12">
        <v>46267.0</v>
      </c>
      <c r="F1986" s="12">
        <v>46297.0</v>
      </c>
      <c r="G1986" s="11" t="s">
        <v>10829</v>
      </c>
      <c r="H1986" s="11">
        <v>9.665604159E9</v>
      </c>
      <c r="I1986" s="11" t="s">
        <v>70</v>
      </c>
      <c r="J1986" s="11" t="s">
        <v>83</v>
      </c>
      <c r="K1986" s="11" t="s">
        <v>72</v>
      </c>
      <c r="L1986" s="11" t="s">
        <v>131</v>
      </c>
      <c r="M1986" s="11" t="s">
        <v>10830</v>
      </c>
      <c r="N1986" s="11" t="s">
        <v>226</v>
      </c>
      <c r="O1986" s="11" t="s">
        <v>263</v>
      </c>
      <c r="P1986" s="11" t="s">
        <v>10831</v>
      </c>
      <c r="Q1986" s="13" t="s">
        <v>10832</v>
      </c>
      <c r="R1986" s="14" t="str">
        <f>HYPERLINK("https://drive.google.com/file/d/1F0SUdLSrVUG2kDu8vKgOzgmIQ-KsCiMM/view?usp=drivesdk","OFFER LETTER")</f>
        <v>OFFER LETTER</v>
      </c>
      <c r="S1986" s="11" t="s">
        <v>10833</v>
      </c>
    </row>
    <row r="1987" ht="22.5" customHeight="1">
      <c r="A1987" s="10">
        <v>46267.526215011574</v>
      </c>
      <c r="B1987" s="11" t="s">
        <v>10834</v>
      </c>
      <c r="C1987" s="11" t="s">
        <v>91</v>
      </c>
      <c r="D1987" s="11" t="s">
        <v>68</v>
      </c>
      <c r="E1987" s="12">
        <v>46171.0</v>
      </c>
      <c r="F1987" s="12">
        <v>46202.0</v>
      </c>
      <c r="G1987" s="11" t="s">
        <v>10835</v>
      </c>
      <c r="H1987" s="11">
        <v>9.360503524E9</v>
      </c>
      <c r="I1987" s="11" t="s">
        <v>82</v>
      </c>
      <c r="J1987" s="11" t="s">
        <v>71</v>
      </c>
      <c r="K1987" s="11" t="s">
        <v>72</v>
      </c>
      <c r="L1987" s="11" t="s">
        <v>131</v>
      </c>
      <c r="M1987" s="11" t="s">
        <v>10836</v>
      </c>
      <c r="N1987" s="11" t="s">
        <v>86</v>
      </c>
      <c r="O1987" s="11" t="s">
        <v>71</v>
      </c>
      <c r="P1987" s="11" t="s">
        <v>10837</v>
      </c>
      <c r="Q1987" s="13" t="s">
        <v>10838</v>
      </c>
      <c r="R1987" s="14" t="str">
        <f>HYPERLINK("https://drive.google.com/file/d/1NvQ0-Zu1tjJNNvgTQGHXN71d4PQZsIe5/view?usp=drivesdk","OFFER LETTER")</f>
        <v>OFFER LETTER</v>
      </c>
      <c r="S1987" s="11" t="s">
        <v>10839</v>
      </c>
    </row>
    <row r="1988" ht="22.5" customHeight="1">
      <c r="A1988" s="10">
        <v>46267.53211204861</v>
      </c>
      <c r="B1988" s="11" t="s">
        <v>10840</v>
      </c>
      <c r="C1988" s="11" t="s">
        <v>195</v>
      </c>
      <c r="D1988" s="11" t="s">
        <v>68</v>
      </c>
      <c r="E1988" s="12">
        <v>46218.0</v>
      </c>
      <c r="F1988" s="12">
        <v>46250.0</v>
      </c>
      <c r="G1988" s="11" t="s">
        <v>10841</v>
      </c>
      <c r="H1988" s="11">
        <v>8.989713363E9</v>
      </c>
      <c r="I1988" s="11" t="s">
        <v>82</v>
      </c>
      <c r="J1988" s="11" t="s">
        <v>83</v>
      </c>
      <c r="K1988" s="11" t="s">
        <v>72</v>
      </c>
      <c r="L1988" s="11" t="s">
        <v>73</v>
      </c>
      <c r="M1988" s="11" t="s">
        <v>10842</v>
      </c>
      <c r="N1988" s="11" t="s">
        <v>2778</v>
      </c>
      <c r="O1988" s="11" t="s">
        <v>71</v>
      </c>
      <c r="P1988" s="11" t="s">
        <v>10843</v>
      </c>
      <c r="Q1988" s="13" t="s">
        <v>10844</v>
      </c>
      <c r="R1988" s="14" t="str">
        <f>HYPERLINK("https://drive.google.com/file/d/1rl4gzQqJwrk666dbWgdsMVoLylHf24M-/view?usp=drivesdk","OFFER LETTER")</f>
        <v>OFFER LETTER</v>
      </c>
      <c r="S1988" s="11" t="s">
        <v>10845</v>
      </c>
    </row>
    <row r="1989" ht="22.5" customHeight="1">
      <c r="A1989" s="10">
        <v>46267.53743694445</v>
      </c>
      <c r="B1989" s="11" t="s">
        <v>10846</v>
      </c>
      <c r="C1989" s="11" t="s">
        <v>67</v>
      </c>
      <c r="D1989" s="11" t="s">
        <v>68</v>
      </c>
      <c r="E1989" s="12">
        <v>46205.0</v>
      </c>
      <c r="F1989" s="12">
        <v>46236.0</v>
      </c>
      <c r="G1989" s="11" t="s">
        <v>10847</v>
      </c>
      <c r="H1989" s="11">
        <v>9.305475052E9</v>
      </c>
      <c r="I1989" s="11" t="s">
        <v>82</v>
      </c>
      <c r="J1989" s="11" t="s">
        <v>71</v>
      </c>
      <c r="K1989" s="11" t="s">
        <v>72</v>
      </c>
      <c r="L1989" s="11" t="s">
        <v>131</v>
      </c>
      <c r="M1989" s="11" t="s">
        <v>9440</v>
      </c>
      <c r="N1989" s="11" t="s">
        <v>75</v>
      </c>
      <c r="O1989" s="11" t="s">
        <v>71</v>
      </c>
      <c r="P1989" s="11" t="s">
        <v>10848</v>
      </c>
      <c r="Q1989" s="13" t="s">
        <v>10849</v>
      </c>
      <c r="R1989" s="14" t="str">
        <f>HYPERLINK("https://drive.google.com/file/d/1VjV9PpJiHccbrYQ7nidM6YSHoY9bSA2Q/view?usp=drivesdk","OFFER LETTER")</f>
        <v>OFFER LETTER</v>
      </c>
      <c r="S1989" s="11" t="s">
        <v>10850</v>
      </c>
    </row>
    <row r="1990" ht="22.5" customHeight="1">
      <c r="A1990" s="10">
        <v>46267.547092685185</v>
      </c>
      <c r="B1990" s="11" t="s">
        <v>10851</v>
      </c>
      <c r="C1990" s="11" t="s">
        <v>259</v>
      </c>
      <c r="D1990" s="11" t="s">
        <v>68</v>
      </c>
      <c r="E1990" s="12">
        <v>46174.0</v>
      </c>
      <c r="F1990" s="12">
        <v>46204.0</v>
      </c>
      <c r="G1990" s="11" t="s">
        <v>10852</v>
      </c>
      <c r="H1990" s="11">
        <v>9.128787777E9</v>
      </c>
      <c r="I1990" s="11" t="s">
        <v>82</v>
      </c>
      <c r="J1990" s="11" t="s">
        <v>71</v>
      </c>
      <c r="K1990" s="11" t="s">
        <v>72</v>
      </c>
      <c r="L1990" s="11" t="s">
        <v>73</v>
      </c>
      <c r="M1990" s="11" t="s">
        <v>2221</v>
      </c>
      <c r="N1990" s="11" t="s">
        <v>226</v>
      </c>
      <c r="O1990" s="11" t="s">
        <v>71</v>
      </c>
      <c r="P1990" s="11" t="s">
        <v>10853</v>
      </c>
      <c r="Q1990" s="13" t="s">
        <v>10854</v>
      </c>
      <c r="R1990" s="14" t="str">
        <f>HYPERLINK("https://drive.google.com/file/d/1PCKAvHpQ_C1IJ2yMKFPjxKUvLzEFtwCs/view?usp=drivesdk","OFFER LETTER")</f>
        <v>OFFER LETTER</v>
      </c>
      <c r="S1990" s="11" t="s">
        <v>10855</v>
      </c>
    </row>
    <row r="1991" ht="22.5" customHeight="1">
      <c r="A1991" s="10">
        <v>46267.56260010417</v>
      </c>
      <c r="B1991" s="11" t="s">
        <v>10856</v>
      </c>
      <c r="C1991" s="11" t="s">
        <v>91</v>
      </c>
      <c r="D1991" s="11" t="s">
        <v>108</v>
      </c>
      <c r="E1991" s="12">
        <v>46162.0</v>
      </c>
      <c r="F1991" s="12">
        <v>46223.0</v>
      </c>
      <c r="G1991" s="11" t="s">
        <v>10857</v>
      </c>
      <c r="H1991" s="11">
        <v>9.98557348E9</v>
      </c>
      <c r="I1991" s="11" t="s">
        <v>82</v>
      </c>
      <c r="J1991" s="11" t="s">
        <v>71</v>
      </c>
      <c r="K1991" s="11" t="s">
        <v>356</v>
      </c>
      <c r="L1991" s="11" t="s">
        <v>84</v>
      </c>
      <c r="M1991" s="11" t="s">
        <v>10858</v>
      </c>
      <c r="N1991" s="11" t="s">
        <v>7046</v>
      </c>
      <c r="O1991" s="11" t="s">
        <v>71</v>
      </c>
      <c r="P1991" s="11" t="s">
        <v>10859</v>
      </c>
      <c r="Q1991" s="13" t="s">
        <v>10860</v>
      </c>
      <c r="R1991" s="14" t="str">
        <f>HYPERLINK("https://drive.google.com/file/d/1C--K5DTbdTdrlkrvaDId6eIRlaH9CpuK/view?usp=drivesdk","OFFER LETTER")</f>
        <v>OFFER LETTER</v>
      </c>
      <c r="S1991" s="11" t="s">
        <v>10861</v>
      </c>
    </row>
    <row r="1992" ht="22.5" customHeight="1">
      <c r="A1992" s="10">
        <v>46267.56961576389</v>
      </c>
      <c r="B1992" s="11" t="s">
        <v>10862</v>
      </c>
      <c r="C1992" s="11" t="s">
        <v>195</v>
      </c>
      <c r="D1992" s="11" t="s">
        <v>108</v>
      </c>
      <c r="E1992" s="12">
        <v>46157.0</v>
      </c>
      <c r="F1992" s="12">
        <v>46218.0</v>
      </c>
      <c r="G1992" s="11" t="s">
        <v>10863</v>
      </c>
      <c r="H1992" s="11">
        <v>8.074720683E9</v>
      </c>
      <c r="I1992" s="11" t="s">
        <v>70</v>
      </c>
      <c r="J1992" s="11" t="s">
        <v>71</v>
      </c>
      <c r="K1992" s="11" t="s">
        <v>72</v>
      </c>
      <c r="L1992" s="11" t="s">
        <v>84</v>
      </c>
      <c r="M1992" s="11" t="s">
        <v>10864</v>
      </c>
      <c r="N1992" s="11" t="s">
        <v>75</v>
      </c>
      <c r="O1992" s="11" t="s">
        <v>71</v>
      </c>
      <c r="P1992" s="11" t="s">
        <v>10865</v>
      </c>
      <c r="Q1992" s="13" t="s">
        <v>10866</v>
      </c>
      <c r="R1992" s="14" t="str">
        <f>HYPERLINK("https://drive.google.com/file/d/1J2M_h5m1QQBIDQeSZhin7KGkyneudpNS/view?usp=drivesdk","OFFER LETTER")</f>
        <v>OFFER LETTER</v>
      </c>
      <c r="S1992" s="11" t="s">
        <v>10867</v>
      </c>
    </row>
    <row r="1993" ht="22.5" customHeight="1">
      <c r="A1993" s="10">
        <v>46267.570245717594</v>
      </c>
      <c r="B1993" s="11" t="s">
        <v>10868</v>
      </c>
      <c r="C1993" s="11" t="s">
        <v>80</v>
      </c>
      <c r="D1993" s="11" t="s">
        <v>68</v>
      </c>
      <c r="E1993" s="12">
        <v>46268.0</v>
      </c>
      <c r="F1993" s="12">
        <v>46298.0</v>
      </c>
      <c r="G1993" s="11" t="s">
        <v>10869</v>
      </c>
      <c r="H1993" s="11">
        <v>9.320622765E9</v>
      </c>
      <c r="I1993" s="11" t="s">
        <v>82</v>
      </c>
      <c r="J1993" s="11" t="s">
        <v>71</v>
      </c>
      <c r="K1993" s="11" t="s">
        <v>72</v>
      </c>
      <c r="L1993" s="11" t="s">
        <v>84</v>
      </c>
      <c r="M1993" s="11" t="s">
        <v>10870</v>
      </c>
      <c r="N1993" s="11" t="s">
        <v>86</v>
      </c>
      <c r="O1993" s="11" t="s">
        <v>71</v>
      </c>
      <c r="P1993" s="11" t="s">
        <v>10871</v>
      </c>
      <c r="Q1993" s="13" t="s">
        <v>10872</v>
      </c>
      <c r="R1993" s="14" t="str">
        <f>HYPERLINK("https://drive.google.com/file/d/1SAQw6AgIy6DFdHEREd7QF9Mtna1yRcH4/view?usp=drivesdk","OFFER LETTER")</f>
        <v>OFFER LETTER</v>
      </c>
      <c r="S1993" s="11" t="s">
        <v>10873</v>
      </c>
    </row>
    <row r="1994" ht="22.5" customHeight="1">
      <c r="A1994" s="10">
        <v>46267.57082712963</v>
      </c>
      <c r="B1994" s="11" t="s">
        <v>10874</v>
      </c>
      <c r="C1994" s="11" t="s">
        <v>354</v>
      </c>
      <c r="D1994" s="11" t="s">
        <v>108</v>
      </c>
      <c r="E1994" s="12">
        <v>46160.0</v>
      </c>
      <c r="F1994" s="12">
        <v>46221.0</v>
      </c>
      <c r="G1994" s="11" t="s">
        <v>10875</v>
      </c>
      <c r="H1994" s="11">
        <v>9.554273111E9</v>
      </c>
      <c r="I1994" s="11" t="s">
        <v>82</v>
      </c>
      <c r="J1994" s="11" t="s">
        <v>71</v>
      </c>
      <c r="K1994" s="11" t="s">
        <v>72</v>
      </c>
      <c r="L1994" s="11" t="s">
        <v>73</v>
      </c>
      <c r="M1994" s="11" t="s">
        <v>10876</v>
      </c>
      <c r="N1994" s="11" t="s">
        <v>868</v>
      </c>
      <c r="O1994" s="11" t="s">
        <v>71</v>
      </c>
      <c r="P1994" s="11" t="s">
        <v>10877</v>
      </c>
      <c r="Q1994" s="13" t="s">
        <v>10878</v>
      </c>
      <c r="R1994" s="14" t="str">
        <f>HYPERLINK("https://drive.google.com/file/d/1hN1yLJDtT_NAC2MBt2n0UYVoFCQ6t1H8/view?usp=drivesdk","OFFER LETTER")</f>
        <v>OFFER LETTER</v>
      </c>
      <c r="S1994" s="11" t="s">
        <v>10879</v>
      </c>
    </row>
    <row r="1995" ht="22.5" customHeight="1">
      <c r="A1995" s="10">
        <v>46267.572485763885</v>
      </c>
      <c r="B1995" s="11" t="s">
        <v>10880</v>
      </c>
      <c r="C1995" s="11" t="s">
        <v>298</v>
      </c>
      <c r="D1995" s="11" t="s">
        <v>68</v>
      </c>
      <c r="E1995" s="12">
        <v>46256.0</v>
      </c>
      <c r="F1995" s="12">
        <v>46286.0</v>
      </c>
      <c r="G1995" s="11" t="s">
        <v>10881</v>
      </c>
      <c r="H1995" s="11">
        <v>8.932030452E9</v>
      </c>
      <c r="I1995" s="11" t="s">
        <v>70</v>
      </c>
      <c r="J1995" s="11" t="s">
        <v>71</v>
      </c>
      <c r="K1995" s="11" t="s">
        <v>72</v>
      </c>
      <c r="L1995" s="11" t="s">
        <v>73</v>
      </c>
      <c r="M1995" s="11" t="s">
        <v>10882</v>
      </c>
      <c r="N1995" s="11" t="s">
        <v>10883</v>
      </c>
      <c r="O1995" s="11" t="s">
        <v>71</v>
      </c>
      <c r="P1995" s="11" t="s">
        <v>10884</v>
      </c>
      <c r="Q1995" s="13" t="s">
        <v>10885</v>
      </c>
      <c r="R1995" s="14" t="str">
        <f>HYPERLINK("https://drive.google.com/file/d/122S-Y3qDeU8au4Ck7x7SZoVMRnaZ9U24/view?usp=drivesdk","OFFER LETTER")</f>
        <v>OFFER LETTER</v>
      </c>
      <c r="S1995" s="11" t="s">
        <v>10886</v>
      </c>
    </row>
    <row r="1996" ht="22.5" customHeight="1">
      <c r="A1996" s="10">
        <v>46267.58044064815</v>
      </c>
      <c r="B1996" s="11" t="s">
        <v>10887</v>
      </c>
      <c r="C1996" s="11" t="s">
        <v>80</v>
      </c>
      <c r="D1996" s="11" t="s">
        <v>68</v>
      </c>
      <c r="E1996" s="12">
        <v>46267.0</v>
      </c>
      <c r="F1996" s="12">
        <v>46296.0</v>
      </c>
      <c r="G1996" s="11" t="s">
        <v>10888</v>
      </c>
      <c r="H1996" s="11">
        <v>9.214639946E9</v>
      </c>
      <c r="I1996" s="11" t="s">
        <v>82</v>
      </c>
      <c r="J1996" s="11" t="s">
        <v>83</v>
      </c>
      <c r="K1996" s="13" t="s">
        <v>674</v>
      </c>
      <c r="L1996" s="11" t="s">
        <v>84</v>
      </c>
      <c r="M1996" s="11" t="s">
        <v>10889</v>
      </c>
      <c r="N1996" s="11" t="s">
        <v>86</v>
      </c>
      <c r="O1996" s="11" t="s">
        <v>71</v>
      </c>
      <c r="P1996" s="11" t="s">
        <v>10890</v>
      </c>
      <c r="Q1996" s="13" t="s">
        <v>10891</v>
      </c>
      <c r="R1996" s="14" t="str">
        <f>HYPERLINK("https://drive.google.com/file/d/1SP9zWxFHDeT0pBqSQZDGyPdafwJLLR3P/view?usp=drivesdk","OFFER LETTER")</f>
        <v>OFFER LETTER</v>
      </c>
      <c r="S1996" s="11" t="s">
        <v>10892</v>
      </c>
    </row>
    <row r="1997" ht="22.5" customHeight="1">
      <c r="A1997" s="10">
        <v>46267.58308986111</v>
      </c>
      <c r="B1997" s="11" t="s">
        <v>10893</v>
      </c>
      <c r="C1997" s="11" t="s">
        <v>354</v>
      </c>
      <c r="D1997" s="11" t="s">
        <v>108</v>
      </c>
      <c r="E1997" s="12">
        <v>46157.0</v>
      </c>
      <c r="F1997" s="12">
        <v>46218.0</v>
      </c>
      <c r="G1997" s="11" t="s">
        <v>10894</v>
      </c>
      <c r="H1997" s="11">
        <v>7.416740559E9</v>
      </c>
      <c r="I1997" s="11" t="s">
        <v>70</v>
      </c>
      <c r="J1997" s="11" t="s">
        <v>71</v>
      </c>
      <c r="K1997" s="11" t="s">
        <v>72</v>
      </c>
      <c r="L1997" s="11" t="s">
        <v>73</v>
      </c>
      <c r="M1997" s="11" t="s">
        <v>10895</v>
      </c>
      <c r="N1997" s="11" t="s">
        <v>75</v>
      </c>
      <c r="O1997" s="11" t="s">
        <v>71</v>
      </c>
      <c r="P1997" s="11" t="s">
        <v>10896</v>
      </c>
      <c r="Q1997" s="13" t="s">
        <v>10897</v>
      </c>
      <c r="R1997" s="14" t="str">
        <f>HYPERLINK("https://drive.google.com/file/d/1oMz5Qym8gA6a-TqqNeQ_oyE5AEzLudDq/view?usp=drivesdk","OFFER LETTER")</f>
        <v>OFFER LETTER</v>
      </c>
      <c r="S1997" s="11" t="s">
        <v>10898</v>
      </c>
    </row>
    <row r="1998" ht="22.5" customHeight="1">
      <c r="A1998" s="10">
        <v>46267.58329435185</v>
      </c>
      <c r="B1998" s="11" t="s">
        <v>10899</v>
      </c>
      <c r="C1998" s="11" t="s">
        <v>237</v>
      </c>
      <c r="D1998" s="11" t="s">
        <v>68</v>
      </c>
      <c r="E1998" s="12">
        <v>46267.0</v>
      </c>
      <c r="F1998" s="12">
        <v>46297.0</v>
      </c>
      <c r="G1998" s="11" t="s">
        <v>10900</v>
      </c>
      <c r="H1998" s="11">
        <v>8.149202393E9</v>
      </c>
      <c r="I1998" s="11" t="s">
        <v>70</v>
      </c>
      <c r="J1998" s="11" t="s">
        <v>71</v>
      </c>
      <c r="K1998" s="11" t="s">
        <v>72</v>
      </c>
      <c r="L1998" s="11" t="s">
        <v>73</v>
      </c>
      <c r="M1998" s="11" t="s">
        <v>10901</v>
      </c>
      <c r="N1998" s="11" t="s">
        <v>75</v>
      </c>
      <c r="O1998" s="11" t="s">
        <v>71</v>
      </c>
      <c r="P1998" s="11" t="s">
        <v>10902</v>
      </c>
      <c r="Q1998" s="13" t="s">
        <v>10903</v>
      </c>
      <c r="R1998" s="14" t="str">
        <f>HYPERLINK("https://drive.google.com/file/d/1tqJbDhu6Q7JHvrzy_uAfNKLiCyAqhGee/view?usp=drivesdk","OFFER LETTER")</f>
        <v>OFFER LETTER</v>
      </c>
      <c r="S1998" s="11" t="s">
        <v>10904</v>
      </c>
    </row>
    <row r="1999" ht="22.5" customHeight="1">
      <c r="A1999" s="10">
        <v>46267.59724695602</v>
      </c>
      <c r="B1999" s="11" t="s">
        <v>10905</v>
      </c>
      <c r="C1999" s="11" t="s">
        <v>80</v>
      </c>
      <c r="D1999" s="11" t="s">
        <v>68</v>
      </c>
      <c r="E1999" s="12">
        <v>46272.0</v>
      </c>
      <c r="F1999" s="12">
        <v>46302.0</v>
      </c>
      <c r="G1999" s="11" t="s">
        <v>10906</v>
      </c>
      <c r="H1999" s="11">
        <v>9.749907981E9</v>
      </c>
      <c r="I1999" s="11" t="s">
        <v>70</v>
      </c>
      <c r="J1999" s="11" t="s">
        <v>71</v>
      </c>
      <c r="K1999" s="11" t="s">
        <v>72</v>
      </c>
      <c r="L1999" s="11" t="s">
        <v>131</v>
      </c>
      <c r="M1999" s="11" t="s">
        <v>10907</v>
      </c>
      <c r="N1999" s="11" t="s">
        <v>8698</v>
      </c>
      <c r="O1999" s="11" t="s">
        <v>71</v>
      </c>
      <c r="P1999" s="11" t="s">
        <v>10908</v>
      </c>
      <c r="Q1999" s="13" t="s">
        <v>10909</v>
      </c>
      <c r="R1999" s="14" t="str">
        <f>HYPERLINK("https://drive.google.com/file/d/1rFJQB5ZFUNLB9Sklm_3k7WoTmPmLi1Fk/view?usp=drivesdk","OFFER LETTER")</f>
        <v>OFFER LETTER</v>
      </c>
      <c r="S1999" s="11" t="s">
        <v>10910</v>
      </c>
    </row>
    <row r="2000" ht="22.5" customHeight="1">
      <c r="A2000" s="10">
        <v>46267.598376064816</v>
      </c>
      <c r="B2000" s="11" t="s">
        <v>10911</v>
      </c>
      <c r="C2000" s="11" t="s">
        <v>91</v>
      </c>
      <c r="D2000" s="11" t="s">
        <v>68</v>
      </c>
      <c r="E2000" s="12">
        <v>46267.0</v>
      </c>
      <c r="F2000" s="12">
        <v>46297.0</v>
      </c>
      <c r="G2000" s="11" t="s">
        <v>10912</v>
      </c>
      <c r="H2000" s="11">
        <v>8.055225455E9</v>
      </c>
      <c r="I2000" s="11" t="s">
        <v>82</v>
      </c>
      <c r="J2000" s="11" t="s">
        <v>71</v>
      </c>
      <c r="K2000" s="11" t="s">
        <v>110</v>
      </c>
      <c r="L2000" s="11" t="s">
        <v>73</v>
      </c>
      <c r="M2000" s="11" t="s">
        <v>10913</v>
      </c>
      <c r="N2000" s="11" t="s">
        <v>86</v>
      </c>
      <c r="O2000" s="11" t="s">
        <v>71</v>
      </c>
      <c r="P2000" s="11" t="s">
        <v>10914</v>
      </c>
      <c r="Q2000" s="13" t="s">
        <v>10915</v>
      </c>
      <c r="R2000" s="14" t="str">
        <f>HYPERLINK("https://drive.google.com/file/d/1B2jfzvy-0r6GxQnT9mmVi4ToMqmBwrM_/view?usp=drivesdk","OFFER LETTER")</f>
        <v>OFFER LETTER</v>
      </c>
      <c r="S2000" s="11" t="s">
        <v>10916</v>
      </c>
    </row>
    <row r="2001" ht="22.5" customHeight="1">
      <c r="A2001" s="10">
        <v>46267.59841935185</v>
      </c>
      <c r="B2001" s="11" t="s">
        <v>10917</v>
      </c>
      <c r="C2001" s="11" t="s">
        <v>91</v>
      </c>
      <c r="D2001" s="11" t="s">
        <v>68</v>
      </c>
      <c r="E2001" s="12">
        <v>46267.0</v>
      </c>
      <c r="F2001" s="12">
        <v>46297.0</v>
      </c>
      <c r="G2001" s="11" t="s">
        <v>10918</v>
      </c>
      <c r="H2001" s="11">
        <v>9.30913891E9</v>
      </c>
      <c r="I2001" s="11" t="s">
        <v>82</v>
      </c>
      <c r="J2001" s="11" t="s">
        <v>71</v>
      </c>
      <c r="K2001" s="11" t="s">
        <v>110</v>
      </c>
      <c r="L2001" s="11" t="s">
        <v>73</v>
      </c>
      <c r="M2001" s="11" t="s">
        <v>10919</v>
      </c>
      <c r="N2001" s="11" t="s">
        <v>86</v>
      </c>
      <c r="O2001" s="11" t="s">
        <v>71</v>
      </c>
      <c r="P2001" s="11" t="s">
        <v>10920</v>
      </c>
      <c r="Q2001" s="13" t="s">
        <v>10921</v>
      </c>
      <c r="R2001" s="14" t="str">
        <f>HYPERLINK("https://drive.google.com/file/d/1e4jhgQQOFDoIGtu3x3VxkCWfhxvviqjU/view?usp=drivesdk","OFFER LETTER")</f>
        <v>OFFER LETTER</v>
      </c>
      <c r="S2001" s="11" t="s">
        <v>10922</v>
      </c>
    </row>
    <row r="2002" ht="22.5" customHeight="1">
      <c r="A2002" s="10">
        <v>46267.612784537036</v>
      </c>
      <c r="B2002" s="11" t="s">
        <v>10923</v>
      </c>
      <c r="C2002" s="11" t="s">
        <v>173</v>
      </c>
      <c r="D2002" s="11" t="s">
        <v>68</v>
      </c>
      <c r="E2002" s="12">
        <v>46267.0</v>
      </c>
      <c r="F2002" s="12">
        <v>46297.0</v>
      </c>
      <c r="G2002" s="11" t="s">
        <v>10924</v>
      </c>
      <c r="H2002" s="11">
        <v>9.347146792E9</v>
      </c>
      <c r="I2002" s="11" t="s">
        <v>82</v>
      </c>
      <c r="J2002" s="11" t="s">
        <v>71</v>
      </c>
      <c r="K2002" s="11" t="s">
        <v>72</v>
      </c>
      <c r="L2002" s="11" t="s">
        <v>131</v>
      </c>
      <c r="M2002" s="11" t="s">
        <v>10925</v>
      </c>
      <c r="N2002" s="11" t="s">
        <v>75</v>
      </c>
      <c r="O2002" s="11" t="s">
        <v>71</v>
      </c>
      <c r="P2002" s="11" t="s">
        <v>10926</v>
      </c>
      <c r="Q2002" s="13" t="s">
        <v>10927</v>
      </c>
      <c r="R2002" s="14" t="str">
        <f>HYPERLINK("https://drive.google.com/file/d/1UqmzrTEzG4Vf2bMfEV6G7xwLuLVJ3aQQ/view?usp=drivesdk","OFFER LETTER")</f>
        <v>OFFER LETTER</v>
      </c>
      <c r="S2002" s="11" t="s">
        <v>10928</v>
      </c>
    </row>
    <row r="2003" ht="22.5" customHeight="1">
      <c r="A2003" s="10">
        <v>46267.61592390046</v>
      </c>
      <c r="B2003" s="11" t="s">
        <v>10929</v>
      </c>
      <c r="C2003" s="11" t="s">
        <v>195</v>
      </c>
      <c r="D2003" s="11" t="s">
        <v>108</v>
      </c>
      <c r="E2003" s="12">
        <v>46213.0</v>
      </c>
      <c r="F2003" s="12">
        <v>46276.0</v>
      </c>
      <c r="G2003" s="11" t="s">
        <v>10930</v>
      </c>
      <c r="H2003" s="11">
        <v>7.678240095E9</v>
      </c>
      <c r="I2003" s="11" t="s">
        <v>82</v>
      </c>
      <c r="J2003" s="11" t="s">
        <v>71</v>
      </c>
      <c r="K2003" s="11" t="s">
        <v>72</v>
      </c>
      <c r="L2003" s="11" t="s">
        <v>131</v>
      </c>
      <c r="M2003" s="11" t="s">
        <v>10931</v>
      </c>
      <c r="N2003" s="11" t="s">
        <v>75</v>
      </c>
      <c r="O2003" s="11" t="s">
        <v>71</v>
      </c>
      <c r="P2003" s="11" t="s">
        <v>10932</v>
      </c>
      <c r="Q2003" s="13" t="s">
        <v>10933</v>
      </c>
      <c r="R2003" s="14" t="str">
        <f>HYPERLINK("https://drive.google.com/file/d/1YM7CfhUyzrSVj6xSm0GDQsxHbZHPxp2v/view?usp=drivesdk","OFFER LETTER")</f>
        <v>OFFER LETTER</v>
      </c>
      <c r="S2003" s="11" t="s">
        <v>10934</v>
      </c>
    </row>
    <row r="2004" ht="22.5" customHeight="1">
      <c r="A2004" s="10">
        <v>46267.61651511574</v>
      </c>
      <c r="B2004" s="11" t="s">
        <v>10935</v>
      </c>
      <c r="C2004" s="11" t="s">
        <v>107</v>
      </c>
      <c r="D2004" s="11" t="s">
        <v>68</v>
      </c>
      <c r="E2004" s="12">
        <v>46273.0</v>
      </c>
      <c r="F2004" s="12">
        <v>46303.0</v>
      </c>
      <c r="G2004" s="11" t="s">
        <v>10936</v>
      </c>
      <c r="H2004" s="11">
        <v>7.890657146E9</v>
      </c>
      <c r="I2004" s="11" t="s">
        <v>82</v>
      </c>
      <c r="J2004" s="11" t="s">
        <v>71</v>
      </c>
      <c r="K2004" s="11" t="s">
        <v>72</v>
      </c>
      <c r="L2004" s="11" t="s">
        <v>131</v>
      </c>
      <c r="M2004" s="11" t="s">
        <v>10937</v>
      </c>
      <c r="N2004" s="11" t="s">
        <v>8698</v>
      </c>
      <c r="O2004" s="11" t="s">
        <v>71</v>
      </c>
      <c r="P2004" s="11" t="s">
        <v>10938</v>
      </c>
      <c r="Q2004" s="13" t="s">
        <v>10939</v>
      </c>
      <c r="R2004" s="14" t="str">
        <f>HYPERLINK("https://drive.google.com/file/d/1xwrRACzLNbn4AXmht1Db7sVUgNQYGdQx/view?usp=drivesdk","OFFER LETTER")</f>
        <v>OFFER LETTER</v>
      </c>
      <c r="S2004" s="11" t="s">
        <v>10940</v>
      </c>
    </row>
    <row r="2005" ht="22.5" customHeight="1">
      <c r="A2005" s="10">
        <v>46267.61918638889</v>
      </c>
      <c r="B2005" s="11" t="s">
        <v>10941</v>
      </c>
      <c r="C2005" s="11" t="s">
        <v>128</v>
      </c>
      <c r="D2005" s="11" t="s">
        <v>68</v>
      </c>
      <c r="E2005" s="12">
        <v>46235.0</v>
      </c>
      <c r="F2005" s="12">
        <v>46266.0</v>
      </c>
      <c r="G2005" s="11" t="s">
        <v>10942</v>
      </c>
      <c r="H2005" s="11">
        <v>9.924627094E9</v>
      </c>
      <c r="I2005" s="11" t="s">
        <v>82</v>
      </c>
      <c r="J2005" s="11" t="s">
        <v>71</v>
      </c>
      <c r="K2005" s="11" t="s">
        <v>72</v>
      </c>
      <c r="L2005" s="11" t="s">
        <v>131</v>
      </c>
      <c r="M2005" s="11" t="s">
        <v>10943</v>
      </c>
      <c r="N2005" s="11" t="s">
        <v>86</v>
      </c>
      <c r="O2005" s="11" t="s">
        <v>263</v>
      </c>
      <c r="P2005" s="11" t="s">
        <v>10944</v>
      </c>
      <c r="Q2005" s="13" t="s">
        <v>10945</v>
      </c>
      <c r="R2005" s="14" t="str">
        <f>HYPERLINK("https://drive.google.com/file/d/1LRzL37wMafhyTrtl_IwtpJEKUeZZEtAZ/view?usp=drivesdk","OFFER LETTER")</f>
        <v>OFFER LETTER</v>
      </c>
      <c r="S2005" s="11" t="s">
        <v>10946</v>
      </c>
    </row>
    <row r="2006" ht="22.5" customHeight="1">
      <c r="A2006" s="10">
        <v>46267.62006375</v>
      </c>
      <c r="B2006" s="11" t="s">
        <v>3837</v>
      </c>
      <c r="C2006" s="11" t="s">
        <v>173</v>
      </c>
      <c r="D2006" s="11" t="s">
        <v>68</v>
      </c>
      <c r="E2006" s="12">
        <v>46267.0</v>
      </c>
      <c r="F2006" s="12">
        <v>46296.0</v>
      </c>
      <c r="G2006" s="11" t="s">
        <v>10947</v>
      </c>
      <c r="H2006" s="11">
        <v>9.238358101E9</v>
      </c>
      <c r="I2006" s="11" t="s">
        <v>82</v>
      </c>
      <c r="J2006" s="11" t="s">
        <v>71</v>
      </c>
      <c r="K2006" s="11" t="s">
        <v>72</v>
      </c>
      <c r="L2006" s="11" t="s">
        <v>84</v>
      </c>
      <c r="M2006" s="11" t="s">
        <v>10948</v>
      </c>
      <c r="N2006" s="11" t="s">
        <v>10949</v>
      </c>
      <c r="O2006" s="11" t="s">
        <v>71</v>
      </c>
      <c r="P2006" s="11" t="s">
        <v>10950</v>
      </c>
      <c r="Q2006" s="13" t="s">
        <v>10951</v>
      </c>
      <c r="R2006" s="14" t="str">
        <f>HYPERLINK("https://drive.google.com/file/d/1bki6GhNGUPZyCVvpqREFj1F63suwKaaC/view?usp=drivesdk","OFFER LETTER")</f>
        <v>OFFER LETTER</v>
      </c>
      <c r="S2006" s="11" t="s">
        <v>10952</v>
      </c>
    </row>
    <row r="2007" ht="22.5" customHeight="1">
      <c r="A2007" s="10">
        <v>46267.62147186343</v>
      </c>
      <c r="B2007" s="11" t="s">
        <v>10905</v>
      </c>
      <c r="C2007" s="11" t="s">
        <v>107</v>
      </c>
      <c r="D2007" s="11" t="s">
        <v>68</v>
      </c>
      <c r="E2007" s="12">
        <v>46273.0</v>
      </c>
      <c r="F2007" s="12">
        <v>46303.0</v>
      </c>
      <c r="G2007" s="11" t="s">
        <v>10906</v>
      </c>
      <c r="H2007" s="11">
        <v>9.749907981E9</v>
      </c>
      <c r="I2007" s="11" t="s">
        <v>70</v>
      </c>
      <c r="J2007" s="11" t="s">
        <v>71</v>
      </c>
      <c r="K2007" s="11" t="s">
        <v>72</v>
      </c>
      <c r="L2007" s="11" t="s">
        <v>131</v>
      </c>
      <c r="M2007" s="11" t="s">
        <v>10907</v>
      </c>
      <c r="N2007" s="11" t="s">
        <v>8698</v>
      </c>
      <c r="O2007" s="11" t="s">
        <v>71</v>
      </c>
      <c r="P2007" s="11" t="s">
        <v>10953</v>
      </c>
      <c r="Q2007" s="13" t="s">
        <v>10954</v>
      </c>
      <c r="R2007" s="14" t="str">
        <f>HYPERLINK("https://drive.google.com/file/d/15WPr04ek-HbF8owWVN1lFA9MrnviXXXG/view?usp=drivesdk","OFFER LETTER")</f>
        <v>OFFER LETTER</v>
      </c>
      <c r="S2007" s="11" t="s">
        <v>10955</v>
      </c>
    </row>
    <row r="2008" ht="22.5" customHeight="1">
      <c r="A2008" s="10">
        <v>46267.62227856481</v>
      </c>
      <c r="B2008" s="11" t="s">
        <v>10956</v>
      </c>
      <c r="C2008" s="11" t="s">
        <v>80</v>
      </c>
      <c r="D2008" s="11" t="s">
        <v>68</v>
      </c>
      <c r="E2008" s="12">
        <v>46238.0</v>
      </c>
      <c r="F2008" s="12">
        <v>46269.0</v>
      </c>
      <c r="G2008" s="11" t="s">
        <v>10957</v>
      </c>
      <c r="H2008" s="11">
        <v>8.969602444E9</v>
      </c>
      <c r="I2008" s="11" t="s">
        <v>82</v>
      </c>
      <c r="J2008" s="11" t="s">
        <v>71</v>
      </c>
      <c r="K2008" s="11" t="s">
        <v>72</v>
      </c>
      <c r="L2008" s="11" t="s">
        <v>73</v>
      </c>
      <c r="M2008" s="11" t="s">
        <v>10958</v>
      </c>
      <c r="N2008" s="11" t="s">
        <v>86</v>
      </c>
      <c r="O2008" s="11" t="s">
        <v>71</v>
      </c>
      <c r="P2008" s="11" t="s">
        <v>10959</v>
      </c>
      <c r="Q2008" s="13" t="s">
        <v>10960</v>
      </c>
      <c r="R2008" s="14" t="str">
        <f>HYPERLINK("https://drive.google.com/file/d/1KZc9hV7CyqpOvjyXmRxh7626zD4BmAUe/view?usp=drivesdk","OFFER LETTER")</f>
        <v>OFFER LETTER</v>
      </c>
      <c r="S2008" s="11" t="s">
        <v>10961</v>
      </c>
    </row>
    <row r="2009" ht="22.5" customHeight="1">
      <c r="A2009" s="10">
        <v>46267.644775671295</v>
      </c>
      <c r="B2009" s="11" t="s">
        <v>10929</v>
      </c>
      <c r="C2009" s="11" t="s">
        <v>195</v>
      </c>
      <c r="D2009" s="11" t="s">
        <v>108</v>
      </c>
      <c r="E2009" s="12">
        <v>46213.0</v>
      </c>
      <c r="F2009" s="12">
        <v>46276.0</v>
      </c>
      <c r="G2009" s="11" t="s">
        <v>10930</v>
      </c>
      <c r="H2009" s="11">
        <v>7.678240095E9</v>
      </c>
      <c r="I2009" s="11" t="s">
        <v>82</v>
      </c>
      <c r="J2009" s="11" t="s">
        <v>71</v>
      </c>
      <c r="K2009" s="11" t="s">
        <v>72</v>
      </c>
      <c r="L2009" s="11" t="s">
        <v>131</v>
      </c>
      <c r="M2009" s="11" t="s">
        <v>10931</v>
      </c>
      <c r="N2009" s="11" t="s">
        <v>75</v>
      </c>
      <c r="O2009" s="11" t="s">
        <v>71</v>
      </c>
      <c r="P2009" s="11" t="s">
        <v>10962</v>
      </c>
      <c r="Q2009" s="13" t="s">
        <v>10963</v>
      </c>
      <c r="R2009" s="14" t="str">
        <f>HYPERLINK("https://drive.google.com/file/d/1O8HdRcc0_nHm92fLfDPRZ1OxQ2Y1vdNY/view?usp=drivesdk","OFFER LETTER")</f>
        <v>OFFER LETTER</v>
      </c>
      <c r="S2009" s="11" t="s">
        <v>10964</v>
      </c>
    </row>
    <row r="2010" ht="22.5" customHeight="1">
      <c r="A2010" s="10">
        <v>46267.671164618056</v>
      </c>
      <c r="B2010" s="11" t="s">
        <v>10965</v>
      </c>
      <c r="C2010" s="11" t="s">
        <v>91</v>
      </c>
      <c r="D2010" s="11" t="s">
        <v>68</v>
      </c>
      <c r="E2010" s="12">
        <v>46188.0</v>
      </c>
      <c r="F2010" s="12">
        <v>46218.0</v>
      </c>
      <c r="G2010" s="11" t="s">
        <v>10966</v>
      </c>
      <c r="H2010" s="11">
        <v>7.01494379E9</v>
      </c>
      <c r="I2010" s="11" t="s">
        <v>82</v>
      </c>
      <c r="J2010" s="11" t="s">
        <v>71</v>
      </c>
      <c r="K2010" s="11" t="s">
        <v>72</v>
      </c>
      <c r="L2010" s="11" t="s">
        <v>131</v>
      </c>
      <c r="M2010" s="11" t="s">
        <v>10967</v>
      </c>
      <c r="N2010" s="11" t="s">
        <v>86</v>
      </c>
      <c r="O2010" s="11" t="s">
        <v>71</v>
      </c>
      <c r="P2010" s="11" t="s">
        <v>10968</v>
      </c>
      <c r="Q2010" s="13" t="s">
        <v>10969</v>
      </c>
      <c r="R2010" s="14" t="str">
        <f>HYPERLINK("https://drive.google.com/file/d/1K2kZDrXPdjr20svuoiROpW67L2h_sIEH/view?usp=drivesdk","OFFER LETTER")</f>
        <v>OFFER LETTER</v>
      </c>
      <c r="S2010" s="11" t="s">
        <v>10970</v>
      </c>
    </row>
    <row r="2011" ht="22.5" customHeight="1">
      <c r="A2011" s="10">
        <v>46267.67640556713</v>
      </c>
      <c r="B2011" s="11" t="s">
        <v>10971</v>
      </c>
      <c r="C2011" s="11" t="s">
        <v>1200</v>
      </c>
      <c r="D2011" s="11" t="s">
        <v>108</v>
      </c>
      <c r="E2011" s="12">
        <v>46175.0</v>
      </c>
      <c r="F2011" s="12">
        <v>46236.0</v>
      </c>
      <c r="G2011" s="11" t="s">
        <v>10972</v>
      </c>
      <c r="H2011" s="11">
        <v>7.983060955E9</v>
      </c>
      <c r="I2011" s="11" t="s">
        <v>82</v>
      </c>
      <c r="J2011" s="11" t="s">
        <v>71</v>
      </c>
      <c r="K2011" s="11" t="s">
        <v>72</v>
      </c>
      <c r="L2011" s="11" t="s">
        <v>84</v>
      </c>
      <c r="M2011" s="11" t="s">
        <v>10973</v>
      </c>
      <c r="N2011" s="11" t="s">
        <v>133</v>
      </c>
      <c r="O2011" s="11" t="s">
        <v>71</v>
      </c>
      <c r="P2011" s="11" t="s">
        <v>10974</v>
      </c>
      <c r="Q2011" s="13" t="s">
        <v>10975</v>
      </c>
      <c r="R2011" s="14" t="str">
        <f>HYPERLINK("https://drive.google.com/file/d/1MqYeM6E8Okxz2pM0dgtCmmGQLrb0rDm2/view?usp=drivesdk","OFFER LETTER")</f>
        <v>OFFER LETTER</v>
      </c>
      <c r="S2011" s="11" t="s">
        <v>10976</v>
      </c>
    </row>
    <row r="2012" ht="22.5" customHeight="1">
      <c r="A2012" s="10">
        <v>46267.67972396991</v>
      </c>
      <c r="B2012" s="11" t="s">
        <v>10977</v>
      </c>
      <c r="C2012" s="11" t="s">
        <v>173</v>
      </c>
      <c r="D2012" s="11" t="s">
        <v>68</v>
      </c>
      <c r="E2012" s="12">
        <v>46188.0</v>
      </c>
      <c r="F2012" s="12">
        <v>46218.0</v>
      </c>
      <c r="G2012" s="11" t="s">
        <v>10978</v>
      </c>
      <c r="H2012" s="11">
        <v>9.588845804E9</v>
      </c>
      <c r="I2012" s="11" t="s">
        <v>82</v>
      </c>
      <c r="J2012" s="11" t="s">
        <v>71</v>
      </c>
      <c r="K2012" s="11" t="s">
        <v>72</v>
      </c>
      <c r="L2012" s="11" t="s">
        <v>73</v>
      </c>
      <c r="M2012" s="11" t="s">
        <v>10979</v>
      </c>
      <c r="N2012" s="11" t="s">
        <v>219</v>
      </c>
      <c r="O2012" s="11" t="s">
        <v>130</v>
      </c>
      <c r="P2012" s="11" t="s">
        <v>10980</v>
      </c>
      <c r="Q2012" s="13" t="s">
        <v>10981</v>
      </c>
      <c r="R2012" s="14" t="str">
        <f>HYPERLINK("https://drive.google.com/file/d/1GnBv5B6Ac-srOT6Mgnz02V7ZiMZYs--h/view?usp=drivesdk","OFFER LETTER")</f>
        <v>OFFER LETTER</v>
      </c>
      <c r="S2012" s="11" t="s">
        <v>10982</v>
      </c>
    </row>
    <row r="2013" ht="22.5" customHeight="1">
      <c r="A2013" s="10">
        <v>46267.69179758102</v>
      </c>
      <c r="B2013" s="11" t="s">
        <v>10983</v>
      </c>
      <c r="C2013" s="11" t="s">
        <v>128</v>
      </c>
      <c r="D2013" s="11" t="s">
        <v>68</v>
      </c>
      <c r="E2013" s="12">
        <v>46223.0</v>
      </c>
      <c r="F2013" s="12">
        <v>46254.0</v>
      </c>
      <c r="G2013" s="11" t="s">
        <v>10984</v>
      </c>
      <c r="H2013" s="11">
        <v>7.307441323E9</v>
      </c>
      <c r="I2013" s="11" t="s">
        <v>82</v>
      </c>
      <c r="J2013" s="11" t="s">
        <v>83</v>
      </c>
      <c r="K2013" s="11" t="s">
        <v>72</v>
      </c>
      <c r="L2013" s="11" t="s">
        <v>73</v>
      </c>
      <c r="M2013" s="11" t="s">
        <v>287</v>
      </c>
      <c r="N2013" s="11" t="s">
        <v>86</v>
      </c>
      <c r="O2013" s="11" t="s">
        <v>71</v>
      </c>
      <c r="P2013" s="11" t="s">
        <v>10985</v>
      </c>
      <c r="Q2013" s="13" t="s">
        <v>10986</v>
      </c>
      <c r="R2013" s="14" t="str">
        <f>HYPERLINK("https://drive.google.com/file/d/1oE6DKmPw8j15Lm9dA6TeInL9qTPjU1wB/view?usp=drivesdk","OFFER LETTER")</f>
        <v>OFFER LETTER</v>
      </c>
      <c r="S2013" s="11" t="s">
        <v>10987</v>
      </c>
    </row>
    <row r="2014" ht="22.5" customHeight="1">
      <c r="A2014" s="10">
        <v>46267.71571711806</v>
      </c>
      <c r="B2014" s="11" t="s">
        <v>10988</v>
      </c>
      <c r="C2014" s="11" t="s">
        <v>91</v>
      </c>
      <c r="D2014" s="11" t="s">
        <v>68</v>
      </c>
      <c r="E2014" s="12">
        <v>46267.0</v>
      </c>
      <c r="F2014" s="12">
        <v>46297.0</v>
      </c>
      <c r="G2014" s="11" t="s">
        <v>10989</v>
      </c>
      <c r="H2014" s="11">
        <v>7.830819911E9</v>
      </c>
      <c r="I2014" s="11" t="s">
        <v>82</v>
      </c>
      <c r="J2014" s="11" t="s">
        <v>71</v>
      </c>
      <c r="K2014" s="11" t="s">
        <v>72</v>
      </c>
      <c r="L2014" s="11" t="s">
        <v>73</v>
      </c>
      <c r="M2014" s="11" t="s">
        <v>10990</v>
      </c>
      <c r="N2014" s="11" t="s">
        <v>86</v>
      </c>
      <c r="O2014" s="11" t="s">
        <v>71</v>
      </c>
      <c r="P2014" s="11" t="s">
        <v>10991</v>
      </c>
      <c r="Q2014" s="13" t="s">
        <v>10992</v>
      </c>
      <c r="R2014" s="14" t="str">
        <f>HYPERLINK("https://drive.google.com/file/d/10kyP7RN4e0dyneAql_K385G4st6wEp_Q/view?usp=drivesdk","OFFER LETTER")</f>
        <v>OFFER LETTER</v>
      </c>
      <c r="S2014" s="11" t="s">
        <v>10993</v>
      </c>
    </row>
    <row r="2015" ht="22.5" customHeight="1">
      <c r="A2015" s="10">
        <v>46267.726691979165</v>
      </c>
      <c r="B2015" s="11" t="s">
        <v>10994</v>
      </c>
      <c r="C2015" s="11" t="s">
        <v>91</v>
      </c>
      <c r="D2015" s="11" t="s">
        <v>68</v>
      </c>
      <c r="E2015" s="12">
        <v>46267.0</v>
      </c>
      <c r="F2015" s="12">
        <v>46297.0</v>
      </c>
      <c r="G2015" s="11" t="s">
        <v>10995</v>
      </c>
      <c r="H2015" s="11">
        <v>9.87726862E9</v>
      </c>
      <c r="I2015" s="11" t="s">
        <v>82</v>
      </c>
      <c r="J2015" s="11" t="s">
        <v>71</v>
      </c>
      <c r="K2015" s="11" t="s">
        <v>72</v>
      </c>
      <c r="L2015" s="11" t="s">
        <v>73</v>
      </c>
      <c r="M2015" s="11" t="s">
        <v>10996</v>
      </c>
      <c r="N2015" s="11" t="s">
        <v>198</v>
      </c>
      <c r="O2015" s="11" t="s">
        <v>71</v>
      </c>
      <c r="P2015" s="11" t="s">
        <v>10997</v>
      </c>
      <c r="Q2015" s="13" t="s">
        <v>10998</v>
      </c>
      <c r="R2015" s="14" t="str">
        <f>HYPERLINK("https://drive.google.com/file/d/13lqHomXA1UcdS--g3vk0g42XRi6_ESIg/view?usp=drivesdk","OFFER LETTER")</f>
        <v>OFFER LETTER</v>
      </c>
      <c r="S2015" s="11" t="s">
        <v>10999</v>
      </c>
    </row>
    <row r="2016" ht="22.5" customHeight="1">
      <c r="A2016" s="10">
        <v>46267.72933766204</v>
      </c>
      <c r="B2016" s="11" t="s">
        <v>11000</v>
      </c>
      <c r="C2016" s="11" t="s">
        <v>596</v>
      </c>
      <c r="D2016" s="11" t="s">
        <v>108</v>
      </c>
      <c r="E2016" s="12">
        <v>46068.0</v>
      </c>
      <c r="F2016" s="12">
        <v>46127.0</v>
      </c>
      <c r="G2016" s="11" t="s">
        <v>11001</v>
      </c>
      <c r="H2016" s="11">
        <v>9.28466667E9</v>
      </c>
      <c r="I2016" s="11" t="s">
        <v>82</v>
      </c>
      <c r="J2016" s="11" t="s">
        <v>83</v>
      </c>
      <c r="K2016" s="11" t="s">
        <v>72</v>
      </c>
      <c r="L2016" s="11" t="s">
        <v>131</v>
      </c>
      <c r="M2016" s="11" t="s">
        <v>11002</v>
      </c>
      <c r="N2016" s="11" t="s">
        <v>219</v>
      </c>
      <c r="O2016" s="11" t="s">
        <v>71</v>
      </c>
      <c r="P2016" s="11" t="s">
        <v>11003</v>
      </c>
      <c r="Q2016" s="13" t="s">
        <v>11004</v>
      </c>
      <c r="R2016" s="14" t="str">
        <f>HYPERLINK("https://drive.google.com/file/d/1tGY63Jjvs_jpNu5BDBhopyGn75aKcr89/view?usp=drivesdk","OFFER LETTER")</f>
        <v>OFFER LETTER</v>
      </c>
      <c r="S2016" s="11" t="s">
        <v>11005</v>
      </c>
    </row>
    <row r="2017" ht="22.5" customHeight="1">
      <c r="A2017" s="10">
        <v>46267.73999918981</v>
      </c>
      <c r="B2017" s="11" t="s">
        <v>11006</v>
      </c>
      <c r="C2017" s="11" t="s">
        <v>173</v>
      </c>
      <c r="D2017" s="11" t="s">
        <v>68</v>
      </c>
      <c r="E2017" s="12">
        <v>46231.0</v>
      </c>
      <c r="F2017" s="12">
        <v>46262.0</v>
      </c>
      <c r="G2017" s="11" t="s">
        <v>10806</v>
      </c>
      <c r="H2017" s="11" t="s">
        <v>11007</v>
      </c>
      <c r="I2017" s="11" t="s">
        <v>82</v>
      </c>
      <c r="J2017" s="11" t="s">
        <v>130</v>
      </c>
      <c r="K2017" s="11" t="s">
        <v>72</v>
      </c>
      <c r="L2017" s="11" t="s">
        <v>73</v>
      </c>
      <c r="M2017" s="11" t="s">
        <v>11008</v>
      </c>
      <c r="N2017" s="11" t="s">
        <v>86</v>
      </c>
      <c r="O2017" s="11" t="s">
        <v>71</v>
      </c>
      <c r="P2017" s="11" t="s">
        <v>11009</v>
      </c>
      <c r="Q2017" s="13" t="s">
        <v>11010</v>
      </c>
      <c r="R2017" s="14" t="str">
        <f>HYPERLINK("https://drive.google.com/file/d/1zo1BqV7pdPRnqHUkbeunwnGiULY4gn-x/view?usp=drivesdk","OFFER LETTER")</f>
        <v>OFFER LETTER</v>
      </c>
      <c r="S2017" s="11" t="s">
        <v>11011</v>
      </c>
    </row>
    <row r="2018" ht="22.5" customHeight="1">
      <c r="A2018" s="10">
        <v>46267.742863321764</v>
      </c>
      <c r="B2018" s="11" t="s">
        <v>11012</v>
      </c>
      <c r="C2018" s="11" t="s">
        <v>596</v>
      </c>
      <c r="D2018" s="11" t="s">
        <v>68</v>
      </c>
      <c r="E2018" s="12">
        <v>46183.0</v>
      </c>
      <c r="F2018" s="12">
        <v>46213.0</v>
      </c>
      <c r="G2018" s="11" t="s">
        <v>11013</v>
      </c>
      <c r="H2018" s="11">
        <v>7.632073556E9</v>
      </c>
      <c r="I2018" s="11" t="s">
        <v>82</v>
      </c>
      <c r="J2018" s="11" t="s">
        <v>71</v>
      </c>
      <c r="K2018" s="11" t="s">
        <v>72</v>
      </c>
      <c r="L2018" s="11" t="s">
        <v>84</v>
      </c>
      <c r="M2018" s="11" t="s">
        <v>5053</v>
      </c>
      <c r="N2018" s="11" t="s">
        <v>86</v>
      </c>
      <c r="O2018" s="11" t="s">
        <v>71</v>
      </c>
      <c r="P2018" s="11" t="s">
        <v>11014</v>
      </c>
      <c r="Q2018" s="13" t="s">
        <v>11015</v>
      </c>
      <c r="R2018" s="14" t="str">
        <f>HYPERLINK("https://drive.google.com/file/d/1bzNWrMwA-5Rm9ozTf4_11faqRMOeU7zU/view?usp=drivesdk","OFFER LETTER")</f>
        <v>OFFER LETTER</v>
      </c>
      <c r="S2018" s="11" t="s">
        <v>11016</v>
      </c>
    </row>
    <row r="2019" ht="22.5" customHeight="1">
      <c r="A2019" s="10">
        <v>46267.75154871528</v>
      </c>
      <c r="B2019" s="11" t="s">
        <v>11017</v>
      </c>
      <c r="C2019" s="11" t="s">
        <v>128</v>
      </c>
      <c r="D2019" s="11" t="s">
        <v>68</v>
      </c>
      <c r="E2019" s="12">
        <v>46157.0</v>
      </c>
      <c r="F2019" s="12">
        <v>46188.0</v>
      </c>
      <c r="G2019" s="11" t="s">
        <v>11018</v>
      </c>
      <c r="H2019" s="11">
        <v>9.692791949E9</v>
      </c>
      <c r="I2019" s="11" t="s">
        <v>70</v>
      </c>
      <c r="J2019" s="11" t="s">
        <v>71</v>
      </c>
      <c r="K2019" s="11" t="s">
        <v>72</v>
      </c>
      <c r="L2019" s="11" t="s">
        <v>131</v>
      </c>
      <c r="M2019" s="11" t="s">
        <v>5395</v>
      </c>
      <c r="N2019" s="11" t="s">
        <v>86</v>
      </c>
      <c r="O2019" s="11" t="s">
        <v>71</v>
      </c>
      <c r="P2019" s="11" t="s">
        <v>11019</v>
      </c>
      <c r="Q2019" s="13" t="s">
        <v>11020</v>
      </c>
      <c r="R2019" s="14" t="str">
        <f>HYPERLINK("https://drive.google.com/file/d/1-7lBINirp2VSDA2Z5C8FrwQ0ak1bNvfX/view?usp=drivesdk","OFFER LETTER")</f>
        <v>OFFER LETTER</v>
      </c>
      <c r="S2019" s="11" t="s">
        <v>11021</v>
      </c>
    </row>
    <row r="2020" ht="22.5" customHeight="1">
      <c r="A2020" s="10">
        <v>46267.75462381945</v>
      </c>
      <c r="B2020" s="11" t="s">
        <v>11012</v>
      </c>
      <c r="C2020" s="11" t="s">
        <v>596</v>
      </c>
      <c r="D2020" s="11" t="s">
        <v>68</v>
      </c>
      <c r="E2020" s="12">
        <v>46183.0</v>
      </c>
      <c r="F2020" s="12">
        <v>46213.0</v>
      </c>
      <c r="G2020" s="11" t="s">
        <v>11013</v>
      </c>
      <c r="H2020" s="11">
        <v>7.632073556E9</v>
      </c>
      <c r="I2020" s="11" t="s">
        <v>82</v>
      </c>
      <c r="J2020" s="11" t="s">
        <v>71</v>
      </c>
      <c r="K2020" s="11" t="s">
        <v>72</v>
      </c>
      <c r="L2020" s="11" t="s">
        <v>84</v>
      </c>
      <c r="M2020" s="11" t="s">
        <v>301</v>
      </c>
      <c r="N2020" s="11" t="s">
        <v>86</v>
      </c>
      <c r="O2020" s="11" t="s">
        <v>71</v>
      </c>
      <c r="P2020" s="11" t="s">
        <v>11022</v>
      </c>
      <c r="Q2020" s="13" t="s">
        <v>11023</v>
      </c>
      <c r="R2020" s="14" t="str">
        <f>HYPERLINK("https://drive.google.com/file/d/14YD0w0ML5lt2wHGoRWHRzpqy8OlxrTTL/view?usp=drivesdk","OFFER LETTER")</f>
        <v>OFFER LETTER</v>
      </c>
      <c r="S2020" s="11" t="s">
        <v>11024</v>
      </c>
    </row>
    <row r="2021" ht="22.5" customHeight="1">
      <c r="A2021" s="10">
        <v>46267.75762496528</v>
      </c>
      <c r="B2021" s="11" t="s">
        <v>11025</v>
      </c>
      <c r="C2021" s="11" t="s">
        <v>195</v>
      </c>
      <c r="D2021" s="11" t="s">
        <v>108</v>
      </c>
      <c r="E2021" s="12">
        <v>46267.0</v>
      </c>
      <c r="F2021" s="12">
        <v>46328.0</v>
      </c>
      <c r="G2021" s="11" t="s">
        <v>11026</v>
      </c>
      <c r="H2021" s="11">
        <v>9.39078023E9</v>
      </c>
      <c r="I2021" s="11" t="s">
        <v>82</v>
      </c>
      <c r="J2021" s="11" t="s">
        <v>71</v>
      </c>
      <c r="K2021" s="11" t="s">
        <v>72</v>
      </c>
      <c r="L2021" s="11" t="s">
        <v>131</v>
      </c>
      <c r="M2021" s="11" t="s">
        <v>2883</v>
      </c>
      <c r="N2021" s="11" t="s">
        <v>86</v>
      </c>
      <c r="O2021" s="11" t="s">
        <v>71</v>
      </c>
      <c r="P2021" s="11" t="s">
        <v>11027</v>
      </c>
      <c r="Q2021" s="13" t="s">
        <v>11028</v>
      </c>
      <c r="R2021" s="14" t="str">
        <f>HYPERLINK("https://drive.google.com/file/d/1mzPkBNKqLI73kf-E3Yc4VzQaoW9KfXWZ/view?usp=drivesdk","OFFER LETTER")</f>
        <v>OFFER LETTER</v>
      </c>
      <c r="S2021" s="11" t="s">
        <v>11029</v>
      </c>
    </row>
    <row r="2022" ht="22.5" customHeight="1">
      <c r="A2022" s="10">
        <v>46267.76675405093</v>
      </c>
      <c r="B2022" s="11" t="s">
        <v>11030</v>
      </c>
      <c r="C2022" s="11" t="s">
        <v>1320</v>
      </c>
      <c r="D2022" s="11" t="s">
        <v>68</v>
      </c>
      <c r="E2022" s="12">
        <v>46267.0</v>
      </c>
      <c r="F2022" s="12">
        <v>46297.0</v>
      </c>
      <c r="G2022" s="11" t="s">
        <v>11031</v>
      </c>
      <c r="H2022" s="11">
        <v>9.870796804E9</v>
      </c>
      <c r="I2022" s="11" t="s">
        <v>82</v>
      </c>
      <c r="J2022" s="11" t="s">
        <v>83</v>
      </c>
      <c r="K2022" s="11" t="s">
        <v>72</v>
      </c>
      <c r="L2022" s="11" t="s">
        <v>73</v>
      </c>
      <c r="M2022" s="11" t="s">
        <v>11032</v>
      </c>
      <c r="N2022" s="11" t="s">
        <v>86</v>
      </c>
      <c r="O2022" s="11" t="s">
        <v>71</v>
      </c>
      <c r="P2022" s="11" t="s">
        <v>11033</v>
      </c>
      <c r="Q2022" s="13" t="s">
        <v>11034</v>
      </c>
      <c r="R2022" s="14" t="str">
        <f>HYPERLINK("https://drive.google.com/file/d/13Bs21jU-H1SxyLGYVdYKuxTLUNfgOerb/view?usp=drivesdk","OFFER LETTER")</f>
        <v>OFFER LETTER</v>
      </c>
      <c r="S2022" s="11" t="s">
        <v>11035</v>
      </c>
    </row>
    <row r="2023" ht="22.5" customHeight="1">
      <c r="A2023" s="10">
        <v>46267.767043506945</v>
      </c>
      <c r="B2023" s="11" t="s">
        <v>11036</v>
      </c>
      <c r="C2023" s="11" t="s">
        <v>298</v>
      </c>
      <c r="D2023" s="11" t="s">
        <v>238</v>
      </c>
      <c r="E2023" s="12">
        <v>46267.0</v>
      </c>
      <c r="F2023" s="12">
        <v>46358.0</v>
      </c>
      <c r="G2023" s="11" t="s">
        <v>11037</v>
      </c>
      <c r="H2023" s="11">
        <v>6.386693076E9</v>
      </c>
      <c r="I2023" s="11" t="s">
        <v>82</v>
      </c>
      <c r="J2023" s="11" t="s">
        <v>71</v>
      </c>
      <c r="K2023" s="11" t="s">
        <v>110</v>
      </c>
      <c r="L2023" s="11" t="s">
        <v>247</v>
      </c>
      <c r="M2023" s="11" t="s">
        <v>11038</v>
      </c>
      <c r="N2023" s="11" t="s">
        <v>5076</v>
      </c>
      <c r="O2023" s="11" t="s">
        <v>71</v>
      </c>
      <c r="P2023" s="11" t="s">
        <v>11039</v>
      </c>
      <c r="Q2023" s="13" t="s">
        <v>11040</v>
      </c>
      <c r="R2023" s="14" t="str">
        <f>HYPERLINK("https://drive.google.com/file/d/1AnNHSpxxLZFJiUsJgaXp9vvSQpczLQSW/view?usp=drivesdk","OFFER LETTER")</f>
        <v>OFFER LETTER</v>
      </c>
      <c r="S2023" s="11" t="s">
        <v>11035</v>
      </c>
    </row>
    <row r="2024" ht="22.5" customHeight="1">
      <c r="A2024" s="10">
        <v>46267.76988550926</v>
      </c>
      <c r="B2024" s="11" t="s">
        <v>11041</v>
      </c>
      <c r="C2024" s="11" t="s">
        <v>128</v>
      </c>
      <c r="D2024" s="11" t="s">
        <v>68</v>
      </c>
      <c r="E2024" s="12">
        <v>46269.0</v>
      </c>
      <c r="F2024" s="12">
        <v>46299.0</v>
      </c>
      <c r="G2024" s="11" t="s">
        <v>11042</v>
      </c>
      <c r="H2024" s="11">
        <v>8.109933158E9</v>
      </c>
      <c r="I2024" s="11" t="s">
        <v>82</v>
      </c>
      <c r="J2024" s="11" t="s">
        <v>71</v>
      </c>
      <c r="K2024" s="11" t="s">
        <v>110</v>
      </c>
      <c r="L2024" s="11" t="s">
        <v>73</v>
      </c>
      <c r="M2024" s="11" t="s">
        <v>11043</v>
      </c>
      <c r="N2024" s="11" t="s">
        <v>241</v>
      </c>
      <c r="O2024" s="11" t="s">
        <v>71</v>
      </c>
      <c r="P2024" s="11" t="s">
        <v>11044</v>
      </c>
      <c r="Q2024" s="13" t="s">
        <v>11045</v>
      </c>
      <c r="R2024" s="14" t="str">
        <f>HYPERLINK("https://drive.google.com/file/d/1dNIWkCKNk5iDRmFId9kb4GaNa9VJGq7I/view?usp=drivesdk","OFFER LETTER")</f>
        <v>OFFER LETTER</v>
      </c>
      <c r="S2024" s="11" t="s">
        <v>11046</v>
      </c>
    </row>
    <row r="2025" ht="22.5" customHeight="1">
      <c r="A2025" s="10">
        <v>46267.772420127316</v>
      </c>
      <c r="B2025" s="11" t="s">
        <v>11030</v>
      </c>
      <c r="C2025" s="11" t="s">
        <v>1320</v>
      </c>
      <c r="D2025" s="11" t="s">
        <v>68</v>
      </c>
      <c r="E2025" s="12">
        <v>46267.0</v>
      </c>
      <c r="F2025" s="12">
        <v>46297.0</v>
      </c>
      <c r="G2025" s="11" t="s">
        <v>11031</v>
      </c>
      <c r="H2025" s="11">
        <v>9.870796804E9</v>
      </c>
      <c r="I2025" s="11" t="s">
        <v>82</v>
      </c>
      <c r="J2025" s="11" t="s">
        <v>83</v>
      </c>
      <c r="K2025" s="11" t="s">
        <v>72</v>
      </c>
      <c r="L2025" s="11" t="s">
        <v>73</v>
      </c>
      <c r="M2025" s="11" t="s">
        <v>10990</v>
      </c>
      <c r="N2025" s="11" t="s">
        <v>86</v>
      </c>
      <c r="O2025" s="11" t="s">
        <v>71</v>
      </c>
      <c r="P2025" s="11" t="s">
        <v>11047</v>
      </c>
      <c r="Q2025" s="13" t="s">
        <v>11048</v>
      </c>
      <c r="R2025" s="14" t="str">
        <f>HYPERLINK("https://drive.google.com/file/d/1XKMNn-MPVaGnzFKOpzsmKSVJdU_ufVMs/view?usp=drivesdk","OFFER LETTER")</f>
        <v>OFFER LETTER</v>
      </c>
      <c r="S2025" s="11" t="s">
        <v>11049</v>
      </c>
    </row>
    <row r="2026" ht="22.5" customHeight="1">
      <c r="A2026" s="10">
        <v>46267.77987525463</v>
      </c>
      <c r="B2026" s="11" t="s">
        <v>11050</v>
      </c>
      <c r="C2026" s="11" t="s">
        <v>128</v>
      </c>
      <c r="D2026" s="11" t="s">
        <v>68</v>
      </c>
      <c r="E2026" s="12">
        <v>46257.0</v>
      </c>
      <c r="F2026" s="12">
        <v>46288.0</v>
      </c>
      <c r="G2026" s="11" t="s">
        <v>11051</v>
      </c>
      <c r="H2026" s="11">
        <v>6.206262583E9</v>
      </c>
      <c r="I2026" s="11" t="s">
        <v>82</v>
      </c>
      <c r="J2026" s="11" t="s">
        <v>71</v>
      </c>
      <c r="K2026" s="11" t="s">
        <v>72</v>
      </c>
      <c r="L2026" s="11" t="s">
        <v>84</v>
      </c>
      <c r="M2026" s="11" t="s">
        <v>11052</v>
      </c>
      <c r="N2026" s="11" t="s">
        <v>86</v>
      </c>
      <c r="O2026" s="11" t="s">
        <v>71</v>
      </c>
      <c r="P2026" s="11" t="s">
        <v>11053</v>
      </c>
      <c r="Q2026" s="13" t="s">
        <v>11054</v>
      </c>
      <c r="R2026" s="14" t="str">
        <f>HYPERLINK("https://drive.google.com/file/d/1iwbz4KqekCvjOLkewN4V8nIRM-j-GaOM/view?usp=drivesdk","OFFER LETTER")</f>
        <v>OFFER LETTER</v>
      </c>
      <c r="S2026" s="11" t="s">
        <v>11055</v>
      </c>
    </row>
    <row r="2027" ht="22.5" customHeight="1">
      <c r="A2027" s="10">
        <v>46267.78275846065</v>
      </c>
      <c r="B2027" s="11" t="s">
        <v>11056</v>
      </c>
      <c r="C2027" s="11" t="s">
        <v>173</v>
      </c>
      <c r="D2027" s="11" t="s">
        <v>68</v>
      </c>
      <c r="E2027" s="12">
        <v>46230.0</v>
      </c>
      <c r="F2027" s="12">
        <v>46261.0</v>
      </c>
      <c r="G2027" s="11" t="s">
        <v>11057</v>
      </c>
      <c r="H2027" s="11">
        <v>9.56505225E9</v>
      </c>
      <c r="I2027" s="11" t="s">
        <v>82</v>
      </c>
      <c r="J2027" s="11" t="s">
        <v>71</v>
      </c>
      <c r="K2027" s="11" t="s">
        <v>72</v>
      </c>
      <c r="L2027" s="11" t="s">
        <v>84</v>
      </c>
      <c r="M2027" s="11" t="s">
        <v>886</v>
      </c>
      <c r="N2027" s="11" t="s">
        <v>86</v>
      </c>
      <c r="O2027" s="11" t="s">
        <v>71</v>
      </c>
      <c r="P2027" s="11" t="s">
        <v>11058</v>
      </c>
      <c r="Q2027" s="13" t="s">
        <v>11059</v>
      </c>
      <c r="R2027" s="14" t="str">
        <f>HYPERLINK("https://drive.google.com/file/d/1TbDfUIWR9oZRf3QtG_Kh90KJLmGrq32N/view?usp=drivesdk","OFFER LETTER")</f>
        <v>OFFER LETTER</v>
      </c>
      <c r="S2027" s="11" t="s">
        <v>11060</v>
      </c>
    </row>
    <row r="2028" ht="22.5" customHeight="1">
      <c r="A2028" s="10">
        <v>46267.7850587963</v>
      </c>
      <c r="B2028" s="11" t="s">
        <v>11061</v>
      </c>
      <c r="C2028" s="11" t="s">
        <v>237</v>
      </c>
      <c r="D2028" s="11" t="s">
        <v>68</v>
      </c>
      <c r="E2028" s="12">
        <v>46174.0</v>
      </c>
      <c r="F2028" s="12">
        <v>46204.0</v>
      </c>
      <c r="G2028" s="11" t="s">
        <v>11062</v>
      </c>
      <c r="H2028" s="11">
        <v>9.088689548E9</v>
      </c>
      <c r="I2028" s="11" t="s">
        <v>70</v>
      </c>
      <c r="J2028" s="11" t="s">
        <v>71</v>
      </c>
      <c r="K2028" s="11" t="s">
        <v>72</v>
      </c>
      <c r="L2028" s="11" t="s">
        <v>84</v>
      </c>
      <c r="M2028" s="11" t="s">
        <v>10824</v>
      </c>
      <c r="N2028" s="11" t="s">
        <v>86</v>
      </c>
      <c r="O2028" s="11" t="s">
        <v>71</v>
      </c>
      <c r="P2028" s="11" t="s">
        <v>11063</v>
      </c>
      <c r="Q2028" s="13" t="s">
        <v>11064</v>
      </c>
      <c r="R2028" s="14" t="str">
        <f>HYPERLINK("https://drive.google.com/file/d/1_gA2O1rKSYdNOy4l2O-Favmw99cPy_f-/view?usp=drivesdk","OFFER LETTER")</f>
        <v>OFFER LETTER</v>
      </c>
      <c r="S2028" s="11" t="s">
        <v>11065</v>
      </c>
    </row>
    <row r="2029" ht="22.5" customHeight="1">
      <c r="A2029" s="10">
        <v>46267.79037393519</v>
      </c>
      <c r="B2029" s="11" t="s">
        <v>11061</v>
      </c>
      <c r="C2029" s="11" t="s">
        <v>237</v>
      </c>
      <c r="D2029" s="11" t="s">
        <v>68</v>
      </c>
      <c r="E2029" s="12">
        <v>46174.0</v>
      </c>
      <c r="F2029" s="12">
        <v>46204.0</v>
      </c>
      <c r="G2029" s="11" t="s">
        <v>11062</v>
      </c>
      <c r="H2029" s="11">
        <v>9.088689548E9</v>
      </c>
      <c r="I2029" s="11" t="s">
        <v>70</v>
      </c>
      <c r="J2029" s="11" t="s">
        <v>71</v>
      </c>
      <c r="K2029" s="11" t="s">
        <v>72</v>
      </c>
      <c r="L2029" s="11" t="s">
        <v>84</v>
      </c>
      <c r="M2029" s="11" t="s">
        <v>10824</v>
      </c>
      <c r="N2029" s="11" t="s">
        <v>630</v>
      </c>
      <c r="O2029" s="11" t="s">
        <v>71</v>
      </c>
      <c r="P2029" s="11" t="s">
        <v>11066</v>
      </c>
      <c r="Q2029" s="13" t="s">
        <v>11067</v>
      </c>
      <c r="R2029" s="14" t="str">
        <f>HYPERLINK("https://drive.google.com/file/d/1poPbKmdgJ4VTnpWRHrtnj27yglplehHn/view?usp=drivesdk","OFFER LETTER")</f>
        <v>OFFER LETTER</v>
      </c>
      <c r="S2029" s="11" t="s">
        <v>11068</v>
      </c>
    </row>
    <row r="2030" ht="22.5" customHeight="1">
      <c r="A2030" s="10">
        <v>46267.79681414352</v>
      </c>
      <c r="B2030" s="11" t="s">
        <v>11069</v>
      </c>
      <c r="C2030" s="11" t="s">
        <v>259</v>
      </c>
      <c r="D2030" s="11" t="s">
        <v>68</v>
      </c>
      <c r="E2030" s="12">
        <v>46267.0</v>
      </c>
      <c r="F2030" s="12">
        <v>46297.0</v>
      </c>
      <c r="G2030" s="11" t="s">
        <v>11070</v>
      </c>
      <c r="H2030" s="11">
        <v>8.187889382E9</v>
      </c>
      <c r="I2030" s="11" t="s">
        <v>82</v>
      </c>
      <c r="J2030" s="11" t="s">
        <v>71</v>
      </c>
      <c r="K2030" s="11" t="s">
        <v>110</v>
      </c>
      <c r="L2030" s="11" t="s">
        <v>247</v>
      </c>
      <c r="M2030" s="11" t="s">
        <v>11071</v>
      </c>
      <c r="N2030" s="11" t="s">
        <v>226</v>
      </c>
      <c r="O2030" s="11" t="s">
        <v>71</v>
      </c>
      <c r="P2030" s="11" t="s">
        <v>11072</v>
      </c>
      <c r="Q2030" s="13" t="s">
        <v>11073</v>
      </c>
      <c r="R2030" s="14" t="str">
        <f>HYPERLINK("https://drive.google.com/file/d/1zcfqViL6XIBApyN6xT5EizfIOkqQFs2q/view?usp=drivesdk","OFFER LETTER")</f>
        <v>OFFER LETTER</v>
      </c>
      <c r="S2030" s="11" t="s">
        <v>11074</v>
      </c>
    </row>
    <row r="2031" ht="22.5" customHeight="1">
      <c r="A2031" s="10">
        <v>46267.80102539352</v>
      </c>
      <c r="B2031" s="11" t="s">
        <v>11075</v>
      </c>
      <c r="C2031" s="11" t="s">
        <v>173</v>
      </c>
      <c r="D2031" s="11" t="s">
        <v>108</v>
      </c>
      <c r="E2031" s="12">
        <v>46205.0</v>
      </c>
      <c r="F2031" s="12">
        <v>46267.0</v>
      </c>
      <c r="G2031" s="11" t="s">
        <v>11076</v>
      </c>
      <c r="H2031" s="11">
        <v>9.391747944E9</v>
      </c>
      <c r="I2031" s="11" t="s">
        <v>82</v>
      </c>
      <c r="J2031" s="11" t="s">
        <v>71</v>
      </c>
      <c r="K2031" s="11" t="s">
        <v>72</v>
      </c>
      <c r="L2031" s="11" t="s">
        <v>131</v>
      </c>
      <c r="M2031" s="11" t="s">
        <v>2883</v>
      </c>
      <c r="N2031" s="11" t="s">
        <v>86</v>
      </c>
      <c r="O2031" s="11" t="s">
        <v>71</v>
      </c>
      <c r="P2031" s="11" t="s">
        <v>11077</v>
      </c>
      <c r="Q2031" s="13" t="s">
        <v>11078</v>
      </c>
      <c r="R2031" s="14" t="str">
        <f>HYPERLINK("https://drive.google.com/file/d/1a1qQI3cb-sjBqE8KiXCXWkP0k4OyUMc4/view?usp=drivesdk","OFFER LETTER")</f>
        <v>OFFER LETTER</v>
      </c>
      <c r="S2031" s="11" t="s">
        <v>11079</v>
      </c>
    </row>
    <row r="2032" ht="22.5" customHeight="1">
      <c r="A2032" s="10">
        <v>46267.80117489584</v>
      </c>
      <c r="B2032" s="11" t="s">
        <v>11080</v>
      </c>
      <c r="C2032" s="11" t="s">
        <v>173</v>
      </c>
      <c r="D2032" s="11" t="s">
        <v>68</v>
      </c>
      <c r="E2032" s="12">
        <v>46267.0</v>
      </c>
      <c r="F2032" s="12">
        <v>46298.0</v>
      </c>
      <c r="G2032" s="11" t="s">
        <v>11081</v>
      </c>
      <c r="H2032" s="11">
        <v>9.561486371E9</v>
      </c>
      <c r="I2032" s="11" t="s">
        <v>70</v>
      </c>
      <c r="J2032" s="11" t="s">
        <v>71</v>
      </c>
      <c r="K2032" s="13" t="s">
        <v>674</v>
      </c>
      <c r="L2032" s="11" t="s">
        <v>84</v>
      </c>
      <c r="M2032" s="11" t="s">
        <v>11082</v>
      </c>
      <c r="N2032" s="11" t="s">
        <v>1641</v>
      </c>
      <c r="O2032" s="11" t="s">
        <v>71</v>
      </c>
      <c r="P2032" s="11" t="s">
        <v>11083</v>
      </c>
      <c r="Q2032" s="13" t="s">
        <v>11084</v>
      </c>
      <c r="R2032" s="14" t="str">
        <f>HYPERLINK("https://drive.google.com/file/d/1QiQ7Es84cLYp9057BRRpJXMWzRl04dbY/view?usp=drivesdk","OFFER LETTER")</f>
        <v>OFFER LETTER</v>
      </c>
      <c r="S2032" s="11" t="s">
        <v>11085</v>
      </c>
    </row>
    <row r="2033" ht="22.5" customHeight="1">
      <c r="A2033" s="10">
        <v>46267.80421519676</v>
      </c>
      <c r="B2033" s="11" t="s">
        <v>8649</v>
      </c>
      <c r="C2033" s="11" t="s">
        <v>128</v>
      </c>
      <c r="D2033" s="11" t="s">
        <v>68</v>
      </c>
      <c r="E2033" s="12">
        <v>46235.0</v>
      </c>
      <c r="F2033" s="12">
        <v>46265.0</v>
      </c>
      <c r="G2033" s="11" t="s">
        <v>8650</v>
      </c>
      <c r="H2033" s="11">
        <v>8.578865714E9</v>
      </c>
      <c r="I2033" s="11" t="s">
        <v>82</v>
      </c>
      <c r="J2033" s="11" t="s">
        <v>130</v>
      </c>
      <c r="K2033" s="11" t="s">
        <v>72</v>
      </c>
      <c r="L2033" s="11" t="s">
        <v>73</v>
      </c>
      <c r="M2033" s="11" t="s">
        <v>11086</v>
      </c>
      <c r="N2033" s="11" t="s">
        <v>86</v>
      </c>
      <c r="O2033" s="11" t="s">
        <v>71</v>
      </c>
      <c r="P2033" s="11" t="s">
        <v>11087</v>
      </c>
      <c r="Q2033" s="13" t="s">
        <v>11088</v>
      </c>
      <c r="R2033" s="14" t="str">
        <f>HYPERLINK("https://drive.google.com/file/d/1wT2_FQhqrn0BogSmWTqExBgoKuFxScra/view?usp=drivesdk","OFFER LETTER")</f>
        <v>OFFER LETTER</v>
      </c>
      <c r="S2033" s="11" t="s">
        <v>11089</v>
      </c>
    </row>
    <row r="2034" ht="22.5" customHeight="1">
      <c r="A2034" s="10">
        <v>46267.81635443287</v>
      </c>
      <c r="B2034" s="11" t="s">
        <v>11090</v>
      </c>
      <c r="C2034" s="11" t="s">
        <v>173</v>
      </c>
      <c r="D2034" s="11" t="s">
        <v>68</v>
      </c>
      <c r="E2034" s="12">
        <v>46229.0</v>
      </c>
      <c r="F2034" s="12">
        <v>46260.0</v>
      </c>
      <c r="G2034" s="11" t="s">
        <v>11091</v>
      </c>
      <c r="H2034" s="11">
        <v>6.383215062E9</v>
      </c>
      <c r="I2034" s="11" t="s">
        <v>82</v>
      </c>
      <c r="J2034" s="11" t="s">
        <v>71</v>
      </c>
      <c r="K2034" s="11" t="s">
        <v>72</v>
      </c>
      <c r="L2034" s="11" t="s">
        <v>84</v>
      </c>
      <c r="M2034" s="11" t="s">
        <v>11092</v>
      </c>
      <c r="N2034" s="11" t="s">
        <v>86</v>
      </c>
      <c r="O2034" s="11" t="s">
        <v>263</v>
      </c>
      <c r="P2034" s="11" t="s">
        <v>11093</v>
      </c>
      <c r="Q2034" s="13" t="s">
        <v>11094</v>
      </c>
      <c r="R2034" s="14" t="str">
        <f>HYPERLINK("https://drive.google.com/file/d/1Gr3JPok2hX9NZMU-xETUCuV0B9qOUSDP/view?usp=drivesdk","OFFER LETTER")</f>
        <v>OFFER LETTER</v>
      </c>
      <c r="S2034" s="11" t="s">
        <v>11095</v>
      </c>
    </row>
    <row r="2035" ht="22.5" customHeight="1">
      <c r="A2035" s="10">
        <v>46267.818750081016</v>
      </c>
      <c r="B2035" s="11" t="s">
        <v>11096</v>
      </c>
      <c r="C2035" s="11" t="s">
        <v>237</v>
      </c>
      <c r="D2035" s="11" t="s">
        <v>68</v>
      </c>
      <c r="E2035" s="12">
        <v>46267.0</v>
      </c>
      <c r="F2035" s="12">
        <v>46297.0</v>
      </c>
      <c r="G2035" s="11" t="s">
        <v>11097</v>
      </c>
      <c r="H2035" s="11">
        <v>7.416336956E9</v>
      </c>
      <c r="I2035" s="11" t="s">
        <v>82</v>
      </c>
      <c r="J2035" s="11" t="s">
        <v>71</v>
      </c>
      <c r="K2035" s="11" t="s">
        <v>72</v>
      </c>
      <c r="L2035" s="11" t="s">
        <v>73</v>
      </c>
      <c r="M2035" s="11" t="s">
        <v>11098</v>
      </c>
      <c r="N2035" s="11" t="s">
        <v>226</v>
      </c>
      <c r="O2035" s="11" t="s">
        <v>71</v>
      </c>
      <c r="P2035" s="11" t="s">
        <v>11099</v>
      </c>
      <c r="Q2035" s="13" t="s">
        <v>11100</v>
      </c>
      <c r="R2035" s="14" t="str">
        <f>HYPERLINK("https://drive.google.com/file/d/1k7f640HVH_kIcOCpd3xNTauysTGgYYQc/view?usp=drivesdk","OFFER LETTER")</f>
        <v>OFFER LETTER</v>
      </c>
      <c r="S2035" s="11" t="s">
        <v>11101</v>
      </c>
    </row>
    <row r="2036" ht="22.5" customHeight="1">
      <c r="A2036" s="10">
        <v>46267.819652199076</v>
      </c>
      <c r="B2036" s="11" t="s">
        <v>11102</v>
      </c>
      <c r="C2036" s="11" t="s">
        <v>298</v>
      </c>
      <c r="D2036" s="11" t="s">
        <v>68</v>
      </c>
      <c r="E2036" s="12">
        <v>46267.0</v>
      </c>
      <c r="F2036" s="12">
        <v>46297.0</v>
      </c>
      <c r="G2036" s="11" t="s">
        <v>11103</v>
      </c>
      <c r="H2036" s="11">
        <v>9.003250082E9</v>
      </c>
      <c r="I2036" s="11" t="s">
        <v>82</v>
      </c>
      <c r="J2036" s="11" t="s">
        <v>71</v>
      </c>
      <c r="K2036" s="11" t="s">
        <v>72</v>
      </c>
      <c r="L2036" s="11" t="s">
        <v>131</v>
      </c>
      <c r="M2036" s="11" t="s">
        <v>10648</v>
      </c>
      <c r="N2036" s="11" t="s">
        <v>86</v>
      </c>
      <c r="O2036" s="11" t="s">
        <v>71</v>
      </c>
      <c r="P2036" s="11" t="s">
        <v>11104</v>
      </c>
      <c r="Q2036" s="13" t="s">
        <v>11105</v>
      </c>
      <c r="R2036" s="14" t="str">
        <f>HYPERLINK("https://drive.google.com/file/d/1DGMYuSFw7OJWKnxj_CPjdaEiDuUeiubJ/view?usp=drivesdk","OFFER LETTER")</f>
        <v>OFFER LETTER</v>
      </c>
      <c r="S2036" s="11" t="s">
        <v>11106</v>
      </c>
    </row>
    <row r="2037" ht="22.5" customHeight="1">
      <c r="A2037" s="10">
        <v>46267.82037956019</v>
      </c>
      <c r="B2037" s="11" t="s">
        <v>11107</v>
      </c>
      <c r="C2037" s="11" t="s">
        <v>596</v>
      </c>
      <c r="D2037" s="11" t="s">
        <v>68</v>
      </c>
      <c r="E2037" s="12">
        <v>46268.0</v>
      </c>
      <c r="F2037" s="12">
        <v>46298.0</v>
      </c>
      <c r="G2037" s="11" t="s">
        <v>11108</v>
      </c>
      <c r="H2037" s="11">
        <v>9.668822725E9</v>
      </c>
      <c r="I2037" s="11" t="s">
        <v>82</v>
      </c>
      <c r="J2037" s="11" t="s">
        <v>71</v>
      </c>
      <c r="K2037" s="11" t="s">
        <v>110</v>
      </c>
      <c r="L2037" s="11" t="s">
        <v>73</v>
      </c>
      <c r="M2037" s="11" t="s">
        <v>11109</v>
      </c>
      <c r="N2037" s="11" t="s">
        <v>75</v>
      </c>
      <c r="O2037" s="11" t="s">
        <v>71</v>
      </c>
      <c r="P2037" s="11" t="s">
        <v>11110</v>
      </c>
      <c r="Q2037" s="13" t="s">
        <v>11111</v>
      </c>
      <c r="R2037" s="14" t="str">
        <f>HYPERLINK("https://drive.google.com/file/d/1mZNmvSdFgV5-SdpYg-nFaYA_UFGgoEGp/view?usp=drivesdk","OFFER LETTER")</f>
        <v>OFFER LETTER</v>
      </c>
      <c r="S2037" s="11" t="s">
        <v>11112</v>
      </c>
    </row>
    <row r="2038" ht="22.5" customHeight="1">
      <c r="A2038" s="10">
        <v>46267.825283136575</v>
      </c>
      <c r="B2038" s="11" t="s">
        <v>11113</v>
      </c>
      <c r="C2038" s="11" t="s">
        <v>596</v>
      </c>
      <c r="D2038" s="11" t="s">
        <v>68</v>
      </c>
      <c r="E2038" s="12">
        <v>46268.0</v>
      </c>
      <c r="F2038" s="12">
        <v>46298.0</v>
      </c>
      <c r="G2038" s="11" t="s">
        <v>11108</v>
      </c>
      <c r="H2038" s="11">
        <v>9.668822725E9</v>
      </c>
      <c r="I2038" s="11" t="s">
        <v>82</v>
      </c>
      <c r="J2038" s="11" t="s">
        <v>71</v>
      </c>
      <c r="K2038" s="11" t="s">
        <v>110</v>
      </c>
      <c r="L2038" s="11" t="s">
        <v>73</v>
      </c>
      <c r="M2038" s="11" t="s">
        <v>11114</v>
      </c>
      <c r="N2038" s="11" t="s">
        <v>75</v>
      </c>
      <c r="O2038" s="11" t="s">
        <v>71</v>
      </c>
      <c r="P2038" s="11" t="s">
        <v>11115</v>
      </c>
      <c r="Q2038" s="13" t="s">
        <v>11116</v>
      </c>
      <c r="R2038" s="14" t="str">
        <f>HYPERLINK("https://drive.google.com/file/d/1JmAe4QSNFZ_Qp2zmKSBEdWN3m7SPA5E8/view?usp=drivesdk","OFFER LETTER")</f>
        <v>OFFER LETTER</v>
      </c>
      <c r="S2038" s="11" t="s">
        <v>11117</v>
      </c>
    </row>
    <row r="2039" ht="22.5" customHeight="1">
      <c r="A2039" s="10">
        <v>46267.82768383102</v>
      </c>
      <c r="B2039" s="11" t="s">
        <v>11118</v>
      </c>
      <c r="C2039" s="11" t="s">
        <v>237</v>
      </c>
      <c r="D2039" s="11" t="s">
        <v>68</v>
      </c>
      <c r="E2039" s="12">
        <v>46267.0</v>
      </c>
      <c r="F2039" s="12">
        <v>46297.0</v>
      </c>
      <c r="G2039" s="11" t="s">
        <v>11097</v>
      </c>
      <c r="H2039" s="11">
        <v>7.416336956E9</v>
      </c>
      <c r="I2039" s="11" t="s">
        <v>82</v>
      </c>
      <c r="J2039" s="11" t="s">
        <v>71</v>
      </c>
      <c r="K2039" s="11" t="s">
        <v>72</v>
      </c>
      <c r="L2039" s="11" t="s">
        <v>73</v>
      </c>
      <c r="M2039" s="11" t="s">
        <v>11098</v>
      </c>
      <c r="N2039" s="11" t="s">
        <v>226</v>
      </c>
      <c r="O2039" s="11" t="s">
        <v>71</v>
      </c>
      <c r="P2039" s="11" t="s">
        <v>11119</v>
      </c>
      <c r="Q2039" s="13" t="s">
        <v>11120</v>
      </c>
      <c r="R2039" s="14" t="str">
        <f>HYPERLINK("https://drive.google.com/file/d/1ga_-yUUgmuvqw1nHGYMlIhEnMOayiu26/view?usp=drivesdk","OFFER LETTER")</f>
        <v>OFFER LETTER</v>
      </c>
      <c r="S2039" s="11" t="s">
        <v>11121</v>
      </c>
    </row>
    <row r="2040" ht="22.5" customHeight="1">
      <c r="A2040" s="10">
        <v>46267.83116450231</v>
      </c>
      <c r="B2040" s="11" t="s">
        <v>11122</v>
      </c>
      <c r="C2040" s="11" t="s">
        <v>195</v>
      </c>
      <c r="D2040" s="11" t="s">
        <v>68</v>
      </c>
      <c r="E2040" s="12">
        <v>46235.0</v>
      </c>
      <c r="F2040" s="12">
        <v>46266.0</v>
      </c>
      <c r="G2040" s="11" t="s">
        <v>11123</v>
      </c>
      <c r="H2040" s="11">
        <v>9.410243812E9</v>
      </c>
      <c r="I2040" s="11" t="s">
        <v>70</v>
      </c>
      <c r="J2040" s="11" t="s">
        <v>71</v>
      </c>
      <c r="K2040" s="11" t="s">
        <v>72</v>
      </c>
      <c r="L2040" s="11" t="s">
        <v>73</v>
      </c>
      <c r="M2040" s="11" t="s">
        <v>11124</v>
      </c>
      <c r="N2040" s="11" t="s">
        <v>241</v>
      </c>
      <c r="O2040" s="11" t="s">
        <v>71</v>
      </c>
      <c r="P2040" s="11" t="s">
        <v>11125</v>
      </c>
      <c r="Q2040" s="13" t="s">
        <v>11126</v>
      </c>
      <c r="R2040" s="14" t="str">
        <f>HYPERLINK("https://drive.google.com/file/d/1_EfHxy3Nhp2UBD8Lj1r1-2QSG_dotBL_/view?usp=drivesdk","OFFER LETTER")</f>
        <v>OFFER LETTER</v>
      </c>
      <c r="S2040" s="11" t="s">
        <v>11127</v>
      </c>
    </row>
    <row r="2041" ht="22.5" customHeight="1">
      <c r="A2041" s="10">
        <v>46267.831514467594</v>
      </c>
      <c r="B2041" s="11" t="s">
        <v>11128</v>
      </c>
      <c r="C2041" s="11" t="s">
        <v>128</v>
      </c>
      <c r="D2041" s="11" t="s">
        <v>68</v>
      </c>
      <c r="E2041" s="12">
        <v>46233.0</v>
      </c>
      <c r="F2041" s="12">
        <v>46267.0</v>
      </c>
      <c r="G2041" s="11" t="s">
        <v>11129</v>
      </c>
      <c r="H2041" s="11">
        <v>8.917536137E9</v>
      </c>
      <c r="I2041" s="11" t="s">
        <v>82</v>
      </c>
      <c r="J2041" s="11" t="s">
        <v>71</v>
      </c>
      <c r="K2041" s="11" t="s">
        <v>72</v>
      </c>
      <c r="L2041" s="11" t="s">
        <v>73</v>
      </c>
      <c r="M2041" s="11" t="s">
        <v>5877</v>
      </c>
      <c r="N2041" s="11" t="s">
        <v>86</v>
      </c>
      <c r="O2041" s="11" t="s">
        <v>71</v>
      </c>
      <c r="P2041" s="11" t="s">
        <v>11130</v>
      </c>
      <c r="Q2041" s="13" t="s">
        <v>11131</v>
      </c>
      <c r="R2041" s="14" t="str">
        <f>HYPERLINK("https://drive.google.com/file/d/14CQgX2M9N-CEP9fn-z16Lyr2B_OzCes2/view?usp=drivesdk","OFFER LETTER")</f>
        <v>OFFER LETTER</v>
      </c>
      <c r="S2041" s="11" t="s">
        <v>11127</v>
      </c>
    </row>
    <row r="2042" ht="22.5" customHeight="1">
      <c r="A2042" s="10">
        <v>46267.834068842596</v>
      </c>
      <c r="B2042" s="11" t="s">
        <v>11132</v>
      </c>
      <c r="C2042" s="11" t="s">
        <v>173</v>
      </c>
      <c r="D2042" s="11" t="s">
        <v>68</v>
      </c>
      <c r="E2042" s="12">
        <v>46195.0</v>
      </c>
      <c r="F2042" s="12">
        <v>46227.0</v>
      </c>
      <c r="G2042" s="11" t="s">
        <v>11133</v>
      </c>
      <c r="H2042" s="11">
        <v>9.260985161E9</v>
      </c>
      <c r="I2042" s="11" t="s">
        <v>82</v>
      </c>
      <c r="J2042" s="11" t="s">
        <v>71</v>
      </c>
      <c r="K2042" s="11" t="s">
        <v>72</v>
      </c>
      <c r="L2042" s="11" t="s">
        <v>84</v>
      </c>
      <c r="M2042" s="11" t="s">
        <v>886</v>
      </c>
      <c r="N2042" s="11" t="s">
        <v>655</v>
      </c>
      <c r="O2042" s="11" t="s">
        <v>71</v>
      </c>
      <c r="P2042" s="11" t="s">
        <v>11134</v>
      </c>
      <c r="Q2042" s="13" t="s">
        <v>11135</v>
      </c>
      <c r="R2042" s="14" t="str">
        <f>HYPERLINK("https://drive.google.com/file/d/16n1aaNI2vuL0CbS4DV7UJ9nBzXhJk4Cf/view?usp=drivesdk","OFFER LETTER")</f>
        <v>OFFER LETTER</v>
      </c>
      <c r="S2042" s="11" t="s">
        <v>11136</v>
      </c>
    </row>
    <row r="2043" ht="22.5" customHeight="1">
      <c r="A2043" s="10">
        <v>46267.83864714121</v>
      </c>
      <c r="B2043" s="11" t="s">
        <v>11137</v>
      </c>
      <c r="C2043" s="11" t="s">
        <v>128</v>
      </c>
      <c r="D2043" s="11" t="s">
        <v>68</v>
      </c>
      <c r="E2043" s="12">
        <v>46267.0</v>
      </c>
      <c r="F2043" s="12">
        <v>46297.0</v>
      </c>
      <c r="G2043" s="11" t="s">
        <v>11138</v>
      </c>
      <c r="H2043" s="11">
        <v>9.315353004E9</v>
      </c>
      <c r="I2043" s="11" t="s">
        <v>82</v>
      </c>
      <c r="J2043" s="11" t="s">
        <v>71</v>
      </c>
      <c r="K2043" s="11" t="s">
        <v>72</v>
      </c>
      <c r="L2043" s="11" t="s">
        <v>84</v>
      </c>
      <c r="M2043" s="11" t="s">
        <v>1779</v>
      </c>
      <c r="N2043" s="11" t="s">
        <v>630</v>
      </c>
      <c r="O2043" s="11" t="s">
        <v>71</v>
      </c>
      <c r="P2043" s="11" t="s">
        <v>11139</v>
      </c>
      <c r="Q2043" s="13" t="s">
        <v>11140</v>
      </c>
      <c r="R2043" s="14" t="str">
        <f>HYPERLINK("https://drive.google.com/file/d/1XKsbx3OvvGmrD0aQR5DQLN2ki8YUZz5I/view?usp=drivesdk","OFFER LETTER")</f>
        <v>OFFER LETTER</v>
      </c>
      <c r="S2043" s="11" t="s">
        <v>11141</v>
      </c>
    </row>
    <row r="2044" ht="22.5" customHeight="1">
      <c r="A2044" s="10">
        <v>46267.84435511574</v>
      </c>
      <c r="B2044" s="11" t="s">
        <v>11142</v>
      </c>
      <c r="C2044" s="11" t="s">
        <v>596</v>
      </c>
      <c r="D2044" s="11" t="s">
        <v>68</v>
      </c>
      <c r="E2044" s="12">
        <v>46276.0</v>
      </c>
      <c r="F2044" s="12">
        <v>46307.0</v>
      </c>
      <c r="G2044" s="11" t="s">
        <v>11143</v>
      </c>
      <c r="H2044" s="17" t="s">
        <v>11144</v>
      </c>
      <c r="I2044" s="11" t="s">
        <v>70</v>
      </c>
      <c r="J2044" s="11" t="s">
        <v>71</v>
      </c>
      <c r="K2044" s="11" t="s">
        <v>72</v>
      </c>
      <c r="L2044" s="11" t="s">
        <v>131</v>
      </c>
      <c r="M2044" s="11" t="s">
        <v>11145</v>
      </c>
      <c r="N2044" s="11" t="s">
        <v>936</v>
      </c>
      <c r="O2044" s="11" t="s">
        <v>71</v>
      </c>
      <c r="P2044" s="11" t="s">
        <v>11146</v>
      </c>
      <c r="Q2044" s="13" t="s">
        <v>11147</v>
      </c>
      <c r="R2044" s="14" t="str">
        <f>HYPERLINK("https://drive.google.com/file/d/1hbSjl6_F6BVi35v8DpjFAKUuVui1FLuD/view?usp=drivesdk","OFFER LETTER")</f>
        <v>OFFER LETTER</v>
      </c>
      <c r="S2044" s="11" t="s">
        <v>11148</v>
      </c>
    </row>
    <row r="2045" ht="22.5" customHeight="1">
      <c r="A2045" s="10">
        <v>46267.858163819445</v>
      </c>
      <c r="B2045" s="11" t="s">
        <v>11149</v>
      </c>
      <c r="C2045" s="11" t="s">
        <v>354</v>
      </c>
      <c r="D2045" s="11" t="s">
        <v>68</v>
      </c>
      <c r="E2045" s="12">
        <v>46267.0</v>
      </c>
      <c r="F2045" s="12">
        <v>46297.0</v>
      </c>
      <c r="G2045" s="11" t="s">
        <v>11150</v>
      </c>
      <c r="H2045" s="11">
        <v>8.984050051E9</v>
      </c>
      <c r="I2045" s="11" t="s">
        <v>82</v>
      </c>
      <c r="J2045" s="11" t="s">
        <v>71</v>
      </c>
      <c r="K2045" s="11" t="s">
        <v>72</v>
      </c>
      <c r="L2045" s="11" t="s">
        <v>73</v>
      </c>
      <c r="M2045" s="11" t="s">
        <v>5018</v>
      </c>
      <c r="N2045" s="11" t="s">
        <v>75</v>
      </c>
      <c r="O2045" s="11" t="s">
        <v>71</v>
      </c>
      <c r="P2045" s="11" t="s">
        <v>11151</v>
      </c>
      <c r="Q2045" s="13" t="s">
        <v>11152</v>
      </c>
      <c r="R2045" s="14" t="str">
        <f>HYPERLINK("https://drive.google.com/file/d/1R7mE-QnV8LDpB3HMxVzKDnIMDe6fD4JZ/view?usp=drivesdk","OFFER LETTER")</f>
        <v>OFFER LETTER</v>
      </c>
      <c r="S2045" s="11" t="s">
        <v>11153</v>
      </c>
    </row>
    <row r="2046" ht="22.5" customHeight="1">
      <c r="A2046" s="10">
        <v>46267.858903506945</v>
      </c>
      <c r="B2046" s="11" t="s">
        <v>11154</v>
      </c>
      <c r="C2046" s="11" t="s">
        <v>195</v>
      </c>
      <c r="D2046" s="11" t="s">
        <v>108</v>
      </c>
      <c r="E2046" s="12">
        <v>46260.0</v>
      </c>
      <c r="F2046" s="12">
        <v>46321.0</v>
      </c>
      <c r="G2046" s="11" t="s">
        <v>11155</v>
      </c>
      <c r="H2046" s="11">
        <v>7.795542494E9</v>
      </c>
      <c r="I2046" s="11" t="s">
        <v>82</v>
      </c>
      <c r="J2046" s="11" t="s">
        <v>83</v>
      </c>
      <c r="K2046" s="11" t="s">
        <v>356</v>
      </c>
      <c r="L2046" s="11" t="s">
        <v>84</v>
      </c>
      <c r="M2046" s="11" t="s">
        <v>11156</v>
      </c>
      <c r="N2046" s="11" t="s">
        <v>630</v>
      </c>
      <c r="O2046" s="11" t="s">
        <v>263</v>
      </c>
      <c r="P2046" s="11" t="s">
        <v>11157</v>
      </c>
      <c r="Q2046" s="13" t="s">
        <v>11158</v>
      </c>
      <c r="R2046" s="14" t="str">
        <f>HYPERLINK("https://drive.google.com/file/d/1aD-BNOHxcjlyv-ygVMCK3wZmFxtzP3D3/view?usp=drivesdk","OFFER LETTER")</f>
        <v>OFFER LETTER</v>
      </c>
      <c r="S2046" s="11" t="s">
        <v>11159</v>
      </c>
    </row>
    <row r="2047" ht="22.5" customHeight="1">
      <c r="A2047" s="10">
        <v>46267.86309938657</v>
      </c>
      <c r="B2047" s="11" t="s">
        <v>11160</v>
      </c>
      <c r="C2047" s="11" t="s">
        <v>91</v>
      </c>
      <c r="D2047" s="11" t="s">
        <v>68</v>
      </c>
      <c r="E2047" s="12">
        <v>46267.0</v>
      </c>
      <c r="F2047" s="12">
        <v>46297.0</v>
      </c>
      <c r="G2047" s="11" t="s">
        <v>11161</v>
      </c>
      <c r="H2047" s="11">
        <v>9.340718686E9</v>
      </c>
      <c r="I2047" s="11" t="s">
        <v>70</v>
      </c>
      <c r="J2047" s="11" t="s">
        <v>71</v>
      </c>
      <c r="K2047" s="11" t="s">
        <v>110</v>
      </c>
      <c r="L2047" s="11" t="s">
        <v>73</v>
      </c>
      <c r="M2047" s="11" t="s">
        <v>3459</v>
      </c>
      <c r="N2047" s="11" t="s">
        <v>11162</v>
      </c>
      <c r="O2047" s="11" t="s">
        <v>71</v>
      </c>
      <c r="P2047" s="11" t="s">
        <v>11163</v>
      </c>
      <c r="Q2047" s="13" t="s">
        <v>11164</v>
      </c>
      <c r="R2047" s="14" t="str">
        <f>HYPERLINK("https://drive.google.com/file/d/1nNtKR6TkMxf8qol0pDjjbuRUbyl9-WOr/view?usp=drivesdk","OFFER LETTER")</f>
        <v>OFFER LETTER</v>
      </c>
      <c r="S2047" s="11" t="s">
        <v>11165</v>
      </c>
    </row>
    <row r="2048" ht="22.5" customHeight="1">
      <c r="A2048" s="10">
        <v>46267.86435246527</v>
      </c>
      <c r="B2048" s="11" t="s">
        <v>11166</v>
      </c>
      <c r="C2048" s="11" t="s">
        <v>354</v>
      </c>
      <c r="D2048" s="11" t="s">
        <v>68</v>
      </c>
      <c r="E2048" s="12">
        <v>46267.0</v>
      </c>
      <c r="F2048" s="12">
        <v>46297.0</v>
      </c>
      <c r="G2048" s="11" t="s">
        <v>11167</v>
      </c>
      <c r="H2048" s="11">
        <v>8.249756079E9</v>
      </c>
      <c r="I2048" s="11" t="s">
        <v>82</v>
      </c>
      <c r="J2048" s="11" t="s">
        <v>71</v>
      </c>
      <c r="K2048" s="11" t="s">
        <v>72</v>
      </c>
      <c r="L2048" s="11" t="s">
        <v>73</v>
      </c>
      <c r="M2048" s="11" t="s">
        <v>5018</v>
      </c>
      <c r="N2048" s="11" t="s">
        <v>86</v>
      </c>
      <c r="O2048" s="11" t="s">
        <v>71</v>
      </c>
      <c r="P2048" s="11" t="s">
        <v>11168</v>
      </c>
      <c r="Q2048" s="13" t="s">
        <v>11169</v>
      </c>
      <c r="R2048" s="14" t="str">
        <f>HYPERLINK("https://drive.google.com/file/d/1beK_lW9YK6meZ49fmiTgWiuyCioFNHCQ/view?usp=drivesdk","OFFER LETTER")</f>
        <v>OFFER LETTER</v>
      </c>
      <c r="S2048" s="11" t="s">
        <v>11170</v>
      </c>
    </row>
    <row r="2049" ht="22.5" customHeight="1">
      <c r="A2049" s="10">
        <v>46267.87043473379</v>
      </c>
      <c r="B2049" s="11" t="s">
        <v>11171</v>
      </c>
      <c r="C2049" s="11" t="s">
        <v>173</v>
      </c>
      <c r="D2049" s="11" t="s">
        <v>108</v>
      </c>
      <c r="E2049" s="12">
        <v>46297.0</v>
      </c>
      <c r="F2049" s="12">
        <v>46328.0</v>
      </c>
      <c r="G2049" s="11" t="s">
        <v>11076</v>
      </c>
      <c r="H2049" s="11">
        <v>9.391747944E9</v>
      </c>
      <c r="I2049" s="11" t="s">
        <v>82</v>
      </c>
      <c r="J2049" s="11" t="s">
        <v>71</v>
      </c>
      <c r="K2049" s="11" t="s">
        <v>72</v>
      </c>
      <c r="L2049" s="11" t="s">
        <v>131</v>
      </c>
      <c r="M2049" s="11" t="s">
        <v>2883</v>
      </c>
      <c r="N2049" s="11" t="s">
        <v>86</v>
      </c>
      <c r="O2049" s="11" t="s">
        <v>71</v>
      </c>
      <c r="P2049" s="11" t="s">
        <v>11172</v>
      </c>
      <c r="Q2049" s="13" t="s">
        <v>11173</v>
      </c>
      <c r="R2049" s="14" t="str">
        <f>HYPERLINK("https://drive.google.com/file/d/1yO50D4nBLztdO0212mQglIQFmKmBfj_j/view?usp=drivesdk","OFFER LETTER")</f>
        <v>OFFER LETTER</v>
      </c>
      <c r="S2049" s="11" t="s">
        <v>11174</v>
      </c>
    </row>
    <row r="2050" ht="22.5" customHeight="1">
      <c r="A2050" s="10">
        <v>46267.88333465278</v>
      </c>
      <c r="B2050" s="11" t="s">
        <v>11175</v>
      </c>
      <c r="C2050" s="11" t="s">
        <v>195</v>
      </c>
      <c r="D2050" s="11" t="s">
        <v>68</v>
      </c>
      <c r="E2050" s="12">
        <v>46062.0</v>
      </c>
      <c r="F2050" s="12">
        <v>46063.0</v>
      </c>
      <c r="G2050" s="11" t="s">
        <v>11176</v>
      </c>
      <c r="H2050" s="11">
        <v>7.380644076E9</v>
      </c>
      <c r="I2050" s="11" t="s">
        <v>82</v>
      </c>
      <c r="J2050" s="11" t="s">
        <v>71</v>
      </c>
      <c r="K2050" s="11" t="s">
        <v>72</v>
      </c>
      <c r="L2050" s="11" t="s">
        <v>84</v>
      </c>
      <c r="M2050" s="11" t="s">
        <v>11177</v>
      </c>
      <c r="N2050" s="11" t="s">
        <v>75</v>
      </c>
      <c r="O2050" s="11" t="s">
        <v>71</v>
      </c>
      <c r="P2050" s="11" t="s">
        <v>11178</v>
      </c>
      <c r="Q2050" s="13" t="s">
        <v>11179</v>
      </c>
      <c r="R2050" s="14" t="str">
        <f>HYPERLINK("https://drive.google.com/file/d/1WJh2EX5qgR7yVKdZhJCPFTmc48iCsY0i/view?usp=drivesdk","OFFER LETTER")</f>
        <v>OFFER LETTER</v>
      </c>
      <c r="S2050" s="11" t="s">
        <v>11180</v>
      </c>
    </row>
    <row r="2051" ht="22.5" customHeight="1">
      <c r="A2051" s="10">
        <v>46267.89410708333</v>
      </c>
      <c r="B2051" s="11" t="s">
        <v>11181</v>
      </c>
      <c r="C2051" s="11" t="s">
        <v>195</v>
      </c>
      <c r="D2051" s="11" t="s">
        <v>68</v>
      </c>
      <c r="E2051" s="12">
        <v>46234.0</v>
      </c>
      <c r="F2051" s="12">
        <v>46264.0</v>
      </c>
      <c r="G2051" s="11" t="s">
        <v>11182</v>
      </c>
      <c r="H2051" s="11">
        <v>9.51547812E9</v>
      </c>
      <c r="I2051" s="11" t="s">
        <v>82</v>
      </c>
      <c r="J2051" s="11" t="s">
        <v>130</v>
      </c>
      <c r="K2051" s="11" t="s">
        <v>72</v>
      </c>
      <c r="L2051" s="11" t="s">
        <v>84</v>
      </c>
      <c r="M2051" s="11" t="s">
        <v>11183</v>
      </c>
      <c r="N2051" s="11" t="s">
        <v>226</v>
      </c>
      <c r="O2051" s="11" t="s">
        <v>71</v>
      </c>
      <c r="P2051" s="11" t="s">
        <v>11184</v>
      </c>
      <c r="Q2051" s="13" t="s">
        <v>11185</v>
      </c>
      <c r="R2051" s="14" t="str">
        <f>HYPERLINK("https://drive.google.com/file/d/1xS23HhF5iXS2mvbO1iHV0gEqinXhEwsi/view?usp=drivesdk","OFFER LETTER")</f>
        <v>OFFER LETTER</v>
      </c>
      <c r="S2051" s="11" t="s">
        <v>11186</v>
      </c>
    </row>
    <row r="2052" ht="22.5" customHeight="1">
      <c r="A2052" s="10">
        <v>46267.90297905092</v>
      </c>
      <c r="B2052" s="11" t="s">
        <v>11187</v>
      </c>
      <c r="C2052" s="11" t="s">
        <v>91</v>
      </c>
      <c r="D2052" s="11" t="s">
        <v>68</v>
      </c>
      <c r="E2052" s="12">
        <v>46267.0</v>
      </c>
      <c r="F2052" s="12">
        <v>46297.0</v>
      </c>
      <c r="G2052" s="11" t="s">
        <v>11188</v>
      </c>
      <c r="H2052" s="11">
        <v>8.218945118E9</v>
      </c>
      <c r="I2052" s="11" t="s">
        <v>82</v>
      </c>
      <c r="J2052" s="11" t="s">
        <v>71</v>
      </c>
      <c r="K2052" s="11" t="s">
        <v>72</v>
      </c>
      <c r="L2052" s="11" t="s">
        <v>73</v>
      </c>
      <c r="M2052" s="11" t="s">
        <v>10996</v>
      </c>
      <c r="N2052" s="11" t="s">
        <v>226</v>
      </c>
      <c r="O2052" s="11" t="s">
        <v>71</v>
      </c>
      <c r="P2052" s="11" t="s">
        <v>11189</v>
      </c>
      <c r="Q2052" s="13" t="s">
        <v>11190</v>
      </c>
      <c r="R2052" s="14" t="str">
        <f>HYPERLINK("https://drive.google.com/file/d/1_nIgnJaJmWZgsUJp-zBYbQ9xRdW3Tuek/view?usp=drivesdk","OFFER LETTER")</f>
        <v>OFFER LETTER</v>
      </c>
      <c r="S2052" s="11" t="s">
        <v>11191</v>
      </c>
    </row>
    <row r="2053" ht="22.5" customHeight="1">
      <c r="A2053" s="10">
        <v>46267.9067875926</v>
      </c>
      <c r="B2053" s="11" t="s">
        <v>11192</v>
      </c>
      <c r="C2053" s="11" t="s">
        <v>128</v>
      </c>
      <c r="D2053" s="11" t="s">
        <v>68</v>
      </c>
      <c r="E2053" s="12">
        <v>46184.0</v>
      </c>
      <c r="F2053" s="12">
        <v>46214.0</v>
      </c>
      <c r="G2053" s="11" t="s">
        <v>11193</v>
      </c>
      <c r="H2053" s="11">
        <v>8.780083583E9</v>
      </c>
      <c r="I2053" s="11" t="s">
        <v>70</v>
      </c>
      <c r="J2053" s="11" t="s">
        <v>71</v>
      </c>
      <c r="K2053" s="11" t="s">
        <v>72</v>
      </c>
      <c r="L2053" s="11" t="s">
        <v>131</v>
      </c>
      <c r="M2053" s="11" t="s">
        <v>11194</v>
      </c>
      <c r="N2053" s="11" t="s">
        <v>86</v>
      </c>
      <c r="O2053" s="11" t="s">
        <v>263</v>
      </c>
      <c r="P2053" s="11" t="s">
        <v>11195</v>
      </c>
      <c r="Q2053" s="13" t="s">
        <v>11196</v>
      </c>
      <c r="R2053" s="14" t="str">
        <f>HYPERLINK("https://drive.google.com/file/d/1_NwEcmIIGA2aP51MxssUI_1fg7ZqLtcn/view?usp=drivesdk","OFFER LETTER")</f>
        <v>OFFER LETTER</v>
      </c>
      <c r="S2053" s="11" t="s">
        <v>11197</v>
      </c>
    </row>
    <row r="2054" ht="22.5" customHeight="1">
      <c r="A2054" s="10">
        <v>46267.91890211806</v>
      </c>
      <c r="B2054" s="11" t="s">
        <v>11198</v>
      </c>
      <c r="C2054" s="11" t="s">
        <v>195</v>
      </c>
      <c r="D2054" s="11" t="s">
        <v>68</v>
      </c>
      <c r="E2054" s="12">
        <v>46234.0</v>
      </c>
      <c r="F2054" s="12">
        <v>46264.0</v>
      </c>
      <c r="G2054" s="11" t="s">
        <v>11199</v>
      </c>
      <c r="H2054" s="11">
        <v>9.392899663E9</v>
      </c>
      <c r="I2054" s="11" t="s">
        <v>82</v>
      </c>
      <c r="J2054" s="11" t="s">
        <v>130</v>
      </c>
      <c r="K2054" s="11" t="s">
        <v>72</v>
      </c>
      <c r="L2054" s="11" t="s">
        <v>84</v>
      </c>
      <c r="M2054" s="11" t="s">
        <v>11200</v>
      </c>
      <c r="N2054" s="11" t="s">
        <v>5502</v>
      </c>
      <c r="O2054" s="11" t="s">
        <v>71</v>
      </c>
      <c r="P2054" s="11" t="s">
        <v>11201</v>
      </c>
      <c r="Q2054" s="13" t="s">
        <v>11202</v>
      </c>
      <c r="R2054" s="14" t="str">
        <f>HYPERLINK("https://drive.google.com/file/d/1G3Xk9JS6LtdUDW7BR7Twtp-Ka5HC-amt/view?usp=drivesdk","OFFER LETTER")</f>
        <v>OFFER LETTER</v>
      </c>
      <c r="S2054" s="11" t="s">
        <v>11203</v>
      </c>
    </row>
    <row r="2055" ht="22.5" customHeight="1">
      <c r="A2055" s="10">
        <v>46267.922850648145</v>
      </c>
      <c r="B2055" s="11" t="s">
        <v>11204</v>
      </c>
      <c r="C2055" s="11" t="s">
        <v>195</v>
      </c>
      <c r="D2055" s="11" t="s">
        <v>68</v>
      </c>
      <c r="E2055" s="12">
        <v>46234.0</v>
      </c>
      <c r="F2055" s="12">
        <v>46264.0</v>
      </c>
      <c r="G2055" s="11" t="s">
        <v>11199</v>
      </c>
      <c r="H2055" s="11">
        <v>9.392899663E9</v>
      </c>
      <c r="I2055" s="11" t="s">
        <v>82</v>
      </c>
      <c r="J2055" s="11" t="s">
        <v>130</v>
      </c>
      <c r="K2055" s="11" t="s">
        <v>72</v>
      </c>
      <c r="L2055" s="11" t="s">
        <v>84</v>
      </c>
      <c r="M2055" s="11" t="s">
        <v>11205</v>
      </c>
      <c r="N2055" s="11" t="s">
        <v>5502</v>
      </c>
      <c r="O2055" s="11" t="s">
        <v>130</v>
      </c>
      <c r="P2055" s="11" t="s">
        <v>11206</v>
      </c>
      <c r="Q2055" s="13" t="s">
        <v>11207</v>
      </c>
      <c r="R2055" s="14" t="str">
        <f>HYPERLINK("https://drive.google.com/file/d/1PUzUn2JmvXIzn5J8IDb_4eVjyek52OZw/view?usp=drivesdk","OFFER LETTER")</f>
        <v>OFFER LETTER</v>
      </c>
      <c r="S2055" s="11" t="s">
        <v>11208</v>
      </c>
    </row>
    <row r="2056" ht="22.5" customHeight="1">
      <c r="A2056" s="10">
        <v>46267.92570148148</v>
      </c>
      <c r="B2056" s="11" t="s">
        <v>11209</v>
      </c>
      <c r="C2056" s="11" t="s">
        <v>259</v>
      </c>
      <c r="D2056" s="11" t="s">
        <v>68</v>
      </c>
      <c r="E2056" s="12">
        <v>46270.0</v>
      </c>
      <c r="F2056" s="12">
        <v>46307.0</v>
      </c>
      <c r="G2056" s="11" t="s">
        <v>11210</v>
      </c>
      <c r="H2056" s="11">
        <v>9.325006359E9</v>
      </c>
      <c r="I2056" s="11" t="s">
        <v>70</v>
      </c>
      <c r="J2056" s="11" t="s">
        <v>71</v>
      </c>
      <c r="K2056" s="11" t="s">
        <v>356</v>
      </c>
      <c r="L2056" s="11" t="s">
        <v>84</v>
      </c>
      <c r="M2056" s="11" t="s">
        <v>11211</v>
      </c>
      <c r="N2056" s="11" t="s">
        <v>630</v>
      </c>
      <c r="O2056" s="11" t="s">
        <v>71</v>
      </c>
      <c r="P2056" s="11" t="s">
        <v>11212</v>
      </c>
      <c r="Q2056" s="13" t="s">
        <v>11213</v>
      </c>
      <c r="R2056" s="14" t="str">
        <f>HYPERLINK("https://drive.google.com/file/d/1h2ihK9YQtkfObO0tWNzQZa7BE_jWmxAG/view?usp=drivesdk","OFFER LETTER")</f>
        <v>OFFER LETTER</v>
      </c>
      <c r="S2056" s="11" t="s">
        <v>11214</v>
      </c>
    </row>
    <row r="2057" ht="22.5" customHeight="1">
      <c r="A2057" s="10">
        <v>46267.9268121412</v>
      </c>
      <c r="B2057" s="11" t="s">
        <v>11215</v>
      </c>
      <c r="C2057" s="11" t="s">
        <v>128</v>
      </c>
      <c r="D2057" s="11" t="s">
        <v>68</v>
      </c>
      <c r="E2057" s="12">
        <v>46280.0</v>
      </c>
      <c r="F2057" s="12">
        <v>46315.0</v>
      </c>
      <c r="G2057" s="11" t="s">
        <v>11216</v>
      </c>
      <c r="H2057" s="11">
        <v>9.103732041E9</v>
      </c>
      <c r="I2057" s="11" t="s">
        <v>70</v>
      </c>
      <c r="J2057" s="11" t="s">
        <v>71</v>
      </c>
      <c r="K2057" s="11" t="s">
        <v>72</v>
      </c>
      <c r="L2057" s="11" t="s">
        <v>84</v>
      </c>
      <c r="M2057" s="11" t="s">
        <v>11217</v>
      </c>
      <c r="N2057" s="11" t="s">
        <v>241</v>
      </c>
      <c r="O2057" s="11" t="s">
        <v>71</v>
      </c>
      <c r="P2057" s="11" t="s">
        <v>11218</v>
      </c>
      <c r="Q2057" s="13" t="s">
        <v>11219</v>
      </c>
      <c r="R2057" s="14" t="str">
        <f>HYPERLINK("https://drive.google.com/file/d/1KzlMdG-Oa5gDVywPlVR3ZC3pXr3x4xik/view?usp=drivesdk","OFFER LETTER")</f>
        <v>OFFER LETTER</v>
      </c>
      <c r="S2057" s="11" t="s">
        <v>11220</v>
      </c>
    </row>
    <row r="2058" ht="22.5" customHeight="1">
      <c r="A2058" s="10">
        <v>46267.93860686343</v>
      </c>
      <c r="B2058" s="11" t="s">
        <v>11221</v>
      </c>
      <c r="C2058" s="11" t="s">
        <v>128</v>
      </c>
      <c r="D2058" s="11" t="s">
        <v>68</v>
      </c>
      <c r="E2058" s="12">
        <v>46235.0</v>
      </c>
      <c r="F2058" s="12">
        <v>46267.0</v>
      </c>
      <c r="G2058" s="11" t="s">
        <v>11222</v>
      </c>
      <c r="H2058" s="11">
        <v>8.429281175E9</v>
      </c>
      <c r="I2058" s="11" t="s">
        <v>70</v>
      </c>
      <c r="J2058" s="11" t="s">
        <v>130</v>
      </c>
      <c r="K2058" s="11" t="s">
        <v>72</v>
      </c>
      <c r="L2058" s="11" t="s">
        <v>73</v>
      </c>
      <c r="M2058" s="11" t="s">
        <v>11223</v>
      </c>
      <c r="N2058" s="11" t="s">
        <v>75</v>
      </c>
      <c r="O2058" s="11" t="s">
        <v>71</v>
      </c>
      <c r="P2058" s="11" t="s">
        <v>11224</v>
      </c>
      <c r="Q2058" s="13" t="s">
        <v>11225</v>
      </c>
      <c r="R2058" s="14" t="str">
        <f>HYPERLINK("https://drive.google.com/file/d/1J3waKNs06uNfttbotz9MHbKF60ND7_lz/view?usp=drivesdk","OFFER LETTER")</f>
        <v>OFFER LETTER</v>
      </c>
      <c r="S2058" s="11" t="s">
        <v>11226</v>
      </c>
    </row>
    <row r="2059" ht="22.5" customHeight="1">
      <c r="A2059" s="10">
        <v>46267.94115013889</v>
      </c>
      <c r="B2059" s="11" t="s">
        <v>11221</v>
      </c>
      <c r="C2059" s="11" t="s">
        <v>128</v>
      </c>
      <c r="D2059" s="11" t="s">
        <v>68</v>
      </c>
      <c r="E2059" s="12">
        <v>46235.0</v>
      </c>
      <c r="F2059" s="12">
        <v>46267.0</v>
      </c>
      <c r="G2059" s="11" t="s">
        <v>11222</v>
      </c>
      <c r="H2059" s="11">
        <v>8.429281175E9</v>
      </c>
      <c r="I2059" s="11" t="s">
        <v>70</v>
      </c>
      <c r="J2059" s="11" t="s">
        <v>130</v>
      </c>
      <c r="K2059" s="11" t="s">
        <v>72</v>
      </c>
      <c r="L2059" s="11" t="s">
        <v>73</v>
      </c>
      <c r="M2059" s="11" t="s">
        <v>11223</v>
      </c>
      <c r="N2059" s="11" t="s">
        <v>75</v>
      </c>
      <c r="O2059" s="11" t="s">
        <v>71</v>
      </c>
      <c r="P2059" s="11" t="s">
        <v>11227</v>
      </c>
      <c r="Q2059" s="13" t="s">
        <v>11228</v>
      </c>
      <c r="R2059" s="14" t="str">
        <f>HYPERLINK("https://drive.google.com/file/d/1ylJwL_f5LZH_08PtcqLnzJOvC7RsBGp9/view?usp=drivesdk","OFFER LETTER")</f>
        <v>OFFER LETTER</v>
      </c>
      <c r="S2059" s="11" t="s">
        <v>11229</v>
      </c>
    </row>
    <row r="2060" ht="22.5" customHeight="1">
      <c r="A2060" s="10">
        <v>46267.96002856482</v>
      </c>
      <c r="B2060" s="11" t="s">
        <v>11230</v>
      </c>
      <c r="C2060" s="11" t="s">
        <v>107</v>
      </c>
      <c r="D2060" s="11" t="s">
        <v>68</v>
      </c>
      <c r="E2060" s="12">
        <v>46267.0</v>
      </c>
      <c r="F2060" s="12">
        <v>46296.0</v>
      </c>
      <c r="G2060" s="11" t="s">
        <v>11231</v>
      </c>
      <c r="H2060" s="11">
        <v>9.373918563E9</v>
      </c>
      <c r="I2060" s="11" t="s">
        <v>82</v>
      </c>
      <c r="J2060" s="11" t="s">
        <v>71</v>
      </c>
      <c r="K2060" s="11" t="s">
        <v>72</v>
      </c>
      <c r="L2060" s="11" t="s">
        <v>131</v>
      </c>
      <c r="M2060" s="11" t="s">
        <v>11232</v>
      </c>
      <c r="N2060" s="11" t="s">
        <v>86</v>
      </c>
      <c r="O2060" s="11" t="s">
        <v>71</v>
      </c>
      <c r="P2060" s="11" t="s">
        <v>11233</v>
      </c>
      <c r="Q2060" s="13" t="s">
        <v>11234</v>
      </c>
      <c r="R2060" s="14" t="str">
        <f>HYPERLINK("https://drive.google.com/file/d/170WDDtRxLRKDHUvT94IMZOTeWk4prYUb/view?usp=drivesdk","OFFER LETTER")</f>
        <v>OFFER LETTER</v>
      </c>
      <c r="S2060" s="11" t="s">
        <v>11235</v>
      </c>
    </row>
    <row r="2061" ht="22.5" customHeight="1">
      <c r="A2061" s="10">
        <v>46267.9621659838</v>
      </c>
      <c r="B2061" s="11" t="s">
        <v>11236</v>
      </c>
      <c r="C2061" s="11" t="s">
        <v>80</v>
      </c>
      <c r="D2061" s="11" t="s">
        <v>68</v>
      </c>
      <c r="E2061" s="12">
        <v>46267.0</v>
      </c>
      <c r="F2061" s="12">
        <v>46296.0</v>
      </c>
      <c r="G2061" s="11" t="s">
        <v>11237</v>
      </c>
      <c r="H2061" s="11">
        <v>9.243764584E9</v>
      </c>
      <c r="I2061" s="11" t="s">
        <v>82</v>
      </c>
      <c r="J2061" s="11" t="s">
        <v>130</v>
      </c>
      <c r="K2061" s="11" t="s">
        <v>1028</v>
      </c>
      <c r="L2061" s="11" t="s">
        <v>84</v>
      </c>
      <c r="M2061" s="11" t="s">
        <v>11238</v>
      </c>
      <c r="N2061" s="11" t="s">
        <v>226</v>
      </c>
      <c r="O2061" s="11" t="s">
        <v>71</v>
      </c>
      <c r="P2061" s="11" t="s">
        <v>11239</v>
      </c>
      <c r="Q2061" s="13" t="s">
        <v>11240</v>
      </c>
      <c r="R2061" s="14" t="str">
        <f>HYPERLINK("https://drive.google.com/file/d/1mywGlKiQjLqK3deQYRPbSOuvu0TF9hMm/view?usp=drivesdk","OFFER LETTER")</f>
        <v>OFFER LETTER</v>
      </c>
      <c r="S2061" s="11" t="s">
        <v>11241</v>
      </c>
    </row>
    <row r="2062" ht="22.5" customHeight="1">
      <c r="A2062" s="10">
        <v>46267.970472800924</v>
      </c>
      <c r="B2062" s="11" t="s">
        <v>11242</v>
      </c>
      <c r="C2062" s="11" t="s">
        <v>107</v>
      </c>
      <c r="D2062" s="11" t="s">
        <v>68</v>
      </c>
      <c r="E2062" s="12">
        <v>46113.0</v>
      </c>
      <c r="F2062" s="12">
        <v>46143.0</v>
      </c>
      <c r="G2062" s="11" t="s">
        <v>11243</v>
      </c>
      <c r="H2062" s="11">
        <v>8.317628034E9</v>
      </c>
      <c r="I2062" s="11" t="s">
        <v>82</v>
      </c>
      <c r="J2062" s="11" t="s">
        <v>71</v>
      </c>
      <c r="K2062" s="13" t="s">
        <v>443</v>
      </c>
      <c r="L2062" s="11" t="s">
        <v>131</v>
      </c>
      <c r="M2062" s="11" t="s">
        <v>10732</v>
      </c>
      <c r="N2062" s="11" t="s">
        <v>198</v>
      </c>
      <c r="O2062" s="11" t="s">
        <v>71</v>
      </c>
      <c r="P2062" s="11" t="s">
        <v>11244</v>
      </c>
      <c r="Q2062" s="13" t="s">
        <v>11245</v>
      </c>
      <c r="R2062" s="14" t="str">
        <f>HYPERLINK("https://drive.google.com/file/d/1R2hBboTQ_ZmaqylKc4Nx03TVcCAV4cud/view?usp=drivesdk","OFFER LETTER")</f>
        <v>OFFER LETTER</v>
      </c>
      <c r="S2062" s="11" t="s">
        <v>11246</v>
      </c>
    </row>
    <row r="2063" ht="22.5" customHeight="1">
      <c r="A2063" s="10">
        <v>46267.976347592594</v>
      </c>
      <c r="B2063" s="11" t="s">
        <v>11247</v>
      </c>
      <c r="C2063" s="11" t="s">
        <v>80</v>
      </c>
      <c r="D2063" s="11" t="s">
        <v>68</v>
      </c>
      <c r="E2063" s="12">
        <v>46267.0</v>
      </c>
      <c r="F2063" s="12">
        <v>46297.0</v>
      </c>
      <c r="G2063" s="11" t="s">
        <v>11248</v>
      </c>
      <c r="H2063" s="11">
        <v>9.832085937E9</v>
      </c>
      <c r="I2063" s="11" t="s">
        <v>70</v>
      </c>
      <c r="J2063" s="11" t="s">
        <v>71</v>
      </c>
      <c r="K2063" s="11" t="s">
        <v>72</v>
      </c>
      <c r="L2063" s="11" t="s">
        <v>131</v>
      </c>
      <c r="M2063" s="11" t="s">
        <v>11249</v>
      </c>
      <c r="N2063" s="11" t="s">
        <v>86</v>
      </c>
      <c r="O2063" s="11" t="s">
        <v>71</v>
      </c>
      <c r="P2063" s="11" t="s">
        <v>11250</v>
      </c>
      <c r="Q2063" s="13" t="s">
        <v>11251</v>
      </c>
      <c r="R2063" s="14" t="str">
        <f>HYPERLINK("https://drive.google.com/file/d/1QVmby4TrFCzb_Ht9gIz_Pg5puR7dU_Xy/view?usp=drivesdk","OFFER LETTER")</f>
        <v>OFFER LETTER</v>
      </c>
      <c r="S2063" s="11" t="s">
        <v>11252</v>
      </c>
    </row>
    <row r="2064" ht="22.5" customHeight="1">
      <c r="A2064" s="10">
        <v>46267.98414339121</v>
      </c>
      <c r="B2064" s="11" t="s">
        <v>11253</v>
      </c>
      <c r="C2064" s="11" t="s">
        <v>1320</v>
      </c>
      <c r="D2064" s="11" t="s">
        <v>108</v>
      </c>
      <c r="E2064" s="12">
        <v>46181.0</v>
      </c>
      <c r="F2064" s="12">
        <v>46213.0</v>
      </c>
      <c r="G2064" s="11" t="s">
        <v>11254</v>
      </c>
      <c r="H2064" s="11">
        <v>8.210572433E9</v>
      </c>
      <c r="I2064" s="11" t="s">
        <v>82</v>
      </c>
      <c r="J2064" s="11" t="s">
        <v>71</v>
      </c>
      <c r="K2064" s="11" t="s">
        <v>72</v>
      </c>
      <c r="L2064" s="11" t="s">
        <v>131</v>
      </c>
      <c r="M2064" s="11" t="s">
        <v>11255</v>
      </c>
      <c r="N2064" s="11" t="s">
        <v>86</v>
      </c>
      <c r="O2064" s="11" t="s">
        <v>71</v>
      </c>
      <c r="P2064" s="11" t="s">
        <v>11256</v>
      </c>
      <c r="Q2064" s="13" t="s">
        <v>11257</v>
      </c>
      <c r="R2064" s="14" t="str">
        <f>HYPERLINK("https://drive.google.com/file/d/1OHFRR3jB6PFaLs4A1RsVt34i7GYUI0Fv/view?usp=drivesdk","OFFER LETTER")</f>
        <v>OFFER LETTER</v>
      </c>
      <c r="S2064" s="11" t="s">
        <v>11258</v>
      </c>
    </row>
    <row r="2065" ht="22.5" customHeight="1">
      <c r="A2065" s="10">
        <v>46267.98976409722</v>
      </c>
      <c r="B2065" s="11" t="s">
        <v>11253</v>
      </c>
      <c r="C2065" s="11" t="s">
        <v>1320</v>
      </c>
      <c r="D2065" s="11" t="s">
        <v>68</v>
      </c>
      <c r="E2065" s="12">
        <v>46181.0</v>
      </c>
      <c r="F2065" s="12">
        <v>46213.0</v>
      </c>
      <c r="G2065" s="11" t="s">
        <v>11254</v>
      </c>
      <c r="H2065" s="11">
        <v>8.210572433E9</v>
      </c>
      <c r="I2065" s="11" t="s">
        <v>82</v>
      </c>
      <c r="J2065" s="11" t="s">
        <v>71</v>
      </c>
      <c r="K2065" s="11" t="s">
        <v>72</v>
      </c>
      <c r="L2065" s="11" t="s">
        <v>131</v>
      </c>
      <c r="M2065" s="11" t="s">
        <v>11255</v>
      </c>
      <c r="N2065" s="11" t="s">
        <v>86</v>
      </c>
      <c r="O2065" s="11" t="s">
        <v>71</v>
      </c>
      <c r="P2065" s="11" t="s">
        <v>11259</v>
      </c>
      <c r="Q2065" s="13" t="s">
        <v>11260</v>
      </c>
      <c r="R2065" s="14" t="str">
        <f>HYPERLINK("https://drive.google.com/file/d/1HR_EN60nXhLzX_4BX5xaZ-5MIiXym3j_/view?usp=drivesdk","OFFER LETTER")</f>
        <v>OFFER LETTER</v>
      </c>
      <c r="S2065" s="11" t="s">
        <v>11261</v>
      </c>
    </row>
    <row r="2066" ht="22.5" customHeight="1">
      <c r="A2066" s="10">
        <v>46268.00279133102</v>
      </c>
      <c r="B2066" s="11" t="s">
        <v>11262</v>
      </c>
      <c r="C2066" s="11" t="s">
        <v>128</v>
      </c>
      <c r="D2066" s="11" t="s">
        <v>68</v>
      </c>
      <c r="E2066" s="12">
        <v>46268.0</v>
      </c>
      <c r="F2066" s="12">
        <v>46298.0</v>
      </c>
      <c r="G2066" s="11" t="s">
        <v>11263</v>
      </c>
      <c r="H2066" s="11">
        <v>9.15044693E9</v>
      </c>
      <c r="I2066" s="11" t="s">
        <v>70</v>
      </c>
      <c r="J2066" s="11" t="s">
        <v>71</v>
      </c>
      <c r="K2066" s="11" t="s">
        <v>72</v>
      </c>
      <c r="L2066" s="11" t="s">
        <v>247</v>
      </c>
      <c r="M2066" s="11" t="s">
        <v>5568</v>
      </c>
      <c r="N2066" s="11" t="s">
        <v>226</v>
      </c>
      <c r="O2066" s="11" t="s">
        <v>71</v>
      </c>
      <c r="P2066" s="11" t="s">
        <v>11264</v>
      </c>
      <c r="Q2066" s="13" t="s">
        <v>11265</v>
      </c>
      <c r="R2066" s="14" t="str">
        <f>HYPERLINK("https://drive.google.com/file/d/19rwXOtwGX79puEA-iEQY3WCYVnM2u-OS/view?usp=drivesdk","OFFER LETTER")</f>
        <v>OFFER LETTER</v>
      </c>
      <c r="S2066" s="11" t="s">
        <v>11266</v>
      </c>
    </row>
    <row r="2067" ht="22.5" customHeight="1">
      <c r="A2067" s="10">
        <v>46268.021755636575</v>
      </c>
      <c r="B2067" s="11" t="s">
        <v>11267</v>
      </c>
      <c r="C2067" s="11" t="s">
        <v>80</v>
      </c>
      <c r="D2067" s="11" t="s">
        <v>68</v>
      </c>
      <c r="E2067" s="12">
        <v>46269.0</v>
      </c>
      <c r="F2067" s="12">
        <v>46299.0</v>
      </c>
      <c r="G2067" s="11" t="s">
        <v>11268</v>
      </c>
      <c r="H2067" s="11">
        <v>8.767456202E9</v>
      </c>
      <c r="I2067" s="11" t="s">
        <v>82</v>
      </c>
      <c r="J2067" s="11" t="s">
        <v>71</v>
      </c>
      <c r="K2067" s="11" t="s">
        <v>1028</v>
      </c>
      <c r="L2067" s="11" t="s">
        <v>73</v>
      </c>
      <c r="M2067" s="11" t="s">
        <v>11269</v>
      </c>
      <c r="N2067" s="11" t="s">
        <v>655</v>
      </c>
      <c r="O2067" s="11" t="s">
        <v>71</v>
      </c>
      <c r="P2067" s="11" t="s">
        <v>11270</v>
      </c>
      <c r="Q2067" s="13" t="s">
        <v>11271</v>
      </c>
      <c r="R2067" s="14" t="str">
        <f>HYPERLINK("https://drive.google.com/file/d/1zB6zFCKW7qQhcGQA7m_qrFJr0hmkAuL4/view?usp=drivesdk","OFFER LETTER")</f>
        <v>OFFER LETTER</v>
      </c>
      <c r="S2067" s="11" t="s">
        <v>11272</v>
      </c>
    </row>
    <row r="2068" ht="22.5" customHeight="1">
      <c r="A2068" s="10">
        <v>46268.02955178241</v>
      </c>
      <c r="B2068" s="11" t="s">
        <v>11273</v>
      </c>
      <c r="C2068" s="11" t="s">
        <v>195</v>
      </c>
      <c r="D2068" s="11" t="s">
        <v>68</v>
      </c>
      <c r="E2068" s="12">
        <v>46175.0</v>
      </c>
      <c r="F2068" s="12">
        <v>46207.0</v>
      </c>
      <c r="G2068" s="11" t="s">
        <v>11274</v>
      </c>
      <c r="H2068" s="11">
        <v>9.97183517E9</v>
      </c>
      <c r="I2068" s="11" t="s">
        <v>82</v>
      </c>
      <c r="J2068" s="11" t="s">
        <v>71</v>
      </c>
      <c r="K2068" s="11" t="s">
        <v>356</v>
      </c>
      <c r="L2068" s="11" t="s">
        <v>84</v>
      </c>
      <c r="M2068" s="11" t="s">
        <v>5710</v>
      </c>
      <c r="N2068" s="11" t="s">
        <v>86</v>
      </c>
      <c r="O2068" s="11" t="s">
        <v>71</v>
      </c>
      <c r="P2068" s="11" t="s">
        <v>11275</v>
      </c>
      <c r="Q2068" s="13" t="s">
        <v>11276</v>
      </c>
      <c r="R2068" s="14" t="str">
        <f>HYPERLINK("https://drive.google.com/file/d/1h69Lu8faBxLaGe5fBtOLEUC9IfWj45rP/view?usp=drivesdk","OFFER LETTER")</f>
        <v>OFFER LETTER</v>
      </c>
      <c r="S2068" s="11" t="s">
        <v>11277</v>
      </c>
    </row>
    <row r="2069" ht="22.5" customHeight="1">
      <c r="A2069" s="10">
        <v>46268.02990203704</v>
      </c>
      <c r="B2069" s="11" t="s">
        <v>11278</v>
      </c>
      <c r="C2069" s="11" t="s">
        <v>80</v>
      </c>
      <c r="D2069" s="11" t="s">
        <v>68</v>
      </c>
      <c r="E2069" s="12">
        <v>46269.0</v>
      </c>
      <c r="F2069" s="12">
        <v>46269.0</v>
      </c>
      <c r="G2069" s="11" t="s">
        <v>11268</v>
      </c>
      <c r="H2069" s="11">
        <v>8.767456202E9</v>
      </c>
      <c r="I2069" s="11" t="s">
        <v>82</v>
      </c>
      <c r="J2069" s="11" t="s">
        <v>83</v>
      </c>
      <c r="K2069" s="11" t="s">
        <v>1028</v>
      </c>
      <c r="L2069" s="11" t="s">
        <v>73</v>
      </c>
      <c r="M2069" s="11" t="s">
        <v>11269</v>
      </c>
      <c r="N2069" s="11" t="s">
        <v>655</v>
      </c>
      <c r="O2069" s="11" t="s">
        <v>71</v>
      </c>
      <c r="P2069" s="11" t="s">
        <v>11279</v>
      </c>
      <c r="Q2069" s="13" t="s">
        <v>11280</v>
      </c>
      <c r="R2069" s="14" t="str">
        <f>HYPERLINK("https://drive.google.com/file/d/1xPklZMa2hDG6tnWfzZDn0w_R5GfHzx2r/view?usp=drivesdk","OFFER LETTER")</f>
        <v>OFFER LETTER</v>
      </c>
      <c r="S2069" s="11" t="s">
        <v>11281</v>
      </c>
    </row>
    <row r="2070" ht="22.5" customHeight="1">
      <c r="A2070" s="10">
        <v>46268.10573604167</v>
      </c>
      <c r="B2070" s="11" t="s">
        <v>11282</v>
      </c>
      <c r="C2070" s="11" t="s">
        <v>107</v>
      </c>
      <c r="D2070" s="11" t="s">
        <v>108</v>
      </c>
      <c r="E2070" s="12">
        <v>46268.0</v>
      </c>
      <c r="F2070" s="12">
        <v>46329.0</v>
      </c>
      <c r="G2070" s="11" t="s">
        <v>11283</v>
      </c>
      <c r="H2070" s="11">
        <v>9.072216162E9</v>
      </c>
      <c r="I2070" s="11" t="s">
        <v>82</v>
      </c>
      <c r="J2070" s="11" t="s">
        <v>130</v>
      </c>
      <c r="K2070" s="11" t="s">
        <v>167</v>
      </c>
      <c r="L2070" s="11" t="s">
        <v>84</v>
      </c>
      <c r="M2070" s="11" t="s">
        <v>11284</v>
      </c>
      <c r="N2070" s="11" t="s">
        <v>226</v>
      </c>
      <c r="O2070" s="11" t="s">
        <v>71</v>
      </c>
      <c r="P2070" s="11" t="s">
        <v>11285</v>
      </c>
      <c r="Q2070" s="13" t="s">
        <v>11286</v>
      </c>
      <c r="R2070" s="14" t="str">
        <f>HYPERLINK("https://drive.google.com/file/d/1VsykXBqe_Gay12aoRXz72g3Vn19co37m/view?usp=drivesdk","OFFER LETTER")</f>
        <v>OFFER LETTER</v>
      </c>
      <c r="S2070" s="11" t="s">
        <v>11287</v>
      </c>
    </row>
    <row r="2071" ht="22.5" customHeight="1">
      <c r="A2071" s="10">
        <v>46268.10903131944</v>
      </c>
      <c r="B2071" s="11" t="s">
        <v>11288</v>
      </c>
      <c r="C2071" s="11" t="s">
        <v>67</v>
      </c>
      <c r="D2071" s="11" t="s">
        <v>68</v>
      </c>
      <c r="E2071" s="12">
        <v>46006.0</v>
      </c>
      <c r="F2071" s="12">
        <v>46037.0</v>
      </c>
      <c r="G2071" s="11" t="s">
        <v>11289</v>
      </c>
      <c r="H2071" s="11">
        <v>7.023369676E9</v>
      </c>
      <c r="I2071" s="11" t="s">
        <v>82</v>
      </c>
      <c r="J2071" s="11" t="s">
        <v>71</v>
      </c>
      <c r="K2071" s="11" t="s">
        <v>72</v>
      </c>
      <c r="L2071" s="11" t="s">
        <v>73</v>
      </c>
      <c r="M2071" s="11" t="s">
        <v>10244</v>
      </c>
      <c r="N2071" s="11" t="s">
        <v>75</v>
      </c>
      <c r="O2071" s="11" t="s">
        <v>71</v>
      </c>
      <c r="P2071" s="11" t="s">
        <v>11290</v>
      </c>
      <c r="Q2071" s="13" t="s">
        <v>11291</v>
      </c>
      <c r="R2071" s="14" t="str">
        <f>HYPERLINK("https://drive.google.com/file/d/1fuMbcFhlRPl1xxQ35L5onIv4R1EYfNB4/view?usp=drivesdk","OFFER LETTER")</f>
        <v>OFFER LETTER</v>
      </c>
      <c r="S2071" s="11" t="s">
        <v>11292</v>
      </c>
    </row>
    <row r="2072" ht="22.5" customHeight="1">
      <c r="A2072" s="10">
        <v>46268.22996217593</v>
      </c>
      <c r="B2072" s="11" t="s">
        <v>11293</v>
      </c>
      <c r="C2072" s="11" t="s">
        <v>91</v>
      </c>
      <c r="D2072" s="11" t="s">
        <v>108</v>
      </c>
      <c r="E2072" s="12">
        <v>46268.0</v>
      </c>
      <c r="F2072" s="12">
        <v>46329.0</v>
      </c>
      <c r="G2072" s="11" t="s">
        <v>11294</v>
      </c>
      <c r="H2072" s="11">
        <v>6.398041389E9</v>
      </c>
      <c r="I2072" s="11" t="s">
        <v>82</v>
      </c>
      <c r="J2072" s="11" t="s">
        <v>71</v>
      </c>
      <c r="K2072" s="11" t="s">
        <v>72</v>
      </c>
      <c r="L2072" s="11" t="s">
        <v>131</v>
      </c>
      <c r="M2072" s="11" t="s">
        <v>11295</v>
      </c>
      <c r="N2072" s="11" t="s">
        <v>241</v>
      </c>
      <c r="O2072" s="11" t="s">
        <v>263</v>
      </c>
      <c r="P2072" s="11" t="s">
        <v>11296</v>
      </c>
      <c r="Q2072" s="13" t="s">
        <v>11297</v>
      </c>
      <c r="R2072" s="14" t="str">
        <f>HYPERLINK("https://drive.google.com/file/d/1wIxuj--y7-1DSTcs-_gfvr96BSl6L3P2/view?usp=drivesdk","OFFER LETTER")</f>
        <v>OFFER LETTER</v>
      </c>
      <c r="S2072" s="11" t="s">
        <v>11298</v>
      </c>
    </row>
    <row r="2073" ht="22.5" customHeight="1">
      <c r="A2073" s="10">
        <v>46268.23190143518</v>
      </c>
      <c r="B2073" s="11" t="s">
        <v>11293</v>
      </c>
      <c r="C2073" s="11" t="s">
        <v>91</v>
      </c>
      <c r="D2073" s="11" t="s">
        <v>108</v>
      </c>
      <c r="E2073" s="12">
        <v>46268.0</v>
      </c>
      <c r="F2073" s="12">
        <v>46329.0</v>
      </c>
      <c r="G2073" s="11" t="s">
        <v>11294</v>
      </c>
      <c r="H2073" s="11">
        <v>6.398041389E9</v>
      </c>
      <c r="I2073" s="11" t="s">
        <v>82</v>
      </c>
      <c r="J2073" s="11" t="s">
        <v>71</v>
      </c>
      <c r="K2073" s="11" t="s">
        <v>72</v>
      </c>
      <c r="L2073" s="11" t="s">
        <v>131</v>
      </c>
      <c r="M2073" s="11" t="s">
        <v>11295</v>
      </c>
      <c r="N2073" s="11" t="s">
        <v>241</v>
      </c>
      <c r="O2073" s="11" t="s">
        <v>263</v>
      </c>
      <c r="P2073" s="11" t="s">
        <v>11299</v>
      </c>
      <c r="Q2073" s="13" t="s">
        <v>11300</v>
      </c>
      <c r="R2073" s="14" t="str">
        <f>HYPERLINK("https://drive.google.com/file/d/1S7jdF4BEsWSaSOnC5qWiCYL6TI4UBxLI/view?usp=drivesdk","OFFER LETTER")</f>
        <v>OFFER LETTER</v>
      </c>
      <c r="S2073" s="11" t="s">
        <v>11301</v>
      </c>
    </row>
    <row r="2074" ht="22.5" customHeight="1">
      <c r="A2074" s="10">
        <v>46268.33946171297</v>
      </c>
      <c r="B2074" s="11" t="s">
        <v>11302</v>
      </c>
      <c r="C2074" s="11" t="s">
        <v>80</v>
      </c>
      <c r="D2074" s="11" t="s">
        <v>108</v>
      </c>
      <c r="E2074" s="12">
        <v>46210.0</v>
      </c>
      <c r="F2074" s="12">
        <v>46272.0</v>
      </c>
      <c r="G2074" s="11" t="s">
        <v>11303</v>
      </c>
      <c r="H2074" s="11">
        <v>8.179117896E9</v>
      </c>
      <c r="I2074" s="11" t="s">
        <v>82</v>
      </c>
      <c r="J2074" s="11" t="s">
        <v>71</v>
      </c>
      <c r="K2074" s="11" t="s">
        <v>72</v>
      </c>
      <c r="L2074" s="11" t="s">
        <v>131</v>
      </c>
      <c r="M2074" s="11" t="s">
        <v>11304</v>
      </c>
      <c r="N2074" s="11" t="s">
        <v>75</v>
      </c>
      <c r="O2074" s="11" t="s">
        <v>71</v>
      </c>
      <c r="P2074" s="11" t="s">
        <v>11305</v>
      </c>
      <c r="Q2074" s="13" t="s">
        <v>11306</v>
      </c>
      <c r="R2074" s="14" t="str">
        <f>HYPERLINK("https://drive.google.com/file/d/100I-nPdrwbvH22MBXfZeGEZz0Ijt9T6I/view?usp=drivesdk","OFFER LETTER")</f>
        <v>OFFER LETTER</v>
      </c>
      <c r="S2074" s="11" t="s">
        <v>11307</v>
      </c>
    </row>
    <row r="2075" ht="22.5" customHeight="1">
      <c r="A2075" s="10">
        <v>46268.34959081019</v>
      </c>
      <c r="B2075" s="11" t="s">
        <v>11308</v>
      </c>
      <c r="C2075" s="11" t="s">
        <v>195</v>
      </c>
      <c r="D2075" s="11" t="s">
        <v>108</v>
      </c>
      <c r="E2075" s="12">
        <v>46272.0</v>
      </c>
      <c r="F2075" s="12">
        <v>46333.0</v>
      </c>
      <c r="G2075" s="11" t="s">
        <v>11309</v>
      </c>
      <c r="H2075" s="11">
        <v>9.046092923E9</v>
      </c>
      <c r="I2075" s="11" t="s">
        <v>70</v>
      </c>
      <c r="J2075" s="11" t="s">
        <v>71</v>
      </c>
      <c r="K2075" s="11" t="s">
        <v>110</v>
      </c>
      <c r="L2075" s="11" t="s">
        <v>131</v>
      </c>
      <c r="M2075" s="11" t="s">
        <v>11310</v>
      </c>
      <c r="N2075" s="11" t="s">
        <v>226</v>
      </c>
      <c r="O2075" s="11" t="s">
        <v>71</v>
      </c>
      <c r="P2075" s="11" t="s">
        <v>11311</v>
      </c>
      <c r="Q2075" s="13" t="s">
        <v>11312</v>
      </c>
      <c r="R2075" s="14" t="str">
        <f>HYPERLINK("https://drive.google.com/file/d/1osTHHW1QAJGfgaDXUCTYJ_mZZgsUndXj/view?usp=drivesdk","OFFER LETTER")</f>
        <v>OFFER LETTER</v>
      </c>
      <c r="S2075" s="11" t="s">
        <v>11313</v>
      </c>
    </row>
    <row r="2076" ht="22.5" customHeight="1">
      <c r="A2076" s="10">
        <v>46268.35627633102</v>
      </c>
      <c r="B2076" s="11" t="s">
        <v>11314</v>
      </c>
      <c r="C2076" s="11" t="s">
        <v>128</v>
      </c>
      <c r="D2076" s="11" t="s">
        <v>108</v>
      </c>
      <c r="E2076" s="12">
        <v>46143.0</v>
      </c>
      <c r="F2076" s="12">
        <v>46204.0</v>
      </c>
      <c r="G2076" s="11" t="s">
        <v>11315</v>
      </c>
      <c r="H2076" s="11">
        <v>9.391855241E9</v>
      </c>
      <c r="I2076" s="11" t="s">
        <v>70</v>
      </c>
      <c r="J2076" s="11" t="s">
        <v>71</v>
      </c>
      <c r="K2076" s="11" t="s">
        <v>72</v>
      </c>
      <c r="L2076" s="11" t="s">
        <v>131</v>
      </c>
      <c r="M2076" s="11" t="s">
        <v>11316</v>
      </c>
      <c r="N2076" s="11" t="s">
        <v>75</v>
      </c>
      <c r="O2076" s="11" t="s">
        <v>71</v>
      </c>
      <c r="P2076" s="11" t="s">
        <v>11317</v>
      </c>
      <c r="Q2076" s="13" t="s">
        <v>11318</v>
      </c>
      <c r="R2076" s="14" t="str">
        <f>HYPERLINK("https://drive.google.com/file/d/1ea13FEhGnaIQ_skJscVj5Hjt7m2CgOv_/view?usp=drivesdk","OFFER LETTER")</f>
        <v>OFFER LETTER</v>
      </c>
      <c r="S2076" s="11" t="s">
        <v>11319</v>
      </c>
    </row>
    <row r="2077" ht="22.5" customHeight="1">
      <c r="A2077" s="10">
        <v>46268.40752934028</v>
      </c>
      <c r="B2077" s="11" t="s">
        <v>10730</v>
      </c>
      <c r="C2077" s="11" t="s">
        <v>107</v>
      </c>
      <c r="D2077" s="11" t="s">
        <v>68</v>
      </c>
      <c r="E2077" s="12">
        <v>46160.0</v>
      </c>
      <c r="F2077" s="12">
        <v>46192.0</v>
      </c>
      <c r="G2077" s="11" t="s">
        <v>10731</v>
      </c>
      <c r="H2077" s="11">
        <v>9.392567918E9</v>
      </c>
      <c r="I2077" s="11" t="s">
        <v>82</v>
      </c>
      <c r="J2077" s="11" t="s">
        <v>71</v>
      </c>
      <c r="K2077" s="11" t="s">
        <v>167</v>
      </c>
      <c r="L2077" s="11" t="s">
        <v>131</v>
      </c>
      <c r="M2077" s="11" t="s">
        <v>5261</v>
      </c>
      <c r="N2077" s="11" t="s">
        <v>86</v>
      </c>
      <c r="O2077" s="11" t="s">
        <v>71</v>
      </c>
      <c r="P2077" s="11" t="s">
        <v>11320</v>
      </c>
      <c r="Q2077" s="13" t="s">
        <v>11321</v>
      </c>
      <c r="R2077" s="14" t="str">
        <f>HYPERLINK("https://drive.google.com/file/d/1yQ_kkZSEtwdxdy_mu3DrfUf-7aDaYgxg/view?usp=drivesdk","OFFER LETTER")</f>
        <v>OFFER LETTER</v>
      </c>
      <c r="S2077" s="11" t="s">
        <v>11322</v>
      </c>
    </row>
    <row r="2078" ht="22.5" customHeight="1">
      <c r="A2078" s="10">
        <v>46268.436100833336</v>
      </c>
      <c r="B2078" s="11" t="s">
        <v>11323</v>
      </c>
      <c r="C2078" s="11" t="s">
        <v>1200</v>
      </c>
      <c r="D2078" s="11" t="s">
        <v>108</v>
      </c>
      <c r="E2078" s="12">
        <v>46204.0</v>
      </c>
      <c r="F2078" s="12">
        <v>46265.0</v>
      </c>
      <c r="G2078" s="11" t="s">
        <v>11324</v>
      </c>
      <c r="H2078" s="11">
        <v>8.250603141E9</v>
      </c>
      <c r="I2078" s="11" t="s">
        <v>82</v>
      </c>
      <c r="J2078" s="11" t="s">
        <v>130</v>
      </c>
      <c r="K2078" s="11" t="s">
        <v>72</v>
      </c>
      <c r="L2078" s="11" t="s">
        <v>131</v>
      </c>
      <c r="M2078" s="11" t="s">
        <v>6283</v>
      </c>
      <c r="N2078" s="11" t="s">
        <v>86</v>
      </c>
      <c r="O2078" s="11" t="s">
        <v>71</v>
      </c>
      <c r="P2078" s="11" t="s">
        <v>11325</v>
      </c>
      <c r="Q2078" s="13" t="s">
        <v>11326</v>
      </c>
      <c r="R2078" s="14" t="str">
        <f>HYPERLINK("https://drive.google.com/file/d/1tadZNsTIz40DzfwWEeZxFT_V3nv_CqO2/view?usp=drivesdk","OFFER LETTER")</f>
        <v>OFFER LETTER</v>
      </c>
      <c r="S2078" s="11" t="s">
        <v>11327</v>
      </c>
    </row>
    <row r="2079" ht="22.5" customHeight="1">
      <c r="A2079" s="10">
        <v>46268.436508796294</v>
      </c>
      <c r="B2079" s="11" t="s">
        <v>7809</v>
      </c>
      <c r="C2079" s="11" t="s">
        <v>91</v>
      </c>
      <c r="D2079" s="11" t="s">
        <v>68</v>
      </c>
      <c r="E2079" s="12">
        <v>46268.0</v>
      </c>
      <c r="F2079" s="12">
        <v>46298.0</v>
      </c>
      <c r="G2079" s="11" t="s">
        <v>11328</v>
      </c>
      <c r="H2079" s="11">
        <v>7.379513329E9</v>
      </c>
      <c r="I2079" s="11" t="s">
        <v>82</v>
      </c>
      <c r="J2079" s="11" t="s">
        <v>71</v>
      </c>
      <c r="K2079" s="11" t="s">
        <v>72</v>
      </c>
      <c r="L2079" s="11" t="s">
        <v>247</v>
      </c>
      <c r="M2079" s="11" t="s">
        <v>11329</v>
      </c>
      <c r="N2079" s="11" t="s">
        <v>47</v>
      </c>
      <c r="O2079" s="11" t="s">
        <v>71</v>
      </c>
      <c r="P2079" s="11" t="s">
        <v>11330</v>
      </c>
      <c r="Q2079" s="13" t="s">
        <v>11331</v>
      </c>
      <c r="R2079" s="14" t="str">
        <f>HYPERLINK("https://drive.google.com/file/d/1u3A6Xxnz5trIcC-IGbzIRJNHPlsbpVtP/view?usp=drivesdk","OFFER LETTER")</f>
        <v>OFFER LETTER</v>
      </c>
      <c r="S2079" s="11" t="s">
        <v>11332</v>
      </c>
    </row>
    <row r="2080" ht="22.5" customHeight="1">
      <c r="A2080" s="10">
        <v>46268.43727278935</v>
      </c>
      <c r="B2080" s="11" t="s">
        <v>11333</v>
      </c>
      <c r="C2080" s="11" t="s">
        <v>173</v>
      </c>
      <c r="D2080" s="11" t="s">
        <v>68</v>
      </c>
      <c r="E2080" s="12">
        <v>46174.0</v>
      </c>
      <c r="F2080" s="12">
        <v>46203.0</v>
      </c>
      <c r="G2080" s="11" t="s">
        <v>11334</v>
      </c>
      <c r="H2080" s="11">
        <v>7.525818492E9</v>
      </c>
      <c r="I2080" s="11" t="s">
        <v>70</v>
      </c>
      <c r="J2080" s="11" t="s">
        <v>71</v>
      </c>
      <c r="K2080" s="11" t="s">
        <v>167</v>
      </c>
      <c r="L2080" s="11" t="s">
        <v>73</v>
      </c>
      <c r="M2080" s="11" t="s">
        <v>668</v>
      </c>
      <c r="N2080" s="11" t="s">
        <v>86</v>
      </c>
      <c r="O2080" s="11" t="s">
        <v>71</v>
      </c>
      <c r="P2080" s="11" t="s">
        <v>11335</v>
      </c>
      <c r="Q2080" s="13" t="s">
        <v>11336</v>
      </c>
      <c r="R2080" s="14" t="str">
        <f>HYPERLINK("https://drive.google.com/file/d/113ZVE0COVB8Md1MbMff6YNsq03ybdQDV/view?usp=drivesdk","OFFER LETTER")</f>
        <v>OFFER LETTER</v>
      </c>
      <c r="S2080" s="11" t="s">
        <v>11337</v>
      </c>
    </row>
    <row r="2081" ht="22.5" customHeight="1">
      <c r="A2081" s="10">
        <v>46268.439171527774</v>
      </c>
      <c r="B2081" s="11" t="s">
        <v>11333</v>
      </c>
      <c r="C2081" s="11" t="s">
        <v>173</v>
      </c>
      <c r="D2081" s="11" t="s">
        <v>68</v>
      </c>
      <c r="E2081" s="12">
        <v>46204.0</v>
      </c>
      <c r="F2081" s="12">
        <v>46234.0</v>
      </c>
      <c r="G2081" s="11" t="s">
        <v>11334</v>
      </c>
      <c r="H2081" s="11">
        <v>7.525818492E9</v>
      </c>
      <c r="I2081" s="11" t="s">
        <v>70</v>
      </c>
      <c r="J2081" s="11" t="s">
        <v>71</v>
      </c>
      <c r="K2081" s="11" t="s">
        <v>167</v>
      </c>
      <c r="L2081" s="11" t="s">
        <v>73</v>
      </c>
      <c r="M2081" s="11" t="s">
        <v>668</v>
      </c>
      <c r="N2081" s="11" t="s">
        <v>86</v>
      </c>
      <c r="O2081" s="11" t="s">
        <v>71</v>
      </c>
      <c r="P2081" s="11" t="s">
        <v>11338</v>
      </c>
      <c r="Q2081" s="13" t="s">
        <v>11339</v>
      </c>
      <c r="R2081" s="14" t="str">
        <f>HYPERLINK("https://drive.google.com/file/d/1e2nCJ8vKmS-ftRRbEV5SwuXL4EnBjAgW/view?usp=drivesdk","OFFER LETTER")</f>
        <v>OFFER LETTER</v>
      </c>
      <c r="S2081" s="11" t="s">
        <v>11340</v>
      </c>
    </row>
    <row r="2082" ht="22.5" customHeight="1">
      <c r="A2082" s="10">
        <v>46268.44406569445</v>
      </c>
      <c r="B2082" s="11" t="s">
        <v>969</v>
      </c>
      <c r="C2082" s="11" t="s">
        <v>107</v>
      </c>
      <c r="D2082" s="11" t="s">
        <v>68</v>
      </c>
      <c r="E2082" s="12">
        <v>46268.0</v>
      </c>
      <c r="F2082" s="12">
        <v>46298.0</v>
      </c>
      <c r="G2082" s="11" t="s">
        <v>11341</v>
      </c>
      <c r="H2082" s="11">
        <v>7.070132546E9</v>
      </c>
      <c r="I2082" s="11" t="s">
        <v>82</v>
      </c>
      <c r="J2082" s="11" t="s">
        <v>71</v>
      </c>
      <c r="K2082" s="11" t="s">
        <v>72</v>
      </c>
      <c r="L2082" s="11" t="s">
        <v>131</v>
      </c>
      <c r="M2082" s="11" t="s">
        <v>11342</v>
      </c>
      <c r="N2082" s="11" t="s">
        <v>11343</v>
      </c>
      <c r="O2082" s="11" t="s">
        <v>71</v>
      </c>
      <c r="P2082" s="11" t="s">
        <v>11344</v>
      </c>
      <c r="Q2082" s="13" t="s">
        <v>11345</v>
      </c>
      <c r="R2082" s="14" t="str">
        <f>HYPERLINK("https://drive.google.com/file/d/1ToMTLBIFMKsCmQSDfiQDuKoCAi0Rq_7K/view?usp=drivesdk","OFFER LETTER")</f>
        <v>OFFER LETTER</v>
      </c>
      <c r="S2082" s="11" t="s">
        <v>11346</v>
      </c>
    </row>
    <row r="2083" ht="22.5" customHeight="1">
      <c r="A2083" s="10">
        <v>46268.447362962965</v>
      </c>
      <c r="B2083" s="11" t="s">
        <v>11347</v>
      </c>
      <c r="C2083" s="11" t="s">
        <v>80</v>
      </c>
      <c r="D2083" s="11" t="s">
        <v>68</v>
      </c>
      <c r="E2083" s="12">
        <v>46224.0</v>
      </c>
      <c r="F2083" s="12">
        <v>46254.0</v>
      </c>
      <c r="G2083" s="11" t="s">
        <v>11348</v>
      </c>
      <c r="H2083" s="11">
        <v>9.652010741E9</v>
      </c>
      <c r="I2083" s="11" t="s">
        <v>70</v>
      </c>
      <c r="J2083" s="11" t="s">
        <v>71</v>
      </c>
      <c r="K2083" s="11" t="s">
        <v>72</v>
      </c>
      <c r="L2083" s="11" t="s">
        <v>131</v>
      </c>
      <c r="M2083" s="11" t="s">
        <v>132</v>
      </c>
      <c r="N2083" s="11" t="s">
        <v>11349</v>
      </c>
      <c r="O2083" s="11" t="s">
        <v>71</v>
      </c>
      <c r="P2083" s="11" t="s">
        <v>11350</v>
      </c>
      <c r="Q2083" s="13" t="s">
        <v>11351</v>
      </c>
      <c r="R2083" s="14" t="str">
        <f>HYPERLINK("https://drive.google.com/file/d/1ZCVxwGS7YPsQ88enGjzPX5ijgKMXpzi7/view?usp=drivesdk","OFFER LETTER")</f>
        <v>OFFER LETTER</v>
      </c>
      <c r="S2083" s="11" t="s">
        <v>11352</v>
      </c>
    </row>
    <row r="2084" ht="22.5" customHeight="1">
      <c r="A2084" s="10">
        <v>46268.45031155093</v>
      </c>
      <c r="B2084" s="11" t="s">
        <v>11353</v>
      </c>
      <c r="C2084" s="11" t="s">
        <v>195</v>
      </c>
      <c r="D2084" s="11" t="s">
        <v>68</v>
      </c>
      <c r="E2084" s="12">
        <v>46238.0</v>
      </c>
      <c r="F2084" s="12">
        <v>46269.0</v>
      </c>
      <c r="G2084" s="11" t="s">
        <v>11354</v>
      </c>
      <c r="H2084" s="11">
        <v>7.488974233E9</v>
      </c>
      <c r="I2084" s="11" t="s">
        <v>70</v>
      </c>
      <c r="J2084" s="11" t="s">
        <v>71</v>
      </c>
      <c r="K2084" s="11" t="s">
        <v>72</v>
      </c>
      <c r="L2084" s="11" t="s">
        <v>84</v>
      </c>
      <c r="M2084" s="11" t="s">
        <v>4247</v>
      </c>
      <c r="N2084" s="11" t="s">
        <v>86</v>
      </c>
      <c r="O2084" s="11" t="s">
        <v>71</v>
      </c>
      <c r="P2084" s="11" t="s">
        <v>11355</v>
      </c>
      <c r="Q2084" s="13" t="s">
        <v>11356</v>
      </c>
      <c r="R2084" s="14" t="str">
        <f>HYPERLINK("https://drive.google.com/file/d/1IuKlNHHXtUIA71rRpkz354i0E6PTanTw/view?usp=drivesdk","OFFER LETTER")</f>
        <v>OFFER LETTER</v>
      </c>
      <c r="S2084" s="11" t="s">
        <v>11357</v>
      </c>
    </row>
    <row r="2085" ht="22.5" customHeight="1">
      <c r="A2085" s="10">
        <v>46268.45686196759</v>
      </c>
      <c r="B2085" s="11" t="s">
        <v>11358</v>
      </c>
      <c r="C2085" s="11" t="s">
        <v>80</v>
      </c>
      <c r="D2085" s="11" t="s">
        <v>68</v>
      </c>
      <c r="E2085" s="12">
        <v>46205.0</v>
      </c>
      <c r="F2085" s="12">
        <v>46236.0</v>
      </c>
      <c r="G2085" s="11" t="s">
        <v>11359</v>
      </c>
      <c r="H2085" s="11">
        <v>8.984465724E9</v>
      </c>
      <c r="I2085" s="11" t="s">
        <v>70</v>
      </c>
      <c r="J2085" s="11" t="s">
        <v>83</v>
      </c>
      <c r="K2085" s="11" t="s">
        <v>72</v>
      </c>
      <c r="L2085" s="11" t="s">
        <v>131</v>
      </c>
      <c r="M2085" s="11" t="s">
        <v>11360</v>
      </c>
      <c r="N2085" s="11" t="s">
        <v>86</v>
      </c>
      <c r="O2085" s="11" t="s">
        <v>71</v>
      </c>
      <c r="P2085" s="11" t="s">
        <v>11361</v>
      </c>
      <c r="Q2085" s="13" t="s">
        <v>11362</v>
      </c>
      <c r="R2085" s="14" t="str">
        <f>HYPERLINK("https://drive.google.com/file/d/12PWN1wtaASXelMa6DUXALVQ17PwQanIj/view?usp=drivesdk","OFFER LETTER")</f>
        <v>OFFER LETTER</v>
      </c>
      <c r="S2085" s="11" t="s">
        <v>11363</v>
      </c>
    </row>
    <row r="2086" ht="22.5" customHeight="1">
      <c r="A2086" s="10">
        <v>46268.45822778935</v>
      </c>
      <c r="B2086" s="11" t="s">
        <v>11364</v>
      </c>
      <c r="C2086" s="11" t="s">
        <v>2591</v>
      </c>
      <c r="D2086" s="11" t="s">
        <v>238</v>
      </c>
      <c r="E2086" s="12">
        <v>46268.0</v>
      </c>
      <c r="F2086" s="12">
        <v>46357.0</v>
      </c>
      <c r="G2086" s="11" t="s">
        <v>11365</v>
      </c>
      <c r="H2086" s="11">
        <v>8.799998714E9</v>
      </c>
      <c r="I2086" s="11" t="s">
        <v>82</v>
      </c>
      <c r="J2086" s="11" t="s">
        <v>71</v>
      </c>
      <c r="K2086" s="11" t="s">
        <v>72</v>
      </c>
      <c r="L2086" s="11" t="s">
        <v>131</v>
      </c>
      <c r="M2086" s="11" t="s">
        <v>11366</v>
      </c>
      <c r="N2086" s="11" t="s">
        <v>750</v>
      </c>
      <c r="O2086" s="11" t="s">
        <v>71</v>
      </c>
      <c r="P2086" s="11" t="s">
        <v>11367</v>
      </c>
      <c r="Q2086" s="13" t="s">
        <v>11368</v>
      </c>
      <c r="R2086" s="14" t="str">
        <f>HYPERLINK("https://drive.google.com/file/d/1ui9yFfk7TIIZOOgge7eH2ioBGlRDPuqL/view?usp=drivesdk","OFFER LETTER")</f>
        <v>OFFER LETTER</v>
      </c>
      <c r="S2086" s="11" t="s">
        <v>11369</v>
      </c>
    </row>
    <row r="2087" ht="22.5" customHeight="1">
      <c r="A2087" s="10">
        <v>46268.46569724537</v>
      </c>
      <c r="B2087" s="11" t="s">
        <v>11370</v>
      </c>
      <c r="C2087" s="11" t="s">
        <v>195</v>
      </c>
      <c r="D2087" s="11" t="s">
        <v>68</v>
      </c>
      <c r="E2087" s="12">
        <v>46233.0</v>
      </c>
      <c r="F2087" s="12">
        <v>46264.0</v>
      </c>
      <c r="G2087" s="11" t="s">
        <v>11371</v>
      </c>
      <c r="H2087" s="11">
        <v>8.126388458E9</v>
      </c>
      <c r="I2087" s="11" t="s">
        <v>82</v>
      </c>
      <c r="J2087" s="11" t="s">
        <v>130</v>
      </c>
      <c r="K2087" s="11" t="s">
        <v>72</v>
      </c>
      <c r="L2087" s="11" t="s">
        <v>84</v>
      </c>
      <c r="M2087" s="11" t="s">
        <v>886</v>
      </c>
      <c r="N2087" s="11" t="s">
        <v>86</v>
      </c>
      <c r="O2087" s="11" t="s">
        <v>71</v>
      </c>
      <c r="P2087" s="11" t="s">
        <v>11372</v>
      </c>
      <c r="Q2087" s="13" t="s">
        <v>11373</v>
      </c>
      <c r="R2087" s="14" t="str">
        <f>HYPERLINK("https://drive.google.com/file/d/1LbLtxVbtdfFc6xU88N4aVwVjAfzSr48A/view?usp=drivesdk","OFFER LETTER")</f>
        <v>OFFER LETTER</v>
      </c>
      <c r="S2087" s="11" t="s">
        <v>11374</v>
      </c>
    </row>
    <row r="2088" ht="22.5" customHeight="1">
      <c r="A2088" s="10">
        <v>46268.46614856481</v>
      </c>
      <c r="B2088" s="11" t="s">
        <v>11375</v>
      </c>
      <c r="C2088" s="11" t="s">
        <v>742</v>
      </c>
      <c r="D2088" s="11" t="s">
        <v>68</v>
      </c>
      <c r="E2088" s="12">
        <v>46204.0</v>
      </c>
      <c r="F2088" s="12">
        <v>46234.0</v>
      </c>
      <c r="G2088" s="11" t="s">
        <v>11376</v>
      </c>
      <c r="H2088" s="11">
        <v>9.205334821E9</v>
      </c>
      <c r="I2088" s="11" t="s">
        <v>82</v>
      </c>
      <c r="J2088" s="11" t="s">
        <v>71</v>
      </c>
      <c r="K2088" s="11" t="s">
        <v>110</v>
      </c>
      <c r="L2088" s="11" t="s">
        <v>73</v>
      </c>
      <c r="M2088" s="11" t="s">
        <v>5562</v>
      </c>
      <c r="N2088" s="11" t="s">
        <v>86</v>
      </c>
      <c r="O2088" s="11" t="s">
        <v>71</v>
      </c>
      <c r="P2088" s="11" t="s">
        <v>11377</v>
      </c>
      <c r="Q2088" s="13" t="s">
        <v>11378</v>
      </c>
      <c r="R2088" s="14" t="str">
        <f>HYPERLINK("https://drive.google.com/file/d/17speOUubkSsW3R-ybEYymGpn2JZ6H17s/view?usp=drivesdk","OFFER LETTER")</f>
        <v>OFFER LETTER</v>
      </c>
      <c r="S2088" s="11" t="s">
        <v>11379</v>
      </c>
    </row>
    <row r="2089" ht="22.5" customHeight="1">
      <c r="A2089" s="10">
        <v>46268.46697363426</v>
      </c>
      <c r="B2089" s="11" t="s">
        <v>11380</v>
      </c>
      <c r="C2089" s="11" t="s">
        <v>128</v>
      </c>
      <c r="D2089" s="11" t="s">
        <v>68</v>
      </c>
      <c r="E2089" s="12">
        <v>46235.0</v>
      </c>
      <c r="F2089" s="12">
        <v>46266.0</v>
      </c>
      <c r="G2089" s="11" t="s">
        <v>11381</v>
      </c>
      <c r="H2089" s="11">
        <v>8.79921368E9</v>
      </c>
      <c r="I2089" s="11" t="s">
        <v>82</v>
      </c>
      <c r="J2089" s="11" t="s">
        <v>71</v>
      </c>
      <c r="K2089" s="11" t="s">
        <v>72</v>
      </c>
      <c r="L2089" s="11" t="s">
        <v>131</v>
      </c>
      <c r="M2089" s="11" t="s">
        <v>11382</v>
      </c>
      <c r="N2089" s="11" t="s">
        <v>86</v>
      </c>
      <c r="O2089" s="11" t="s">
        <v>71</v>
      </c>
      <c r="P2089" s="11" t="s">
        <v>11383</v>
      </c>
      <c r="Q2089" s="13" t="s">
        <v>11384</v>
      </c>
      <c r="R2089" s="14" t="str">
        <f>HYPERLINK("https://drive.google.com/file/d/1cLmhM384p8ubxXrNl2_qe7ZpJ1EnzkoU/view?usp=drivesdk","OFFER LETTER")</f>
        <v>OFFER LETTER</v>
      </c>
      <c r="S2089" s="11" t="s">
        <v>11385</v>
      </c>
    </row>
    <row r="2090" ht="22.5" customHeight="1">
      <c r="A2090" s="10">
        <v>46268.48794364583</v>
      </c>
      <c r="B2090" s="11" t="s">
        <v>11386</v>
      </c>
      <c r="C2090" s="11" t="s">
        <v>173</v>
      </c>
      <c r="D2090" s="11" t="s">
        <v>68</v>
      </c>
      <c r="E2090" s="12">
        <v>46231.0</v>
      </c>
      <c r="F2090" s="12">
        <v>46262.0</v>
      </c>
      <c r="G2090" s="11" t="s">
        <v>11387</v>
      </c>
      <c r="H2090" s="11">
        <v>7.999003964E9</v>
      </c>
      <c r="I2090" s="11" t="s">
        <v>82</v>
      </c>
      <c r="J2090" s="11" t="s">
        <v>71</v>
      </c>
      <c r="K2090" s="11" t="s">
        <v>72</v>
      </c>
      <c r="L2090" s="11" t="s">
        <v>73</v>
      </c>
      <c r="M2090" s="11" t="s">
        <v>11388</v>
      </c>
      <c r="N2090" s="11" t="s">
        <v>75</v>
      </c>
      <c r="O2090" s="11" t="s">
        <v>71</v>
      </c>
      <c r="P2090" s="11" t="s">
        <v>11389</v>
      </c>
      <c r="Q2090" s="13" t="s">
        <v>11390</v>
      </c>
      <c r="R2090" s="14" t="str">
        <f>HYPERLINK("https://drive.google.com/file/d/1HPThCsY3IODCGfKmj1L151HrgK-hu5e9/view?usp=drivesdk","OFFER LETTER")</f>
        <v>OFFER LETTER</v>
      </c>
      <c r="S2090" s="11" t="s">
        <v>11391</v>
      </c>
    </row>
    <row r="2091" ht="22.5" customHeight="1">
      <c r="A2091" s="10">
        <v>46268.51726061343</v>
      </c>
      <c r="B2091" s="11" t="s">
        <v>11392</v>
      </c>
      <c r="C2091" s="11" t="s">
        <v>107</v>
      </c>
      <c r="D2091" s="11" t="s">
        <v>238</v>
      </c>
      <c r="E2091" s="12">
        <v>46182.0</v>
      </c>
      <c r="F2091" s="12">
        <v>46274.0</v>
      </c>
      <c r="G2091" s="11" t="s">
        <v>11393</v>
      </c>
      <c r="H2091" s="11">
        <v>9.696005904E9</v>
      </c>
      <c r="I2091" s="11" t="s">
        <v>82</v>
      </c>
      <c r="J2091" s="11" t="s">
        <v>71</v>
      </c>
      <c r="K2091" s="11" t="s">
        <v>72</v>
      </c>
      <c r="L2091" s="11" t="s">
        <v>131</v>
      </c>
      <c r="M2091" s="11" t="s">
        <v>11394</v>
      </c>
      <c r="N2091" s="11" t="s">
        <v>226</v>
      </c>
      <c r="O2091" s="11" t="s">
        <v>71</v>
      </c>
      <c r="P2091" s="11" t="s">
        <v>11395</v>
      </c>
      <c r="Q2091" s="13" t="s">
        <v>11396</v>
      </c>
      <c r="R2091" s="14" t="str">
        <f>HYPERLINK("https://drive.google.com/file/d/1rivYY75ekfpEbcuqF1e_xYO3_jO6Mt4i/view?usp=drivesdk","OFFER LETTER")</f>
        <v>OFFER LETTER</v>
      </c>
      <c r="S2091" s="11" t="s">
        <v>11397</v>
      </c>
    </row>
    <row r="2092" ht="22.5" customHeight="1">
      <c r="A2092" s="10">
        <v>46268.517886574075</v>
      </c>
      <c r="B2092" s="11" t="s">
        <v>11398</v>
      </c>
      <c r="C2092" s="11" t="s">
        <v>107</v>
      </c>
      <c r="D2092" s="11" t="s">
        <v>68</v>
      </c>
      <c r="E2092" s="12">
        <v>46187.0</v>
      </c>
      <c r="F2092" s="12">
        <v>46218.0</v>
      </c>
      <c r="G2092" s="11" t="s">
        <v>11399</v>
      </c>
      <c r="H2092" s="11">
        <v>9.354717302E9</v>
      </c>
      <c r="I2092" s="11" t="s">
        <v>82</v>
      </c>
      <c r="J2092" s="11" t="s">
        <v>71</v>
      </c>
      <c r="K2092" s="11" t="s">
        <v>110</v>
      </c>
      <c r="L2092" s="11" t="s">
        <v>84</v>
      </c>
      <c r="M2092" s="11" t="s">
        <v>11400</v>
      </c>
      <c r="N2092" s="11" t="s">
        <v>86</v>
      </c>
      <c r="O2092" s="11" t="s">
        <v>263</v>
      </c>
      <c r="P2092" s="11" t="s">
        <v>11401</v>
      </c>
      <c r="Q2092" s="13" t="s">
        <v>11402</v>
      </c>
      <c r="R2092" s="14" t="str">
        <f>HYPERLINK("https://drive.google.com/file/d/1o-pK6ShdayPow8P2SyfwPFcGXutbIalH/view?usp=drivesdk","OFFER LETTER")</f>
        <v>OFFER LETTER</v>
      </c>
      <c r="S2092" s="11" t="s">
        <v>11403</v>
      </c>
    </row>
    <row r="2093" ht="22.5" customHeight="1">
      <c r="A2093" s="10">
        <v>46268.519012916666</v>
      </c>
      <c r="B2093" s="11" t="s">
        <v>11404</v>
      </c>
      <c r="C2093" s="11" t="s">
        <v>80</v>
      </c>
      <c r="D2093" s="11" t="s">
        <v>68</v>
      </c>
      <c r="E2093" s="12">
        <v>46235.0</v>
      </c>
      <c r="F2093" s="12">
        <v>46264.0</v>
      </c>
      <c r="G2093" s="11" t="s">
        <v>11405</v>
      </c>
      <c r="H2093" s="11">
        <v>8.956508085E9</v>
      </c>
      <c r="I2093" s="11" t="s">
        <v>70</v>
      </c>
      <c r="K2093" s="11" t="s">
        <v>72</v>
      </c>
      <c r="L2093" s="11" t="s">
        <v>73</v>
      </c>
      <c r="M2093" s="11" t="s">
        <v>11406</v>
      </c>
      <c r="N2093" s="11" t="s">
        <v>47</v>
      </c>
      <c r="O2093" s="11" t="s">
        <v>71</v>
      </c>
      <c r="P2093" s="11" t="s">
        <v>11407</v>
      </c>
      <c r="Q2093" s="13" t="s">
        <v>11408</v>
      </c>
      <c r="R2093" s="14" t="str">
        <f>HYPERLINK("https://drive.google.com/file/d/1QLxVIjOn9uki8ayEvni06xhPFDUfdUr_/view?usp=drivesdk","OFFER LETTER")</f>
        <v>OFFER LETTER</v>
      </c>
      <c r="S2093" s="11" t="s">
        <v>11409</v>
      </c>
    </row>
    <row r="2094" ht="22.5" customHeight="1">
      <c r="A2094" s="10">
        <v>46268.53042064815</v>
      </c>
      <c r="B2094" s="11" t="s">
        <v>11410</v>
      </c>
      <c r="C2094" s="11" t="s">
        <v>298</v>
      </c>
      <c r="D2094" s="11" t="s">
        <v>68</v>
      </c>
      <c r="E2094" s="12">
        <v>46254.0</v>
      </c>
      <c r="F2094" s="12">
        <v>46285.0</v>
      </c>
      <c r="G2094" s="11" t="s">
        <v>11411</v>
      </c>
      <c r="H2094" s="11">
        <v>9.151355412E9</v>
      </c>
      <c r="I2094" s="11" t="s">
        <v>82</v>
      </c>
      <c r="J2094" s="11" t="s">
        <v>71</v>
      </c>
      <c r="K2094" s="11" t="s">
        <v>72</v>
      </c>
      <c r="L2094" s="11" t="s">
        <v>84</v>
      </c>
      <c r="M2094" s="11" t="s">
        <v>808</v>
      </c>
      <c r="N2094" s="11" t="s">
        <v>133</v>
      </c>
      <c r="O2094" s="11" t="s">
        <v>71</v>
      </c>
      <c r="P2094" s="11" t="s">
        <v>11412</v>
      </c>
      <c r="Q2094" s="13" t="s">
        <v>11413</v>
      </c>
      <c r="R2094" s="14" t="str">
        <f>HYPERLINK("https://drive.google.com/file/d/16fEhqRddW1mMdpeAJ2HX6fl7pBZWdKRv/view?usp=drivesdk","OFFER LETTER")</f>
        <v>OFFER LETTER</v>
      </c>
      <c r="S2094" s="11" t="s">
        <v>11414</v>
      </c>
    </row>
    <row r="2095" ht="22.5" customHeight="1">
      <c r="A2095" s="10">
        <v>46268.5334321875</v>
      </c>
      <c r="B2095" s="11" t="s">
        <v>11415</v>
      </c>
      <c r="C2095" s="11" t="s">
        <v>173</v>
      </c>
      <c r="D2095" s="11" t="s">
        <v>68</v>
      </c>
      <c r="E2095" s="12">
        <v>46213.0</v>
      </c>
      <c r="F2095" s="12">
        <v>46243.0</v>
      </c>
      <c r="G2095" s="11" t="s">
        <v>11416</v>
      </c>
      <c r="H2095" s="11">
        <v>9.657416746E9</v>
      </c>
      <c r="I2095" s="11" t="s">
        <v>82</v>
      </c>
      <c r="J2095" s="11" t="s">
        <v>71</v>
      </c>
      <c r="K2095" s="11" t="s">
        <v>72</v>
      </c>
      <c r="L2095" s="11" t="s">
        <v>131</v>
      </c>
      <c r="M2095" s="11" t="s">
        <v>11417</v>
      </c>
      <c r="N2095" s="11" t="s">
        <v>75</v>
      </c>
      <c r="O2095" s="11" t="s">
        <v>71</v>
      </c>
      <c r="P2095" s="11" t="s">
        <v>11418</v>
      </c>
      <c r="Q2095" s="13" t="s">
        <v>11419</v>
      </c>
      <c r="R2095" s="14" t="str">
        <f>HYPERLINK("https://drive.google.com/file/d/1OCxhhI0-Icb7FhlRjRRhhkATmTVpV1WL/view?usp=drivesdk","OFFER LETTER")</f>
        <v>OFFER LETTER</v>
      </c>
      <c r="S2095" s="11" t="s">
        <v>11420</v>
      </c>
    </row>
    <row r="2096" ht="22.5" customHeight="1">
      <c r="A2096" s="10">
        <v>46268.5605306713</v>
      </c>
      <c r="B2096" s="11" t="s">
        <v>11421</v>
      </c>
      <c r="C2096" s="11" t="s">
        <v>173</v>
      </c>
      <c r="D2096" s="11" t="s">
        <v>68</v>
      </c>
      <c r="E2096" s="12">
        <v>46268.0</v>
      </c>
      <c r="F2096" s="12">
        <v>46298.0</v>
      </c>
      <c r="G2096" s="11" t="s">
        <v>11422</v>
      </c>
      <c r="H2096" s="11">
        <v>9.305762665E9</v>
      </c>
      <c r="I2096" s="11" t="s">
        <v>82</v>
      </c>
      <c r="J2096" s="11" t="s">
        <v>71</v>
      </c>
      <c r="K2096" s="11" t="s">
        <v>72</v>
      </c>
      <c r="L2096" s="11" t="s">
        <v>73</v>
      </c>
      <c r="M2096" s="11" t="s">
        <v>11423</v>
      </c>
      <c r="N2096" s="11" t="s">
        <v>86</v>
      </c>
      <c r="O2096" s="11" t="s">
        <v>71</v>
      </c>
      <c r="P2096" s="11" t="s">
        <v>11424</v>
      </c>
      <c r="Q2096" s="13" t="s">
        <v>11425</v>
      </c>
      <c r="R2096" s="14" t="str">
        <f>HYPERLINK("https://drive.google.com/file/d/1twzGji-Opfl_9TFXK3WPQuB7M9KjcGnB/view?usp=drivesdk","OFFER LETTER")</f>
        <v>OFFER LETTER</v>
      </c>
      <c r="S2096" s="11" t="s">
        <v>11426</v>
      </c>
    </row>
    <row r="2097" ht="22.5" customHeight="1">
      <c r="A2097" s="10">
        <v>46268.56328614583</v>
      </c>
      <c r="B2097" s="11" t="s">
        <v>11427</v>
      </c>
      <c r="C2097" s="11" t="s">
        <v>173</v>
      </c>
      <c r="D2097" s="11" t="s">
        <v>68</v>
      </c>
      <c r="E2097" s="12">
        <v>46268.0</v>
      </c>
      <c r="F2097" s="12">
        <v>46298.0</v>
      </c>
      <c r="G2097" s="11" t="s">
        <v>11428</v>
      </c>
      <c r="H2097" s="11">
        <v>9.135700256E9</v>
      </c>
      <c r="I2097" s="11" t="s">
        <v>82</v>
      </c>
      <c r="J2097" s="11" t="s">
        <v>71</v>
      </c>
      <c r="K2097" s="11" t="s">
        <v>72</v>
      </c>
      <c r="L2097" s="11" t="s">
        <v>73</v>
      </c>
      <c r="M2097" s="11" t="s">
        <v>11429</v>
      </c>
      <c r="N2097" s="11" t="s">
        <v>86</v>
      </c>
      <c r="O2097" s="11" t="s">
        <v>71</v>
      </c>
      <c r="P2097" s="11" t="s">
        <v>11430</v>
      </c>
      <c r="Q2097" s="13" t="s">
        <v>11431</v>
      </c>
      <c r="R2097" s="14" t="str">
        <f>HYPERLINK("https://drive.google.com/file/d/1Hie_Ye0qbRif3SBvfnJyJDNsjvs8rKEY/view?usp=drivesdk","OFFER LETTER")</f>
        <v>OFFER LETTER</v>
      </c>
      <c r="S2097" s="11" t="s">
        <v>11432</v>
      </c>
    </row>
    <row r="2098" ht="22.5" customHeight="1">
      <c r="A2098" s="10">
        <v>46268.56584398148</v>
      </c>
      <c r="B2098" s="11" t="s">
        <v>11433</v>
      </c>
      <c r="C2098" s="11" t="s">
        <v>91</v>
      </c>
      <c r="D2098" s="11" t="s">
        <v>68</v>
      </c>
      <c r="E2098" s="12">
        <v>46253.0</v>
      </c>
      <c r="F2098" s="12">
        <v>46284.0</v>
      </c>
      <c r="G2098" s="11" t="s">
        <v>11434</v>
      </c>
      <c r="H2098" s="11">
        <v>8.792295391E9</v>
      </c>
      <c r="I2098" s="11" t="s">
        <v>70</v>
      </c>
      <c r="J2098" s="11" t="s">
        <v>71</v>
      </c>
      <c r="K2098" s="11" t="s">
        <v>356</v>
      </c>
      <c r="L2098" s="11" t="s">
        <v>84</v>
      </c>
      <c r="M2098" s="11" t="s">
        <v>11435</v>
      </c>
      <c r="N2098" s="11" t="s">
        <v>241</v>
      </c>
      <c r="O2098" s="11" t="s">
        <v>263</v>
      </c>
      <c r="P2098" s="11" t="s">
        <v>11436</v>
      </c>
      <c r="Q2098" s="13" t="s">
        <v>11437</v>
      </c>
      <c r="R2098" s="14" t="str">
        <f>HYPERLINK("https://drive.google.com/file/d/1YQa_9DC_7EhT9Ks_LH8rE2L3FUCHSHF7/view?usp=drivesdk","OFFER LETTER")</f>
        <v>OFFER LETTER</v>
      </c>
      <c r="S2098" s="11" t="s">
        <v>11438</v>
      </c>
    </row>
    <row r="2099" ht="22.5" customHeight="1">
      <c r="A2099" s="10">
        <v>46268.56642425926</v>
      </c>
      <c r="B2099" s="11" t="s">
        <v>11427</v>
      </c>
      <c r="C2099" s="11" t="s">
        <v>173</v>
      </c>
      <c r="D2099" s="11" t="s">
        <v>68</v>
      </c>
      <c r="E2099" s="12">
        <v>46268.0</v>
      </c>
      <c r="F2099" s="12">
        <v>46268.0</v>
      </c>
      <c r="G2099" s="11" t="s">
        <v>11428</v>
      </c>
      <c r="H2099" s="17" t="s">
        <v>11439</v>
      </c>
      <c r="I2099" s="11" t="s">
        <v>82</v>
      </c>
      <c r="J2099" s="11" t="s">
        <v>71</v>
      </c>
      <c r="K2099" s="11" t="s">
        <v>72</v>
      </c>
      <c r="L2099" s="11" t="s">
        <v>73</v>
      </c>
      <c r="M2099" s="11" t="s">
        <v>11429</v>
      </c>
      <c r="N2099" s="11" t="s">
        <v>86</v>
      </c>
      <c r="O2099" s="11" t="s">
        <v>71</v>
      </c>
      <c r="P2099" s="11" t="s">
        <v>11440</v>
      </c>
      <c r="Q2099" s="13" t="s">
        <v>11441</v>
      </c>
      <c r="R2099" s="14" t="str">
        <f>HYPERLINK("https://drive.google.com/file/d/1TaUYgAOdowxjv4QCYGRV_hFqclRl-LrU/view?usp=drivesdk","OFFER LETTER")</f>
        <v>OFFER LETTER</v>
      </c>
      <c r="S2099" s="11" t="s">
        <v>11442</v>
      </c>
    </row>
    <row r="2100" ht="22.5" customHeight="1">
      <c r="A2100" s="10">
        <v>46268.586077245374</v>
      </c>
      <c r="B2100" s="11" t="s">
        <v>11443</v>
      </c>
      <c r="C2100" s="11" t="s">
        <v>107</v>
      </c>
      <c r="D2100" s="11" t="s">
        <v>68</v>
      </c>
      <c r="E2100" s="12">
        <v>46269.0</v>
      </c>
      <c r="F2100" s="12">
        <v>46299.0</v>
      </c>
      <c r="G2100" s="11" t="s">
        <v>11444</v>
      </c>
      <c r="H2100" s="11">
        <v>7.696693083E9</v>
      </c>
      <c r="I2100" s="11" t="s">
        <v>70</v>
      </c>
      <c r="J2100" s="11" t="s">
        <v>71</v>
      </c>
      <c r="K2100" s="11" t="s">
        <v>167</v>
      </c>
      <c r="L2100" s="11" t="s">
        <v>73</v>
      </c>
      <c r="M2100" s="11" t="s">
        <v>11445</v>
      </c>
      <c r="N2100" s="11" t="s">
        <v>226</v>
      </c>
      <c r="O2100" s="11" t="s">
        <v>71</v>
      </c>
      <c r="P2100" s="11" t="s">
        <v>11446</v>
      </c>
      <c r="Q2100" s="13" t="s">
        <v>11447</v>
      </c>
      <c r="R2100" s="14" t="str">
        <f>HYPERLINK("https://drive.google.com/file/d/1mvS6tdYgEzru2WbIdOC4LDkcZrG7saJo/view?usp=drivesdk","OFFER LETTER")</f>
        <v>OFFER LETTER</v>
      </c>
      <c r="S2100" s="11" t="s">
        <v>11448</v>
      </c>
    </row>
    <row r="2101" ht="22.5" customHeight="1">
      <c r="A2101" s="10">
        <v>46268.586725601854</v>
      </c>
      <c r="B2101" s="11" t="s">
        <v>11449</v>
      </c>
      <c r="C2101" s="11" t="s">
        <v>107</v>
      </c>
      <c r="D2101" s="11" t="s">
        <v>68</v>
      </c>
      <c r="E2101" s="12">
        <v>46269.0</v>
      </c>
      <c r="F2101" s="12">
        <v>46299.0</v>
      </c>
      <c r="G2101" s="11" t="s">
        <v>11450</v>
      </c>
      <c r="H2101" s="11">
        <v>6.28346209E9</v>
      </c>
      <c r="I2101" s="11" t="s">
        <v>70</v>
      </c>
      <c r="J2101" s="11" t="s">
        <v>71</v>
      </c>
      <c r="K2101" s="11" t="s">
        <v>167</v>
      </c>
      <c r="L2101" s="11" t="s">
        <v>73</v>
      </c>
      <c r="M2101" s="11" t="s">
        <v>11451</v>
      </c>
      <c r="N2101" s="11" t="s">
        <v>226</v>
      </c>
      <c r="O2101" s="11" t="s">
        <v>71</v>
      </c>
      <c r="P2101" s="11" t="s">
        <v>11452</v>
      </c>
      <c r="Q2101" s="13" t="s">
        <v>11453</v>
      </c>
      <c r="R2101" s="14" t="str">
        <f>HYPERLINK("https://drive.google.com/file/d/1VyoJrf7kju50q1uzXRx1KU27kF7B-zmM/view?usp=drivesdk","OFFER LETTER")</f>
        <v>OFFER LETTER</v>
      </c>
      <c r="S2101" s="11" t="s">
        <v>11454</v>
      </c>
    </row>
    <row r="2102" ht="22.5" customHeight="1">
      <c r="A2102" s="10">
        <v>46268.5877103588</v>
      </c>
      <c r="B2102" s="11" t="s">
        <v>11455</v>
      </c>
      <c r="C2102" s="11" t="s">
        <v>107</v>
      </c>
      <c r="D2102" s="11" t="s">
        <v>108</v>
      </c>
      <c r="E2102" s="12">
        <v>46188.0</v>
      </c>
      <c r="F2102" s="12">
        <v>46249.0</v>
      </c>
      <c r="G2102" s="11" t="s">
        <v>11456</v>
      </c>
      <c r="H2102" s="11">
        <v>9.122077375E9</v>
      </c>
      <c r="I2102" s="11" t="s">
        <v>82</v>
      </c>
      <c r="J2102" s="11" t="s">
        <v>71</v>
      </c>
      <c r="K2102" s="11" t="s">
        <v>72</v>
      </c>
      <c r="L2102" s="11" t="s">
        <v>131</v>
      </c>
      <c r="M2102" s="11" t="s">
        <v>11457</v>
      </c>
      <c r="N2102" s="11" t="s">
        <v>155</v>
      </c>
      <c r="O2102" s="11" t="s">
        <v>71</v>
      </c>
      <c r="P2102" s="11" t="s">
        <v>11458</v>
      </c>
      <c r="Q2102" s="13" t="s">
        <v>11459</v>
      </c>
      <c r="R2102" s="14" t="str">
        <f>HYPERLINK("https://drive.google.com/file/d/1_BKNEx1QsTsnwxsVgMfJzuXWZ79WSUkV/view?usp=drivesdk","OFFER LETTER")</f>
        <v>OFFER LETTER</v>
      </c>
      <c r="S2102" s="11" t="s">
        <v>11460</v>
      </c>
    </row>
    <row r="2103" ht="22.5" customHeight="1">
      <c r="A2103" s="10">
        <v>46268.59204506944</v>
      </c>
      <c r="B2103" s="11" t="s">
        <v>11461</v>
      </c>
      <c r="C2103" s="11" t="s">
        <v>91</v>
      </c>
      <c r="D2103" s="11" t="s">
        <v>68</v>
      </c>
      <c r="E2103" s="12">
        <v>46250.0</v>
      </c>
      <c r="F2103" s="12">
        <v>46281.0</v>
      </c>
      <c r="G2103" s="11" t="s">
        <v>11462</v>
      </c>
      <c r="H2103" s="11">
        <v>8.698714392E9</v>
      </c>
      <c r="I2103" s="11" t="s">
        <v>70</v>
      </c>
      <c r="J2103" s="11" t="s">
        <v>71</v>
      </c>
      <c r="K2103" s="11" t="s">
        <v>72</v>
      </c>
      <c r="L2103" s="11" t="s">
        <v>131</v>
      </c>
      <c r="M2103" s="11" t="s">
        <v>11463</v>
      </c>
      <c r="N2103" s="11" t="s">
        <v>655</v>
      </c>
      <c r="O2103" s="11" t="s">
        <v>71</v>
      </c>
      <c r="P2103" s="11" t="s">
        <v>11464</v>
      </c>
      <c r="Q2103" s="13" t="s">
        <v>11465</v>
      </c>
      <c r="R2103" s="14" t="str">
        <f>HYPERLINK("https://drive.google.com/file/d/1m8-CMrbJU_bP00xYCMCYf4Fd8pUqgg5a/view?usp=drivesdk","OFFER LETTER")</f>
        <v>OFFER LETTER</v>
      </c>
      <c r="S2103" s="11" t="s">
        <v>11466</v>
      </c>
    </row>
    <row r="2104" ht="22.5" customHeight="1">
      <c r="A2104" s="10">
        <v>46268.59238844908</v>
      </c>
      <c r="B2104" s="11" t="s">
        <v>11467</v>
      </c>
      <c r="C2104" s="11" t="s">
        <v>91</v>
      </c>
      <c r="D2104" s="11" t="s">
        <v>68</v>
      </c>
      <c r="E2104" s="12">
        <v>46249.0</v>
      </c>
      <c r="F2104" s="12">
        <v>46280.0</v>
      </c>
      <c r="G2104" s="11" t="s">
        <v>11468</v>
      </c>
      <c r="H2104" s="11">
        <v>9.356126314E9</v>
      </c>
      <c r="I2104" s="11" t="s">
        <v>70</v>
      </c>
      <c r="J2104" s="11" t="s">
        <v>71</v>
      </c>
      <c r="K2104" s="11" t="s">
        <v>72</v>
      </c>
      <c r="L2104" s="11" t="s">
        <v>131</v>
      </c>
      <c r="M2104" s="11" t="s">
        <v>11469</v>
      </c>
      <c r="N2104" s="11" t="s">
        <v>75</v>
      </c>
      <c r="O2104" s="11" t="s">
        <v>71</v>
      </c>
      <c r="P2104" s="11" t="s">
        <v>11470</v>
      </c>
      <c r="Q2104" s="13" t="s">
        <v>11471</v>
      </c>
      <c r="R2104" s="14" t="str">
        <f>HYPERLINK("https://drive.google.com/file/d/16yBfjXrH0yi2sje1Q6DALcUEFLg27dGR/view?usp=drivesdk","OFFER LETTER")</f>
        <v>OFFER LETTER</v>
      </c>
      <c r="S2104" s="11" t="s">
        <v>11472</v>
      </c>
    </row>
    <row r="2105" ht="22.5" customHeight="1">
      <c r="A2105" s="10">
        <v>46268.59345767361</v>
      </c>
      <c r="B2105" s="11" t="s">
        <v>11473</v>
      </c>
      <c r="C2105" s="11" t="s">
        <v>195</v>
      </c>
      <c r="D2105" s="11" t="s">
        <v>68</v>
      </c>
      <c r="E2105" s="12">
        <v>46181.0</v>
      </c>
      <c r="F2105" s="12">
        <v>46211.0</v>
      </c>
      <c r="G2105" s="11" t="s">
        <v>11474</v>
      </c>
      <c r="H2105" s="11" t="s">
        <v>11475</v>
      </c>
      <c r="I2105" s="11" t="s">
        <v>82</v>
      </c>
      <c r="J2105" s="11" t="s">
        <v>71</v>
      </c>
      <c r="K2105" s="11" t="s">
        <v>72</v>
      </c>
      <c r="L2105" s="11" t="s">
        <v>84</v>
      </c>
      <c r="M2105" s="11" t="s">
        <v>1779</v>
      </c>
      <c r="N2105" s="11" t="s">
        <v>86</v>
      </c>
      <c r="O2105" s="11" t="s">
        <v>71</v>
      </c>
      <c r="P2105" s="11" t="s">
        <v>11476</v>
      </c>
      <c r="Q2105" s="13" t="s">
        <v>11477</v>
      </c>
      <c r="R2105" s="14" t="str">
        <f>HYPERLINK("https://drive.google.com/file/d/1JUzvv_ssbqSXPwjGT0M2BsxHNStEWkJc/view?usp=drivesdk","OFFER LETTER")</f>
        <v>OFFER LETTER</v>
      </c>
      <c r="S2105" s="11" t="s">
        <v>11478</v>
      </c>
    </row>
    <row r="2106" ht="22.5" customHeight="1">
      <c r="A2106" s="10">
        <v>46268.59399121528</v>
      </c>
      <c r="B2106" s="11" t="s">
        <v>11479</v>
      </c>
      <c r="C2106" s="11" t="s">
        <v>195</v>
      </c>
      <c r="D2106" s="11" t="s">
        <v>68</v>
      </c>
      <c r="E2106" s="12">
        <v>46268.0</v>
      </c>
      <c r="F2106" s="12">
        <v>46298.0</v>
      </c>
      <c r="G2106" s="11" t="s">
        <v>11480</v>
      </c>
      <c r="H2106" s="11">
        <v>8.605133538E9</v>
      </c>
      <c r="I2106" s="11" t="s">
        <v>82</v>
      </c>
      <c r="J2106" s="11" t="s">
        <v>71</v>
      </c>
      <c r="K2106" s="11" t="s">
        <v>72</v>
      </c>
      <c r="L2106" s="11" t="s">
        <v>131</v>
      </c>
      <c r="M2106" s="11" t="s">
        <v>11481</v>
      </c>
      <c r="N2106" s="11" t="s">
        <v>86</v>
      </c>
      <c r="O2106" s="11" t="s">
        <v>71</v>
      </c>
      <c r="P2106" s="11" t="s">
        <v>11482</v>
      </c>
      <c r="Q2106" s="13" t="s">
        <v>11483</v>
      </c>
      <c r="R2106" s="14" t="str">
        <f>HYPERLINK("https://drive.google.com/file/d/14sqjG20GA9X9AJq5M0j9OxT3BmmmaLRO/view?usp=drivesdk","OFFER LETTER")</f>
        <v>OFFER LETTER</v>
      </c>
      <c r="S2106" s="11" t="s">
        <v>11484</v>
      </c>
    </row>
    <row r="2107" ht="22.5" customHeight="1">
      <c r="A2107" s="10">
        <v>46268.5942512037</v>
      </c>
      <c r="B2107" s="11" t="s">
        <v>11485</v>
      </c>
      <c r="C2107" s="11" t="s">
        <v>67</v>
      </c>
      <c r="D2107" s="11" t="s">
        <v>929</v>
      </c>
      <c r="E2107" s="12">
        <v>46204.0</v>
      </c>
      <c r="F2107" s="12">
        <v>46388.0</v>
      </c>
      <c r="G2107" s="11" t="s">
        <v>11486</v>
      </c>
      <c r="H2107" s="11">
        <v>9.016489001E9</v>
      </c>
      <c r="I2107" s="11" t="s">
        <v>82</v>
      </c>
      <c r="J2107" s="11" t="s">
        <v>71</v>
      </c>
      <c r="K2107" s="11" t="s">
        <v>72</v>
      </c>
      <c r="L2107" s="11" t="s">
        <v>131</v>
      </c>
      <c r="M2107" s="11" t="s">
        <v>11487</v>
      </c>
      <c r="N2107" s="11" t="s">
        <v>155</v>
      </c>
      <c r="O2107" s="11" t="s">
        <v>71</v>
      </c>
      <c r="P2107" s="11" t="s">
        <v>11488</v>
      </c>
      <c r="Q2107" s="13" t="s">
        <v>11489</v>
      </c>
      <c r="R2107" s="14" t="str">
        <f>HYPERLINK("https://drive.google.com/file/d/1PrR1BM5ol_FRnjhR81Oml5W3vFIHNKS4/view?usp=drivesdk","OFFER LETTER")</f>
        <v>OFFER LETTER</v>
      </c>
      <c r="S2107" s="11" t="s">
        <v>11490</v>
      </c>
    </row>
    <row r="2108" ht="22.5" customHeight="1">
      <c r="A2108" s="10">
        <v>46268.594915277776</v>
      </c>
      <c r="B2108" s="11" t="s">
        <v>11491</v>
      </c>
      <c r="C2108" s="11" t="s">
        <v>91</v>
      </c>
      <c r="D2108" s="11" t="s">
        <v>68</v>
      </c>
      <c r="E2108" s="12">
        <v>46249.0</v>
      </c>
      <c r="F2108" s="12">
        <v>46280.0</v>
      </c>
      <c r="G2108" s="11" t="s">
        <v>11492</v>
      </c>
      <c r="H2108" s="11">
        <v>9.172441312E9</v>
      </c>
      <c r="I2108" s="11" t="s">
        <v>70</v>
      </c>
      <c r="J2108" s="11" t="s">
        <v>71</v>
      </c>
      <c r="K2108" s="11" t="s">
        <v>72</v>
      </c>
      <c r="L2108" s="11" t="s">
        <v>131</v>
      </c>
      <c r="M2108" s="11" t="s">
        <v>11463</v>
      </c>
      <c r="N2108" s="11" t="s">
        <v>86</v>
      </c>
      <c r="O2108" s="11" t="s">
        <v>71</v>
      </c>
      <c r="P2108" s="11" t="s">
        <v>11493</v>
      </c>
      <c r="Q2108" s="13" t="s">
        <v>11494</v>
      </c>
      <c r="R2108" s="14" t="str">
        <f>HYPERLINK("https://drive.google.com/file/d/18DRs21SiBnbiyu5aegoG4TSx5P0ERGgl/view?usp=drivesdk","OFFER LETTER")</f>
        <v>OFFER LETTER</v>
      </c>
      <c r="S2108" s="11" t="s">
        <v>11495</v>
      </c>
    </row>
    <row r="2109" ht="22.5" customHeight="1">
      <c r="A2109" s="10">
        <v>46268.59713724537</v>
      </c>
      <c r="B2109" s="11" t="s">
        <v>11485</v>
      </c>
      <c r="C2109" s="11" t="s">
        <v>67</v>
      </c>
      <c r="D2109" s="11" t="s">
        <v>929</v>
      </c>
      <c r="E2109" s="12">
        <v>46204.0</v>
      </c>
      <c r="F2109" s="12">
        <v>46388.0</v>
      </c>
      <c r="G2109" s="11" t="s">
        <v>11486</v>
      </c>
      <c r="H2109" s="11">
        <v>9.016489001E9</v>
      </c>
      <c r="I2109" s="11" t="s">
        <v>82</v>
      </c>
      <c r="J2109" s="11" t="s">
        <v>71</v>
      </c>
      <c r="K2109" s="11" t="s">
        <v>72</v>
      </c>
      <c r="L2109" s="11" t="s">
        <v>131</v>
      </c>
      <c r="M2109" s="11" t="s">
        <v>11487</v>
      </c>
      <c r="N2109" s="11" t="s">
        <v>155</v>
      </c>
      <c r="O2109" s="11" t="s">
        <v>71</v>
      </c>
      <c r="P2109" s="11" t="s">
        <v>11496</v>
      </c>
      <c r="Q2109" s="13" t="s">
        <v>11497</v>
      </c>
      <c r="R2109" s="14" t="str">
        <f>HYPERLINK("https://drive.google.com/file/d/1cx0KLNTuemlsR8GcoCOZ8wTdCLLwnocq/view?usp=drivesdk","OFFER LETTER")</f>
        <v>OFFER LETTER</v>
      </c>
      <c r="S2109" s="11" t="s">
        <v>11498</v>
      </c>
    </row>
    <row r="2110" ht="22.5" customHeight="1">
      <c r="A2110" s="10">
        <v>46268.60619849537</v>
      </c>
      <c r="B2110" s="11" t="s">
        <v>11499</v>
      </c>
      <c r="C2110" s="11" t="s">
        <v>67</v>
      </c>
      <c r="D2110" s="11" t="s">
        <v>108</v>
      </c>
      <c r="E2110" s="12">
        <v>46157.0</v>
      </c>
      <c r="F2110" s="12">
        <v>46218.0</v>
      </c>
      <c r="G2110" s="11" t="s">
        <v>11500</v>
      </c>
      <c r="H2110" s="11">
        <v>9.506144538E9</v>
      </c>
      <c r="I2110" s="11" t="s">
        <v>82</v>
      </c>
      <c r="J2110" s="11" t="s">
        <v>71</v>
      </c>
      <c r="K2110" s="11" t="s">
        <v>72</v>
      </c>
      <c r="L2110" s="11" t="s">
        <v>131</v>
      </c>
      <c r="M2110" s="11" t="s">
        <v>10244</v>
      </c>
      <c r="N2110" s="11" t="s">
        <v>219</v>
      </c>
      <c r="O2110" s="11" t="s">
        <v>71</v>
      </c>
      <c r="P2110" s="11" t="s">
        <v>11501</v>
      </c>
      <c r="Q2110" s="13" t="s">
        <v>11502</v>
      </c>
      <c r="R2110" s="14" t="str">
        <f>HYPERLINK("https://drive.google.com/file/d/1MTx0W4cgfSHU3PkHuVZLe0yqk8VaAdRT/view?usp=drivesdk","OFFER LETTER")</f>
        <v>OFFER LETTER</v>
      </c>
      <c r="S2110" s="11" t="s">
        <v>11503</v>
      </c>
    </row>
    <row r="2111" ht="22.5" customHeight="1">
      <c r="A2111" s="10">
        <v>46268.607340462964</v>
      </c>
      <c r="B2111" s="11" t="s">
        <v>2100</v>
      </c>
      <c r="C2111" s="11" t="s">
        <v>67</v>
      </c>
      <c r="D2111" s="11" t="s">
        <v>108</v>
      </c>
      <c r="E2111" s="12">
        <v>46162.0</v>
      </c>
      <c r="F2111" s="12">
        <v>46223.0</v>
      </c>
      <c r="G2111" s="11" t="s">
        <v>11504</v>
      </c>
      <c r="H2111" s="11">
        <v>7.505349699E9</v>
      </c>
      <c r="I2111" s="11" t="s">
        <v>82</v>
      </c>
      <c r="J2111" s="11" t="s">
        <v>71</v>
      </c>
      <c r="K2111" s="11" t="s">
        <v>72</v>
      </c>
      <c r="L2111" s="11" t="s">
        <v>131</v>
      </c>
      <c r="M2111" s="11" t="s">
        <v>10244</v>
      </c>
      <c r="N2111" s="11" t="s">
        <v>75</v>
      </c>
      <c r="O2111" s="11" t="s">
        <v>71</v>
      </c>
      <c r="P2111" s="11" t="s">
        <v>11505</v>
      </c>
      <c r="Q2111" s="13" t="s">
        <v>11506</v>
      </c>
      <c r="R2111" s="14" t="str">
        <f>HYPERLINK("https://drive.google.com/file/d/1XIktzi-62VIyO0EwG_GFVPR0M4PpvWME/view?usp=drivesdk","OFFER LETTER")</f>
        <v>OFFER LETTER</v>
      </c>
      <c r="S2111" s="11" t="s">
        <v>11507</v>
      </c>
    </row>
    <row r="2112" ht="22.5" customHeight="1">
      <c r="A2112" s="10">
        <v>46268.60842575232</v>
      </c>
      <c r="B2112" s="11" t="s">
        <v>11508</v>
      </c>
      <c r="C2112" s="11" t="s">
        <v>298</v>
      </c>
      <c r="D2112" s="11" t="s">
        <v>68</v>
      </c>
      <c r="E2112" s="12">
        <v>46215.0</v>
      </c>
      <c r="F2112" s="12">
        <v>46246.0</v>
      </c>
      <c r="G2112" s="11" t="s">
        <v>11509</v>
      </c>
      <c r="H2112" s="11">
        <v>9.675459364E9</v>
      </c>
      <c r="I2112" s="11" t="s">
        <v>82</v>
      </c>
      <c r="J2112" s="11" t="s">
        <v>71</v>
      </c>
      <c r="K2112" s="11" t="s">
        <v>72</v>
      </c>
      <c r="L2112" s="11" t="s">
        <v>84</v>
      </c>
      <c r="M2112" s="11" t="s">
        <v>808</v>
      </c>
      <c r="N2112" s="11" t="s">
        <v>133</v>
      </c>
      <c r="O2112" s="11" t="s">
        <v>71</v>
      </c>
      <c r="P2112" s="11" t="s">
        <v>11510</v>
      </c>
      <c r="Q2112" s="13" t="s">
        <v>11511</v>
      </c>
      <c r="R2112" s="14" t="str">
        <f>HYPERLINK("https://drive.google.com/file/d/1AGmXVdFXL53bPfR2uWvcN_sDugJvidm2/view?usp=drivesdk","OFFER LETTER")</f>
        <v>OFFER LETTER</v>
      </c>
      <c r="S2112" s="11" t="s">
        <v>11512</v>
      </c>
    </row>
    <row r="2113" ht="22.5" customHeight="1">
      <c r="A2113" s="10">
        <v>46268.61064834491</v>
      </c>
      <c r="B2113" s="11" t="s">
        <v>11513</v>
      </c>
      <c r="C2113" s="11" t="s">
        <v>107</v>
      </c>
      <c r="D2113" s="11" t="s">
        <v>68</v>
      </c>
      <c r="E2113" s="12">
        <v>46268.0</v>
      </c>
      <c r="F2113" s="12">
        <v>46268.0</v>
      </c>
      <c r="G2113" s="11" t="s">
        <v>11514</v>
      </c>
      <c r="H2113" s="11">
        <v>7.439599262E9</v>
      </c>
      <c r="I2113" s="11" t="s">
        <v>82</v>
      </c>
      <c r="J2113" s="11" t="s">
        <v>71</v>
      </c>
      <c r="K2113" s="13" t="s">
        <v>674</v>
      </c>
      <c r="L2113" s="11" t="s">
        <v>84</v>
      </c>
      <c r="M2113" s="11" t="s">
        <v>11515</v>
      </c>
      <c r="N2113" s="11" t="s">
        <v>936</v>
      </c>
      <c r="O2113" s="11" t="s">
        <v>71</v>
      </c>
      <c r="P2113" s="11" t="s">
        <v>11516</v>
      </c>
      <c r="Q2113" s="13" t="s">
        <v>11517</v>
      </c>
      <c r="R2113" s="14" t="str">
        <f>HYPERLINK("https://drive.google.com/file/d/1efThgZAt6Rpnrq4Uv3R42W2otAII4yRH/view?usp=drivesdk","OFFER LETTER")</f>
        <v>OFFER LETTER</v>
      </c>
      <c r="S2113" s="11" t="s">
        <v>11518</v>
      </c>
    </row>
    <row r="2114" ht="22.5" customHeight="1">
      <c r="A2114" s="10">
        <v>46268.61659844907</v>
      </c>
      <c r="B2114" s="11" t="s">
        <v>11499</v>
      </c>
      <c r="C2114" s="11" t="s">
        <v>91</v>
      </c>
      <c r="D2114" s="11" t="s">
        <v>108</v>
      </c>
      <c r="E2114" s="12">
        <v>46094.0</v>
      </c>
      <c r="F2114" s="12">
        <v>46155.0</v>
      </c>
      <c r="G2114" s="11" t="s">
        <v>11500</v>
      </c>
      <c r="H2114" s="11">
        <v>9.506144538E9</v>
      </c>
      <c r="I2114" s="11" t="s">
        <v>82</v>
      </c>
      <c r="J2114" s="11" t="s">
        <v>71</v>
      </c>
      <c r="K2114" s="11" t="s">
        <v>72</v>
      </c>
      <c r="L2114" s="11" t="s">
        <v>131</v>
      </c>
      <c r="M2114" s="11" t="s">
        <v>10244</v>
      </c>
      <c r="N2114" s="11" t="s">
        <v>75</v>
      </c>
      <c r="O2114" s="11" t="s">
        <v>71</v>
      </c>
      <c r="P2114" s="11" t="s">
        <v>11519</v>
      </c>
      <c r="Q2114" s="13" t="s">
        <v>11520</v>
      </c>
      <c r="R2114" s="14" t="str">
        <f>HYPERLINK("https://drive.google.com/file/d/1jNaObCNCOcQZoxLkGFGBo9fjF5HcYwSw/view?usp=drivesdk","OFFER LETTER")</f>
        <v>OFFER LETTER</v>
      </c>
      <c r="S2114" s="11" t="s">
        <v>11521</v>
      </c>
    </row>
    <row r="2115" ht="22.5" customHeight="1">
      <c r="A2115" s="10">
        <v>46268.617610393514</v>
      </c>
      <c r="B2115" s="11" t="s">
        <v>11522</v>
      </c>
      <c r="C2115" s="11" t="s">
        <v>107</v>
      </c>
      <c r="D2115" s="11" t="s">
        <v>68</v>
      </c>
      <c r="E2115" s="12">
        <v>46268.0</v>
      </c>
      <c r="F2115" s="12">
        <v>46298.0</v>
      </c>
      <c r="G2115" s="11" t="s">
        <v>11523</v>
      </c>
      <c r="H2115" s="11">
        <v>9.569711743E9</v>
      </c>
      <c r="I2115" s="11" t="s">
        <v>82</v>
      </c>
      <c r="J2115" s="11" t="s">
        <v>71</v>
      </c>
      <c r="K2115" s="11" t="s">
        <v>110</v>
      </c>
      <c r="L2115" s="11" t="s">
        <v>73</v>
      </c>
      <c r="M2115" s="11" t="s">
        <v>11524</v>
      </c>
      <c r="N2115" s="11" t="s">
        <v>226</v>
      </c>
      <c r="O2115" s="11" t="s">
        <v>71</v>
      </c>
      <c r="P2115" s="11" t="s">
        <v>11525</v>
      </c>
      <c r="Q2115" s="13" t="s">
        <v>11526</v>
      </c>
      <c r="R2115" s="14" t="str">
        <f>HYPERLINK("https://drive.google.com/file/d/19zxBCHa-zgacK7Z4XQGDvgEjj0ZrUBz5/view?usp=drivesdk","OFFER LETTER")</f>
        <v>OFFER LETTER</v>
      </c>
      <c r="S2115" s="11" t="s">
        <v>11527</v>
      </c>
    </row>
    <row r="2116" ht="22.5" customHeight="1">
      <c r="A2116" s="10">
        <v>46268.61961541667</v>
      </c>
      <c r="B2116" s="11" t="s">
        <v>11528</v>
      </c>
      <c r="C2116" s="11" t="s">
        <v>91</v>
      </c>
      <c r="D2116" s="11" t="s">
        <v>68</v>
      </c>
      <c r="E2116" s="12">
        <v>46268.0</v>
      </c>
      <c r="F2116" s="12">
        <v>46298.0</v>
      </c>
      <c r="G2116" s="11" t="s">
        <v>11529</v>
      </c>
      <c r="H2116" s="11">
        <v>7.307931292E9</v>
      </c>
      <c r="I2116" s="11" t="s">
        <v>82</v>
      </c>
      <c r="J2116" s="11" t="s">
        <v>71</v>
      </c>
      <c r="K2116" s="11" t="s">
        <v>72</v>
      </c>
      <c r="L2116" s="11" t="s">
        <v>131</v>
      </c>
      <c r="M2116" s="11" t="s">
        <v>11530</v>
      </c>
      <c r="N2116" s="11" t="s">
        <v>86</v>
      </c>
      <c r="O2116" s="11" t="s">
        <v>71</v>
      </c>
      <c r="P2116" s="11" t="s">
        <v>11531</v>
      </c>
      <c r="Q2116" s="13" t="s">
        <v>11532</v>
      </c>
      <c r="R2116" s="14" t="str">
        <f>HYPERLINK("https://drive.google.com/file/d/185ymkdiuprNE_8y0plEfT-PxUl0lqBAF/view?usp=drivesdk","OFFER LETTER")</f>
        <v>OFFER LETTER</v>
      </c>
      <c r="S2116" s="11" t="s">
        <v>11533</v>
      </c>
    </row>
    <row r="2117" ht="22.5" customHeight="1">
      <c r="A2117" s="10">
        <v>46268.61971212963</v>
      </c>
      <c r="B2117" s="11" t="s">
        <v>11534</v>
      </c>
      <c r="C2117" s="11" t="s">
        <v>91</v>
      </c>
      <c r="D2117" s="11" t="s">
        <v>68</v>
      </c>
      <c r="E2117" s="12">
        <v>46268.0</v>
      </c>
      <c r="F2117" s="12">
        <v>46299.0</v>
      </c>
      <c r="G2117" s="11" t="s">
        <v>11535</v>
      </c>
      <c r="H2117" s="11">
        <v>8.090574005E9</v>
      </c>
      <c r="I2117" s="11" t="s">
        <v>82</v>
      </c>
      <c r="J2117" s="11" t="s">
        <v>71</v>
      </c>
      <c r="K2117" s="11" t="s">
        <v>72</v>
      </c>
      <c r="L2117" s="11" t="s">
        <v>131</v>
      </c>
      <c r="M2117" s="11" t="s">
        <v>11536</v>
      </c>
      <c r="N2117" s="11" t="s">
        <v>86</v>
      </c>
      <c r="O2117" s="11" t="s">
        <v>71</v>
      </c>
      <c r="P2117" s="11" t="s">
        <v>11537</v>
      </c>
      <c r="Q2117" s="13" t="s">
        <v>11538</v>
      </c>
      <c r="R2117" s="14" t="str">
        <f>HYPERLINK("https://drive.google.com/file/d/1PXIUawKLU1g6R47t-O8_li11oMv3CoDw/view?usp=drivesdk","OFFER LETTER")</f>
        <v>OFFER LETTER</v>
      </c>
      <c r="S2117" s="11" t="s">
        <v>11539</v>
      </c>
    </row>
    <row r="2118" ht="22.5" customHeight="1">
      <c r="A2118" s="10">
        <v>46268.622533877315</v>
      </c>
      <c r="B2118" s="11" t="s">
        <v>11540</v>
      </c>
      <c r="C2118" s="11" t="s">
        <v>91</v>
      </c>
      <c r="D2118" s="11" t="s">
        <v>108</v>
      </c>
      <c r="E2118" s="12">
        <v>46209.0</v>
      </c>
      <c r="F2118" s="12">
        <v>46271.0</v>
      </c>
      <c r="G2118" s="11" t="s">
        <v>11541</v>
      </c>
      <c r="H2118" s="11">
        <v>8.838783927E9</v>
      </c>
      <c r="I2118" s="11" t="s">
        <v>82</v>
      </c>
      <c r="J2118" s="11" t="s">
        <v>71</v>
      </c>
      <c r="K2118" s="11" t="s">
        <v>72</v>
      </c>
      <c r="L2118" s="11" t="s">
        <v>131</v>
      </c>
      <c r="M2118" s="11" t="s">
        <v>11542</v>
      </c>
      <c r="N2118" s="11" t="s">
        <v>75</v>
      </c>
      <c r="O2118" s="11" t="s">
        <v>71</v>
      </c>
      <c r="P2118" s="11" t="s">
        <v>11543</v>
      </c>
      <c r="Q2118" s="13" t="s">
        <v>11544</v>
      </c>
      <c r="R2118" s="14" t="str">
        <f>HYPERLINK("https://drive.google.com/file/d/1BVftXhCTTLqSqI3ZEnwzzbCJRzACUaEr/view?usp=drivesdk","OFFER LETTER")</f>
        <v>OFFER LETTER</v>
      </c>
      <c r="S2118" s="11" t="s">
        <v>11545</v>
      </c>
    </row>
    <row r="2119" ht="22.5" customHeight="1">
      <c r="A2119" s="10">
        <v>46268.64041177083</v>
      </c>
      <c r="B2119" s="11" t="s">
        <v>11546</v>
      </c>
      <c r="C2119" s="11" t="s">
        <v>237</v>
      </c>
      <c r="D2119" s="11" t="s">
        <v>68</v>
      </c>
      <c r="E2119" s="12">
        <v>46235.0</v>
      </c>
      <c r="F2119" s="12">
        <v>46265.0</v>
      </c>
      <c r="G2119" s="11" t="s">
        <v>11547</v>
      </c>
      <c r="H2119" s="11">
        <v>7.449071771E9</v>
      </c>
      <c r="I2119" s="11" t="s">
        <v>82</v>
      </c>
      <c r="J2119" s="11" t="s">
        <v>71</v>
      </c>
      <c r="K2119" s="11" t="s">
        <v>72</v>
      </c>
      <c r="L2119" s="11" t="s">
        <v>131</v>
      </c>
      <c r="M2119" s="11" t="s">
        <v>11548</v>
      </c>
      <c r="N2119" s="11" t="s">
        <v>75</v>
      </c>
      <c r="O2119" s="11" t="s">
        <v>71</v>
      </c>
      <c r="P2119" s="11" t="s">
        <v>11549</v>
      </c>
      <c r="Q2119" s="13" t="s">
        <v>11550</v>
      </c>
      <c r="R2119" s="14" t="str">
        <f>HYPERLINK("https://drive.google.com/file/d/13Z3ORNjDWYg8t7FySFU8nc7B1B-IwZa1/view?usp=drivesdk","OFFER LETTER")</f>
        <v>OFFER LETTER</v>
      </c>
      <c r="S2119" s="11" t="s">
        <v>11551</v>
      </c>
    </row>
    <row r="2120" ht="22.5" customHeight="1">
      <c r="A2120" s="10">
        <v>46268.66126421296</v>
      </c>
      <c r="B2120" s="11" t="s">
        <v>11552</v>
      </c>
      <c r="C2120" s="11" t="s">
        <v>107</v>
      </c>
      <c r="D2120" s="11" t="s">
        <v>68</v>
      </c>
      <c r="E2120" s="12">
        <v>46268.0</v>
      </c>
      <c r="F2120" s="12">
        <v>46297.0</v>
      </c>
      <c r="G2120" s="11" t="s">
        <v>11553</v>
      </c>
      <c r="H2120" s="11">
        <v>6.290842996E9</v>
      </c>
      <c r="I2120" s="11" t="s">
        <v>82</v>
      </c>
      <c r="J2120" s="11" t="s">
        <v>71</v>
      </c>
      <c r="K2120" s="13" t="s">
        <v>674</v>
      </c>
      <c r="L2120" s="11" t="s">
        <v>247</v>
      </c>
      <c r="M2120" s="11" t="s">
        <v>11554</v>
      </c>
      <c r="N2120" s="11" t="s">
        <v>75</v>
      </c>
      <c r="O2120" s="11" t="s">
        <v>71</v>
      </c>
      <c r="P2120" s="11" t="s">
        <v>11555</v>
      </c>
      <c r="Q2120" s="13" t="s">
        <v>11556</v>
      </c>
      <c r="R2120" s="14" t="str">
        <f>HYPERLINK("https://drive.google.com/file/d/1mUGOsCqEovqu0SLpu50cz30uVXU1Zl1S/view?usp=drivesdk","OFFER LETTER")</f>
        <v>OFFER LETTER</v>
      </c>
      <c r="S2120" s="11" t="s">
        <v>11557</v>
      </c>
    </row>
    <row r="2121" ht="22.5" customHeight="1">
      <c r="A2121" s="10">
        <v>46268.67690366898</v>
      </c>
      <c r="B2121" s="11" t="s">
        <v>11558</v>
      </c>
      <c r="C2121" s="11" t="s">
        <v>237</v>
      </c>
      <c r="D2121" s="11" t="s">
        <v>68</v>
      </c>
      <c r="E2121" s="12">
        <v>46235.0</v>
      </c>
      <c r="F2121" s="12">
        <v>46266.0</v>
      </c>
      <c r="G2121" s="11" t="s">
        <v>11559</v>
      </c>
      <c r="H2121" s="11">
        <v>7.978671371E9</v>
      </c>
      <c r="I2121" s="11" t="s">
        <v>82</v>
      </c>
      <c r="J2121" s="11" t="s">
        <v>71</v>
      </c>
      <c r="K2121" s="11" t="s">
        <v>72</v>
      </c>
      <c r="L2121" s="11" t="s">
        <v>73</v>
      </c>
      <c r="M2121" s="11" t="s">
        <v>11560</v>
      </c>
      <c r="N2121" s="11" t="s">
        <v>2778</v>
      </c>
      <c r="O2121" s="11" t="s">
        <v>71</v>
      </c>
      <c r="P2121" s="11" t="s">
        <v>11561</v>
      </c>
      <c r="Q2121" s="13" t="s">
        <v>11562</v>
      </c>
      <c r="R2121" s="14" t="str">
        <f>HYPERLINK("https://drive.google.com/file/d/18F-J97js5g_iZgMMcHf4-FBsD82KUoZd/view?usp=drivesdk","OFFER LETTER")</f>
        <v>OFFER LETTER</v>
      </c>
      <c r="S2121" s="11" t="s">
        <v>11563</v>
      </c>
    </row>
    <row r="2122" ht="22.5" customHeight="1">
      <c r="A2122" s="10">
        <v>46268.680510578706</v>
      </c>
      <c r="B2122" s="11" t="s">
        <v>11564</v>
      </c>
      <c r="C2122" s="11" t="s">
        <v>128</v>
      </c>
      <c r="D2122" s="11" t="s">
        <v>68</v>
      </c>
      <c r="E2122" s="12">
        <v>46265.0</v>
      </c>
      <c r="F2122" s="12">
        <v>46295.0</v>
      </c>
      <c r="G2122" s="11" t="s">
        <v>9378</v>
      </c>
      <c r="H2122" s="11" t="s">
        <v>11565</v>
      </c>
      <c r="I2122" s="11" t="s">
        <v>82</v>
      </c>
      <c r="J2122" s="11" t="s">
        <v>71</v>
      </c>
      <c r="K2122" s="11" t="s">
        <v>167</v>
      </c>
      <c r="L2122" s="11" t="s">
        <v>131</v>
      </c>
      <c r="M2122" s="11" t="s">
        <v>9380</v>
      </c>
      <c r="N2122" s="11" t="s">
        <v>75</v>
      </c>
      <c r="O2122" s="11" t="s">
        <v>263</v>
      </c>
      <c r="P2122" s="11" t="s">
        <v>11566</v>
      </c>
      <c r="Q2122" s="13" t="s">
        <v>11567</v>
      </c>
      <c r="R2122" s="14" t="str">
        <f>HYPERLINK("https://drive.google.com/file/d/1SIkMCPNkqTV3BIv_2nu3I851TE-2RQqI/view?usp=drivesdk","OFFER LETTER")</f>
        <v>OFFER LETTER</v>
      </c>
      <c r="S2122" s="11" t="s">
        <v>11568</v>
      </c>
    </row>
    <row r="2123" ht="22.5" customHeight="1">
      <c r="A2123" s="10">
        <v>46268.69709868055</v>
      </c>
      <c r="B2123" s="11" t="s">
        <v>11569</v>
      </c>
      <c r="C2123" s="11" t="s">
        <v>195</v>
      </c>
      <c r="D2123" s="11" t="s">
        <v>108</v>
      </c>
      <c r="E2123" s="12">
        <v>46176.0</v>
      </c>
      <c r="F2123" s="12">
        <v>46237.0</v>
      </c>
      <c r="G2123" s="11" t="s">
        <v>11570</v>
      </c>
      <c r="H2123" s="11">
        <v>9.334884173E9</v>
      </c>
      <c r="I2123" s="11" t="s">
        <v>82</v>
      </c>
      <c r="J2123" s="11" t="s">
        <v>71</v>
      </c>
      <c r="K2123" s="11" t="s">
        <v>72</v>
      </c>
      <c r="L2123" s="11" t="s">
        <v>73</v>
      </c>
      <c r="M2123" s="11" t="s">
        <v>11571</v>
      </c>
      <c r="N2123" s="11" t="s">
        <v>86</v>
      </c>
      <c r="O2123" s="11" t="s">
        <v>71</v>
      </c>
      <c r="P2123" s="11" t="s">
        <v>11572</v>
      </c>
      <c r="Q2123" s="13" t="s">
        <v>11573</v>
      </c>
      <c r="R2123" s="14" t="str">
        <f>HYPERLINK("https://drive.google.com/file/d/1MyP1MikCx7ks6Fc96x2cuJV92jmhpzJ6/view?usp=drivesdk","OFFER LETTER")</f>
        <v>OFFER LETTER</v>
      </c>
      <c r="S2123" s="11" t="s">
        <v>11574</v>
      </c>
    </row>
    <row r="2124" ht="22.5" customHeight="1">
      <c r="A2124" s="10">
        <v>46268.71644858796</v>
      </c>
      <c r="B2124" s="11" t="s">
        <v>11575</v>
      </c>
      <c r="C2124" s="11" t="s">
        <v>80</v>
      </c>
      <c r="D2124" s="11" t="s">
        <v>68</v>
      </c>
      <c r="E2124" s="12">
        <v>46270.0</v>
      </c>
      <c r="F2124" s="12">
        <v>46300.0</v>
      </c>
      <c r="G2124" s="11" t="s">
        <v>11576</v>
      </c>
      <c r="H2124" s="11">
        <v>8.527952337E9</v>
      </c>
      <c r="I2124" s="11" t="s">
        <v>82</v>
      </c>
      <c r="J2124" s="11" t="s">
        <v>71</v>
      </c>
      <c r="K2124" s="11" t="s">
        <v>72</v>
      </c>
      <c r="L2124" s="11" t="s">
        <v>84</v>
      </c>
      <c r="M2124" s="11" t="s">
        <v>808</v>
      </c>
      <c r="N2124" s="11" t="s">
        <v>86</v>
      </c>
      <c r="O2124" s="11" t="s">
        <v>71</v>
      </c>
      <c r="P2124" s="11" t="s">
        <v>11577</v>
      </c>
      <c r="Q2124" s="13" t="s">
        <v>11578</v>
      </c>
      <c r="R2124" s="14" t="str">
        <f>HYPERLINK("https://drive.google.com/file/d/1BWdJzKwBeqQ9jOr6PfzEFwpP7RSlijWp/view?usp=drivesdk","OFFER LETTER")</f>
        <v>OFFER LETTER</v>
      </c>
      <c r="S2124" s="11" t="s">
        <v>11579</v>
      </c>
    </row>
    <row r="2125" ht="22.5" customHeight="1">
      <c r="A2125" s="10">
        <v>46268.71861887732</v>
      </c>
      <c r="B2125" s="11" t="s">
        <v>11580</v>
      </c>
      <c r="C2125" s="11" t="s">
        <v>195</v>
      </c>
      <c r="D2125" s="11" t="s">
        <v>108</v>
      </c>
      <c r="E2125" s="12">
        <v>46176.0</v>
      </c>
      <c r="F2125" s="12">
        <v>46237.0</v>
      </c>
      <c r="G2125" s="11" t="s">
        <v>11581</v>
      </c>
      <c r="H2125" s="11">
        <v>8.534073244E9</v>
      </c>
      <c r="I2125" s="11" t="s">
        <v>82</v>
      </c>
      <c r="J2125" s="11" t="s">
        <v>83</v>
      </c>
      <c r="K2125" s="11" t="s">
        <v>72</v>
      </c>
      <c r="L2125" s="11" t="s">
        <v>73</v>
      </c>
      <c r="M2125" s="11" t="s">
        <v>11582</v>
      </c>
      <c r="N2125" s="11" t="s">
        <v>11583</v>
      </c>
      <c r="O2125" s="11" t="s">
        <v>71</v>
      </c>
      <c r="P2125" s="11" t="s">
        <v>11584</v>
      </c>
      <c r="Q2125" s="13" t="s">
        <v>11585</v>
      </c>
      <c r="R2125" s="14" t="str">
        <f>HYPERLINK("https://drive.google.com/file/d/1Bvo67LdrpnCpyo2-xiJ75icpwP1I5NBt/view?usp=drivesdk","OFFER LETTER")</f>
        <v>OFFER LETTER</v>
      </c>
      <c r="S2125" s="11" t="s">
        <v>11586</v>
      </c>
    </row>
    <row r="2126" ht="22.5" customHeight="1">
      <c r="A2126" s="10">
        <v>46268.74673263889</v>
      </c>
      <c r="B2126" s="11" t="s">
        <v>11587</v>
      </c>
      <c r="C2126" s="11" t="s">
        <v>742</v>
      </c>
      <c r="D2126" s="11" t="s">
        <v>1507</v>
      </c>
      <c r="E2126" s="12">
        <v>46141.0</v>
      </c>
      <c r="F2126" s="12">
        <v>46263.0</v>
      </c>
      <c r="G2126" s="11" t="s">
        <v>11588</v>
      </c>
      <c r="H2126" s="11">
        <v>7.016066837E9</v>
      </c>
      <c r="I2126" s="11" t="s">
        <v>82</v>
      </c>
      <c r="J2126" s="11" t="s">
        <v>71</v>
      </c>
      <c r="K2126" s="11" t="s">
        <v>167</v>
      </c>
      <c r="L2126" s="11" t="s">
        <v>357</v>
      </c>
      <c r="M2126" s="11" t="s">
        <v>3625</v>
      </c>
      <c r="N2126" s="11" t="s">
        <v>155</v>
      </c>
      <c r="O2126" s="11" t="s">
        <v>71</v>
      </c>
      <c r="P2126" s="11" t="s">
        <v>11589</v>
      </c>
      <c r="Q2126" s="13" t="s">
        <v>11590</v>
      </c>
      <c r="R2126" s="14" t="str">
        <f>HYPERLINK("https://drive.google.com/file/d/1ekNLOY_TkeUsYwZw9DpZcpFV5qy6iNav/view?usp=drivesdk","OFFER LETTER")</f>
        <v>OFFER LETTER</v>
      </c>
      <c r="S2126" s="11" t="s">
        <v>11591</v>
      </c>
    </row>
    <row r="2127" ht="22.5" customHeight="1">
      <c r="A2127" s="10">
        <v>46268.755390509265</v>
      </c>
      <c r="B2127" s="11" t="s">
        <v>11592</v>
      </c>
      <c r="C2127" s="11" t="s">
        <v>354</v>
      </c>
      <c r="D2127" s="11" t="s">
        <v>238</v>
      </c>
      <c r="E2127" s="12">
        <v>46268.0</v>
      </c>
      <c r="F2127" s="12">
        <v>46359.0</v>
      </c>
      <c r="G2127" s="11" t="s">
        <v>11593</v>
      </c>
      <c r="H2127" s="11">
        <v>6.260668122E9</v>
      </c>
      <c r="I2127" s="11" t="s">
        <v>70</v>
      </c>
      <c r="J2127" s="11" t="s">
        <v>71</v>
      </c>
      <c r="K2127" s="11" t="s">
        <v>356</v>
      </c>
      <c r="L2127" s="11" t="s">
        <v>84</v>
      </c>
      <c r="M2127" s="11" t="s">
        <v>4961</v>
      </c>
      <c r="N2127" s="11" t="s">
        <v>86</v>
      </c>
      <c r="O2127" s="11" t="s">
        <v>71</v>
      </c>
      <c r="P2127" s="11" t="s">
        <v>11594</v>
      </c>
      <c r="Q2127" s="13" t="s">
        <v>11595</v>
      </c>
      <c r="R2127" s="14" t="str">
        <f>HYPERLINK("https://drive.google.com/file/d/1mg7QHKu2WanCnLbXiBEumSfYjkXWCgBp/view?usp=drivesdk","OFFER LETTER")</f>
        <v>OFFER LETTER</v>
      </c>
      <c r="S2127" s="11" t="s">
        <v>11596</v>
      </c>
    </row>
    <row r="2128" ht="22.5" customHeight="1">
      <c r="A2128" s="10">
        <v>46268.782472129635</v>
      </c>
      <c r="B2128" s="11" t="s">
        <v>11597</v>
      </c>
      <c r="C2128" s="11" t="s">
        <v>173</v>
      </c>
      <c r="D2128" s="11" t="s">
        <v>108</v>
      </c>
      <c r="E2128" s="12">
        <v>46204.0</v>
      </c>
      <c r="F2128" s="12">
        <v>46265.0</v>
      </c>
      <c r="G2128" s="11" t="s">
        <v>11598</v>
      </c>
      <c r="H2128" s="11">
        <v>8.209742621E9</v>
      </c>
      <c r="I2128" s="11" t="s">
        <v>70</v>
      </c>
      <c r="J2128" s="11" t="s">
        <v>71</v>
      </c>
      <c r="K2128" s="11" t="s">
        <v>110</v>
      </c>
      <c r="L2128" s="11" t="s">
        <v>73</v>
      </c>
      <c r="M2128" s="11" t="s">
        <v>11599</v>
      </c>
      <c r="N2128" s="11" t="s">
        <v>86</v>
      </c>
      <c r="O2128" s="11" t="s">
        <v>71</v>
      </c>
      <c r="P2128" s="11" t="s">
        <v>11600</v>
      </c>
      <c r="Q2128" s="13" t="s">
        <v>11601</v>
      </c>
      <c r="R2128" s="14" t="str">
        <f>HYPERLINK("https://drive.google.com/file/d/1lM6EBMzBmSUB2bVzlj-81gBKLnsOfwy1/view?usp=drivesdk","OFFER LETTER")</f>
        <v>OFFER LETTER</v>
      </c>
      <c r="S2128" s="11" t="s">
        <v>11602</v>
      </c>
    </row>
    <row r="2129" ht="22.5" customHeight="1">
      <c r="A2129" s="10">
        <v>46268.79098520833</v>
      </c>
      <c r="B2129" s="11" t="s">
        <v>11603</v>
      </c>
      <c r="C2129" s="11" t="s">
        <v>237</v>
      </c>
      <c r="D2129" s="11" t="s">
        <v>68</v>
      </c>
      <c r="E2129" s="12">
        <v>46269.0</v>
      </c>
      <c r="F2129" s="12">
        <v>46298.0</v>
      </c>
      <c r="G2129" s="11" t="s">
        <v>11604</v>
      </c>
      <c r="H2129" s="11">
        <v>7.396352146E9</v>
      </c>
      <c r="I2129" s="11" t="s">
        <v>82</v>
      </c>
      <c r="J2129" s="11" t="s">
        <v>71</v>
      </c>
      <c r="K2129" s="11" t="s">
        <v>72</v>
      </c>
      <c r="L2129" s="11" t="s">
        <v>84</v>
      </c>
      <c r="M2129" s="11" t="s">
        <v>11605</v>
      </c>
      <c r="N2129" s="11" t="s">
        <v>2778</v>
      </c>
      <c r="O2129" s="11" t="s">
        <v>71</v>
      </c>
      <c r="P2129" s="11" t="s">
        <v>11606</v>
      </c>
      <c r="Q2129" s="13" t="s">
        <v>11607</v>
      </c>
      <c r="R2129" s="14" t="str">
        <f>HYPERLINK("https://drive.google.com/file/d/1GJZ_M-SZ9bbuZrFSJ7cBmXZ9J4ffuoGb/view?usp=drivesdk","OFFER LETTER")</f>
        <v>OFFER LETTER</v>
      </c>
      <c r="S2129" s="11" t="s">
        <v>11608</v>
      </c>
    </row>
    <row r="2130" ht="22.5" customHeight="1">
      <c r="A2130" s="10">
        <v>46268.793648113424</v>
      </c>
      <c r="B2130" s="11" t="s">
        <v>11609</v>
      </c>
      <c r="C2130" s="11" t="s">
        <v>354</v>
      </c>
      <c r="D2130" s="11" t="s">
        <v>108</v>
      </c>
      <c r="E2130" s="12">
        <v>46206.0</v>
      </c>
      <c r="F2130" s="12">
        <v>46268.0</v>
      </c>
      <c r="G2130" s="11" t="s">
        <v>11610</v>
      </c>
      <c r="H2130" s="11">
        <v>7.033834493E9</v>
      </c>
      <c r="I2130" s="11" t="s">
        <v>82</v>
      </c>
      <c r="J2130" s="11" t="s">
        <v>71</v>
      </c>
      <c r="K2130" s="11" t="s">
        <v>72</v>
      </c>
      <c r="L2130" s="11" t="s">
        <v>73</v>
      </c>
      <c r="M2130" s="11" t="s">
        <v>1118</v>
      </c>
      <c r="N2130" s="11" t="s">
        <v>1533</v>
      </c>
      <c r="O2130" s="11" t="s">
        <v>71</v>
      </c>
      <c r="P2130" s="11" t="s">
        <v>11611</v>
      </c>
      <c r="Q2130" s="13" t="s">
        <v>11612</v>
      </c>
      <c r="R2130" s="14" t="str">
        <f>HYPERLINK("https://drive.google.com/file/d/1-PigLqob8TLgpQxMCF7DW3V66L6R84L-/view?usp=drivesdk","OFFER LETTER")</f>
        <v>OFFER LETTER</v>
      </c>
      <c r="S2130" s="11" t="s">
        <v>11613</v>
      </c>
    </row>
    <row r="2131" ht="22.5" customHeight="1">
      <c r="A2131" s="10">
        <v>46268.80525384259</v>
      </c>
      <c r="B2131" s="11" t="s">
        <v>11614</v>
      </c>
      <c r="C2131" s="11" t="s">
        <v>107</v>
      </c>
      <c r="D2131" s="11" t="s">
        <v>68</v>
      </c>
      <c r="E2131" s="12">
        <v>46268.0</v>
      </c>
      <c r="F2131" s="12">
        <v>46298.0</v>
      </c>
      <c r="G2131" s="11" t="s">
        <v>11615</v>
      </c>
      <c r="H2131" s="11">
        <v>7.619571995E9</v>
      </c>
      <c r="I2131" s="11" t="s">
        <v>82</v>
      </c>
      <c r="J2131" s="11" t="s">
        <v>71</v>
      </c>
      <c r="K2131" s="11" t="s">
        <v>72</v>
      </c>
      <c r="L2131" s="11" t="s">
        <v>73</v>
      </c>
      <c r="M2131" s="11" t="s">
        <v>11616</v>
      </c>
      <c r="N2131" s="11" t="s">
        <v>11617</v>
      </c>
      <c r="O2131" s="11" t="s">
        <v>71</v>
      </c>
      <c r="P2131" s="11" t="s">
        <v>11618</v>
      </c>
      <c r="Q2131" s="13" t="s">
        <v>11619</v>
      </c>
      <c r="R2131" s="14" t="str">
        <f>HYPERLINK("https://drive.google.com/file/d/1DYmr-35BZ4xdn5Ux5ybR2fE5TymzUDwf/view?usp=drivesdk","OFFER LETTER")</f>
        <v>OFFER LETTER</v>
      </c>
      <c r="S2131" s="11" t="s">
        <v>11620</v>
      </c>
    </row>
    <row r="2132" ht="22.5" customHeight="1">
      <c r="A2132" s="10">
        <v>46268.80915850695</v>
      </c>
      <c r="B2132" s="11" t="s">
        <v>11621</v>
      </c>
      <c r="C2132" s="11" t="s">
        <v>80</v>
      </c>
      <c r="D2132" s="11" t="s">
        <v>68</v>
      </c>
      <c r="E2132" s="12">
        <v>46268.0</v>
      </c>
      <c r="F2132" s="12">
        <v>46298.0</v>
      </c>
      <c r="G2132" s="11" t="s">
        <v>11622</v>
      </c>
      <c r="H2132" s="17" t="s">
        <v>11623</v>
      </c>
      <c r="I2132" s="11" t="s">
        <v>70</v>
      </c>
      <c r="J2132" s="11" t="s">
        <v>71</v>
      </c>
      <c r="K2132" s="11" t="s">
        <v>72</v>
      </c>
      <c r="L2132" s="11" t="s">
        <v>73</v>
      </c>
      <c r="M2132" s="11" t="s">
        <v>11624</v>
      </c>
      <c r="N2132" s="11" t="s">
        <v>86</v>
      </c>
      <c r="O2132" s="11" t="s">
        <v>71</v>
      </c>
      <c r="P2132" s="11" t="s">
        <v>11625</v>
      </c>
      <c r="Q2132" s="13" t="s">
        <v>11626</v>
      </c>
      <c r="R2132" s="14" t="str">
        <f>HYPERLINK("https://drive.google.com/file/d/1pvU5Wt39V4wCmBatbMklF2L7eQI1_5gG/view?usp=drivesdk","OFFER LETTER")</f>
        <v>OFFER LETTER</v>
      </c>
      <c r="S2132" s="11" t="s">
        <v>11627</v>
      </c>
    </row>
    <row r="2133" ht="22.5" customHeight="1">
      <c r="A2133" s="10">
        <v>46268.814553564815</v>
      </c>
      <c r="B2133" s="11" t="s">
        <v>11628</v>
      </c>
      <c r="C2133" s="11" t="s">
        <v>80</v>
      </c>
      <c r="D2133" s="11" t="s">
        <v>68</v>
      </c>
      <c r="E2133" s="12">
        <v>46268.0</v>
      </c>
      <c r="F2133" s="12">
        <v>46298.0</v>
      </c>
      <c r="G2133" s="11" t="s">
        <v>11622</v>
      </c>
      <c r="H2133" s="17" t="s">
        <v>11623</v>
      </c>
      <c r="I2133" s="11" t="s">
        <v>70</v>
      </c>
      <c r="J2133" s="11" t="s">
        <v>71</v>
      </c>
      <c r="K2133" s="11" t="s">
        <v>72</v>
      </c>
      <c r="L2133" s="11" t="s">
        <v>73</v>
      </c>
      <c r="M2133" s="11" t="s">
        <v>11629</v>
      </c>
      <c r="N2133" s="11" t="s">
        <v>86</v>
      </c>
      <c r="O2133" s="11" t="s">
        <v>71</v>
      </c>
      <c r="P2133" s="11" t="s">
        <v>11630</v>
      </c>
      <c r="Q2133" s="13" t="s">
        <v>11631</v>
      </c>
      <c r="R2133" s="14" t="str">
        <f>HYPERLINK("https://drive.google.com/file/d/1Ob1sTziQL3ITEVSO5bYAzDplD9lOQmrO/view?usp=drivesdk","OFFER LETTER")</f>
        <v>OFFER LETTER</v>
      </c>
      <c r="S2133" s="11" t="s">
        <v>11632</v>
      </c>
    </row>
    <row r="2134" ht="22.5" customHeight="1">
      <c r="A2134" s="10">
        <v>46268.81541278935</v>
      </c>
      <c r="B2134" s="11" t="s">
        <v>11633</v>
      </c>
      <c r="C2134" s="11" t="s">
        <v>742</v>
      </c>
      <c r="D2134" s="11" t="s">
        <v>68</v>
      </c>
      <c r="E2134" s="12">
        <v>46272.0</v>
      </c>
      <c r="F2134" s="12">
        <v>46302.0</v>
      </c>
      <c r="G2134" s="11" t="s">
        <v>11634</v>
      </c>
      <c r="H2134" s="11" t="s">
        <v>11635</v>
      </c>
      <c r="I2134" s="11" t="s">
        <v>82</v>
      </c>
      <c r="J2134" s="11" t="s">
        <v>71</v>
      </c>
      <c r="K2134" s="11" t="s">
        <v>72</v>
      </c>
      <c r="L2134" s="11" t="s">
        <v>73</v>
      </c>
      <c r="M2134" s="11" t="s">
        <v>11636</v>
      </c>
      <c r="N2134" s="11" t="s">
        <v>86</v>
      </c>
      <c r="O2134" s="11" t="s">
        <v>71</v>
      </c>
      <c r="P2134" s="11" t="s">
        <v>11637</v>
      </c>
      <c r="Q2134" s="13" t="s">
        <v>11638</v>
      </c>
      <c r="R2134" s="14" t="str">
        <f>HYPERLINK("https://drive.google.com/file/d/1Q5yMDgaIThQjhzOsUOSsuNIWwUS6v976/view?usp=drivesdk","OFFER LETTER")</f>
        <v>OFFER LETTER</v>
      </c>
      <c r="S2134" s="11" t="s">
        <v>11639</v>
      </c>
    </row>
    <row r="2135" ht="22.5" customHeight="1">
      <c r="A2135" s="10">
        <v>46268.81634896991</v>
      </c>
      <c r="B2135" s="11" t="s">
        <v>11640</v>
      </c>
      <c r="C2135" s="11" t="s">
        <v>195</v>
      </c>
      <c r="D2135" s="11" t="s">
        <v>68</v>
      </c>
      <c r="E2135" s="12">
        <v>46149.0</v>
      </c>
      <c r="F2135" s="12">
        <v>46181.0</v>
      </c>
      <c r="G2135" s="11" t="s">
        <v>11641</v>
      </c>
      <c r="H2135" s="11">
        <v>7.847015195E9</v>
      </c>
      <c r="I2135" s="11" t="s">
        <v>82</v>
      </c>
      <c r="J2135" s="11" t="s">
        <v>71</v>
      </c>
      <c r="K2135" s="11" t="s">
        <v>72</v>
      </c>
      <c r="L2135" s="11" t="s">
        <v>131</v>
      </c>
      <c r="M2135" s="11" t="s">
        <v>3133</v>
      </c>
      <c r="N2135" s="11" t="s">
        <v>86</v>
      </c>
      <c r="O2135" s="11" t="s">
        <v>71</v>
      </c>
      <c r="P2135" s="11" t="s">
        <v>11642</v>
      </c>
      <c r="Q2135" s="13" t="s">
        <v>11643</v>
      </c>
      <c r="R2135" s="14" t="str">
        <f>HYPERLINK("https://drive.google.com/file/d/1xFAv0rdt0RZXCc6RqFleHmBkI0mQAkaZ/view?usp=drivesdk","OFFER LETTER")</f>
        <v>OFFER LETTER</v>
      </c>
      <c r="S2135" s="11" t="s">
        <v>11644</v>
      </c>
    </row>
    <row r="2136" ht="22.5" customHeight="1">
      <c r="A2136" s="10">
        <v>46268.81654629629</v>
      </c>
      <c r="B2136" s="11" t="s">
        <v>11614</v>
      </c>
      <c r="C2136" s="11" t="s">
        <v>195</v>
      </c>
      <c r="D2136" s="11" t="s">
        <v>68</v>
      </c>
      <c r="E2136" s="12">
        <v>46268.0</v>
      </c>
      <c r="F2136" s="12">
        <v>46298.0</v>
      </c>
      <c r="G2136" s="11" t="s">
        <v>11615</v>
      </c>
      <c r="H2136" s="11">
        <v>7.619571995E9</v>
      </c>
      <c r="I2136" s="11" t="s">
        <v>82</v>
      </c>
      <c r="J2136" s="11" t="s">
        <v>83</v>
      </c>
      <c r="K2136" s="11" t="s">
        <v>72</v>
      </c>
      <c r="L2136" s="11" t="s">
        <v>73</v>
      </c>
      <c r="M2136" s="11" t="s">
        <v>11645</v>
      </c>
      <c r="N2136" s="11" t="s">
        <v>11646</v>
      </c>
      <c r="O2136" s="11" t="s">
        <v>71</v>
      </c>
      <c r="P2136" s="11" t="s">
        <v>11647</v>
      </c>
      <c r="Q2136" s="13" t="s">
        <v>11648</v>
      </c>
      <c r="R2136" s="14" t="str">
        <f>HYPERLINK("https://drive.google.com/file/d/1hqTCoMJL4gxW_zpeGzdsgYo3l_JPfXmg/view?usp=drivesdk","OFFER LETTER")</f>
        <v>OFFER LETTER</v>
      </c>
      <c r="S2136" s="11" t="s">
        <v>11649</v>
      </c>
    </row>
    <row r="2137" ht="22.5" customHeight="1">
      <c r="A2137" s="10">
        <v>46268.81742119213</v>
      </c>
      <c r="B2137" s="11" t="s">
        <v>11650</v>
      </c>
      <c r="C2137" s="11" t="s">
        <v>107</v>
      </c>
      <c r="D2137" s="11" t="s">
        <v>68</v>
      </c>
      <c r="E2137" s="12">
        <v>46268.0</v>
      </c>
      <c r="F2137" s="12">
        <v>46299.0</v>
      </c>
      <c r="G2137" s="11" t="s">
        <v>11651</v>
      </c>
      <c r="H2137" s="11">
        <v>8.999067886E9</v>
      </c>
      <c r="I2137" s="11" t="s">
        <v>70</v>
      </c>
      <c r="J2137" s="11" t="s">
        <v>71</v>
      </c>
      <c r="K2137" s="11" t="s">
        <v>72</v>
      </c>
      <c r="L2137" s="11" t="s">
        <v>131</v>
      </c>
      <c r="M2137" s="11" t="s">
        <v>11652</v>
      </c>
      <c r="N2137" s="11" t="s">
        <v>75</v>
      </c>
      <c r="O2137" s="11" t="s">
        <v>71</v>
      </c>
      <c r="P2137" s="11" t="s">
        <v>11653</v>
      </c>
      <c r="Q2137" s="13" t="s">
        <v>11654</v>
      </c>
      <c r="R2137" s="14" t="str">
        <f>HYPERLINK("https://drive.google.com/file/d/1AjcQVtrkG3cdidLlp9IL40gVFTGey4JY/view?usp=drivesdk","OFFER LETTER")</f>
        <v>OFFER LETTER</v>
      </c>
      <c r="S2137" s="11" t="s">
        <v>11655</v>
      </c>
    </row>
    <row r="2138" ht="22.5" customHeight="1">
      <c r="A2138" s="10">
        <v>46268.82237429398</v>
      </c>
      <c r="B2138" s="11" t="s">
        <v>11656</v>
      </c>
      <c r="C2138" s="11" t="s">
        <v>417</v>
      </c>
      <c r="D2138" s="11" t="s">
        <v>108</v>
      </c>
      <c r="E2138" s="12">
        <v>46268.0</v>
      </c>
      <c r="F2138" s="12">
        <v>46329.0</v>
      </c>
      <c r="G2138" s="11" t="s">
        <v>11657</v>
      </c>
      <c r="H2138" s="11">
        <v>9.382928774E9</v>
      </c>
      <c r="I2138" s="11" t="s">
        <v>82</v>
      </c>
      <c r="J2138" s="11" t="s">
        <v>71</v>
      </c>
      <c r="K2138" s="11" t="s">
        <v>110</v>
      </c>
      <c r="L2138" s="11" t="s">
        <v>73</v>
      </c>
      <c r="M2138" s="11" t="s">
        <v>11658</v>
      </c>
      <c r="N2138" s="11" t="s">
        <v>75</v>
      </c>
      <c r="O2138" s="11" t="s">
        <v>71</v>
      </c>
      <c r="P2138" s="11" t="s">
        <v>11659</v>
      </c>
      <c r="Q2138" s="13" t="s">
        <v>11660</v>
      </c>
      <c r="R2138" s="14" t="str">
        <f>HYPERLINK("https://drive.google.com/file/d/1Cm7SWTX9Zo7zOtqY-Pkb8rG6ElCZtdVB/view?usp=drivesdk","OFFER LETTER")</f>
        <v>OFFER LETTER</v>
      </c>
      <c r="S2138" s="11" t="s">
        <v>11661</v>
      </c>
    </row>
    <row r="2139" ht="22.5" customHeight="1">
      <c r="A2139" s="10">
        <v>46268.82503059028</v>
      </c>
      <c r="B2139" s="11" t="s">
        <v>11662</v>
      </c>
      <c r="C2139" s="11" t="s">
        <v>195</v>
      </c>
      <c r="D2139" s="11" t="s">
        <v>68</v>
      </c>
      <c r="E2139" s="12">
        <v>46268.0</v>
      </c>
      <c r="F2139" s="12">
        <v>46298.0</v>
      </c>
      <c r="G2139" s="11" t="s">
        <v>11663</v>
      </c>
      <c r="H2139" s="11">
        <v>8.180041307E9</v>
      </c>
      <c r="I2139" s="11" t="s">
        <v>82</v>
      </c>
      <c r="J2139" s="11" t="s">
        <v>130</v>
      </c>
      <c r="K2139" s="11" t="s">
        <v>72</v>
      </c>
      <c r="L2139" s="11" t="s">
        <v>84</v>
      </c>
      <c r="M2139" s="11" t="s">
        <v>11664</v>
      </c>
      <c r="N2139" s="11" t="s">
        <v>86</v>
      </c>
      <c r="O2139" s="11" t="s">
        <v>71</v>
      </c>
      <c r="P2139" s="11" t="s">
        <v>11665</v>
      </c>
      <c r="Q2139" s="13" t="s">
        <v>11666</v>
      </c>
      <c r="R2139" s="14" t="str">
        <f>HYPERLINK("https://drive.google.com/file/d/1dAgP5OBodwHLgmhOL_cO4u9M5RXf4Vn-/view?usp=drivesdk","OFFER LETTER")</f>
        <v>OFFER LETTER</v>
      </c>
      <c r="S2139" s="11" t="s">
        <v>11667</v>
      </c>
    </row>
    <row r="2140" ht="22.5" customHeight="1">
      <c r="A2140" s="10">
        <v>46268.82551704861</v>
      </c>
      <c r="B2140" s="11" t="s">
        <v>11668</v>
      </c>
      <c r="C2140" s="11" t="s">
        <v>195</v>
      </c>
      <c r="D2140" s="11" t="s">
        <v>108</v>
      </c>
      <c r="E2140" s="12">
        <v>46268.0</v>
      </c>
      <c r="F2140" s="12">
        <v>46329.0</v>
      </c>
      <c r="G2140" s="11" t="s">
        <v>11669</v>
      </c>
      <c r="H2140" s="11">
        <v>6.281217822E9</v>
      </c>
      <c r="I2140" s="11" t="s">
        <v>82</v>
      </c>
      <c r="J2140" s="11" t="s">
        <v>71</v>
      </c>
      <c r="K2140" s="11" t="s">
        <v>72</v>
      </c>
      <c r="L2140" s="11" t="s">
        <v>131</v>
      </c>
      <c r="M2140" s="11" t="s">
        <v>11670</v>
      </c>
      <c r="N2140" s="11" t="s">
        <v>5790</v>
      </c>
      <c r="O2140" s="11" t="s">
        <v>71</v>
      </c>
      <c r="P2140" s="11" t="s">
        <v>11671</v>
      </c>
      <c r="Q2140" s="13" t="s">
        <v>11672</v>
      </c>
      <c r="R2140" s="14" t="str">
        <f>HYPERLINK("https://drive.google.com/file/d/1XKZRd_DNODlTvECXabTf0PHkkQa9kJCa/view?usp=drivesdk","OFFER LETTER")</f>
        <v>OFFER LETTER</v>
      </c>
      <c r="S2140" s="11" t="s">
        <v>11673</v>
      </c>
    </row>
    <row r="2141" ht="22.5" customHeight="1">
      <c r="A2141" s="10">
        <v>46268.84395818287</v>
      </c>
      <c r="B2141" s="11" t="s">
        <v>11674</v>
      </c>
      <c r="C2141" s="11" t="s">
        <v>195</v>
      </c>
      <c r="D2141" s="11" t="s">
        <v>68</v>
      </c>
      <c r="E2141" s="12">
        <v>46269.0</v>
      </c>
      <c r="F2141" s="12">
        <v>46299.0</v>
      </c>
      <c r="G2141" s="11" t="s">
        <v>11675</v>
      </c>
      <c r="H2141" s="11">
        <v>8.075148178E9</v>
      </c>
      <c r="I2141" s="11" t="s">
        <v>82</v>
      </c>
      <c r="J2141" s="11" t="s">
        <v>71</v>
      </c>
      <c r="K2141" s="11" t="s">
        <v>72</v>
      </c>
      <c r="L2141" s="11" t="s">
        <v>131</v>
      </c>
      <c r="M2141" s="11" t="s">
        <v>11676</v>
      </c>
      <c r="N2141" s="11" t="s">
        <v>7220</v>
      </c>
      <c r="O2141" s="11" t="s">
        <v>71</v>
      </c>
      <c r="P2141" s="11" t="s">
        <v>11677</v>
      </c>
      <c r="Q2141" s="13" t="s">
        <v>11678</v>
      </c>
      <c r="R2141" s="14" t="str">
        <f>HYPERLINK("https://drive.google.com/file/d/1aJizsVTKCrgnny14XtxCu8JsYC6SJrwj/view?usp=drivesdk","OFFER LETTER")</f>
        <v>OFFER LETTER</v>
      </c>
      <c r="S2141" s="11" t="s">
        <v>11679</v>
      </c>
    </row>
    <row r="2142" ht="22.5" customHeight="1">
      <c r="A2142" s="10">
        <v>46268.85623300926</v>
      </c>
      <c r="B2142" s="11" t="s">
        <v>11680</v>
      </c>
      <c r="C2142" s="11" t="s">
        <v>91</v>
      </c>
      <c r="D2142" s="11" t="s">
        <v>68</v>
      </c>
      <c r="E2142" s="12">
        <v>46268.0</v>
      </c>
      <c r="F2142" s="12">
        <v>46298.0</v>
      </c>
      <c r="G2142" s="11" t="s">
        <v>11681</v>
      </c>
      <c r="H2142" s="11">
        <v>8.978904799E9</v>
      </c>
      <c r="I2142" s="11" t="s">
        <v>82</v>
      </c>
      <c r="J2142" s="11" t="s">
        <v>71</v>
      </c>
      <c r="K2142" s="11" t="s">
        <v>72</v>
      </c>
      <c r="L2142" s="11" t="s">
        <v>73</v>
      </c>
      <c r="M2142" s="11" t="s">
        <v>11682</v>
      </c>
      <c r="N2142" s="11" t="s">
        <v>198</v>
      </c>
      <c r="O2142" s="11" t="s">
        <v>71</v>
      </c>
      <c r="P2142" s="11" t="s">
        <v>11683</v>
      </c>
      <c r="Q2142" s="13" t="s">
        <v>11684</v>
      </c>
      <c r="R2142" s="14" t="str">
        <f>HYPERLINK("https://drive.google.com/file/d/1zBlYbrW0Afsk8EkrIBVUZWRIaBasqe_-/view?usp=drivesdk","OFFER LETTER")</f>
        <v>OFFER LETTER</v>
      </c>
      <c r="S2142" s="11" t="s">
        <v>11685</v>
      </c>
    </row>
    <row r="2143" ht="22.5" customHeight="1">
      <c r="A2143" s="10">
        <v>46268.87130875</v>
      </c>
      <c r="B2143" s="11" t="s">
        <v>11686</v>
      </c>
      <c r="C2143" s="11" t="s">
        <v>298</v>
      </c>
      <c r="D2143" s="11" t="s">
        <v>68</v>
      </c>
      <c r="E2143" s="12">
        <v>46245.0</v>
      </c>
      <c r="F2143" s="12">
        <v>46276.0</v>
      </c>
      <c r="G2143" s="11" t="s">
        <v>11687</v>
      </c>
      <c r="H2143" s="11">
        <v>8.810706931E9</v>
      </c>
      <c r="I2143" s="11" t="s">
        <v>70</v>
      </c>
      <c r="J2143" s="11" t="s">
        <v>71</v>
      </c>
      <c r="K2143" s="11" t="s">
        <v>72</v>
      </c>
      <c r="L2143" s="11" t="s">
        <v>84</v>
      </c>
      <c r="M2143" s="11" t="s">
        <v>11688</v>
      </c>
      <c r="N2143" s="11" t="s">
        <v>1872</v>
      </c>
      <c r="O2143" s="11" t="s">
        <v>71</v>
      </c>
      <c r="P2143" s="11" t="s">
        <v>11689</v>
      </c>
      <c r="Q2143" s="13" t="s">
        <v>11690</v>
      </c>
      <c r="R2143" s="14" t="str">
        <f>HYPERLINK("https://drive.google.com/file/d/1Ki20kHeIvqkSI2-S6_gQFzcNlPo-mroX/view?usp=drivesdk","OFFER LETTER")</f>
        <v>OFFER LETTER</v>
      </c>
      <c r="S2143" s="11" t="s">
        <v>11691</v>
      </c>
    </row>
    <row r="2144" ht="22.5" customHeight="1">
      <c r="A2144" s="10">
        <v>46268.875052233794</v>
      </c>
      <c r="B2144" s="11" t="s">
        <v>11686</v>
      </c>
      <c r="C2144" s="11" t="s">
        <v>298</v>
      </c>
      <c r="D2144" s="11" t="s">
        <v>68</v>
      </c>
      <c r="E2144" s="12">
        <v>46245.0</v>
      </c>
      <c r="F2144" s="12">
        <v>46276.0</v>
      </c>
      <c r="G2144" s="11" t="s">
        <v>11687</v>
      </c>
      <c r="H2144" s="11">
        <v>8.810706931E9</v>
      </c>
      <c r="I2144" s="11" t="s">
        <v>70</v>
      </c>
      <c r="J2144" s="11" t="s">
        <v>71</v>
      </c>
      <c r="K2144" s="11" t="s">
        <v>72</v>
      </c>
      <c r="L2144" s="11" t="s">
        <v>84</v>
      </c>
      <c r="M2144" s="11" t="s">
        <v>11688</v>
      </c>
      <c r="N2144" s="11" t="s">
        <v>1872</v>
      </c>
      <c r="O2144" s="11" t="s">
        <v>71</v>
      </c>
      <c r="P2144" s="11" t="s">
        <v>11692</v>
      </c>
      <c r="Q2144" s="13" t="s">
        <v>11693</v>
      </c>
      <c r="R2144" s="14" t="str">
        <f>HYPERLINK("https://drive.google.com/file/d/1TFiATOnWekqpLHk70LWKIUYwaQxtWJud/view?usp=drivesdk","OFFER LETTER")</f>
        <v>OFFER LETTER</v>
      </c>
      <c r="S2144" s="11" t="s">
        <v>11694</v>
      </c>
    </row>
    <row r="2145" ht="22.5" customHeight="1">
      <c r="A2145" s="10">
        <v>46268.87644552083</v>
      </c>
      <c r="B2145" s="11" t="s">
        <v>11695</v>
      </c>
      <c r="C2145" s="11" t="s">
        <v>195</v>
      </c>
      <c r="D2145" s="11" t="s">
        <v>68</v>
      </c>
      <c r="E2145" s="12">
        <v>46267.0</v>
      </c>
      <c r="F2145" s="12">
        <v>46297.0</v>
      </c>
      <c r="G2145" s="11" t="s">
        <v>11696</v>
      </c>
      <c r="H2145" s="11">
        <v>9.398075337E9</v>
      </c>
      <c r="I2145" s="11" t="s">
        <v>82</v>
      </c>
      <c r="J2145" s="11" t="s">
        <v>83</v>
      </c>
      <c r="K2145" s="11" t="s">
        <v>72</v>
      </c>
      <c r="L2145" s="11" t="s">
        <v>131</v>
      </c>
      <c r="M2145" s="11" t="s">
        <v>11697</v>
      </c>
      <c r="N2145" s="11" t="s">
        <v>75</v>
      </c>
      <c r="O2145" s="11" t="s">
        <v>71</v>
      </c>
      <c r="P2145" s="11" t="s">
        <v>11698</v>
      </c>
      <c r="Q2145" s="13" t="s">
        <v>11699</v>
      </c>
      <c r="R2145" s="14" t="str">
        <f>HYPERLINK("https://drive.google.com/file/d/1PtDWcPuakdXaL1WCXjBz8AgFx0WXf8Kk/view?usp=drivesdk","OFFER LETTER")</f>
        <v>OFFER LETTER</v>
      </c>
      <c r="S2145" s="11" t="s">
        <v>11700</v>
      </c>
    </row>
    <row r="2146" ht="22.5" customHeight="1">
      <c r="A2146" s="10">
        <v>46268.87876021991</v>
      </c>
      <c r="B2146" s="11" t="s">
        <v>11686</v>
      </c>
      <c r="C2146" s="11" t="s">
        <v>298</v>
      </c>
      <c r="D2146" s="11" t="s">
        <v>68</v>
      </c>
      <c r="E2146" s="12">
        <v>46245.0</v>
      </c>
      <c r="F2146" s="12">
        <v>46276.0</v>
      </c>
      <c r="G2146" s="11" t="s">
        <v>11687</v>
      </c>
      <c r="H2146" s="11">
        <v>8.810706931E9</v>
      </c>
      <c r="I2146" s="11" t="s">
        <v>70</v>
      </c>
      <c r="J2146" s="11" t="s">
        <v>71</v>
      </c>
      <c r="K2146" s="11" t="s">
        <v>72</v>
      </c>
      <c r="L2146" s="11" t="s">
        <v>84</v>
      </c>
      <c r="M2146" s="11" t="s">
        <v>11688</v>
      </c>
      <c r="N2146" s="11" t="s">
        <v>1872</v>
      </c>
      <c r="O2146" s="11" t="s">
        <v>71</v>
      </c>
      <c r="P2146" s="11" t="s">
        <v>11701</v>
      </c>
      <c r="Q2146" s="13" t="s">
        <v>11702</v>
      </c>
      <c r="R2146" s="14" t="str">
        <f>HYPERLINK("https://drive.google.com/file/d/1hglC_RcZ8eQNZZk4ioHeN5HR1UiJaCY9/view?usp=drivesdk","OFFER LETTER")</f>
        <v>OFFER LETTER</v>
      </c>
      <c r="S2146" s="11" t="s">
        <v>11703</v>
      </c>
    </row>
    <row r="2147" ht="22.5" customHeight="1">
      <c r="A2147" s="10">
        <v>46268.88000373842</v>
      </c>
      <c r="B2147" s="11" t="s">
        <v>11704</v>
      </c>
      <c r="C2147" s="11" t="s">
        <v>5430</v>
      </c>
      <c r="D2147" s="11" t="s">
        <v>68</v>
      </c>
      <c r="E2147" s="12">
        <v>46268.0</v>
      </c>
      <c r="F2147" s="12">
        <v>46298.0</v>
      </c>
      <c r="G2147" s="11" t="s">
        <v>11705</v>
      </c>
      <c r="H2147" s="11">
        <v>8.12210858E9</v>
      </c>
      <c r="I2147" s="11" t="s">
        <v>70</v>
      </c>
      <c r="J2147" s="11" t="s">
        <v>83</v>
      </c>
      <c r="K2147" s="11" t="s">
        <v>72</v>
      </c>
      <c r="L2147" s="11" t="s">
        <v>131</v>
      </c>
      <c r="M2147" s="11" t="s">
        <v>11706</v>
      </c>
      <c r="N2147" s="11" t="s">
        <v>86</v>
      </c>
      <c r="O2147" s="11" t="s">
        <v>71</v>
      </c>
      <c r="P2147" s="11" t="s">
        <v>11707</v>
      </c>
      <c r="Q2147" s="13" t="s">
        <v>11708</v>
      </c>
      <c r="R2147" s="14" t="str">
        <f>HYPERLINK("https://drive.google.com/file/d/1iSofhchcs-wbUc5VGjUl84Xv5DAfbTKT/view?usp=drivesdk","OFFER LETTER")</f>
        <v>OFFER LETTER</v>
      </c>
      <c r="S2147" s="11" t="s">
        <v>11709</v>
      </c>
    </row>
    <row r="2148" ht="22.5" customHeight="1">
      <c r="A2148" s="10">
        <v>46268.88686204861</v>
      </c>
      <c r="B2148" s="11" t="s">
        <v>11710</v>
      </c>
      <c r="C2148" s="11" t="s">
        <v>195</v>
      </c>
      <c r="D2148" s="11" t="s">
        <v>68</v>
      </c>
      <c r="E2148" s="12">
        <v>46242.0</v>
      </c>
      <c r="F2148" s="12">
        <v>46273.0</v>
      </c>
      <c r="G2148" s="11" t="s">
        <v>11711</v>
      </c>
      <c r="H2148" s="11">
        <v>9.335641272E9</v>
      </c>
      <c r="I2148" s="11" t="s">
        <v>82</v>
      </c>
      <c r="J2148" s="11" t="s">
        <v>71</v>
      </c>
      <c r="K2148" s="11" t="s">
        <v>72</v>
      </c>
      <c r="L2148" s="11" t="s">
        <v>357</v>
      </c>
      <c r="M2148" s="11" t="s">
        <v>560</v>
      </c>
      <c r="N2148" s="11" t="s">
        <v>86</v>
      </c>
      <c r="O2148" s="11" t="s">
        <v>71</v>
      </c>
      <c r="P2148" s="11" t="s">
        <v>11712</v>
      </c>
      <c r="Q2148" s="13" t="s">
        <v>11713</v>
      </c>
      <c r="R2148" s="14" t="str">
        <f>HYPERLINK("https://drive.google.com/file/d/1NqB9QII_XoLfRYTA6VnoOD0eSCS2grRC/view?usp=drivesdk","OFFER LETTER")</f>
        <v>OFFER LETTER</v>
      </c>
      <c r="S2148" s="11" t="s">
        <v>11714</v>
      </c>
    </row>
    <row r="2149" ht="22.5" customHeight="1">
      <c r="A2149" s="10">
        <v>46268.88708240741</v>
      </c>
      <c r="B2149" s="11" t="s">
        <v>11715</v>
      </c>
      <c r="C2149" s="11" t="s">
        <v>195</v>
      </c>
      <c r="D2149" s="11" t="s">
        <v>68</v>
      </c>
      <c r="E2149" s="12">
        <v>46242.0</v>
      </c>
      <c r="F2149" s="12">
        <v>46273.0</v>
      </c>
      <c r="G2149" s="11" t="s">
        <v>11716</v>
      </c>
      <c r="H2149" s="11">
        <v>8.95777972E9</v>
      </c>
      <c r="I2149" s="11" t="s">
        <v>70</v>
      </c>
      <c r="J2149" s="11" t="s">
        <v>71</v>
      </c>
      <c r="K2149" s="11" t="s">
        <v>72</v>
      </c>
      <c r="L2149" s="11" t="s">
        <v>357</v>
      </c>
      <c r="M2149" s="11" t="s">
        <v>560</v>
      </c>
      <c r="N2149" s="11" t="s">
        <v>86</v>
      </c>
      <c r="O2149" s="11" t="s">
        <v>71</v>
      </c>
      <c r="P2149" s="11" t="s">
        <v>11717</v>
      </c>
      <c r="Q2149" s="13" t="s">
        <v>11718</v>
      </c>
      <c r="R2149" s="14" t="str">
        <f>HYPERLINK("https://drive.google.com/file/d/1wP0LIYxn7SyHxeKie1YVV_uec6_IRU_O/view?usp=drivesdk","OFFER LETTER")</f>
        <v>OFFER LETTER</v>
      </c>
      <c r="S2149" s="11" t="s">
        <v>11719</v>
      </c>
    </row>
    <row r="2150" ht="22.5" customHeight="1">
      <c r="A2150" s="10">
        <v>46268.89701429398</v>
      </c>
      <c r="B2150" s="11" t="s">
        <v>11686</v>
      </c>
      <c r="C2150" s="11" t="s">
        <v>298</v>
      </c>
      <c r="D2150" s="11" t="s">
        <v>68</v>
      </c>
      <c r="E2150" s="12">
        <v>46245.0</v>
      </c>
      <c r="F2150" s="12">
        <v>46276.0</v>
      </c>
      <c r="G2150" s="11" t="s">
        <v>11687</v>
      </c>
      <c r="H2150" s="11">
        <v>8.810706931E9</v>
      </c>
      <c r="I2150" s="11" t="s">
        <v>70</v>
      </c>
      <c r="J2150" s="11" t="s">
        <v>71</v>
      </c>
      <c r="K2150" s="11" t="s">
        <v>72</v>
      </c>
      <c r="L2150" s="11" t="s">
        <v>84</v>
      </c>
      <c r="M2150" s="11" t="s">
        <v>11720</v>
      </c>
      <c r="N2150" s="11" t="s">
        <v>1872</v>
      </c>
      <c r="O2150" s="11" t="s">
        <v>71</v>
      </c>
      <c r="P2150" s="11" t="s">
        <v>11721</v>
      </c>
      <c r="Q2150" s="13" t="s">
        <v>11722</v>
      </c>
      <c r="R2150" s="14" t="str">
        <f>HYPERLINK("https://drive.google.com/file/d/1JCIeotbPGBQv1rkFZs5EEoMqVyrKjeyE/view?usp=drivesdk","OFFER LETTER")</f>
        <v>OFFER LETTER</v>
      </c>
      <c r="S2150" s="11" t="s">
        <v>11723</v>
      </c>
    </row>
    <row r="2151" ht="22.5" customHeight="1">
      <c r="A2151" s="10">
        <v>46268.95051954861</v>
      </c>
      <c r="B2151" s="11" t="s">
        <v>11724</v>
      </c>
      <c r="C2151" s="11" t="s">
        <v>80</v>
      </c>
      <c r="D2151" s="11" t="s">
        <v>68</v>
      </c>
      <c r="E2151" s="12">
        <v>46242.0</v>
      </c>
      <c r="F2151" s="12">
        <v>46273.0</v>
      </c>
      <c r="G2151" s="11" t="s">
        <v>11725</v>
      </c>
      <c r="H2151" s="11">
        <v>9.623255404E9</v>
      </c>
      <c r="I2151" s="11" t="s">
        <v>70</v>
      </c>
      <c r="J2151" s="11" t="s">
        <v>71</v>
      </c>
      <c r="K2151" s="11" t="s">
        <v>72</v>
      </c>
      <c r="L2151" s="11" t="s">
        <v>73</v>
      </c>
      <c r="M2151" s="11" t="s">
        <v>11726</v>
      </c>
      <c r="N2151" s="11" t="s">
        <v>86</v>
      </c>
      <c r="O2151" s="11" t="s">
        <v>71</v>
      </c>
      <c r="P2151" s="11" t="s">
        <v>11727</v>
      </c>
      <c r="Q2151" s="13" t="s">
        <v>11728</v>
      </c>
      <c r="R2151" s="14" t="str">
        <f>HYPERLINK("https://drive.google.com/file/d/11K7MEXM8iXBOr-XVuC_FaPNjLbd7tTPL/view?usp=drivesdk","OFFER LETTER")</f>
        <v>OFFER LETTER</v>
      </c>
      <c r="S2151" s="11" t="s">
        <v>11729</v>
      </c>
    </row>
    <row r="2152" ht="22.5" customHeight="1">
      <c r="A2152" s="10">
        <v>46268.95222651621</v>
      </c>
      <c r="B2152" s="11" t="s">
        <v>11730</v>
      </c>
      <c r="C2152" s="11" t="s">
        <v>5430</v>
      </c>
      <c r="D2152" s="11" t="s">
        <v>68</v>
      </c>
      <c r="E2152" s="12">
        <v>46268.0</v>
      </c>
      <c r="F2152" s="12">
        <v>46298.0</v>
      </c>
      <c r="G2152" s="11" t="s">
        <v>11731</v>
      </c>
      <c r="H2152" s="11">
        <v>9.344772661E9</v>
      </c>
      <c r="I2152" s="11" t="s">
        <v>70</v>
      </c>
      <c r="J2152" s="11" t="s">
        <v>83</v>
      </c>
      <c r="K2152" s="11" t="s">
        <v>72</v>
      </c>
      <c r="L2152" s="11" t="s">
        <v>131</v>
      </c>
      <c r="M2152" s="11" t="s">
        <v>11732</v>
      </c>
      <c r="N2152" s="11" t="s">
        <v>219</v>
      </c>
      <c r="O2152" s="11" t="s">
        <v>71</v>
      </c>
      <c r="P2152" s="11" t="s">
        <v>11733</v>
      </c>
      <c r="Q2152" s="13" t="s">
        <v>11734</v>
      </c>
      <c r="R2152" s="14" t="str">
        <f>HYPERLINK("https://drive.google.com/file/d/1WbmbhEf2FAbam25Rlp-DcBneo3tVsWM1/view?usp=drivesdk","OFFER LETTER")</f>
        <v>OFFER LETTER</v>
      </c>
      <c r="S2152" s="11" t="s">
        <v>11735</v>
      </c>
    </row>
    <row r="2153" ht="22.5" customHeight="1">
      <c r="A2153" s="10">
        <v>46268.956943495374</v>
      </c>
      <c r="B2153" s="11" t="s">
        <v>11736</v>
      </c>
      <c r="C2153" s="11" t="s">
        <v>128</v>
      </c>
      <c r="D2153" s="11" t="s">
        <v>68</v>
      </c>
      <c r="E2153" s="12">
        <v>46234.0</v>
      </c>
      <c r="F2153" s="12">
        <v>46265.0</v>
      </c>
      <c r="G2153" s="11" t="s">
        <v>11737</v>
      </c>
      <c r="H2153" s="11">
        <v>9.12298518E9</v>
      </c>
      <c r="I2153" s="11" t="s">
        <v>82</v>
      </c>
      <c r="J2153" s="11" t="s">
        <v>83</v>
      </c>
      <c r="K2153" s="11" t="s">
        <v>72</v>
      </c>
      <c r="L2153" s="11" t="s">
        <v>84</v>
      </c>
      <c r="M2153" s="11" t="s">
        <v>2655</v>
      </c>
      <c r="N2153" s="11" t="s">
        <v>86</v>
      </c>
      <c r="O2153" s="11" t="s">
        <v>71</v>
      </c>
      <c r="P2153" s="11" t="s">
        <v>11738</v>
      </c>
      <c r="Q2153" s="13" t="s">
        <v>11739</v>
      </c>
      <c r="R2153" s="14" t="str">
        <f>HYPERLINK("https://drive.google.com/file/d/14YZKrojmHqGzDJqL_T59AwgBVPKkIx7f/view?usp=drivesdk","OFFER LETTER")</f>
        <v>OFFER LETTER</v>
      </c>
      <c r="S2153" s="11" t="s">
        <v>11740</v>
      </c>
    </row>
    <row r="2154" ht="22.5" customHeight="1">
      <c r="A2154" s="10">
        <v>46268.96067008102</v>
      </c>
      <c r="B2154" s="11" t="s">
        <v>11741</v>
      </c>
      <c r="C2154" s="11" t="s">
        <v>2591</v>
      </c>
      <c r="D2154" s="11" t="s">
        <v>68</v>
      </c>
      <c r="E2154" s="12">
        <v>46204.0</v>
      </c>
      <c r="F2154" s="12">
        <v>46235.0</v>
      </c>
      <c r="G2154" s="11" t="s">
        <v>11742</v>
      </c>
      <c r="H2154" s="11">
        <v>8.755365928E9</v>
      </c>
      <c r="I2154" s="11" t="s">
        <v>82</v>
      </c>
      <c r="J2154" s="11" t="s">
        <v>83</v>
      </c>
      <c r="K2154" s="11" t="s">
        <v>72</v>
      </c>
      <c r="L2154" s="11" t="s">
        <v>84</v>
      </c>
      <c r="M2154" s="11" t="s">
        <v>11743</v>
      </c>
      <c r="N2154" s="11" t="s">
        <v>86</v>
      </c>
      <c r="O2154" s="11" t="s">
        <v>71</v>
      </c>
      <c r="P2154" s="11" t="s">
        <v>11744</v>
      </c>
      <c r="Q2154" s="13" t="s">
        <v>11745</v>
      </c>
      <c r="R2154" s="14" t="str">
        <f>HYPERLINK("https://drive.google.com/file/d/132-cA7UsVeZIBf6k_DzCIqpzhBaVVkkz/view?usp=drivesdk","OFFER LETTER")</f>
        <v>OFFER LETTER</v>
      </c>
      <c r="S2154" s="11" t="s">
        <v>11746</v>
      </c>
    </row>
    <row r="2155" ht="22.5" customHeight="1">
      <c r="A2155" s="10">
        <v>46268.968438298616</v>
      </c>
      <c r="B2155" s="11" t="s">
        <v>11724</v>
      </c>
      <c r="C2155" s="11" t="s">
        <v>80</v>
      </c>
      <c r="D2155" s="11" t="s">
        <v>68</v>
      </c>
      <c r="E2155" s="12">
        <v>46242.0</v>
      </c>
      <c r="F2155" s="12">
        <v>46274.0</v>
      </c>
      <c r="G2155" s="11" t="s">
        <v>11725</v>
      </c>
      <c r="H2155" s="11">
        <v>9.623255404E9</v>
      </c>
      <c r="I2155" s="11" t="s">
        <v>70</v>
      </c>
      <c r="J2155" s="11" t="s">
        <v>71</v>
      </c>
      <c r="K2155" s="11" t="s">
        <v>72</v>
      </c>
      <c r="L2155" s="11" t="s">
        <v>73</v>
      </c>
      <c r="M2155" s="11" t="s">
        <v>11726</v>
      </c>
      <c r="N2155" s="11" t="s">
        <v>86</v>
      </c>
      <c r="O2155" s="11" t="s">
        <v>71</v>
      </c>
      <c r="P2155" s="11" t="s">
        <v>11747</v>
      </c>
      <c r="Q2155" s="13" t="s">
        <v>11748</v>
      </c>
      <c r="R2155" s="14" t="str">
        <f>HYPERLINK("https://drive.google.com/file/d/1EkMIMRIrTwRmC3d-TlK0UBLADaDhzR7M/view?usp=drivesdk","OFFER LETTER")</f>
        <v>OFFER LETTER</v>
      </c>
      <c r="S2155" s="11" t="s">
        <v>11749</v>
      </c>
    </row>
    <row r="2156" ht="22.5" customHeight="1">
      <c r="A2156" s="10">
        <v>46268.97512217592</v>
      </c>
      <c r="B2156" s="11" t="s">
        <v>11750</v>
      </c>
      <c r="C2156" s="11" t="s">
        <v>128</v>
      </c>
      <c r="D2156" s="11" t="s">
        <v>68</v>
      </c>
      <c r="E2156" s="12">
        <v>46213.0</v>
      </c>
      <c r="F2156" s="12">
        <v>46244.0</v>
      </c>
      <c r="G2156" s="11" t="s">
        <v>11751</v>
      </c>
      <c r="H2156" s="11">
        <v>8.390297087E9</v>
      </c>
      <c r="I2156" s="11" t="s">
        <v>82</v>
      </c>
      <c r="J2156" s="11" t="s">
        <v>71</v>
      </c>
      <c r="K2156" s="11" t="s">
        <v>110</v>
      </c>
      <c r="L2156" s="11" t="s">
        <v>73</v>
      </c>
      <c r="M2156" s="11" t="s">
        <v>11752</v>
      </c>
      <c r="N2156" s="11" t="s">
        <v>75</v>
      </c>
      <c r="O2156" s="11" t="s">
        <v>71</v>
      </c>
      <c r="P2156" s="11" t="s">
        <v>11753</v>
      </c>
      <c r="Q2156" s="13" t="s">
        <v>11754</v>
      </c>
      <c r="R2156" s="14" t="str">
        <f>HYPERLINK("https://drive.google.com/file/d/1UbEh5Epkg4jwhyYkAN8xnz_32qv3Jvzc/view?usp=drivesdk","OFFER LETTER")</f>
        <v>OFFER LETTER</v>
      </c>
      <c r="S2156" s="11" t="s">
        <v>11755</v>
      </c>
    </row>
    <row r="2157" ht="22.5" customHeight="1">
      <c r="A2157" s="10">
        <v>46268.97525802083</v>
      </c>
      <c r="B2157" s="11" t="s">
        <v>11756</v>
      </c>
      <c r="C2157" s="11" t="s">
        <v>195</v>
      </c>
      <c r="D2157" s="11" t="s">
        <v>68</v>
      </c>
      <c r="E2157" s="12">
        <v>46235.0</v>
      </c>
      <c r="F2157" s="12">
        <v>46265.0</v>
      </c>
      <c r="G2157" s="11" t="s">
        <v>11757</v>
      </c>
      <c r="H2157" s="11">
        <v>9.026248493E9</v>
      </c>
      <c r="I2157" s="11" t="s">
        <v>82</v>
      </c>
      <c r="J2157" s="11" t="s">
        <v>71</v>
      </c>
      <c r="K2157" s="11" t="s">
        <v>72</v>
      </c>
      <c r="L2157" s="11" t="s">
        <v>84</v>
      </c>
      <c r="M2157" s="11" t="s">
        <v>886</v>
      </c>
      <c r="N2157" s="11" t="s">
        <v>75</v>
      </c>
      <c r="O2157" s="11" t="s">
        <v>71</v>
      </c>
      <c r="P2157" s="11" t="s">
        <v>11758</v>
      </c>
      <c r="Q2157" s="13" t="s">
        <v>11759</v>
      </c>
      <c r="R2157" s="14" t="str">
        <f>HYPERLINK("https://drive.google.com/file/d/1WZ-meruqZkDAM2lloQ66V-xZfzz4L3_x/view?usp=drivesdk","OFFER LETTER")</f>
        <v>OFFER LETTER</v>
      </c>
      <c r="S2157" s="11" t="s">
        <v>11760</v>
      </c>
    </row>
    <row r="2158" ht="22.5" customHeight="1">
      <c r="A2158" s="10">
        <v>46268.97830771991</v>
      </c>
      <c r="B2158" s="11" t="s">
        <v>4646</v>
      </c>
      <c r="C2158" s="11" t="s">
        <v>107</v>
      </c>
      <c r="D2158" s="11" t="s">
        <v>68</v>
      </c>
      <c r="E2158" s="12">
        <v>46223.0</v>
      </c>
      <c r="F2158" s="12">
        <v>46254.0</v>
      </c>
      <c r="G2158" s="11" t="s">
        <v>11761</v>
      </c>
      <c r="H2158" s="11">
        <v>9.053172516E9</v>
      </c>
      <c r="I2158" s="11" t="s">
        <v>82</v>
      </c>
      <c r="J2158" s="11" t="s">
        <v>71</v>
      </c>
      <c r="K2158" s="11" t="s">
        <v>72</v>
      </c>
      <c r="L2158" s="11" t="s">
        <v>84</v>
      </c>
      <c r="M2158" s="11" t="s">
        <v>11762</v>
      </c>
      <c r="N2158" s="11" t="s">
        <v>75</v>
      </c>
      <c r="O2158" s="11" t="s">
        <v>71</v>
      </c>
      <c r="P2158" s="11" t="s">
        <v>11763</v>
      </c>
      <c r="Q2158" s="13" t="s">
        <v>11764</v>
      </c>
      <c r="R2158" s="14" t="str">
        <f>HYPERLINK("https://drive.google.com/file/d/1_fC8xuHdNvCLweEYJy5fiJGkkS-RbvL8/view?usp=drivesdk","OFFER LETTER")</f>
        <v>OFFER LETTER</v>
      </c>
      <c r="S2158" s="11" t="s">
        <v>11765</v>
      </c>
    </row>
    <row r="2159" ht="22.5" customHeight="1">
      <c r="A2159" s="10">
        <v>46268.982412048616</v>
      </c>
      <c r="B2159" s="11" t="s">
        <v>5046</v>
      </c>
      <c r="C2159" s="11" t="s">
        <v>195</v>
      </c>
      <c r="D2159" s="11" t="s">
        <v>68</v>
      </c>
      <c r="E2159" s="12">
        <v>46261.0</v>
      </c>
      <c r="F2159" s="12">
        <v>46292.0</v>
      </c>
      <c r="G2159" s="11" t="s">
        <v>5047</v>
      </c>
      <c r="H2159" s="11">
        <v>7.659033108E9</v>
      </c>
      <c r="I2159" s="11" t="s">
        <v>82</v>
      </c>
      <c r="J2159" s="11" t="s">
        <v>71</v>
      </c>
      <c r="K2159" s="11" t="s">
        <v>72</v>
      </c>
      <c r="L2159" s="11" t="s">
        <v>131</v>
      </c>
      <c r="M2159" s="11" t="s">
        <v>636</v>
      </c>
      <c r="N2159" s="11" t="s">
        <v>86</v>
      </c>
      <c r="O2159" s="11" t="s">
        <v>71</v>
      </c>
      <c r="P2159" s="11" t="s">
        <v>11766</v>
      </c>
      <c r="Q2159" s="13" t="s">
        <v>11767</v>
      </c>
      <c r="R2159" s="14" t="str">
        <f>HYPERLINK("https://drive.google.com/file/d/1FNdgWFps4935qRJHM2XITjh5Kdv7x1Zu/view?usp=drivesdk","OFFER LETTER")</f>
        <v>OFFER LETTER</v>
      </c>
      <c r="S2159" s="11" t="s">
        <v>11768</v>
      </c>
    </row>
    <row r="2160" ht="22.5" customHeight="1">
      <c r="A2160" s="10">
        <v>46268.99137717593</v>
      </c>
      <c r="B2160" s="11" t="s">
        <v>11769</v>
      </c>
      <c r="C2160" s="11" t="s">
        <v>173</v>
      </c>
      <c r="D2160" s="11" t="s">
        <v>68</v>
      </c>
      <c r="E2160" s="12">
        <v>46268.0</v>
      </c>
      <c r="F2160" s="12">
        <v>46298.0</v>
      </c>
      <c r="G2160" s="11" t="s">
        <v>11770</v>
      </c>
      <c r="H2160" s="11">
        <v>9.289458119E9</v>
      </c>
      <c r="I2160" s="11" t="s">
        <v>82</v>
      </c>
      <c r="J2160" s="11" t="s">
        <v>71</v>
      </c>
      <c r="K2160" s="11" t="s">
        <v>72</v>
      </c>
      <c r="L2160" s="11" t="s">
        <v>73</v>
      </c>
      <c r="M2160" s="11" t="s">
        <v>11771</v>
      </c>
      <c r="N2160" s="11" t="s">
        <v>86</v>
      </c>
      <c r="O2160" s="11" t="s">
        <v>71</v>
      </c>
      <c r="P2160" s="11" t="s">
        <v>11772</v>
      </c>
      <c r="Q2160" s="13" t="s">
        <v>11773</v>
      </c>
      <c r="R2160" s="14" t="str">
        <f>HYPERLINK("https://drive.google.com/file/d/10sBib2rirLu9LUfYOolhZGwwOM9D3LNl/view?usp=drivesdk","OFFER LETTER")</f>
        <v>OFFER LETTER</v>
      </c>
      <c r="S2160" s="11" t="s">
        <v>11774</v>
      </c>
    </row>
    <row r="2161" ht="22.5" customHeight="1">
      <c r="A2161" s="10">
        <v>46269.019295370366</v>
      </c>
      <c r="B2161" s="11" t="s">
        <v>11775</v>
      </c>
      <c r="C2161" s="11" t="s">
        <v>237</v>
      </c>
      <c r="D2161" s="11" t="s">
        <v>68</v>
      </c>
      <c r="E2161" s="12">
        <v>46269.0</v>
      </c>
      <c r="F2161" s="12">
        <v>46299.0</v>
      </c>
      <c r="G2161" s="11" t="s">
        <v>11776</v>
      </c>
      <c r="H2161" s="11">
        <v>8.303127515E9</v>
      </c>
      <c r="I2161" s="11" t="s">
        <v>82</v>
      </c>
      <c r="J2161" s="11" t="s">
        <v>71</v>
      </c>
      <c r="K2161" s="11" t="s">
        <v>72</v>
      </c>
      <c r="L2161" s="11" t="s">
        <v>73</v>
      </c>
      <c r="M2161" s="11" t="s">
        <v>11777</v>
      </c>
      <c r="N2161" s="11" t="s">
        <v>75</v>
      </c>
      <c r="O2161" s="11" t="s">
        <v>71</v>
      </c>
      <c r="P2161" s="11" t="s">
        <v>11778</v>
      </c>
      <c r="Q2161" s="13" t="s">
        <v>11779</v>
      </c>
      <c r="R2161" s="14" t="str">
        <f>HYPERLINK("https://drive.google.com/file/d/1ExkRt2FaReaIH3OU29--r-ss0rWEDbuZ/view?usp=drivesdk","OFFER LETTER")</f>
        <v>OFFER LETTER</v>
      </c>
      <c r="S2161" s="11" t="s">
        <v>11780</v>
      </c>
    </row>
    <row r="2162" ht="22.5" customHeight="1">
      <c r="A2162" s="10">
        <v>46269.02465935185</v>
      </c>
      <c r="B2162" s="11" t="s">
        <v>11781</v>
      </c>
      <c r="C2162" s="11" t="s">
        <v>298</v>
      </c>
      <c r="D2162" s="11" t="s">
        <v>68</v>
      </c>
      <c r="E2162" s="12">
        <v>46236.0</v>
      </c>
      <c r="F2162" s="12">
        <v>46267.0</v>
      </c>
      <c r="G2162" s="11" t="s">
        <v>11782</v>
      </c>
      <c r="H2162" s="11">
        <v>9.234626884E9</v>
      </c>
      <c r="I2162" s="11" t="s">
        <v>70</v>
      </c>
      <c r="J2162" s="11" t="s">
        <v>71</v>
      </c>
      <c r="K2162" s="11" t="s">
        <v>72</v>
      </c>
      <c r="L2162" s="11" t="s">
        <v>131</v>
      </c>
      <c r="M2162" s="11" t="s">
        <v>11783</v>
      </c>
      <c r="N2162" s="11" t="s">
        <v>75</v>
      </c>
      <c r="O2162" s="11" t="s">
        <v>71</v>
      </c>
      <c r="P2162" s="11" t="s">
        <v>11784</v>
      </c>
      <c r="Q2162" s="13" t="s">
        <v>11785</v>
      </c>
      <c r="R2162" s="14" t="str">
        <f>HYPERLINK("https://drive.google.com/file/d/1a_QCvPiEkjAK9ypME4ZyKtv8jlByILqy/view?usp=drivesdk","OFFER LETTER")</f>
        <v>OFFER LETTER</v>
      </c>
      <c r="S2162" s="11" t="s">
        <v>11786</v>
      </c>
    </row>
    <row r="2163" ht="22.5" customHeight="1">
      <c r="A2163" s="10">
        <v>46269.03056248843</v>
      </c>
      <c r="B2163" s="11" t="s">
        <v>11787</v>
      </c>
      <c r="C2163" s="11" t="s">
        <v>91</v>
      </c>
      <c r="D2163" s="11" t="s">
        <v>68</v>
      </c>
      <c r="E2163" s="12">
        <v>46268.0</v>
      </c>
      <c r="F2163" s="12">
        <v>46299.0</v>
      </c>
      <c r="G2163" s="11" t="s">
        <v>11788</v>
      </c>
      <c r="H2163" s="11">
        <v>7.678491425E9</v>
      </c>
      <c r="I2163" s="11" t="s">
        <v>82</v>
      </c>
      <c r="J2163" s="11" t="s">
        <v>71</v>
      </c>
      <c r="K2163" s="11" t="s">
        <v>72</v>
      </c>
      <c r="L2163" s="11" t="s">
        <v>84</v>
      </c>
      <c r="M2163" s="11" t="s">
        <v>886</v>
      </c>
      <c r="N2163" s="11" t="s">
        <v>75</v>
      </c>
      <c r="O2163" s="11" t="s">
        <v>71</v>
      </c>
      <c r="P2163" s="11" t="s">
        <v>11789</v>
      </c>
      <c r="Q2163" s="13" t="s">
        <v>11790</v>
      </c>
      <c r="R2163" s="14" t="str">
        <f>HYPERLINK("https://drive.google.com/file/d/1ZQwdHrNCD6KVF9OjvXtpWgKhlJRbuFHl/view?usp=drivesdk","OFFER LETTER")</f>
        <v>OFFER LETTER</v>
      </c>
      <c r="S2163" s="11" t="s">
        <v>11791</v>
      </c>
    </row>
    <row r="2164" ht="22.5" customHeight="1">
      <c r="A2164" s="10">
        <v>46269.04257771991</v>
      </c>
      <c r="B2164" s="11" t="s">
        <v>11792</v>
      </c>
      <c r="C2164" s="11" t="s">
        <v>91</v>
      </c>
      <c r="D2164" s="11" t="s">
        <v>68</v>
      </c>
      <c r="E2164" s="12">
        <v>46270.0</v>
      </c>
      <c r="F2164" s="12">
        <v>46301.0</v>
      </c>
      <c r="G2164" s="11" t="s">
        <v>11793</v>
      </c>
      <c r="H2164" s="11">
        <v>9.499275466E9</v>
      </c>
      <c r="I2164" s="11" t="s">
        <v>82</v>
      </c>
      <c r="J2164" s="11" t="s">
        <v>71</v>
      </c>
      <c r="K2164" s="11" t="s">
        <v>72</v>
      </c>
      <c r="L2164" s="11" t="s">
        <v>73</v>
      </c>
      <c r="M2164" s="11" t="s">
        <v>11794</v>
      </c>
      <c r="N2164" s="11" t="s">
        <v>226</v>
      </c>
      <c r="O2164" s="11" t="s">
        <v>71</v>
      </c>
      <c r="P2164" s="11" t="s">
        <v>11795</v>
      </c>
      <c r="Q2164" s="13" t="s">
        <v>11796</v>
      </c>
      <c r="R2164" s="14" t="str">
        <f>HYPERLINK("https://drive.google.com/file/d/11S1DNA2mn3YIpfaxxNfHK4WnzSvsjS9u/view?usp=drivesdk","OFFER LETTER")</f>
        <v>OFFER LETTER</v>
      </c>
      <c r="S2164" s="11" t="s">
        <v>11797</v>
      </c>
    </row>
    <row r="2165" ht="22.5" customHeight="1">
      <c r="A2165" s="10">
        <v>46269.10887836806</v>
      </c>
      <c r="B2165" s="11" t="s">
        <v>11798</v>
      </c>
      <c r="C2165" s="11" t="s">
        <v>195</v>
      </c>
      <c r="D2165" s="11" t="s">
        <v>68</v>
      </c>
      <c r="E2165" s="12">
        <v>46176.0</v>
      </c>
      <c r="F2165" s="12">
        <v>46206.0</v>
      </c>
      <c r="G2165" s="11" t="s">
        <v>11799</v>
      </c>
      <c r="H2165" s="11">
        <v>9.244025767E9</v>
      </c>
      <c r="I2165" s="11" t="s">
        <v>82</v>
      </c>
      <c r="J2165" s="11" t="s">
        <v>71</v>
      </c>
      <c r="K2165" s="11" t="s">
        <v>72</v>
      </c>
      <c r="L2165" s="11" t="s">
        <v>84</v>
      </c>
      <c r="M2165" s="11" t="s">
        <v>1779</v>
      </c>
      <c r="N2165" s="11" t="s">
        <v>226</v>
      </c>
      <c r="O2165" s="11" t="s">
        <v>71</v>
      </c>
      <c r="P2165" s="11" t="s">
        <v>11800</v>
      </c>
      <c r="Q2165" s="13" t="s">
        <v>11801</v>
      </c>
      <c r="R2165" s="14" t="str">
        <f>HYPERLINK("https://drive.google.com/file/d/1ppU-vPFRDcSnoK3M4QyLaXO6Y6QRcVtv/view?usp=drivesdk","OFFER LETTER")</f>
        <v>OFFER LETTER</v>
      </c>
      <c r="S2165" s="11" t="s">
        <v>11802</v>
      </c>
    </row>
    <row r="2166" ht="22.5" customHeight="1">
      <c r="A2166" s="10">
        <v>46269.40742787037</v>
      </c>
      <c r="B2166" s="11" t="s">
        <v>11803</v>
      </c>
      <c r="C2166" s="11" t="s">
        <v>80</v>
      </c>
      <c r="D2166" s="11" t="s">
        <v>68</v>
      </c>
      <c r="E2166" s="12">
        <v>46269.0</v>
      </c>
      <c r="F2166" s="12">
        <v>46299.0</v>
      </c>
      <c r="G2166" s="11" t="s">
        <v>11804</v>
      </c>
      <c r="H2166" s="11">
        <v>8.766454348E9</v>
      </c>
      <c r="I2166" s="11" t="s">
        <v>82</v>
      </c>
      <c r="J2166" s="11" t="s">
        <v>83</v>
      </c>
      <c r="K2166" s="11" t="s">
        <v>72</v>
      </c>
      <c r="L2166" s="11" t="s">
        <v>73</v>
      </c>
      <c r="M2166" s="11" t="s">
        <v>11805</v>
      </c>
      <c r="N2166" s="11" t="s">
        <v>75</v>
      </c>
      <c r="O2166" s="11" t="s">
        <v>71</v>
      </c>
      <c r="P2166" s="11" t="s">
        <v>11806</v>
      </c>
      <c r="Q2166" s="13" t="s">
        <v>11807</v>
      </c>
      <c r="R2166" s="14" t="str">
        <f>HYPERLINK("https://drive.google.com/file/d/1Ffx2zHTmfr3x-LuFQf7mhym2fnO5U6Ak/view?usp=drivesdk","OFFER LETTER")</f>
        <v>OFFER LETTER</v>
      </c>
      <c r="S2166" s="11" t="s">
        <v>11808</v>
      </c>
    </row>
    <row r="2167" ht="22.5" customHeight="1">
      <c r="A2167" s="10">
        <v>46269.437848622685</v>
      </c>
      <c r="B2167" s="11" t="s">
        <v>10248</v>
      </c>
      <c r="C2167" s="11" t="s">
        <v>107</v>
      </c>
      <c r="D2167" s="11" t="s">
        <v>238</v>
      </c>
      <c r="E2167" s="12">
        <v>46268.0</v>
      </c>
      <c r="F2167" s="12">
        <v>46359.0</v>
      </c>
      <c r="G2167" s="11" t="s">
        <v>11809</v>
      </c>
      <c r="H2167" s="11">
        <v>8.092226039E9</v>
      </c>
      <c r="I2167" s="11" t="s">
        <v>82</v>
      </c>
      <c r="K2167" s="11" t="s">
        <v>72</v>
      </c>
      <c r="L2167" s="11" t="s">
        <v>131</v>
      </c>
      <c r="M2167" s="11" t="s">
        <v>11810</v>
      </c>
      <c r="N2167" s="11" t="s">
        <v>86</v>
      </c>
      <c r="O2167" s="11" t="s">
        <v>71</v>
      </c>
      <c r="P2167" s="11" t="s">
        <v>11811</v>
      </c>
      <c r="Q2167" s="13" t="s">
        <v>11812</v>
      </c>
      <c r="R2167" s="14" t="str">
        <f>HYPERLINK("https://drive.google.com/file/d/1YWqpkL-ox4n_uklE1jf_t0FQFli3zyXI/view?usp=drivesdk","OFFER LETTER")</f>
        <v>OFFER LETTER</v>
      </c>
      <c r="S2167" s="11" t="s">
        <v>11813</v>
      </c>
    </row>
    <row r="2168" ht="22.5" customHeight="1">
      <c r="A2168" s="10">
        <v>46269.44250880787</v>
      </c>
      <c r="B2168" s="11" t="s">
        <v>11814</v>
      </c>
      <c r="C2168" s="11" t="s">
        <v>259</v>
      </c>
      <c r="D2168" s="11" t="s">
        <v>108</v>
      </c>
      <c r="E2168" s="12">
        <v>46256.0</v>
      </c>
      <c r="F2168" s="12">
        <v>46317.0</v>
      </c>
      <c r="G2168" s="11" t="s">
        <v>723</v>
      </c>
      <c r="H2168" s="11">
        <v>7.849086525E9</v>
      </c>
      <c r="I2168" s="11" t="s">
        <v>70</v>
      </c>
      <c r="J2168" s="11" t="s">
        <v>71</v>
      </c>
      <c r="K2168" s="11" t="s">
        <v>110</v>
      </c>
      <c r="L2168" s="11" t="s">
        <v>84</v>
      </c>
      <c r="M2168" s="11" t="s">
        <v>11815</v>
      </c>
      <c r="N2168" s="11" t="s">
        <v>655</v>
      </c>
      <c r="O2168" s="11" t="s">
        <v>71</v>
      </c>
      <c r="P2168" s="11" t="s">
        <v>11816</v>
      </c>
      <c r="Q2168" s="13" t="s">
        <v>11817</v>
      </c>
      <c r="R2168" s="14" t="str">
        <f>HYPERLINK("https://drive.google.com/file/d/1lnHjIi3ywlmDcqfRF5eo8my_QiXtpgS4/view?usp=drivesdk","OFFER LETTER")</f>
        <v>OFFER LETTER</v>
      </c>
      <c r="S2168" s="11" t="s">
        <v>11818</v>
      </c>
    </row>
    <row r="2169" ht="22.5" customHeight="1">
      <c r="A2169" s="10">
        <v>46269.44498991898</v>
      </c>
      <c r="B2169" s="11" t="s">
        <v>11814</v>
      </c>
      <c r="C2169" s="11" t="s">
        <v>259</v>
      </c>
      <c r="D2169" s="11" t="s">
        <v>108</v>
      </c>
      <c r="E2169" s="12">
        <v>46256.0</v>
      </c>
      <c r="F2169" s="12">
        <v>46317.0</v>
      </c>
      <c r="G2169" s="11" t="s">
        <v>723</v>
      </c>
      <c r="H2169" s="11">
        <v>7.849086525E9</v>
      </c>
      <c r="I2169" s="11" t="s">
        <v>70</v>
      </c>
      <c r="J2169" s="11" t="s">
        <v>71</v>
      </c>
      <c r="K2169" s="11" t="s">
        <v>110</v>
      </c>
      <c r="L2169" s="11" t="s">
        <v>84</v>
      </c>
      <c r="M2169" s="11" t="s">
        <v>11819</v>
      </c>
      <c r="N2169" s="11" t="s">
        <v>655</v>
      </c>
      <c r="O2169" s="11" t="s">
        <v>71</v>
      </c>
      <c r="P2169" s="11" t="s">
        <v>11820</v>
      </c>
      <c r="Q2169" s="13" t="s">
        <v>11821</v>
      </c>
      <c r="R2169" s="14" t="str">
        <f>HYPERLINK("https://drive.google.com/file/d/11zWF0Rl98tUCVYDhEZU0levjn-_Z3apg/view?usp=drivesdk","OFFER LETTER")</f>
        <v>OFFER LETTER</v>
      </c>
      <c r="S2169" s="11" t="s">
        <v>11822</v>
      </c>
    </row>
    <row r="2170" ht="22.5" customHeight="1">
      <c r="A2170" s="10">
        <v>46269.49748318287</v>
      </c>
      <c r="B2170" s="11" t="s">
        <v>11823</v>
      </c>
      <c r="C2170" s="11" t="s">
        <v>195</v>
      </c>
      <c r="D2170" s="11" t="s">
        <v>68</v>
      </c>
      <c r="E2170" s="12">
        <v>46207.0</v>
      </c>
      <c r="F2170" s="12">
        <v>46238.0</v>
      </c>
      <c r="G2170" s="11" t="s">
        <v>11824</v>
      </c>
      <c r="H2170" s="11">
        <v>9.515884266E9</v>
      </c>
      <c r="I2170" s="11" t="s">
        <v>70</v>
      </c>
      <c r="J2170" s="11" t="s">
        <v>71</v>
      </c>
      <c r="K2170" s="11" t="s">
        <v>72</v>
      </c>
      <c r="L2170" s="11" t="s">
        <v>131</v>
      </c>
      <c r="M2170" s="11" t="s">
        <v>5395</v>
      </c>
      <c r="N2170" s="11" t="s">
        <v>86</v>
      </c>
      <c r="O2170" s="11" t="s">
        <v>71</v>
      </c>
      <c r="P2170" s="11" t="s">
        <v>11825</v>
      </c>
      <c r="Q2170" s="13" t="s">
        <v>11826</v>
      </c>
      <c r="R2170" s="14" t="str">
        <f>HYPERLINK("https://drive.google.com/file/d/1b5aLV94H1TgJ8Y-4RrJPdD5HYApq4AAQ/view?usp=drivesdk","OFFER LETTER")</f>
        <v>OFFER LETTER</v>
      </c>
      <c r="S2170" s="11" t="s">
        <v>11827</v>
      </c>
    </row>
    <row r="2171" ht="22.5" customHeight="1">
      <c r="A2171" s="10">
        <v>46269.509372569446</v>
      </c>
      <c r="B2171" s="11" t="s">
        <v>975</v>
      </c>
      <c r="C2171" s="11" t="s">
        <v>259</v>
      </c>
      <c r="D2171" s="11" t="s">
        <v>108</v>
      </c>
      <c r="E2171" s="12">
        <v>46256.0</v>
      </c>
      <c r="F2171" s="12">
        <v>46317.0</v>
      </c>
      <c r="G2171" s="11" t="s">
        <v>976</v>
      </c>
      <c r="H2171" s="11">
        <v>9.937007149E9</v>
      </c>
      <c r="I2171" s="11" t="s">
        <v>70</v>
      </c>
      <c r="J2171" s="11" t="s">
        <v>71</v>
      </c>
      <c r="K2171" s="11" t="s">
        <v>110</v>
      </c>
      <c r="L2171" s="11" t="s">
        <v>84</v>
      </c>
      <c r="M2171" s="11" t="s">
        <v>702</v>
      </c>
      <c r="N2171" s="11" t="s">
        <v>655</v>
      </c>
      <c r="O2171" s="11" t="s">
        <v>71</v>
      </c>
      <c r="P2171" s="11" t="s">
        <v>11828</v>
      </c>
      <c r="Q2171" s="13" t="s">
        <v>11829</v>
      </c>
      <c r="R2171" s="14" t="str">
        <f>HYPERLINK("https://drive.google.com/file/d/1eOp0Yah4oaQzjszQkJunQJQjrAcgK3RP/view?usp=drivesdk","OFFER LETTER")</f>
        <v>OFFER LETTER</v>
      </c>
      <c r="S2171" s="11" t="s">
        <v>11830</v>
      </c>
    </row>
    <row r="2172" ht="22.5" customHeight="1">
      <c r="A2172" s="10">
        <v>46269.51061534722</v>
      </c>
      <c r="B2172" s="11" t="s">
        <v>11831</v>
      </c>
      <c r="C2172" s="11" t="s">
        <v>259</v>
      </c>
      <c r="D2172" s="11" t="s">
        <v>108</v>
      </c>
      <c r="E2172" s="12">
        <v>46256.0</v>
      </c>
      <c r="F2172" s="12">
        <v>46317.0</v>
      </c>
      <c r="G2172" s="11" t="s">
        <v>11832</v>
      </c>
      <c r="H2172" s="11">
        <v>9.827680153E9</v>
      </c>
      <c r="I2172" s="11" t="s">
        <v>70</v>
      </c>
      <c r="J2172" s="11" t="s">
        <v>71</v>
      </c>
      <c r="K2172" s="11" t="s">
        <v>110</v>
      </c>
      <c r="L2172" s="11" t="s">
        <v>84</v>
      </c>
      <c r="M2172" s="11" t="s">
        <v>11833</v>
      </c>
      <c r="N2172" s="11" t="s">
        <v>86</v>
      </c>
      <c r="O2172" s="11" t="s">
        <v>71</v>
      </c>
      <c r="P2172" s="11" t="s">
        <v>11834</v>
      </c>
      <c r="Q2172" s="13" t="s">
        <v>11835</v>
      </c>
      <c r="R2172" s="14" t="str">
        <f>HYPERLINK("https://drive.google.com/file/d/1AyB-aTq560sUlvrnGKEhy3TJRrihfHeR/view?usp=drivesdk","OFFER LETTER")</f>
        <v>OFFER LETTER</v>
      </c>
      <c r="S2172" s="11" t="s">
        <v>11836</v>
      </c>
    </row>
    <row r="2173" ht="22.5" customHeight="1">
      <c r="A2173" s="10">
        <v>46269.52425181713</v>
      </c>
      <c r="B2173" s="11" t="s">
        <v>11837</v>
      </c>
      <c r="C2173" s="11" t="s">
        <v>1320</v>
      </c>
      <c r="D2173" s="11" t="s">
        <v>68</v>
      </c>
      <c r="E2173" s="12">
        <v>46232.0</v>
      </c>
      <c r="F2173" s="12">
        <v>46263.0</v>
      </c>
      <c r="G2173" s="11" t="s">
        <v>11838</v>
      </c>
      <c r="H2173" s="11">
        <v>9.555352081E9</v>
      </c>
      <c r="I2173" s="11" t="s">
        <v>82</v>
      </c>
      <c r="J2173" s="11" t="s">
        <v>130</v>
      </c>
      <c r="K2173" s="11" t="s">
        <v>72</v>
      </c>
      <c r="L2173" s="11" t="s">
        <v>131</v>
      </c>
      <c r="M2173" s="11" t="s">
        <v>11839</v>
      </c>
      <c r="N2173" s="11" t="s">
        <v>86</v>
      </c>
      <c r="O2173" s="11" t="s">
        <v>71</v>
      </c>
      <c r="P2173" s="11" t="s">
        <v>11840</v>
      </c>
      <c r="Q2173" s="13" t="s">
        <v>11841</v>
      </c>
      <c r="R2173" s="14" t="str">
        <f>HYPERLINK("https://drive.google.com/file/d/1FGNWZEXDBy54sx9CqfD012OWdO2xK9S0/view?usp=drivesdk","OFFER LETTER")</f>
        <v>OFFER LETTER</v>
      </c>
      <c r="S2173" s="11" t="s">
        <v>11842</v>
      </c>
    </row>
    <row r="2174" ht="22.5" customHeight="1">
      <c r="A2174" s="10">
        <v>46269.53671773148</v>
      </c>
      <c r="B2174" s="11" t="s">
        <v>11843</v>
      </c>
      <c r="C2174" s="11" t="s">
        <v>2591</v>
      </c>
      <c r="D2174" s="11" t="s">
        <v>68</v>
      </c>
      <c r="E2174" s="12">
        <v>46204.0</v>
      </c>
      <c r="F2174" s="12">
        <v>46235.0</v>
      </c>
      <c r="G2174" s="11" t="s">
        <v>11844</v>
      </c>
      <c r="H2174" s="11">
        <v>8.755335928E9</v>
      </c>
      <c r="I2174" s="11" t="s">
        <v>82</v>
      </c>
      <c r="J2174" s="11" t="s">
        <v>71</v>
      </c>
      <c r="K2174" s="11" t="s">
        <v>72</v>
      </c>
      <c r="L2174" s="11" t="s">
        <v>84</v>
      </c>
      <c r="M2174" s="11" t="s">
        <v>11743</v>
      </c>
      <c r="N2174" s="11" t="s">
        <v>86</v>
      </c>
      <c r="O2174" s="11" t="s">
        <v>71</v>
      </c>
      <c r="P2174" s="11" t="s">
        <v>11845</v>
      </c>
      <c r="Q2174" s="13" t="s">
        <v>11846</v>
      </c>
      <c r="R2174" s="14" t="str">
        <f>HYPERLINK("https://drive.google.com/file/d/1Y5p2qNqWjxCHVoH9DKDMbPsgGY5vEM7X/view?usp=drivesdk","OFFER LETTER")</f>
        <v>OFFER LETTER</v>
      </c>
      <c r="S2174" s="11" t="s">
        <v>11847</v>
      </c>
    </row>
    <row r="2175" ht="22.5" customHeight="1">
      <c r="A2175" s="10">
        <v>46269.56789391204</v>
      </c>
      <c r="B2175" s="11" t="s">
        <v>11848</v>
      </c>
      <c r="C2175" s="11" t="s">
        <v>237</v>
      </c>
      <c r="D2175" s="11" t="s">
        <v>68</v>
      </c>
      <c r="E2175" s="12">
        <v>46238.0</v>
      </c>
      <c r="F2175" s="12">
        <v>46269.0</v>
      </c>
      <c r="G2175" s="11" t="s">
        <v>11849</v>
      </c>
      <c r="H2175" s="11">
        <v>8.106361835E9</v>
      </c>
      <c r="I2175" s="11" t="s">
        <v>82</v>
      </c>
      <c r="J2175" s="11" t="s">
        <v>71</v>
      </c>
      <c r="K2175" s="11" t="s">
        <v>72</v>
      </c>
      <c r="L2175" s="11" t="s">
        <v>73</v>
      </c>
      <c r="M2175" s="11" t="s">
        <v>2369</v>
      </c>
      <c r="N2175" s="11" t="s">
        <v>241</v>
      </c>
      <c r="O2175" s="11" t="s">
        <v>71</v>
      </c>
      <c r="P2175" s="11" t="s">
        <v>11850</v>
      </c>
      <c r="Q2175" s="13" t="s">
        <v>11851</v>
      </c>
      <c r="R2175" s="14" t="str">
        <f>HYPERLINK("https://drive.google.com/file/d/1LjR_LQ-klfgdXudSKOcfkZDsYKMN667X/view?usp=drivesdk","OFFER LETTER")</f>
        <v>OFFER LETTER</v>
      </c>
      <c r="S2175" s="11" t="s">
        <v>11852</v>
      </c>
    </row>
    <row r="2176" ht="22.5" customHeight="1">
      <c r="A2176" s="10">
        <v>46269.597375717596</v>
      </c>
      <c r="B2176" s="11" t="s">
        <v>11853</v>
      </c>
      <c r="C2176" s="11" t="s">
        <v>195</v>
      </c>
      <c r="D2176" s="11" t="s">
        <v>108</v>
      </c>
      <c r="E2176" s="12">
        <v>46204.0</v>
      </c>
      <c r="F2176" s="12">
        <v>46266.0</v>
      </c>
      <c r="G2176" s="11" t="s">
        <v>11854</v>
      </c>
      <c r="H2176" s="11">
        <v>7.087498774E9</v>
      </c>
      <c r="I2176" s="11" t="s">
        <v>82</v>
      </c>
      <c r="J2176" s="11" t="s">
        <v>71</v>
      </c>
      <c r="K2176" s="11" t="s">
        <v>72</v>
      </c>
      <c r="L2176" s="11" t="s">
        <v>73</v>
      </c>
      <c r="M2176" s="11" t="s">
        <v>11855</v>
      </c>
      <c r="N2176" s="11" t="s">
        <v>86</v>
      </c>
      <c r="O2176" s="11" t="s">
        <v>71</v>
      </c>
      <c r="P2176" s="11" t="s">
        <v>11856</v>
      </c>
      <c r="Q2176" s="13" t="s">
        <v>11857</v>
      </c>
      <c r="R2176" s="14" t="str">
        <f>HYPERLINK("https://drive.google.com/file/d/1BA0NJUutw5-HfNLfimkmxxGuB94TD7eN/view?usp=drivesdk","OFFER LETTER")</f>
        <v>OFFER LETTER</v>
      </c>
      <c r="S2176" s="11" t="s">
        <v>11858</v>
      </c>
    </row>
    <row r="2177" ht="22.5" customHeight="1">
      <c r="A2177" s="10">
        <v>46269.60528146991</v>
      </c>
      <c r="B2177" s="11" t="s">
        <v>11859</v>
      </c>
      <c r="C2177" s="11" t="s">
        <v>173</v>
      </c>
      <c r="D2177" s="11" t="s">
        <v>68</v>
      </c>
      <c r="E2177" s="12">
        <v>46171.0</v>
      </c>
      <c r="F2177" s="12">
        <v>46202.0</v>
      </c>
      <c r="G2177" s="11" t="s">
        <v>11860</v>
      </c>
      <c r="H2177" s="11">
        <v>6.369455135E9</v>
      </c>
      <c r="I2177" s="11" t="s">
        <v>70</v>
      </c>
      <c r="J2177" s="11" t="s">
        <v>71</v>
      </c>
      <c r="K2177" s="11" t="s">
        <v>72</v>
      </c>
      <c r="L2177" s="11" t="s">
        <v>84</v>
      </c>
      <c r="M2177" s="11" t="s">
        <v>11861</v>
      </c>
      <c r="N2177" s="11" t="s">
        <v>86</v>
      </c>
      <c r="O2177" s="11" t="s">
        <v>71</v>
      </c>
      <c r="P2177" s="11" t="s">
        <v>11862</v>
      </c>
      <c r="Q2177" s="13" t="s">
        <v>11863</v>
      </c>
      <c r="R2177" s="14" t="str">
        <f>HYPERLINK("https://drive.google.com/file/d/1_B6eShe5P5pA88LniJWI1jsha-78TW15/view?usp=drivesdk","OFFER LETTER")</f>
        <v>OFFER LETTER</v>
      </c>
      <c r="S2177" s="11" t="s">
        <v>11864</v>
      </c>
    </row>
    <row r="2178" ht="22.5" customHeight="1">
      <c r="A2178" s="10">
        <v>46269.64865217592</v>
      </c>
      <c r="B2178" s="11" t="s">
        <v>11293</v>
      </c>
      <c r="C2178" s="11" t="s">
        <v>91</v>
      </c>
      <c r="D2178" s="11" t="s">
        <v>238</v>
      </c>
      <c r="E2178" s="12">
        <v>46268.0</v>
      </c>
      <c r="F2178" s="12">
        <v>46359.0</v>
      </c>
      <c r="G2178" s="11" t="s">
        <v>11294</v>
      </c>
      <c r="H2178" s="11">
        <v>6.398041389E9</v>
      </c>
      <c r="I2178" s="11" t="s">
        <v>82</v>
      </c>
      <c r="J2178" s="11" t="s">
        <v>83</v>
      </c>
      <c r="K2178" s="11" t="s">
        <v>72</v>
      </c>
      <c r="L2178" s="11" t="s">
        <v>131</v>
      </c>
      <c r="M2178" s="11" t="s">
        <v>11295</v>
      </c>
      <c r="N2178" s="11" t="s">
        <v>241</v>
      </c>
      <c r="O2178" s="11" t="s">
        <v>263</v>
      </c>
      <c r="P2178" s="11" t="s">
        <v>11865</v>
      </c>
      <c r="Q2178" s="13" t="s">
        <v>11866</v>
      </c>
      <c r="R2178" s="14" t="str">
        <f>HYPERLINK("https://drive.google.com/file/d/1v2T_WQNtgwC9f0SIow_f3m8OhD1I3_7U/view?usp=drivesdk","OFFER LETTER")</f>
        <v>OFFER LETTER</v>
      </c>
      <c r="S2178" s="11" t="s">
        <v>11867</v>
      </c>
    </row>
    <row r="2179" ht="22.5" customHeight="1">
      <c r="A2179" s="10">
        <v>46269.65108452547</v>
      </c>
      <c r="B2179" s="11" t="s">
        <v>11868</v>
      </c>
      <c r="C2179" s="11" t="s">
        <v>195</v>
      </c>
      <c r="D2179" s="11" t="s">
        <v>68</v>
      </c>
      <c r="E2179" s="12">
        <v>46245.0</v>
      </c>
      <c r="F2179" s="12">
        <v>46277.0</v>
      </c>
      <c r="G2179" s="11" t="s">
        <v>11869</v>
      </c>
      <c r="H2179" s="17" t="s">
        <v>11870</v>
      </c>
      <c r="I2179" s="11" t="s">
        <v>82</v>
      </c>
      <c r="J2179" s="11" t="s">
        <v>71</v>
      </c>
      <c r="K2179" s="11" t="s">
        <v>72</v>
      </c>
      <c r="L2179" s="11" t="s">
        <v>357</v>
      </c>
      <c r="M2179" s="11" t="s">
        <v>11871</v>
      </c>
      <c r="N2179" s="11" t="s">
        <v>75</v>
      </c>
      <c r="O2179" s="11" t="s">
        <v>71</v>
      </c>
      <c r="P2179" s="11" t="s">
        <v>11872</v>
      </c>
      <c r="Q2179" s="13" t="s">
        <v>11873</v>
      </c>
      <c r="R2179" s="14" t="str">
        <f>HYPERLINK("https://drive.google.com/file/d/1__Az4JeayGs2lvRqQ8SR25DPKrW9hQcQ/view?usp=drivesdk","OFFER LETTER")</f>
        <v>OFFER LETTER</v>
      </c>
      <c r="S2179" s="11" t="s">
        <v>11874</v>
      </c>
    </row>
    <row r="2180" ht="22.5" customHeight="1">
      <c r="A2180" s="10">
        <v>46269.66302796296</v>
      </c>
      <c r="B2180" s="11" t="s">
        <v>11875</v>
      </c>
      <c r="C2180" s="11" t="s">
        <v>298</v>
      </c>
      <c r="D2180" s="11" t="s">
        <v>68</v>
      </c>
      <c r="E2180" s="12">
        <v>46174.0</v>
      </c>
      <c r="F2180" s="12">
        <v>46204.0</v>
      </c>
      <c r="G2180" s="11" t="s">
        <v>11876</v>
      </c>
      <c r="H2180" s="17" t="s">
        <v>11877</v>
      </c>
      <c r="I2180" s="11" t="s">
        <v>82</v>
      </c>
      <c r="J2180" s="11" t="s">
        <v>71</v>
      </c>
      <c r="K2180" s="11" t="s">
        <v>72</v>
      </c>
      <c r="L2180" s="11" t="s">
        <v>84</v>
      </c>
      <c r="M2180" s="11" t="s">
        <v>11878</v>
      </c>
      <c r="N2180" s="11" t="s">
        <v>86</v>
      </c>
      <c r="O2180" s="11" t="s">
        <v>71</v>
      </c>
      <c r="P2180" s="11" t="s">
        <v>11879</v>
      </c>
      <c r="Q2180" s="13" t="s">
        <v>11880</v>
      </c>
      <c r="R2180" s="14" t="str">
        <f>HYPERLINK("https://drive.google.com/file/d/1I79ojr1R9pRJjKcIfdyPcA-3IAzqE22T/view?usp=drivesdk","OFFER LETTER")</f>
        <v>OFFER LETTER</v>
      </c>
      <c r="S2180" s="11" t="s">
        <v>11881</v>
      </c>
    </row>
    <row r="2181" ht="22.5" customHeight="1">
      <c r="A2181" s="10">
        <v>46269.67289372685</v>
      </c>
      <c r="B2181" s="11" t="s">
        <v>11882</v>
      </c>
      <c r="C2181" s="11" t="s">
        <v>1320</v>
      </c>
      <c r="D2181" s="11" t="s">
        <v>108</v>
      </c>
      <c r="E2181" s="12">
        <v>46208.0</v>
      </c>
      <c r="F2181" s="12">
        <v>46270.0</v>
      </c>
      <c r="G2181" s="11" t="s">
        <v>11883</v>
      </c>
      <c r="H2181" s="11">
        <v>9.556498642E9</v>
      </c>
      <c r="I2181" s="11" t="s">
        <v>70</v>
      </c>
      <c r="J2181" s="11" t="s">
        <v>71</v>
      </c>
      <c r="K2181" s="11" t="s">
        <v>72</v>
      </c>
      <c r="L2181" s="11" t="s">
        <v>73</v>
      </c>
      <c r="M2181" s="11" t="s">
        <v>11884</v>
      </c>
      <c r="N2181" s="11" t="s">
        <v>75</v>
      </c>
      <c r="O2181" s="11" t="s">
        <v>71</v>
      </c>
      <c r="P2181" s="11" t="s">
        <v>11885</v>
      </c>
      <c r="Q2181" s="13" t="s">
        <v>11886</v>
      </c>
      <c r="R2181" s="14" t="str">
        <f>HYPERLINK("https://drive.google.com/file/d/1vgOBv4XFo7P8iHsMi1qLLcE5sZTLoMcJ/view?usp=drivesdk","OFFER LETTER")</f>
        <v>OFFER LETTER</v>
      </c>
      <c r="S2181" s="11" t="s">
        <v>11887</v>
      </c>
    </row>
    <row r="2182" ht="22.5" customHeight="1">
      <c r="A2182" s="10">
        <v>46269.73492125</v>
      </c>
      <c r="B2182" s="11" t="s">
        <v>11888</v>
      </c>
      <c r="C2182" s="11" t="s">
        <v>237</v>
      </c>
      <c r="D2182" s="11" t="s">
        <v>68</v>
      </c>
      <c r="E2182" s="12">
        <v>46270.0</v>
      </c>
      <c r="F2182" s="12">
        <v>46299.0</v>
      </c>
      <c r="G2182" s="11" t="s">
        <v>11889</v>
      </c>
      <c r="H2182" s="11">
        <v>7.396352146E9</v>
      </c>
      <c r="I2182" s="11" t="s">
        <v>82</v>
      </c>
      <c r="J2182" s="11" t="s">
        <v>71</v>
      </c>
      <c r="K2182" s="11" t="s">
        <v>72</v>
      </c>
      <c r="L2182" s="11" t="s">
        <v>84</v>
      </c>
      <c r="M2182" s="11" t="s">
        <v>11605</v>
      </c>
      <c r="N2182" s="11" t="s">
        <v>75</v>
      </c>
      <c r="O2182" s="11" t="s">
        <v>71</v>
      </c>
      <c r="P2182" s="11" t="s">
        <v>11890</v>
      </c>
      <c r="Q2182" s="13" t="s">
        <v>11891</v>
      </c>
      <c r="R2182" s="14" t="str">
        <f>HYPERLINK("https://drive.google.com/file/d/1GzFyEyWNlQ6FJVaVT651ADtBpS_aiQZy/view?usp=drivesdk","OFFER LETTER")</f>
        <v>OFFER LETTER</v>
      </c>
      <c r="S2182" s="11" t="s">
        <v>11892</v>
      </c>
    </row>
    <row r="2183" ht="22.5" customHeight="1">
      <c r="A2183" s="10">
        <v>46269.74704145834</v>
      </c>
      <c r="B2183" s="11" t="s">
        <v>11893</v>
      </c>
      <c r="C2183" s="11" t="s">
        <v>195</v>
      </c>
      <c r="D2183" s="11" t="s">
        <v>108</v>
      </c>
      <c r="E2183" s="12">
        <v>46157.0</v>
      </c>
      <c r="F2183" s="12">
        <v>46218.0</v>
      </c>
      <c r="G2183" s="11" t="s">
        <v>11894</v>
      </c>
      <c r="H2183" s="11">
        <v>6.309510545E9</v>
      </c>
      <c r="I2183" s="11" t="s">
        <v>70</v>
      </c>
      <c r="J2183" s="11" t="s">
        <v>71</v>
      </c>
      <c r="K2183" s="11" t="s">
        <v>72</v>
      </c>
      <c r="L2183" s="11" t="s">
        <v>73</v>
      </c>
      <c r="M2183" s="11" t="s">
        <v>11895</v>
      </c>
      <c r="N2183" s="11" t="s">
        <v>86</v>
      </c>
      <c r="O2183" s="11" t="s">
        <v>71</v>
      </c>
      <c r="P2183" s="11" t="s">
        <v>11896</v>
      </c>
      <c r="Q2183" s="13" t="s">
        <v>11897</v>
      </c>
      <c r="R2183" s="14" t="str">
        <f>HYPERLINK("https://drive.google.com/file/d/1U4KkpplMTTDZ2HMgqkHuJCw-XBUISfQz/view?usp=drivesdk","OFFER LETTER")</f>
        <v>OFFER LETTER</v>
      </c>
      <c r="S2183" s="11" t="s">
        <v>11898</v>
      </c>
    </row>
    <row r="2184" ht="22.5" customHeight="1">
      <c r="A2184" s="10">
        <v>46269.75020916667</v>
      </c>
      <c r="B2184" s="11" t="s">
        <v>11899</v>
      </c>
      <c r="C2184" s="11" t="s">
        <v>195</v>
      </c>
      <c r="D2184" s="11" t="s">
        <v>68</v>
      </c>
      <c r="E2184" s="12">
        <v>46243.0</v>
      </c>
      <c r="F2184" s="12">
        <v>46273.0</v>
      </c>
      <c r="G2184" s="11" t="s">
        <v>11900</v>
      </c>
      <c r="H2184" s="11">
        <v>7.827870578E9</v>
      </c>
      <c r="I2184" s="11" t="s">
        <v>70</v>
      </c>
      <c r="J2184" s="11" t="s">
        <v>71</v>
      </c>
      <c r="K2184" s="11" t="s">
        <v>72</v>
      </c>
      <c r="L2184" s="11" t="s">
        <v>73</v>
      </c>
      <c r="M2184" s="11" t="s">
        <v>11901</v>
      </c>
      <c r="N2184" s="11" t="s">
        <v>155</v>
      </c>
      <c r="O2184" s="11" t="s">
        <v>71</v>
      </c>
      <c r="P2184" s="11" t="s">
        <v>11902</v>
      </c>
      <c r="Q2184" s="13" t="s">
        <v>11903</v>
      </c>
      <c r="R2184" s="14" t="str">
        <f>HYPERLINK("https://drive.google.com/file/d/1Nhiv-uYU_cLPxXcBAYv1yoXO93XVW-hB/view?usp=drivesdk","OFFER LETTER")</f>
        <v>OFFER LETTER</v>
      </c>
      <c r="S2184" s="11" t="s">
        <v>11904</v>
      </c>
    </row>
    <row r="2185" ht="22.5" customHeight="1">
      <c r="A2185" s="10">
        <v>46269.764436956015</v>
      </c>
      <c r="B2185" s="11" t="s">
        <v>11905</v>
      </c>
      <c r="C2185" s="11" t="s">
        <v>173</v>
      </c>
      <c r="D2185" s="11" t="s">
        <v>238</v>
      </c>
      <c r="E2185" s="12">
        <v>46176.0</v>
      </c>
      <c r="F2185" s="12">
        <v>46268.0</v>
      </c>
      <c r="G2185" s="11" t="s">
        <v>11906</v>
      </c>
      <c r="H2185" s="17" t="s">
        <v>11907</v>
      </c>
      <c r="I2185" s="11" t="s">
        <v>82</v>
      </c>
      <c r="J2185" s="11" t="s">
        <v>71</v>
      </c>
      <c r="K2185" s="11" t="s">
        <v>72</v>
      </c>
      <c r="L2185" s="11" t="s">
        <v>84</v>
      </c>
      <c r="M2185" s="11" t="s">
        <v>11908</v>
      </c>
      <c r="N2185" s="11" t="s">
        <v>11909</v>
      </c>
      <c r="O2185" s="11" t="s">
        <v>71</v>
      </c>
      <c r="P2185" s="11" t="s">
        <v>11910</v>
      </c>
      <c r="Q2185" s="13" t="s">
        <v>11911</v>
      </c>
      <c r="R2185" s="14" t="str">
        <f>HYPERLINK("https://drive.google.com/file/d/1SrlInwlmi6Qk7NSYFb4Ee2VsrjUcvfOc/view?usp=drivesdk","OFFER LETTER")</f>
        <v>OFFER LETTER</v>
      </c>
      <c r="S2185" s="11" t="s">
        <v>11912</v>
      </c>
    </row>
    <row r="2186" ht="22.5" customHeight="1">
      <c r="A2186" s="10">
        <v>46269.8010003588</v>
      </c>
      <c r="B2186" s="11" t="s">
        <v>11913</v>
      </c>
      <c r="C2186" s="11" t="s">
        <v>259</v>
      </c>
      <c r="D2186" s="11" t="s">
        <v>68</v>
      </c>
      <c r="E2186" s="12">
        <v>46267.0</v>
      </c>
      <c r="F2186" s="12">
        <v>46297.0</v>
      </c>
      <c r="G2186" s="11" t="s">
        <v>10023</v>
      </c>
      <c r="H2186" s="11">
        <v>8.639039178E9</v>
      </c>
      <c r="I2186" s="11" t="s">
        <v>70</v>
      </c>
      <c r="J2186" s="11" t="s">
        <v>130</v>
      </c>
      <c r="K2186" s="11" t="s">
        <v>72</v>
      </c>
      <c r="L2186" s="11" t="s">
        <v>73</v>
      </c>
      <c r="M2186" s="11" t="s">
        <v>10024</v>
      </c>
      <c r="N2186" s="11" t="s">
        <v>86</v>
      </c>
      <c r="O2186" s="11" t="s">
        <v>71</v>
      </c>
      <c r="P2186" s="11" t="s">
        <v>11914</v>
      </c>
      <c r="Q2186" s="13" t="s">
        <v>11915</v>
      </c>
      <c r="R2186" s="14" t="str">
        <f>HYPERLINK("https://drive.google.com/file/d/1v2VKLsarm71K2fh_GM551vqWdodm7xM5/view?usp=drivesdk","OFFER LETTER")</f>
        <v>OFFER LETTER</v>
      </c>
      <c r="S2186" s="11" t="s">
        <v>11916</v>
      </c>
    </row>
    <row r="2187" ht="22.5" customHeight="1">
      <c r="A2187" s="10">
        <v>46269.8026134838</v>
      </c>
      <c r="B2187" s="11" t="s">
        <v>11917</v>
      </c>
      <c r="C2187" s="11" t="s">
        <v>596</v>
      </c>
      <c r="D2187" s="11" t="s">
        <v>108</v>
      </c>
      <c r="E2187" s="12">
        <v>46152.0</v>
      </c>
      <c r="F2187" s="12">
        <v>46218.0</v>
      </c>
      <c r="G2187" s="11" t="s">
        <v>11918</v>
      </c>
      <c r="H2187" s="11">
        <v>7.406920769E9</v>
      </c>
      <c r="I2187" s="11" t="s">
        <v>82</v>
      </c>
      <c r="J2187" s="11" t="s">
        <v>71</v>
      </c>
      <c r="K2187" s="11" t="s">
        <v>72</v>
      </c>
      <c r="L2187" s="11" t="s">
        <v>73</v>
      </c>
      <c r="M2187" s="11" t="s">
        <v>11919</v>
      </c>
      <c r="N2187" s="11" t="s">
        <v>1533</v>
      </c>
      <c r="O2187" s="11" t="s">
        <v>71</v>
      </c>
      <c r="P2187" s="11" t="s">
        <v>11920</v>
      </c>
      <c r="Q2187" s="13" t="s">
        <v>11921</v>
      </c>
      <c r="R2187" s="14" t="str">
        <f>HYPERLINK("https://drive.google.com/file/d/12CZVYSSP7SjwbaMOeAcIGMBXFE9JIAQU/view?usp=drivesdk","OFFER LETTER")</f>
        <v>OFFER LETTER</v>
      </c>
      <c r="S2187" s="11" t="s">
        <v>11922</v>
      </c>
    </row>
    <row r="2188" ht="22.5" customHeight="1">
      <c r="A2188" s="10">
        <v>46269.81356121528</v>
      </c>
      <c r="B2188" s="11" t="s">
        <v>11923</v>
      </c>
      <c r="C2188" s="11" t="s">
        <v>298</v>
      </c>
      <c r="D2188" s="11" t="s">
        <v>68</v>
      </c>
      <c r="E2188" s="12">
        <v>46269.0</v>
      </c>
      <c r="F2188" s="12">
        <v>46299.0</v>
      </c>
      <c r="G2188" s="11" t="s">
        <v>11924</v>
      </c>
      <c r="H2188" s="11">
        <v>9.022840095E9</v>
      </c>
      <c r="I2188" s="11" t="s">
        <v>70</v>
      </c>
      <c r="J2188" s="11" t="s">
        <v>71</v>
      </c>
      <c r="K2188" s="11" t="s">
        <v>72</v>
      </c>
      <c r="L2188" s="11" t="s">
        <v>131</v>
      </c>
      <c r="M2188" s="11" t="s">
        <v>11925</v>
      </c>
      <c r="N2188" s="11" t="s">
        <v>75</v>
      </c>
      <c r="O2188" s="11" t="s">
        <v>71</v>
      </c>
      <c r="P2188" s="11" t="s">
        <v>11926</v>
      </c>
      <c r="Q2188" s="13" t="s">
        <v>11927</v>
      </c>
      <c r="R2188" s="14" t="str">
        <f>HYPERLINK("https://drive.google.com/file/d/1buhkCIwvJ-DLwrA2nJ5XJqdySjPx_kuU/view?usp=drivesdk","OFFER LETTER")</f>
        <v>OFFER LETTER</v>
      </c>
      <c r="S2188" s="11" t="s">
        <v>11928</v>
      </c>
    </row>
    <row r="2189" ht="22.5" customHeight="1">
      <c r="A2189" s="10">
        <v>46269.81423914352</v>
      </c>
      <c r="B2189" s="11" t="s">
        <v>11929</v>
      </c>
      <c r="C2189" s="11" t="s">
        <v>173</v>
      </c>
      <c r="D2189" s="11" t="s">
        <v>68</v>
      </c>
      <c r="E2189" s="12">
        <v>46238.0</v>
      </c>
      <c r="F2189" s="12">
        <v>46269.0</v>
      </c>
      <c r="G2189" s="11" t="s">
        <v>11930</v>
      </c>
      <c r="H2189" s="11">
        <v>6.30102608E9</v>
      </c>
      <c r="I2189" s="11" t="s">
        <v>70</v>
      </c>
      <c r="J2189" s="11" t="s">
        <v>71</v>
      </c>
      <c r="K2189" s="11" t="s">
        <v>72</v>
      </c>
      <c r="L2189" s="11" t="s">
        <v>131</v>
      </c>
      <c r="M2189" s="11" t="s">
        <v>11931</v>
      </c>
      <c r="N2189" s="11" t="s">
        <v>11932</v>
      </c>
      <c r="O2189" s="11" t="s">
        <v>71</v>
      </c>
      <c r="P2189" s="11" t="s">
        <v>11933</v>
      </c>
      <c r="Q2189" s="13" t="s">
        <v>11934</v>
      </c>
      <c r="R2189" s="14" t="str">
        <f>HYPERLINK("https://drive.google.com/file/d/1GaH-uGCIu2IFopAfRwIvr-ZbwNnBNu2H/view?usp=drivesdk","OFFER LETTER")</f>
        <v>OFFER LETTER</v>
      </c>
      <c r="S2189" s="11" t="s">
        <v>11935</v>
      </c>
    </row>
    <row r="2190" ht="22.5" customHeight="1">
      <c r="A2190" s="10">
        <v>46269.81555475695</v>
      </c>
      <c r="B2190" s="11" t="s">
        <v>11936</v>
      </c>
      <c r="C2190" s="11" t="s">
        <v>259</v>
      </c>
      <c r="D2190" s="11" t="s">
        <v>68</v>
      </c>
      <c r="E2190" s="12">
        <v>46269.0</v>
      </c>
      <c r="F2190" s="12">
        <v>46299.0</v>
      </c>
      <c r="G2190" s="11" t="s">
        <v>11937</v>
      </c>
      <c r="H2190" s="11">
        <v>7.718903678E9</v>
      </c>
      <c r="I2190" s="11" t="s">
        <v>70</v>
      </c>
      <c r="J2190" s="11" t="s">
        <v>71</v>
      </c>
      <c r="K2190" s="11" t="s">
        <v>72</v>
      </c>
      <c r="L2190" s="11" t="s">
        <v>73</v>
      </c>
      <c r="M2190" s="11" t="s">
        <v>11938</v>
      </c>
      <c r="N2190" s="11" t="s">
        <v>1641</v>
      </c>
      <c r="O2190" s="11" t="s">
        <v>71</v>
      </c>
      <c r="P2190" s="11" t="s">
        <v>11939</v>
      </c>
      <c r="Q2190" s="13" t="s">
        <v>11940</v>
      </c>
      <c r="R2190" s="14" t="str">
        <f>HYPERLINK("https://drive.google.com/file/d/1aKf_eJ4LDjh4b65H3rmro96Kq5CJ3zsI/view?usp=drivesdk","OFFER LETTER")</f>
        <v>OFFER LETTER</v>
      </c>
      <c r="S2190" s="11" t="s">
        <v>11941</v>
      </c>
    </row>
    <row r="2191" ht="22.5" customHeight="1">
      <c r="A2191" s="10">
        <v>46269.82124696759</v>
      </c>
      <c r="B2191" s="11" t="s">
        <v>11942</v>
      </c>
      <c r="C2191" s="11" t="s">
        <v>91</v>
      </c>
      <c r="D2191" s="11" t="s">
        <v>68</v>
      </c>
      <c r="E2191" s="12">
        <v>46269.0</v>
      </c>
      <c r="F2191" s="12">
        <v>46299.0</v>
      </c>
      <c r="G2191" s="11" t="s">
        <v>11943</v>
      </c>
      <c r="H2191" s="11">
        <v>8.650314758E9</v>
      </c>
      <c r="I2191" s="11" t="s">
        <v>82</v>
      </c>
      <c r="J2191" s="11" t="s">
        <v>130</v>
      </c>
      <c r="K2191" s="11" t="s">
        <v>72</v>
      </c>
      <c r="L2191" s="11" t="s">
        <v>73</v>
      </c>
      <c r="M2191" s="11" t="s">
        <v>11944</v>
      </c>
      <c r="N2191" s="11" t="s">
        <v>420</v>
      </c>
      <c r="O2191" s="11" t="s">
        <v>71</v>
      </c>
      <c r="P2191" s="11" t="s">
        <v>11945</v>
      </c>
      <c r="Q2191" s="13" t="s">
        <v>11946</v>
      </c>
      <c r="R2191" s="14" t="str">
        <f>HYPERLINK("https://drive.google.com/file/d/1b9xrszlCW2jiP5bN3rGswjOO2aHOwQ4p/view?usp=drivesdk","OFFER LETTER")</f>
        <v>OFFER LETTER</v>
      </c>
      <c r="S2191" s="11" t="s">
        <v>11947</v>
      </c>
    </row>
    <row r="2192" ht="22.5" customHeight="1">
      <c r="A2192" s="10">
        <v>46269.82677449074</v>
      </c>
      <c r="B2192" s="11" t="s">
        <v>11948</v>
      </c>
      <c r="C2192" s="11" t="s">
        <v>173</v>
      </c>
      <c r="D2192" s="11" t="s">
        <v>68</v>
      </c>
      <c r="E2192" s="12">
        <v>46147.0</v>
      </c>
      <c r="F2192" s="12">
        <v>46178.0</v>
      </c>
      <c r="G2192" s="11" t="s">
        <v>11949</v>
      </c>
      <c r="H2192" s="11">
        <v>8.058986746E9</v>
      </c>
      <c r="I2192" s="11" t="s">
        <v>70</v>
      </c>
      <c r="J2192" s="11" t="s">
        <v>71</v>
      </c>
      <c r="K2192" s="11" t="s">
        <v>72</v>
      </c>
      <c r="L2192" s="11" t="s">
        <v>73</v>
      </c>
      <c r="M2192" s="11" t="s">
        <v>11950</v>
      </c>
      <c r="N2192" s="11" t="s">
        <v>241</v>
      </c>
      <c r="O2192" s="11" t="s">
        <v>71</v>
      </c>
      <c r="P2192" s="11" t="s">
        <v>11951</v>
      </c>
      <c r="Q2192" s="13" t="s">
        <v>11952</v>
      </c>
      <c r="R2192" s="14" t="str">
        <f>HYPERLINK("https://drive.google.com/file/d/1gUUzTpEsj34qEeq4VzGIHM5SQx804C_1/view?usp=drivesdk","OFFER LETTER")</f>
        <v>OFFER LETTER</v>
      </c>
      <c r="S2192" s="11" t="s">
        <v>11953</v>
      </c>
    </row>
    <row r="2193" ht="22.5" customHeight="1">
      <c r="A2193" s="10">
        <v>46269.828810046296</v>
      </c>
      <c r="B2193" s="11" t="s">
        <v>11954</v>
      </c>
      <c r="C2193" s="11" t="s">
        <v>107</v>
      </c>
      <c r="D2193" s="11" t="s">
        <v>238</v>
      </c>
      <c r="E2193" s="12">
        <v>46147.0</v>
      </c>
      <c r="F2193" s="12">
        <v>46239.0</v>
      </c>
      <c r="G2193" s="11" t="s">
        <v>11955</v>
      </c>
      <c r="H2193" s="11" t="s">
        <v>11956</v>
      </c>
      <c r="I2193" s="11" t="s">
        <v>70</v>
      </c>
      <c r="J2193" s="11" t="s">
        <v>130</v>
      </c>
      <c r="K2193" s="11" t="s">
        <v>110</v>
      </c>
      <c r="L2193" s="11" t="s">
        <v>73</v>
      </c>
      <c r="M2193" s="11" t="s">
        <v>11957</v>
      </c>
      <c r="N2193" s="11" t="s">
        <v>86</v>
      </c>
      <c r="O2193" s="11" t="s">
        <v>71</v>
      </c>
      <c r="P2193" s="11" t="s">
        <v>11958</v>
      </c>
      <c r="Q2193" s="13" t="s">
        <v>11959</v>
      </c>
      <c r="R2193" s="14" t="str">
        <f>HYPERLINK("https://drive.google.com/file/d/13Pp_Wxao8Ppq4oJBxHb4H-LOAza7YkmT/view?usp=drivesdk","OFFER LETTER")</f>
        <v>OFFER LETTER</v>
      </c>
      <c r="S2193" s="11" t="s">
        <v>11960</v>
      </c>
    </row>
    <row r="2194" ht="22.5" customHeight="1">
      <c r="A2194" s="10">
        <v>46269.832092337965</v>
      </c>
      <c r="B2194" s="11" t="s">
        <v>11961</v>
      </c>
      <c r="C2194" s="11" t="s">
        <v>67</v>
      </c>
      <c r="D2194" s="11" t="s">
        <v>108</v>
      </c>
      <c r="E2194" s="12">
        <v>46176.0</v>
      </c>
      <c r="F2194" s="12">
        <v>46237.0</v>
      </c>
      <c r="G2194" s="11" t="s">
        <v>11883</v>
      </c>
      <c r="H2194" s="11">
        <v>9.556498642E9</v>
      </c>
      <c r="I2194" s="11" t="s">
        <v>70</v>
      </c>
      <c r="J2194" s="11" t="s">
        <v>71</v>
      </c>
      <c r="K2194" s="11" t="s">
        <v>72</v>
      </c>
      <c r="L2194" s="11" t="s">
        <v>73</v>
      </c>
      <c r="M2194" s="11" t="s">
        <v>11962</v>
      </c>
      <c r="N2194" s="11" t="s">
        <v>75</v>
      </c>
      <c r="O2194" s="11" t="s">
        <v>71</v>
      </c>
      <c r="P2194" s="11" t="s">
        <v>11963</v>
      </c>
      <c r="Q2194" s="13" t="s">
        <v>11964</v>
      </c>
      <c r="R2194" s="14" t="str">
        <f>HYPERLINK("https://drive.google.com/file/d/1-awmVZJ1lRe_KktpZBlGmHowLcHCBP2k/view?usp=drivesdk","OFFER LETTER")</f>
        <v>OFFER LETTER</v>
      </c>
      <c r="S2194" s="11" t="s">
        <v>11965</v>
      </c>
    </row>
    <row r="2195" ht="22.5" customHeight="1">
      <c r="A2195" s="10">
        <v>46269.85659762731</v>
      </c>
      <c r="B2195" s="11" t="s">
        <v>11966</v>
      </c>
      <c r="C2195" s="11" t="s">
        <v>91</v>
      </c>
      <c r="D2195" s="11" t="s">
        <v>108</v>
      </c>
      <c r="E2195" s="12">
        <v>46220.0</v>
      </c>
      <c r="F2195" s="12">
        <v>46281.0</v>
      </c>
      <c r="G2195" s="11" t="s">
        <v>11967</v>
      </c>
      <c r="H2195" s="11">
        <v>6.201543895E9</v>
      </c>
      <c r="I2195" s="11" t="s">
        <v>82</v>
      </c>
      <c r="J2195" s="11" t="s">
        <v>71</v>
      </c>
      <c r="K2195" s="11" t="s">
        <v>72</v>
      </c>
      <c r="L2195" s="11" t="s">
        <v>73</v>
      </c>
      <c r="M2195" s="11" t="s">
        <v>2489</v>
      </c>
      <c r="N2195" s="11" t="s">
        <v>198</v>
      </c>
      <c r="O2195" s="11" t="s">
        <v>71</v>
      </c>
      <c r="P2195" s="11" t="s">
        <v>11968</v>
      </c>
      <c r="Q2195" s="13" t="s">
        <v>11969</v>
      </c>
      <c r="R2195" s="14" t="str">
        <f>HYPERLINK("https://drive.google.com/file/d/1ZKNMExG6yg4SUIGafVIzKfUB7yPkoPM6/view?usp=drivesdk","OFFER LETTER")</f>
        <v>OFFER LETTER</v>
      </c>
      <c r="S2195" s="11" t="s">
        <v>11970</v>
      </c>
    </row>
    <row r="2196" ht="22.5" customHeight="1">
      <c r="A2196" s="10">
        <v>46269.85679253472</v>
      </c>
      <c r="B2196" s="11" t="s">
        <v>11971</v>
      </c>
      <c r="C2196" s="11" t="s">
        <v>195</v>
      </c>
      <c r="D2196" s="11" t="s">
        <v>68</v>
      </c>
      <c r="E2196" s="12">
        <v>46233.0</v>
      </c>
      <c r="F2196" s="12">
        <v>46264.0</v>
      </c>
      <c r="G2196" s="11" t="s">
        <v>11972</v>
      </c>
      <c r="H2196" s="11">
        <v>9.354719739E9</v>
      </c>
      <c r="I2196" s="11" t="s">
        <v>82</v>
      </c>
      <c r="J2196" s="11" t="s">
        <v>71</v>
      </c>
      <c r="K2196" s="11" t="s">
        <v>72</v>
      </c>
      <c r="L2196" s="11" t="s">
        <v>84</v>
      </c>
      <c r="M2196" s="11" t="s">
        <v>2655</v>
      </c>
      <c r="N2196" s="11" t="s">
        <v>86</v>
      </c>
      <c r="O2196" s="11" t="s">
        <v>71</v>
      </c>
      <c r="P2196" s="11" t="s">
        <v>11973</v>
      </c>
      <c r="Q2196" s="13" t="s">
        <v>11974</v>
      </c>
      <c r="R2196" s="14" t="str">
        <f>HYPERLINK("https://drive.google.com/file/d/1bpixZTGN1T-GuCBwzTkGks-4ZIkphye_/view?usp=drivesdk","OFFER LETTER")</f>
        <v>OFFER LETTER</v>
      </c>
      <c r="S2196" s="11" t="s">
        <v>11975</v>
      </c>
    </row>
    <row r="2197" ht="22.5" customHeight="1">
      <c r="A2197" s="10">
        <v>46269.85884048611</v>
      </c>
      <c r="B2197" s="11" t="s">
        <v>11976</v>
      </c>
      <c r="C2197" s="11" t="s">
        <v>195</v>
      </c>
      <c r="D2197" s="11" t="s">
        <v>68</v>
      </c>
      <c r="E2197" s="12">
        <v>46061.0</v>
      </c>
      <c r="F2197" s="12">
        <v>46062.0</v>
      </c>
      <c r="G2197" s="11" t="s">
        <v>11977</v>
      </c>
      <c r="H2197" s="11">
        <v>9.835590947E9</v>
      </c>
      <c r="I2197" s="11" t="s">
        <v>82</v>
      </c>
      <c r="J2197" s="11" t="s">
        <v>71</v>
      </c>
      <c r="K2197" s="11" t="s">
        <v>72</v>
      </c>
      <c r="L2197" s="11" t="s">
        <v>73</v>
      </c>
      <c r="M2197" s="11" t="s">
        <v>11978</v>
      </c>
      <c r="N2197" s="11" t="s">
        <v>198</v>
      </c>
      <c r="O2197" s="11" t="s">
        <v>71</v>
      </c>
      <c r="P2197" s="11" t="s">
        <v>11979</v>
      </c>
      <c r="Q2197" s="13" t="s">
        <v>11980</v>
      </c>
      <c r="R2197" s="14" t="str">
        <f>HYPERLINK("https://drive.google.com/file/d/1RoMeFtf-WR2IDlfmoEormddfYfpCeSxw/view?usp=drivesdk","OFFER LETTER")</f>
        <v>OFFER LETTER</v>
      </c>
      <c r="S2197" s="11" t="s">
        <v>11981</v>
      </c>
    </row>
    <row r="2198" ht="22.5" customHeight="1">
      <c r="A2198" s="10">
        <v>46269.86067689815</v>
      </c>
      <c r="B2198" s="11" t="s">
        <v>11976</v>
      </c>
      <c r="C2198" s="11" t="s">
        <v>195</v>
      </c>
      <c r="D2198" s="11" t="s">
        <v>68</v>
      </c>
      <c r="E2198" s="12">
        <v>46061.0</v>
      </c>
      <c r="F2198" s="12">
        <v>46062.0</v>
      </c>
      <c r="G2198" s="11" t="s">
        <v>11977</v>
      </c>
      <c r="H2198" s="11">
        <v>9.835590947E9</v>
      </c>
      <c r="I2198" s="11" t="s">
        <v>82</v>
      </c>
      <c r="J2198" s="11" t="s">
        <v>71</v>
      </c>
      <c r="K2198" s="11" t="s">
        <v>72</v>
      </c>
      <c r="L2198" s="11" t="s">
        <v>73</v>
      </c>
      <c r="M2198" s="11" t="s">
        <v>2489</v>
      </c>
      <c r="N2198" s="11" t="s">
        <v>198</v>
      </c>
      <c r="O2198" s="11" t="s">
        <v>71</v>
      </c>
      <c r="P2198" s="11" t="s">
        <v>11982</v>
      </c>
      <c r="Q2198" s="13" t="s">
        <v>11983</v>
      </c>
      <c r="R2198" s="14" t="str">
        <f>HYPERLINK("https://drive.google.com/file/d/1japk55Yh07kpZVGwJW7M-RPXe-eWeRSn/view?usp=drivesdk","OFFER LETTER")</f>
        <v>OFFER LETTER</v>
      </c>
      <c r="S2198" s="11" t="s">
        <v>11984</v>
      </c>
    </row>
    <row r="2199" ht="22.5" customHeight="1">
      <c r="A2199" s="10">
        <v>46269.862090104165</v>
      </c>
      <c r="B2199" s="11" t="s">
        <v>11985</v>
      </c>
      <c r="C2199" s="11" t="s">
        <v>67</v>
      </c>
      <c r="D2199" s="11" t="s">
        <v>238</v>
      </c>
      <c r="E2199" s="12">
        <v>46269.0</v>
      </c>
      <c r="F2199" s="12">
        <v>46360.0</v>
      </c>
      <c r="G2199" s="11" t="s">
        <v>11986</v>
      </c>
      <c r="H2199" s="11">
        <v>8.554015723E9</v>
      </c>
      <c r="I2199" s="11" t="s">
        <v>70</v>
      </c>
      <c r="J2199" s="11" t="s">
        <v>71</v>
      </c>
      <c r="K2199" s="11" t="s">
        <v>72</v>
      </c>
      <c r="L2199" s="11" t="s">
        <v>131</v>
      </c>
      <c r="M2199" s="11" t="s">
        <v>11987</v>
      </c>
      <c r="N2199" s="11" t="s">
        <v>86</v>
      </c>
      <c r="O2199" s="11" t="s">
        <v>71</v>
      </c>
      <c r="P2199" s="11" t="s">
        <v>11988</v>
      </c>
      <c r="Q2199" s="13" t="s">
        <v>11989</v>
      </c>
      <c r="R2199" s="14" t="str">
        <f>HYPERLINK("https://drive.google.com/file/d/1Ic6Opu2X-ydKduXMk4FHXwsp7BR6WXsy/view?usp=drivesdk","OFFER LETTER")</f>
        <v>OFFER LETTER</v>
      </c>
      <c r="S2199" s="11" t="s">
        <v>11990</v>
      </c>
    </row>
    <row r="2200" ht="22.5" customHeight="1">
      <c r="A2200" s="10">
        <v>46269.864195173606</v>
      </c>
      <c r="B2200" s="11" t="s">
        <v>11991</v>
      </c>
      <c r="C2200" s="11" t="s">
        <v>1320</v>
      </c>
      <c r="D2200" s="11" t="s">
        <v>68</v>
      </c>
      <c r="E2200" s="12">
        <v>46254.0</v>
      </c>
      <c r="F2200" s="12">
        <v>46285.0</v>
      </c>
      <c r="G2200" s="11" t="s">
        <v>11992</v>
      </c>
      <c r="H2200" s="11">
        <v>8.969456363E9</v>
      </c>
      <c r="I2200" s="11" t="s">
        <v>82</v>
      </c>
      <c r="J2200" s="11" t="s">
        <v>83</v>
      </c>
      <c r="K2200" s="11" t="s">
        <v>356</v>
      </c>
      <c r="L2200" s="11" t="s">
        <v>84</v>
      </c>
      <c r="M2200" s="11" t="s">
        <v>11993</v>
      </c>
      <c r="N2200" s="11" t="s">
        <v>86</v>
      </c>
      <c r="O2200" s="11" t="s">
        <v>71</v>
      </c>
      <c r="P2200" s="11" t="s">
        <v>11994</v>
      </c>
      <c r="Q2200" s="13" t="s">
        <v>11995</v>
      </c>
      <c r="R2200" s="14" t="str">
        <f>HYPERLINK("https://drive.google.com/file/d/1FDLNzh-NfHYJiOmJlK_gsbXgaVwBzGIm/view?usp=drivesdk","OFFER LETTER")</f>
        <v>OFFER LETTER</v>
      </c>
      <c r="S2200" s="11" t="s">
        <v>11996</v>
      </c>
    </row>
    <row r="2201" ht="22.5" customHeight="1">
      <c r="A2201" s="10">
        <v>46269.869519432876</v>
      </c>
      <c r="B2201" s="11" t="s">
        <v>11997</v>
      </c>
      <c r="C2201" s="11" t="s">
        <v>195</v>
      </c>
      <c r="D2201" s="11" t="s">
        <v>68</v>
      </c>
      <c r="E2201" s="12">
        <v>46233.0</v>
      </c>
      <c r="F2201" s="12">
        <v>46264.0</v>
      </c>
      <c r="G2201" s="11" t="s">
        <v>11998</v>
      </c>
      <c r="H2201" s="11">
        <v>9.910870786E9</v>
      </c>
      <c r="I2201" s="11" t="s">
        <v>82</v>
      </c>
      <c r="J2201" s="11" t="s">
        <v>130</v>
      </c>
      <c r="K2201" s="11" t="s">
        <v>72</v>
      </c>
      <c r="L2201" s="11" t="s">
        <v>84</v>
      </c>
      <c r="M2201" s="11" t="s">
        <v>2535</v>
      </c>
      <c r="N2201" s="11" t="s">
        <v>86</v>
      </c>
      <c r="O2201" s="11" t="s">
        <v>71</v>
      </c>
      <c r="P2201" s="11" t="s">
        <v>11999</v>
      </c>
      <c r="Q2201" s="13" t="s">
        <v>12000</v>
      </c>
      <c r="R2201" s="14" t="str">
        <f>HYPERLINK("https://drive.google.com/file/d/16Ctmmok1Bh2BJDoKAHeGTM_gILtH9xa1/view?usp=drivesdk","OFFER LETTER")</f>
        <v>OFFER LETTER</v>
      </c>
      <c r="S2201" s="11" t="s">
        <v>12001</v>
      </c>
    </row>
    <row r="2202" ht="22.5" customHeight="1">
      <c r="A2202" s="10">
        <v>46269.87177295139</v>
      </c>
      <c r="B2202" s="11" t="s">
        <v>11278</v>
      </c>
      <c r="C2202" s="11" t="s">
        <v>80</v>
      </c>
      <c r="D2202" s="11" t="s">
        <v>68</v>
      </c>
      <c r="E2202" s="12">
        <v>46269.0</v>
      </c>
      <c r="F2202" s="12">
        <v>46299.0</v>
      </c>
      <c r="G2202" s="11" t="s">
        <v>11268</v>
      </c>
      <c r="H2202" s="11">
        <v>8.767456202E9</v>
      </c>
      <c r="I2202" s="11" t="s">
        <v>82</v>
      </c>
      <c r="J2202" s="11" t="s">
        <v>83</v>
      </c>
      <c r="K2202" s="11" t="s">
        <v>1028</v>
      </c>
      <c r="L2202" s="11" t="s">
        <v>73</v>
      </c>
      <c r="M2202" s="11" t="s">
        <v>12002</v>
      </c>
      <c r="N2202" s="11" t="s">
        <v>75</v>
      </c>
      <c r="O2202" s="11" t="s">
        <v>71</v>
      </c>
      <c r="P2202" s="11" t="s">
        <v>12003</v>
      </c>
      <c r="Q2202" s="13" t="s">
        <v>12004</v>
      </c>
      <c r="R2202" s="14" t="str">
        <f>HYPERLINK("https://drive.google.com/file/d/1A90F-TjceikkuQGtYIfrCCkvW8hTyHbt/view?usp=drivesdk","OFFER LETTER")</f>
        <v>OFFER LETTER</v>
      </c>
      <c r="S2202" s="11" t="s">
        <v>12005</v>
      </c>
    </row>
    <row r="2203" ht="22.5" customHeight="1">
      <c r="A2203" s="10">
        <v>46269.87203861111</v>
      </c>
      <c r="B2203" s="11" t="s">
        <v>12006</v>
      </c>
      <c r="C2203" s="11" t="s">
        <v>195</v>
      </c>
      <c r="D2203" s="11" t="s">
        <v>68</v>
      </c>
      <c r="E2203" s="12">
        <v>46182.0</v>
      </c>
      <c r="F2203" s="12">
        <v>46182.0</v>
      </c>
      <c r="G2203" s="11" t="s">
        <v>12007</v>
      </c>
      <c r="H2203" s="11">
        <v>8.70059422E9</v>
      </c>
      <c r="I2203" s="11" t="s">
        <v>70</v>
      </c>
      <c r="J2203" s="11" t="s">
        <v>71</v>
      </c>
      <c r="K2203" s="11" t="s">
        <v>72</v>
      </c>
      <c r="L2203" s="11" t="s">
        <v>84</v>
      </c>
      <c r="M2203" s="11" t="s">
        <v>2655</v>
      </c>
      <c r="N2203" s="11" t="s">
        <v>2778</v>
      </c>
      <c r="O2203" s="11" t="s">
        <v>71</v>
      </c>
      <c r="P2203" s="11" t="s">
        <v>12008</v>
      </c>
      <c r="Q2203" s="13" t="s">
        <v>12009</v>
      </c>
      <c r="R2203" s="14" t="str">
        <f>HYPERLINK("https://drive.google.com/file/d/1mc9t689f77nTLg_x4-8f3NuInRW7eW79/view?usp=drivesdk","OFFER LETTER")</f>
        <v>OFFER LETTER</v>
      </c>
      <c r="S2203" s="11" t="s">
        <v>12010</v>
      </c>
    </row>
    <row r="2204" ht="22.5" customHeight="1">
      <c r="A2204" s="10">
        <v>46269.87496431713</v>
      </c>
      <c r="B2204" s="11" t="s">
        <v>12006</v>
      </c>
      <c r="C2204" s="11" t="s">
        <v>195</v>
      </c>
      <c r="D2204" s="11" t="s">
        <v>68</v>
      </c>
      <c r="E2204" s="12">
        <v>46181.0</v>
      </c>
      <c r="F2204" s="12">
        <v>46211.0</v>
      </c>
      <c r="G2204" s="11" t="s">
        <v>12007</v>
      </c>
      <c r="H2204" s="11">
        <v>8.70059422E9</v>
      </c>
      <c r="I2204" s="11" t="s">
        <v>70</v>
      </c>
      <c r="J2204" s="11" t="s">
        <v>71</v>
      </c>
      <c r="K2204" s="11" t="s">
        <v>72</v>
      </c>
      <c r="L2204" s="11" t="s">
        <v>84</v>
      </c>
      <c r="M2204" s="11" t="s">
        <v>2655</v>
      </c>
      <c r="N2204" s="11" t="s">
        <v>2778</v>
      </c>
      <c r="O2204" s="11" t="s">
        <v>71</v>
      </c>
      <c r="P2204" s="11" t="s">
        <v>12011</v>
      </c>
      <c r="Q2204" s="13" t="s">
        <v>12012</v>
      </c>
      <c r="R2204" s="14" t="str">
        <f>HYPERLINK("https://drive.google.com/file/d/1w3y-LiYWXtNwWdCosYuJOZarjMm3_ijg/view?usp=drivesdk","OFFER LETTER")</f>
        <v>OFFER LETTER</v>
      </c>
      <c r="S2204" s="11" t="s">
        <v>12013</v>
      </c>
    </row>
    <row r="2205" ht="22.5" customHeight="1">
      <c r="A2205" s="10">
        <v>46269.88482760417</v>
      </c>
      <c r="B2205" s="11" t="s">
        <v>12014</v>
      </c>
      <c r="C2205" s="11" t="s">
        <v>259</v>
      </c>
      <c r="D2205" s="11" t="s">
        <v>68</v>
      </c>
      <c r="E2205" s="12">
        <v>46269.0</v>
      </c>
      <c r="F2205" s="12">
        <v>46299.0</v>
      </c>
      <c r="G2205" s="11" t="s">
        <v>12015</v>
      </c>
      <c r="H2205" s="11">
        <v>7.666451759E9</v>
      </c>
      <c r="I2205" s="11" t="s">
        <v>82</v>
      </c>
      <c r="J2205" s="11" t="s">
        <v>71</v>
      </c>
      <c r="K2205" s="11" t="s">
        <v>72</v>
      </c>
      <c r="L2205" s="11" t="s">
        <v>73</v>
      </c>
      <c r="M2205" s="11" t="s">
        <v>12016</v>
      </c>
      <c r="N2205" s="11" t="s">
        <v>1641</v>
      </c>
      <c r="O2205" s="11" t="s">
        <v>71</v>
      </c>
      <c r="P2205" s="11" t="s">
        <v>12017</v>
      </c>
      <c r="Q2205" s="13" t="s">
        <v>12018</v>
      </c>
      <c r="R2205" s="14" t="str">
        <f>HYPERLINK("https://drive.google.com/file/d/1vOHm7a5jTrFtsh6czdgp20Qub9E7E9Fm/view?usp=drivesdk","OFFER LETTER")</f>
        <v>OFFER LETTER</v>
      </c>
      <c r="S2205" s="11" t="s">
        <v>12019</v>
      </c>
    </row>
    <row r="2206" ht="22.5" customHeight="1">
      <c r="A2206" s="10">
        <v>46269.88770018519</v>
      </c>
      <c r="B2206" s="11" t="s">
        <v>12020</v>
      </c>
      <c r="C2206" s="11" t="s">
        <v>67</v>
      </c>
      <c r="D2206" s="11" t="s">
        <v>108</v>
      </c>
      <c r="E2206" s="12">
        <v>46204.0</v>
      </c>
      <c r="F2206" s="12">
        <v>46266.0</v>
      </c>
      <c r="G2206" s="11" t="s">
        <v>12021</v>
      </c>
      <c r="H2206" s="11">
        <v>6.37086903E9</v>
      </c>
      <c r="I2206" s="11" t="s">
        <v>82</v>
      </c>
      <c r="J2206" s="11" t="s">
        <v>71</v>
      </c>
      <c r="K2206" s="11" t="s">
        <v>72</v>
      </c>
      <c r="L2206" s="11" t="s">
        <v>84</v>
      </c>
      <c r="M2206" s="11" t="s">
        <v>12022</v>
      </c>
      <c r="N2206" s="11" t="s">
        <v>86</v>
      </c>
      <c r="O2206" s="11" t="s">
        <v>71</v>
      </c>
      <c r="P2206" s="11" t="s">
        <v>12023</v>
      </c>
      <c r="Q2206" s="13" t="s">
        <v>12024</v>
      </c>
      <c r="R2206" s="14" t="str">
        <f>HYPERLINK("https://drive.google.com/file/d/15t0UHe2qY_OhgEeiNelqhL4G5xW0HJUq/view?usp=drivesdk","OFFER LETTER")</f>
        <v>OFFER LETTER</v>
      </c>
      <c r="S2206" s="11" t="s">
        <v>12025</v>
      </c>
    </row>
    <row r="2207" ht="22.5" customHeight="1">
      <c r="A2207" s="10">
        <v>46269.89457369213</v>
      </c>
      <c r="B2207" s="11" t="s">
        <v>12026</v>
      </c>
      <c r="C2207" s="11" t="s">
        <v>173</v>
      </c>
      <c r="D2207" s="11" t="s">
        <v>238</v>
      </c>
      <c r="E2207" s="12">
        <v>46270.0</v>
      </c>
      <c r="F2207" s="12">
        <v>46361.0</v>
      </c>
      <c r="G2207" s="11" t="s">
        <v>12027</v>
      </c>
      <c r="H2207" s="11">
        <v>8.838891608E9</v>
      </c>
      <c r="I2207" s="11" t="s">
        <v>70</v>
      </c>
      <c r="J2207" s="11" t="s">
        <v>71</v>
      </c>
      <c r="K2207" s="11" t="s">
        <v>72</v>
      </c>
      <c r="L2207" s="11" t="s">
        <v>84</v>
      </c>
      <c r="M2207" s="11" t="s">
        <v>12028</v>
      </c>
      <c r="N2207" s="11" t="s">
        <v>86</v>
      </c>
      <c r="O2207" s="11" t="s">
        <v>71</v>
      </c>
      <c r="P2207" s="11" t="s">
        <v>12029</v>
      </c>
      <c r="Q2207" s="13" t="s">
        <v>12030</v>
      </c>
      <c r="R2207" s="14" t="str">
        <f>HYPERLINK("https://drive.google.com/file/d/1mHbWP-D-5StK65G-Y_h_wPtCYL6WhlNL/view?usp=drivesdk","OFFER LETTER")</f>
        <v>OFFER LETTER</v>
      </c>
      <c r="S2207" s="11" t="s">
        <v>12031</v>
      </c>
    </row>
    <row r="2208" ht="22.5" customHeight="1">
      <c r="A2208" s="10">
        <v>46269.9024719213</v>
      </c>
      <c r="B2208" s="11" t="s">
        <v>12032</v>
      </c>
      <c r="C2208" s="11" t="s">
        <v>2591</v>
      </c>
      <c r="D2208" s="11" t="s">
        <v>108</v>
      </c>
      <c r="E2208" s="12">
        <v>46269.0</v>
      </c>
      <c r="F2208" s="12">
        <v>46330.0</v>
      </c>
      <c r="G2208" s="11" t="s">
        <v>12033</v>
      </c>
      <c r="H2208" s="11">
        <v>7.385561613E9</v>
      </c>
      <c r="I2208" s="11" t="s">
        <v>70</v>
      </c>
      <c r="J2208" s="11" t="s">
        <v>71</v>
      </c>
      <c r="K2208" s="11" t="s">
        <v>72</v>
      </c>
      <c r="L2208" s="11" t="s">
        <v>73</v>
      </c>
      <c r="M2208" s="11" t="s">
        <v>12034</v>
      </c>
      <c r="N2208" s="11" t="s">
        <v>655</v>
      </c>
      <c r="O2208" s="11" t="s">
        <v>71</v>
      </c>
      <c r="P2208" s="11" t="s">
        <v>12035</v>
      </c>
      <c r="Q2208" s="13" t="s">
        <v>12036</v>
      </c>
      <c r="R2208" s="14" t="str">
        <f>HYPERLINK("https://drive.google.com/file/d/16kPPkvlsyO5ClZi7BslliT0eiDNCIKqt/view?usp=drivesdk","OFFER LETTER")</f>
        <v>OFFER LETTER</v>
      </c>
      <c r="S2208" s="11" t="s">
        <v>12037</v>
      </c>
    </row>
    <row r="2209" ht="22.5" customHeight="1">
      <c r="A2209" s="10">
        <v>46269.92843329861</v>
      </c>
      <c r="B2209" s="11" t="s">
        <v>12038</v>
      </c>
      <c r="C2209" s="11" t="s">
        <v>596</v>
      </c>
      <c r="D2209" s="11" t="s">
        <v>68</v>
      </c>
      <c r="E2209" s="12">
        <v>46262.0</v>
      </c>
      <c r="F2209" s="12">
        <v>46271.0</v>
      </c>
      <c r="G2209" s="11" t="s">
        <v>12039</v>
      </c>
      <c r="H2209" s="11">
        <v>9.6612907E9</v>
      </c>
      <c r="I2209" s="11" t="s">
        <v>82</v>
      </c>
      <c r="J2209" s="11" t="s">
        <v>71</v>
      </c>
      <c r="K2209" s="11" t="s">
        <v>72</v>
      </c>
      <c r="L2209" s="11" t="s">
        <v>84</v>
      </c>
      <c r="M2209" s="11" t="s">
        <v>12040</v>
      </c>
      <c r="N2209" s="11" t="s">
        <v>12041</v>
      </c>
      <c r="O2209" s="11" t="s">
        <v>71</v>
      </c>
      <c r="P2209" s="11" t="s">
        <v>12042</v>
      </c>
      <c r="Q2209" s="13" t="s">
        <v>12043</v>
      </c>
      <c r="R2209" s="14" t="str">
        <f>HYPERLINK("https://drive.google.com/file/d/1_af6tGbcOITLWwL9_tUoFT8Hpmyf8vB1/view?usp=drivesdk","OFFER LETTER")</f>
        <v>OFFER LETTER</v>
      </c>
      <c r="S2209" s="11" t="s">
        <v>12044</v>
      </c>
    </row>
    <row r="2210" ht="22.5" customHeight="1">
      <c r="A2210" s="10">
        <v>46269.93915895833</v>
      </c>
      <c r="B2210" s="11" t="s">
        <v>12045</v>
      </c>
      <c r="C2210" s="11" t="s">
        <v>417</v>
      </c>
      <c r="D2210" s="11" t="s">
        <v>108</v>
      </c>
      <c r="E2210" s="12">
        <v>46235.0</v>
      </c>
      <c r="F2210" s="12">
        <v>46295.0</v>
      </c>
      <c r="G2210" s="11" t="s">
        <v>12046</v>
      </c>
      <c r="H2210" s="11">
        <v>8.172926638E9</v>
      </c>
      <c r="I2210" s="11" t="s">
        <v>70</v>
      </c>
      <c r="J2210" s="11" t="s">
        <v>71</v>
      </c>
      <c r="K2210" s="11" t="s">
        <v>72</v>
      </c>
      <c r="L2210" s="11" t="s">
        <v>84</v>
      </c>
      <c r="M2210" s="11" t="s">
        <v>648</v>
      </c>
      <c r="N2210" s="11" t="s">
        <v>86</v>
      </c>
      <c r="O2210" s="11" t="s">
        <v>263</v>
      </c>
      <c r="P2210" s="11" t="s">
        <v>12047</v>
      </c>
      <c r="Q2210" s="13" t="s">
        <v>12048</v>
      </c>
      <c r="R2210" s="14" t="str">
        <f>HYPERLINK("https://drive.google.com/file/d/1r2Ao9zQmc8U0GG0Nuoqt12YWQwFEoVOr/view?usp=drivesdk","OFFER LETTER")</f>
        <v>OFFER LETTER</v>
      </c>
      <c r="S2210" s="11" t="s">
        <v>12049</v>
      </c>
    </row>
    <row r="2211" ht="22.5" customHeight="1">
      <c r="A2211" s="10">
        <v>46269.945609421295</v>
      </c>
      <c r="B2211" s="11" t="s">
        <v>12050</v>
      </c>
      <c r="C2211" s="11" t="s">
        <v>195</v>
      </c>
      <c r="D2211" s="11" t="s">
        <v>108</v>
      </c>
      <c r="E2211" s="12">
        <v>46205.0</v>
      </c>
      <c r="F2211" s="12">
        <v>46267.0</v>
      </c>
      <c r="G2211" s="11" t="s">
        <v>12051</v>
      </c>
      <c r="H2211" s="11">
        <v>7.077884935E9</v>
      </c>
      <c r="I2211" s="11" t="s">
        <v>82</v>
      </c>
      <c r="J2211" s="11" t="s">
        <v>71</v>
      </c>
      <c r="K2211" s="11" t="s">
        <v>72</v>
      </c>
      <c r="L2211" s="11" t="s">
        <v>73</v>
      </c>
      <c r="M2211" s="11" t="s">
        <v>12052</v>
      </c>
      <c r="N2211" s="11" t="s">
        <v>86</v>
      </c>
      <c r="O2211" s="11" t="s">
        <v>71</v>
      </c>
      <c r="P2211" s="11" t="s">
        <v>12053</v>
      </c>
      <c r="Q2211" s="13" t="s">
        <v>12054</v>
      </c>
      <c r="R2211" s="14" t="str">
        <f>HYPERLINK("https://drive.google.com/file/d/1ORxzvb1Wdnpdibsl3BZ-WqO6XQEfBES9/view?usp=drivesdk","OFFER LETTER")</f>
        <v>OFFER LETTER</v>
      </c>
      <c r="S2211" s="11" t="s">
        <v>12055</v>
      </c>
    </row>
    <row r="2212" ht="22.5" customHeight="1">
      <c r="A2212" s="10">
        <v>46269.95687731481</v>
      </c>
      <c r="B2212" s="11" t="s">
        <v>12056</v>
      </c>
      <c r="C2212" s="11" t="s">
        <v>128</v>
      </c>
      <c r="D2212" s="11" t="s">
        <v>68</v>
      </c>
      <c r="E2212" s="12">
        <v>46238.0</v>
      </c>
      <c r="F2212" s="12">
        <v>46269.0</v>
      </c>
      <c r="G2212" s="11" t="s">
        <v>12057</v>
      </c>
      <c r="H2212" s="11">
        <v>7.900283516E9</v>
      </c>
      <c r="I2212" s="11" t="s">
        <v>82</v>
      </c>
      <c r="J2212" s="11" t="s">
        <v>71</v>
      </c>
      <c r="K2212" s="11" t="s">
        <v>72</v>
      </c>
      <c r="L2212" s="11" t="s">
        <v>73</v>
      </c>
      <c r="M2212" s="11" t="s">
        <v>560</v>
      </c>
      <c r="N2212" s="11" t="s">
        <v>86</v>
      </c>
      <c r="O2212" s="11" t="s">
        <v>71</v>
      </c>
      <c r="P2212" s="11" t="s">
        <v>12058</v>
      </c>
      <c r="Q2212" s="13" t="s">
        <v>12059</v>
      </c>
      <c r="R2212" s="14" t="str">
        <f>HYPERLINK("https://drive.google.com/file/d/1xbJWwGqZ7GH1GauXd695QHwVUFQqssUE/view?usp=drivesdk","OFFER LETTER")</f>
        <v>OFFER LETTER</v>
      </c>
      <c r="S2212" s="11" t="s">
        <v>12060</v>
      </c>
    </row>
    <row r="2213" ht="22.5" customHeight="1">
      <c r="A2213" s="10">
        <v>46269.96724907408</v>
      </c>
      <c r="B2213" s="11" t="s">
        <v>3345</v>
      </c>
      <c r="C2213" s="11" t="s">
        <v>596</v>
      </c>
      <c r="D2213" s="11" t="s">
        <v>68</v>
      </c>
      <c r="E2213" s="12">
        <v>46269.0</v>
      </c>
      <c r="F2213" s="12">
        <v>46271.0</v>
      </c>
      <c r="G2213" s="11" t="s">
        <v>12039</v>
      </c>
      <c r="H2213" s="11">
        <v>9.6612907E9</v>
      </c>
      <c r="I2213" s="11" t="s">
        <v>82</v>
      </c>
      <c r="J2213" s="11" t="s">
        <v>71</v>
      </c>
      <c r="K2213" s="11" t="s">
        <v>72</v>
      </c>
      <c r="L2213" s="11" t="s">
        <v>84</v>
      </c>
      <c r="M2213" s="11" t="s">
        <v>12061</v>
      </c>
      <c r="N2213" s="11" t="s">
        <v>457</v>
      </c>
      <c r="O2213" s="11" t="s">
        <v>130</v>
      </c>
      <c r="P2213" s="11" t="s">
        <v>12062</v>
      </c>
      <c r="Q2213" s="13" t="s">
        <v>12063</v>
      </c>
      <c r="R2213" s="14" t="str">
        <f>HYPERLINK("https://drive.google.com/file/d/1nc_1nJzdc-nvwHUKpIHdb5o-CX1wSRaI/view?usp=drivesdk","OFFER LETTER")</f>
        <v>OFFER LETTER</v>
      </c>
      <c r="S2213" s="11" t="s">
        <v>12064</v>
      </c>
    </row>
    <row r="2214" ht="22.5" customHeight="1">
      <c r="A2214" s="10">
        <v>46269.968600231485</v>
      </c>
      <c r="B2214" s="11" t="s">
        <v>12065</v>
      </c>
      <c r="C2214" s="11" t="s">
        <v>107</v>
      </c>
      <c r="D2214" s="11" t="s">
        <v>68</v>
      </c>
      <c r="E2214" s="12">
        <v>46270.0</v>
      </c>
      <c r="F2214" s="12">
        <v>46300.0</v>
      </c>
      <c r="G2214" s="11" t="s">
        <v>12066</v>
      </c>
      <c r="H2214" s="11">
        <v>9.642601454E9</v>
      </c>
      <c r="I2214" s="11" t="s">
        <v>82</v>
      </c>
      <c r="J2214" s="11" t="s">
        <v>71</v>
      </c>
      <c r="K2214" s="13" t="s">
        <v>443</v>
      </c>
      <c r="L2214" s="11" t="s">
        <v>247</v>
      </c>
      <c r="M2214" s="11" t="s">
        <v>12067</v>
      </c>
      <c r="N2214" s="11" t="s">
        <v>226</v>
      </c>
      <c r="O2214" s="11" t="s">
        <v>71</v>
      </c>
      <c r="P2214" s="11" t="s">
        <v>12068</v>
      </c>
      <c r="Q2214" s="13" t="s">
        <v>12069</v>
      </c>
      <c r="R2214" s="14" t="str">
        <f>HYPERLINK("https://drive.google.com/file/d/1TccXIOI_-oBvD-8QjLyZquqy5uoDQl8u/view?usp=drivesdk","OFFER LETTER")</f>
        <v>OFFER LETTER</v>
      </c>
      <c r="S2214" s="11" t="s">
        <v>12070</v>
      </c>
    </row>
    <row r="2215" ht="22.5" customHeight="1">
      <c r="A2215" s="10">
        <v>46269.97238854167</v>
      </c>
      <c r="B2215" s="11" t="s">
        <v>12065</v>
      </c>
      <c r="C2215" s="11" t="s">
        <v>107</v>
      </c>
      <c r="D2215" s="11" t="s">
        <v>68</v>
      </c>
      <c r="E2215" s="12">
        <v>46272.0</v>
      </c>
      <c r="F2215" s="12">
        <v>46302.0</v>
      </c>
      <c r="G2215" s="11" t="s">
        <v>12066</v>
      </c>
      <c r="H2215" s="11">
        <v>9.642601454E9</v>
      </c>
      <c r="I2215" s="11" t="s">
        <v>82</v>
      </c>
      <c r="J2215" s="11" t="s">
        <v>71</v>
      </c>
      <c r="K2215" s="13" t="s">
        <v>443</v>
      </c>
      <c r="L2215" s="11" t="s">
        <v>247</v>
      </c>
      <c r="M2215" s="11" t="s">
        <v>12071</v>
      </c>
      <c r="N2215" s="11" t="s">
        <v>226</v>
      </c>
      <c r="O2215" s="11" t="s">
        <v>71</v>
      </c>
      <c r="P2215" s="11" t="s">
        <v>12072</v>
      </c>
      <c r="Q2215" s="13" t="s">
        <v>12073</v>
      </c>
      <c r="R2215" s="14" t="str">
        <f>HYPERLINK("https://drive.google.com/file/d/1j2yMx9rIylJRXSEERimNeMfMVpDu0TJw/view?usp=drivesdk","OFFER LETTER")</f>
        <v>OFFER LETTER</v>
      </c>
      <c r="S2215" s="11" t="s">
        <v>12074</v>
      </c>
    </row>
    <row r="2216" ht="22.5" customHeight="1">
      <c r="A2216" s="10">
        <v>46269.9780684375</v>
      </c>
      <c r="B2216" s="11" t="s">
        <v>12075</v>
      </c>
      <c r="C2216" s="11" t="s">
        <v>128</v>
      </c>
      <c r="D2216" s="11" t="s">
        <v>108</v>
      </c>
      <c r="E2216" s="12">
        <v>46206.0</v>
      </c>
      <c r="F2216" s="12">
        <v>46269.0</v>
      </c>
      <c r="G2216" s="11" t="s">
        <v>12076</v>
      </c>
      <c r="H2216" s="11">
        <v>9.334296594E9</v>
      </c>
      <c r="I2216" s="11" t="s">
        <v>82</v>
      </c>
      <c r="J2216" s="11" t="s">
        <v>71</v>
      </c>
      <c r="K2216" s="11" t="s">
        <v>72</v>
      </c>
      <c r="L2216" s="11" t="s">
        <v>84</v>
      </c>
      <c r="M2216" s="11" t="s">
        <v>12077</v>
      </c>
      <c r="N2216" s="11" t="s">
        <v>86</v>
      </c>
      <c r="O2216" s="11" t="s">
        <v>71</v>
      </c>
      <c r="P2216" s="11" t="s">
        <v>12078</v>
      </c>
      <c r="Q2216" s="13" t="s">
        <v>12079</v>
      </c>
      <c r="R2216" s="14" t="str">
        <f>HYPERLINK("https://drive.google.com/file/d/1EZlLzxPMvK8qUuu4a6C-p6-Vg8L0MA_o/view?usp=drivesdk","OFFER LETTER")</f>
        <v>OFFER LETTER</v>
      </c>
      <c r="S2216" s="11" t="s">
        <v>12080</v>
      </c>
    </row>
    <row r="2217" ht="22.5" customHeight="1">
      <c r="A2217" s="10">
        <v>46269.9893740625</v>
      </c>
      <c r="B2217" s="11" t="s">
        <v>12081</v>
      </c>
      <c r="C2217" s="11" t="s">
        <v>195</v>
      </c>
      <c r="D2217" s="11" t="s">
        <v>108</v>
      </c>
      <c r="E2217" s="12">
        <v>46199.0</v>
      </c>
      <c r="F2217" s="12">
        <v>46260.0</v>
      </c>
      <c r="G2217" s="11" t="s">
        <v>12082</v>
      </c>
      <c r="H2217" s="11">
        <v>9.390969736E9</v>
      </c>
      <c r="I2217" s="11" t="s">
        <v>82</v>
      </c>
      <c r="J2217" s="11" t="s">
        <v>71</v>
      </c>
      <c r="K2217" s="11" t="s">
        <v>72</v>
      </c>
      <c r="L2217" s="11" t="s">
        <v>131</v>
      </c>
      <c r="M2217" s="11" t="s">
        <v>2883</v>
      </c>
      <c r="N2217" s="11" t="s">
        <v>86</v>
      </c>
      <c r="O2217" s="11" t="s">
        <v>71</v>
      </c>
      <c r="P2217" s="11" t="s">
        <v>12083</v>
      </c>
      <c r="Q2217" s="13" t="s">
        <v>12084</v>
      </c>
      <c r="R2217" s="14" t="str">
        <f>HYPERLINK("https://drive.google.com/file/d/1i4iP8h1HSL-nVkU92fvoSiEIVIUiNo6P/view?usp=drivesdk","OFFER LETTER")</f>
        <v>OFFER LETTER</v>
      </c>
      <c r="S2217" s="11" t="s">
        <v>12085</v>
      </c>
    </row>
    <row r="2218" ht="22.5" customHeight="1">
      <c r="A2218" s="10">
        <v>46270.01489255787</v>
      </c>
      <c r="B2218" s="11" t="s">
        <v>12086</v>
      </c>
      <c r="C2218" s="11" t="s">
        <v>107</v>
      </c>
      <c r="D2218" s="11" t="s">
        <v>108</v>
      </c>
      <c r="E2218" s="12">
        <v>46195.0</v>
      </c>
      <c r="F2218" s="12">
        <v>46256.0</v>
      </c>
      <c r="G2218" s="11" t="s">
        <v>12087</v>
      </c>
      <c r="H2218" s="11">
        <v>8.008012383E9</v>
      </c>
      <c r="I2218" s="11" t="s">
        <v>82</v>
      </c>
      <c r="J2218" s="11" t="s">
        <v>71</v>
      </c>
      <c r="K2218" s="11" t="s">
        <v>72</v>
      </c>
      <c r="L2218" s="11" t="s">
        <v>131</v>
      </c>
      <c r="M2218" s="11" t="s">
        <v>2883</v>
      </c>
      <c r="N2218" s="11" t="s">
        <v>86</v>
      </c>
      <c r="O2218" s="11" t="s">
        <v>71</v>
      </c>
      <c r="P2218" s="11" t="s">
        <v>12088</v>
      </c>
      <c r="Q2218" s="13" t="s">
        <v>12089</v>
      </c>
      <c r="R2218" s="14" t="str">
        <f>HYPERLINK("https://drive.google.com/file/d/1C_2i1mUYKQjHiy_q70yKHnvsZrpZ6mEd/view?usp=drivesdk","OFFER LETTER")</f>
        <v>OFFER LETTER</v>
      </c>
      <c r="S2218" s="11" t="s">
        <v>12090</v>
      </c>
    </row>
    <row r="2219" ht="22.5" customHeight="1">
      <c r="A2219" s="10">
        <v>46270.032795</v>
      </c>
      <c r="B2219" s="11" t="s">
        <v>12091</v>
      </c>
      <c r="C2219" s="11" t="s">
        <v>173</v>
      </c>
      <c r="D2219" s="11" t="s">
        <v>108</v>
      </c>
      <c r="E2219" s="12">
        <v>46174.0</v>
      </c>
      <c r="F2219" s="12">
        <v>46235.0</v>
      </c>
      <c r="G2219" s="11" t="s">
        <v>12092</v>
      </c>
      <c r="H2219" s="11">
        <v>7.815927701E9</v>
      </c>
      <c r="I2219" s="11" t="s">
        <v>82</v>
      </c>
      <c r="J2219" s="11" t="s">
        <v>71</v>
      </c>
      <c r="K2219" s="11" t="s">
        <v>72</v>
      </c>
      <c r="L2219" s="11" t="s">
        <v>131</v>
      </c>
      <c r="M2219" s="11" t="s">
        <v>2369</v>
      </c>
      <c r="N2219" s="11" t="s">
        <v>86</v>
      </c>
      <c r="O2219" s="11" t="s">
        <v>71</v>
      </c>
      <c r="P2219" s="11" t="s">
        <v>12093</v>
      </c>
      <c r="Q2219" s="13" t="s">
        <v>12094</v>
      </c>
      <c r="R2219" s="14" t="str">
        <f>HYPERLINK("https://drive.google.com/file/d/1uoYaYmJbAeSRNrMDPdRmMUfzvPMmHTAb/view?usp=drivesdk","OFFER LETTER")</f>
        <v>OFFER LETTER</v>
      </c>
      <c r="S2219" s="11" t="s">
        <v>12095</v>
      </c>
    </row>
    <row r="2220" ht="22.5" customHeight="1">
      <c r="A2220" s="10">
        <v>46270.04320637732</v>
      </c>
      <c r="B2220" s="11" t="s">
        <v>12056</v>
      </c>
      <c r="C2220" s="11" t="s">
        <v>128</v>
      </c>
      <c r="D2220" s="11" t="s">
        <v>68</v>
      </c>
      <c r="E2220" s="12">
        <v>46238.0</v>
      </c>
      <c r="F2220" s="12">
        <v>46269.0</v>
      </c>
      <c r="G2220" s="11" t="s">
        <v>12057</v>
      </c>
      <c r="H2220" s="11">
        <v>7.900283516E9</v>
      </c>
      <c r="I2220" s="11" t="s">
        <v>82</v>
      </c>
      <c r="J2220" s="11" t="s">
        <v>83</v>
      </c>
      <c r="K2220" s="11" t="s">
        <v>72</v>
      </c>
      <c r="L2220" s="11" t="s">
        <v>73</v>
      </c>
      <c r="M2220" s="11" t="s">
        <v>560</v>
      </c>
      <c r="N2220" s="11" t="s">
        <v>86</v>
      </c>
      <c r="O2220" s="11" t="s">
        <v>71</v>
      </c>
      <c r="P2220" s="11" t="s">
        <v>12096</v>
      </c>
      <c r="Q2220" s="13" t="s">
        <v>12097</v>
      </c>
      <c r="R2220" s="14" t="str">
        <f>HYPERLINK("https://drive.google.com/file/d/1tyU8eoQ51D9zdNHwzpe1YAzhQlH_UNdV/view?usp=drivesdk","OFFER LETTER")</f>
        <v>OFFER LETTER</v>
      </c>
      <c r="S2220" s="11" t="s">
        <v>12098</v>
      </c>
    </row>
    <row r="2221" ht="22.5" customHeight="1">
      <c r="A2221" s="10">
        <v>46270.05790494213</v>
      </c>
      <c r="B2221" s="11" t="s">
        <v>12099</v>
      </c>
      <c r="C2221" s="11" t="s">
        <v>173</v>
      </c>
      <c r="D2221" s="11" t="s">
        <v>68</v>
      </c>
      <c r="E2221" s="12">
        <v>46187.0</v>
      </c>
      <c r="F2221" s="12">
        <v>46221.0</v>
      </c>
      <c r="G2221" s="11" t="s">
        <v>12100</v>
      </c>
      <c r="H2221" s="11">
        <v>6.363255238E9</v>
      </c>
      <c r="I2221" s="11" t="s">
        <v>82</v>
      </c>
      <c r="J2221" s="11" t="s">
        <v>71</v>
      </c>
      <c r="K2221" s="11" t="s">
        <v>72</v>
      </c>
      <c r="L2221" s="11" t="s">
        <v>73</v>
      </c>
      <c r="M2221" s="11" t="s">
        <v>1491</v>
      </c>
      <c r="N2221" s="11" t="s">
        <v>226</v>
      </c>
      <c r="O2221" s="11" t="s">
        <v>71</v>
      </c>
      <c r="P2221" s="11" t="s">
        <v>12101</v>
      </c>
      <c r="Q2221" s="13" t="s">
        <v>12102</v>
      </c>
      <c r="R2221" s="14" t="str">
        <f>HYPERLINK("https://drive.google.com/file/d/12CaZzNdJDS8jAaSX8Z9iRDeLwHTxJ1m_/view?usp=drivesdk","OFFER LETTER")</f>
        <v>OFFER LETTER</v>
      </c>
      <c r="S2221" s="11" t="s">
        <v>12103</v>
      </c>
    </row>
    <row r="2222" ht="22.5" customHeight="1">
      <c r="A2222" s="10">
        <v>46270.21673903935</v>
      </c>
      <c r="B2222" s="11" t="s">
        <v>12104</v>
      </c>
      <c r="C2222" s="11" t="s">
        <v>128</v>
      </c>
      <c r="D2222" s="11" t="s">
        <v>68</v>
      </c>
      <c r="E2222" s="12">
        <v>46270.0</v>
      </c>
      <c r="F2222" s="12">
        <v>46301.0</v>
      </c>
      <c r="G2222" s="11" t="s">
        <v>12105</v>
      </c>
      <c r="H2222" s="11">
        <v>9.569736154E9</v>
      </c>
      <c r="I2222" s="11" t="s">
        <v>82</v>
      </c>
      <c r="J2222" s="11" t="s">
        <v>71</v>
      </c>
      <c r="K2222" s="11" t="s">
        <v>72</v>
      </c>
      <c r="L2222" s="11" t="s">
        <v>131</v>
      </c>
      <c r="M2222" s="11" t="s">
        <v>12106</v>
      </c>
      <c r="N2222" s="11" t="s">
        <v>86</v>
      </c>
      <c r="O2222" s="11" t="s">
        <v>71</v>
      </c>
      <c r="P2222" s="11" t="s">
        <v>12107</v>
      </c>
      <c r="Q2222" s="13" t="s">
        <v>12108</v>
      </c>
      <c r="R2222" s="14" t="str">
        <f>HYPERLINK("https://drive.google.com/file/d/1NJNc6LkalqOKLOZPhWYwrwQhIkuz6CX6/view?usp=drivesdk","OFFER LETTER")</f>
        <v>OFFER LETTER</v>
      </c>
      <c r="S2222" s="11" t="s">
        <v>12109</v>
      </c>
    </row>
    <row r="2223" ht="22.5" customHeight="1">
      <c r="A2223" s="10">
        <v>46270.35764283565</v>
      </c>
      <c r="B2223" s="11" t="s">
        <v>12110</v>
      </c>
      <c r="C2223" s="11" t="s">
        <v>107</v>
      </c>
      <c r="D2223" s="11" t="s">
        <v>68</v>
      </c>
      <c r="E2223" s="12">
        <v>46258.0</v>
      </c>
      <c r="F2223" s="12">
        <v>46289.0</v>
      </c>
      <c r="G2223" s="11" t="s">
        <v>2851</v>
      </c>
      <c r="H2223" s="11">
        <v>6.394209551E9</v>
      </c>
      <c r="I2223" s="11" t="s">
        <v>82</v>
      </c>
      <c r="J2223" s="11" t="s">
        <v>71</v>
      </c>
      <c r="K2223" s="11" t="s">
        <v>72</v>
      </c>
      <c r="L2223" s="11" t="s">
        <v>73</v>
      </c>
      <c r="M2223" s="11" t="s">
        <v>12111</v>
      </c>
      <c r="N2223" s="11" t="s">
        <v>219</v>
      </c>
      <c r="O2223" s="11" t="s">
        <v>71</v>
      </c>
      <c r="P2223" s="11" t="s">
        <v>12112</v>
      </c>
      <c r="Q2223" s="13" t="s">
        <v>12113</v>
      </c>
      <c r="R2223" s="14" t="str">
        <f>HYPERLINK("https://drive.google.com/file/d/1JU6kgiN7k8lVXpEm4wuKnTAvzgYs37eY/view?usp=drivesdk","OFFER LETTER")</f>
        <v>OFFER LETTER</v>
      </c>
      <c r="S2223" s="11" t="s">
        <v>12114</v>
      </c>
    </row>
    <row r="2224" ht="22.5" customHeight="1">
      <c r="A2224" s="10">
        <v>46270.39688731481</v>
      </c>
      <c r="B2224" s="11" t="s">
        <v>12115</v>
      </c>
      <c r="C2224" s="11" t="s">
        <v>742</v>
      </c>
      <c r="D2224" s="11" t="s">
        <v>68</v>
      </c>
      <c r="E2224" s="12">
        <v>46274.0</v>
      </c>
      <c r="F2224" s="12">
        <v>46270.0</v>
      </c>
      <c r="G2224" s="11" t="s">
        <v>12116</v>
      </c>
      <c r="H2224" s="11">
        <v>9.135975969E9</v>
      </c>
      <c r="I2224" s="11" t="s">
        <v>82</v>
      </c>
      <c r="J2224" s="11" t="s">
        <v>71</v>
      </c>
      <c r="K2224" s="11" t="s">
        <v>72</v>
      </c>
      <c r="L2224" s="11" t="s">
        <v>357</v>
      </c>
      <c r="M2224" s="11" t="s">
        <v>12117</v>
      </c>
      <c r="N2224" s="11" t="s">
        <v>86</v>
      </c>
      <c r="O2224" s="11" t="s">
        <v>71</v>
      </c>
      <c r="P2224" s="11" t="s">
        <v>12118</v>
      </c>
      <c r="Q2224" s="13" t="s">
        <v>12119</v>
      </c>
      <c r="R2224" s="14" t="str">
        <f>HYPERLINK("https://drive.google.com/file/d/1IFZ3CzfGa-YDaDnDhThENJjrjx39iJbF/view?usp=drivesdk","OFFER LETTER")</f>
        <v>OFFER LETTER</v>
      </c>
      <c r="S2224" s="11" t="s">
        <v>12120</v>
      </c>
    </row>
    <row r="2225" ht="22.5" customHeight="1">
      <c r="A2225" s="10">
        <v>46270.40223743056</v>
      </c>
      <c r="B2225" s="11" t="s">
        <v>12115</v>
      </c>
      <c r="C2225" s="11" t="s">
        <v>742</v>
      </c>
      <c r="D2225" s="11" t="s">
        <v>68</v>
      </c>
      <c r="E2225" s="12">
        <v>46243.0</v>
      </c>
      <c r="F2225" s="12">
        <v>46270.0</v>
      </c>
      <c r="G2225" s="11" t="s">
        <v>12116</v>
      </c>
      <c r="H2225" s="11">
        <v>9.135975969E9</v>
      </c>
      <c r="I2225" s="11" t="s">
        <v>82</v>
      </c>
      <c r="J2225" s="11" t="s">
        <v>71</v>
      </c>
      <c r="K2225" s="11" t="s">
        <v>72</v>
      </c>
      <c r="L2225" s="11" t="s">
        <v>357</v>
      </c>
      <c r="M2225" s="11" t="s">
        <v>12117</v>
      </c>
      <c r="N2225" s="11" t="s">
        <v>86</v>
      </c>
      <c r="O2225" s="11" t="s">
        <v>71</v>
      </c>
      <c r="P2225" s="11" t="s">
        <v>12121</v>
      </c>
      <c r="Q2225" s="13" t="s">
        <v>12122</v>
      </c>
      <c r="R2225" s="14" t="str">
        <f>HYPERLINK("https://drive.google.com/file/d/1V92ZPkLBatVGpcZeUJsPYYW0Ad3c27ig/view?usp=drivesdk","OFFER LETTER")</f>
        <v>OFFER LETTER</v>
      </c>
      <c r="S2225" s="11" t="s">
        <v>12123</v>
      </c>
    </row>
    <row r="2226" ht="22.5" customHeight="1">
      <c r="A2226" s="10">
        <v>46270.426098067124</v>
      </c>
      <c r="B2226" s="11" t="s">
        <v>12124</v>
      </c>
      <c r="C2226" s="11" t="s">
        <v>195</v>
      </c>
      <c r="D2226" s="11" t="s">
        <v>68</v>
      </c>
      <c r="E2226" s="12">
        <v>46270.0</v>
      </c>
      <c r="F2226" s="12">
        <v>46300.0</v>
      </c>
      <c r="G2226" s="11" t="s">
        <v>12125</v>
      </c>
      <c r="H2226" s="11">
        <v>7.204187309E9</v>
      </c>
      <c r="I2226" s="11" t="s">
        <v>70</v>
      </c>
      <c r="J2226" s="11" t="s">
        <v>71</v>
      </c>
      <c r="K2226" s="11" t="s">
        <v>72</v>
      </c>
      <c r="L2226" s="11" t="s">
        <v>131</v>
      </c>
      <c r="M2226" s="11" t="s">
        <v>12126</v>
      </c>
      <c r="N2226" s="11" t="s">
        <v>86</v>
      </c>
      <c r="O2226" s="11" t="s">
        <v>71</v>
      </c>
      <c r="P2226" s="11" t="s">
        <v>12127</v>
      </c>
      <c r="Q2226" s="13" t="s">
        <v>12128</v>
      </c>
      <c r="R2226" s="14" t="str">
        <f>HYPERLINK("https://drive.google.com/file/d/1Lb7rvVp6dp1FtfgvxgHsRnMOJy4KF3xJ/view?usp=drivesdk","OFFER LETTER")</f>
        <v>OFFER LETTER</v>
      </c>
      <c r="S2226" s="11" t="s">
        <v>12129</v>
      </c>
    </row>
    <row r="2227" ht="22.5" customHeight="1">
      <c r="A2227" s="10">
        <v>46270.43406085648</v>
      </c>
      <c r="B2227" s="11" t="s">
        <v>12130</v>
      </c>
      <c r="C2227" s="11" t="s">
        <v>91</v>
      </c>
      <c r="D2227" s="11" t="s">
        <v>108</v>
      </c>
      <c r="E2227" s="12">
        <v>46204.0</v>
      </c>
      <c r="F2227" s="12">
        <v>46266.0</v>
      </c>
      <c r="G2227" s="11" t="s">
        <v>12131</v>
      </c>
      <c r="H2227" s="11">
        <v>8.310520347E9</v>
      </c>
      <c r="I2227" s="11" t="s">
        <v>82</v>
      </c>
      <c r="J2227" s="11" t="s">
        <v>71</v>
      </c>
      <c r="K2227" s="11" t="s">
        <v>72</v>
      </c>
      <c r="L2227" s="11" t="s">
        <v>84</v>
      </c>
      <c r="M2227" s="11" t="s">
        <v>5018</v>
      </c>
      <c r="N2227" s="11" t="s">
        <v>198</v>
      </c>
      <c r="O2227" s="11" t="s">
        <v>71</v>
      </c>
      <c r="P2227" s="11" t="s">
        <v>12132</v>
      </c>
      <c r="Q2227" s="13" t="s">
        <v>12133</v>
      </c>
      <c r="R2227" s="14" t="str">
        <f>HYPERLINK("https://drive.google.com/file/d/11VO1ElDMFgJSTmjvnn_F5GBOlWf08wln/view?usp=drivesdk","OFFER LETTER")</f>
        <v>OFFER LETTER</v>
      </c>
      <c r="S2227" s="11" t="s">
        <v>12134</v>
      </c>
    </row>
    <row r="2228" ht="22.5" customHeight="1">
      <c r="A2228" s="10">
        <v>46270.43967458334</v>
      </c>
      <c r="B2228" s="11" t="s">
        <v>12135</v>
      </c>
      <c r="C2228" s="11" t="s">
        <v>259</v>
      </c>
      <c r="D2228" s="11" t="s">
        <v>68</v>
      </c>
      <c r="E2228" s="12">
        <v>46270.0</v>
      </c>
      <c r="F2228" s="12">
        <v>46300.0</v>
      </c>
      <c r="G2228" s="11" t="s">
        <v>12136</v>
      </c>
      <c r="H2228" s="11">
        <v>9.897153391E9</v>
      </c>
      <c r="I2228" s="11" t="s">
        <v>82</v>
      </c>
      <c r="J2228" s="11" t="s">
        <v>71</v>
      </c>
      <c r="K2228" s="11" t="s">
        <v>72</v>
      </c>
      <c r="L2228" s="11" t="s">
        <v>131</v>
      </c>
      <c r="M2228" s="11" t="s">
        <v>12137</v>
      </c>
      <c r="N2228" s="11" t="s">
        <v>868</v>
      </c>
      <c r="O2228" s="11" t="s">
        <v>71</v>
      </c>
      <c r="P2228" s="11" t="s">
        <v>12138</v>
      </c>
      <c r="Q2228" s="13" t="s">
        <v>12139</v>
      </c>
      <c r="R2228" s="14" t="str">
        <f>HYPERLINK("https://drive.google.com/file/d/1UXumU46mvJLKq0Aue-RifVl8EFZpRHmI/view?usp=drivesdk","OFFER LETTER")</f>
        <v>OFFER LETTER</v>
      </c>
      <c r="S2228" s="11" t="s">
        <v>12140</v>
      </c>
    </row>
    <row r="2229" ht="22.5" customHeight="1">
      <c r="A2229" s="10">
        <v>46270.440195243056</v>
      </c>
      <c r="B2229" s="11" t="s">
        <v>12141</v>
      </c>
      <c r="C2229" s="11" t="s">
        <v>259</v>
      </c>
      <c r="D2229" s="11" t="s">
        <v>68</v>
      </c>
      <c r="E2229" s="12">
        <v>46113.0</v>
      </c>
      <c r="F2229" s="12">
        <v>46143.0</v>
      </c>
      <c r="G2229" s="11" t="s">
        <v>12142</v>
      </c>
      <c r="H2229" s="11">
        <v>8.349936136E9</v>
      </c>
      <c r="I2229" s="11" t="s">
        <v>70</v>
      </c>
      <c r="J2229" s="11" t="s">
        <v>71</v>
      </c>
      <c r="K2229" s="11" t="s">
        <v>72</v>
      </c>
      <c r="L2229" s="11" t="s">
        <v>73</v>
      </c>
      <c r="M2229" s="11" t="s">
        <v>12143</v>
      </c>
      <c r="N2229" s="11" t="s">
        <v>12144</v>
      </c>
      <c r="O2229" s="11" t="s">
        <v>71</v>
      </c>
      <c r="P2229" s="11" t="s">
        <v>12145</v>
      </c>
      <c r="Q2229" s="13" t="s">
        <v>12146</v>
      </c>
      <c r="R2229" s="14" t="str">
        <f>HYPERLINK("https://drive.google.com/file/d/1NIrOk4SwI0-JXAJu0oUAQu53P0vmu5J0/view?usp=drivesdk","OFFER LETTER")</f>
        <v>OFFER LETTER</v>
      </c>
      <c r="S2229" s="11" t="s">
        <v>12147</v>
      </c>
    </row>
    <row r="2230" ht="22.5" customHeight="1">
      <c r="A2230" s="10">
        <v>46270.44868465277</v>
      </c>
      <c r="B2230" s="11" t="s">
        <v>9317</v>
      </c>
      <c r="C2230" s="11" t="s">
        <v>128</v>
      </c>
      <c r="D2230" s="11" t="s">
        <v>68</v>
      </c>
      <c r="E2230" s="12">
        <v>46265.0</v>
      </c>
      <c r="F2230" s="12">
        <v>46295.0</v>
      </c>
      <c r="G2230" s="11" t="s">
        <v>9318</v>
      </c>
      <c r="H2230" s="11">
        <v>9.325411042E9</v>
      </c>
      <c r="I2230" s="11" t="s">
        <v>82</v>
      </c>
      <c r="J2230" s="11" t="s">
        <v>130</v>
      </c>
      <c r="K2230" s="11" t="s">
        <v>72</v>
      </c>
      <c r="L2230" s="11" t="s">
        <v>73</v>
      </c>
      <c r="M2230" s="11" t="s">
        <v>9320</v>
      </c>
      <c r="N2230" s="11" t="s">
        <v>86</v>
      </c>
      <c r="O2230" s="11" t="s">
        <v>71</v>
      </c>
      <c r="P2230" s="11" t="s">
        <v>12148</v>
      </c>
      <c r="Q2230" s="13" t="s">
        <v>12149</v>
      </c>
      <c r="R2230" s="14" t="str">
        <f>HYPERLINK("https://drive.google.com/file/d/1NiEICHHJ0tZ6J8Vr0dB1EMebWL136uQ5/view?usp=drivesdk","OFFER LETTER")</f>
        <v>OFFER LETTER</v>
      </c>
      <c r="S2230" s="11" t="s">
        <v>12150</v>
      </c>
    </row>
    <row r="2231" ht="22.5" customHeight="1">
      <c r="A2231" s="10">
        <v>46270.44942193287</v>
      </c>
      <c r="B2231" s="11" t="s">
        <v>5891</v>
      </c>
      <c r="C2231" s="11" t="s">
        <v>298</v>
      </c>
      <c r="D2231" s="11" t="s">
        <v>108</v>
      </c>
      <c r="E2231" s="12">
        <v>46196.0</v>
      </c>
      <c r="F2231" s="12">
        <v>46257.0</v>
      </c>
      <c r="G2231" s="11" t="s">
        <v>5892</v>
      </c>
      <c r="H2231" s="11">
        <v>7.292052203E9</v>
      </c>
      <c r="I2231" s="11" t="s">
        <v>82</v>
      </c>
      <c r="J2231" s="11" t="s">
        <v>71</v>
      </c>
      <c r="K2231" s="11" t="s">
        <v>72</v>
      </c>
      <c r="L2231" s="11" t="s">
        <v>73</v>
      </c>
      <c r="M2231" s="11" t="s">
        <v>5893</v>
      </c>
      <c r="N2231" s="11" t="s">
        <v>198</v>
      </c>
      <c r="O2231" s="11" t="s">
        <v>71</v>
      </c>
      <c r="P2231" s="11" t="s">
        <v>12151</v>
      </c>
      <c r="Q2231" s="13" t="s">
        <v>12152</v>
      </c>
      <c r="R2231" s="14" t="str">
        <f>HYPERLINK("https://drive.google.com/file/d/1oGI1pX9OLq8_VLpNIA9WMMH7TZX13EnH/view?usp=drivesdk","OFFER LETTER")</f>
        <v>OFFER LETTER</v>
      </c>
      <c r="S2231" s="11" t="s">
        <v>12153</v>
      </c>
    </row>
    <row r="2232" ht="22.5" customHeight="1">
      <c r="A2232" s="10">
        <v>46270.45074866898</v>
      </c>
      <c r="B2232" s="11" t="s">
        <v>12154</v>
      </c>
      <c r="C2232" s="11" t="s">
        <v>173</v>
      </c>
      <c r="D2232" s="11" t="s">
        <v>108</v>
      </c>
      <c r="E2232" s="12">
        <v>46240.0</v>
      </c>
      <c r="F2232" s="12">
        <v>46301.0</v>
      </c>
      <c r="G2232" s="11" t="s">
        <v>12155</v>
      </c>
      <c r="H2232" s="11">
        <v>9.356456984E9</v>
      </c>
      <c r="I2232" s="11" t="s">
        <v>82</v>
      </c>
      <c r="J2232" s="11" t="s">
        <v>71</v>
      </c>
      <c r="K2232" s="11" t="s">
        <v>72</v>
      </c>
      <c r="L2232" s="11" t="s">
        <v>73</v>
      </c>
      <c r="M2232" s="11" t="s">
        <v>12156</v>
      </c>
      <c r="N2232" s="11" t="s">
        <v>226</v>
      </c>
      <c r="O2232" s="11" t="s">
        <v>71</v>
      </c>
      <c r="P2232" s="11" t="s">
        <v>12157</v>
      </c>
      <c r="Q2232" s="13" t="s">
        <v>12158</v>
      </c>
      <c r="R2232" s="14" t="str">
        <f>HYPERLINK("https://drive.google.com/file/d/1L3x0bvUeHC_KHF9axN1402pZ5CvOvLr5/view?usp=drivesdk","OFFER LETTER")</f>
        <v>OFFER LETTER</v>
      </c>
      <c r="S2232" s="11" t="s">
        <v>12159</v>
      </c>
    </row>
    <row r="2233" ht="22.5" customHeight="1">
      <c r="A2233" s="10">
        <v>46270.453657881946</v>
      </c>
      <c r="B2233" s="11" t="s">
        <v>12160</v>
      </c>
      <c r="C2233" s="11" t="s">
        <v>195</v>
      </c>
      <c r="D2233" s="11" t="s">
        <v>68</v>
      </c>
      <c r="E2233" s="12">
        <v>46270.0</v>
      </c>
      <c r="F2233" s="12">
        <v>46300.0</v>
      </c>
      <c r="G2233" s="11" t="s">
        <v>12161</v>
      </c>
      <c r="H2233" s="11">
        <v>9.353719485E9</v>
      </c>
      <c r="I2233" s="11" t="s">
        <v>70</v>
      </c>
      <c r="J2233" s="11" t="s">
        <v>71</v>
      </c>
      <c r="K2233" s="11" t="s">
        <v>72</v>
      </c>
      <c r="L2233" s="11" t="s">
        <v>131</v>
      </c>
      <c r="M2233" s="11" t="s">
        <v>12162</v>
      </c>
      <c r="N2233" s="11" t="s">
        <v>86</v>
      </c>
      <c r="O2233" s="11" t="s">
        <v>71</v>
      </c>
      <c r="P2233" s="11" t="s">
        <v>12163</v>
      </c>
      <c r="Q2233" s="13" t="s">
        <v>12164</v>
      </c>
      <c r="R2233" s="14" t="str">
        <f>HYPERLINK("https://drive.google.com/file/d/1rPseWM490EI5fs2D4C3wdVYbg_6oe_h4/view?usp=drivesdk","OFFER LETTER")</f>
        <v>OFFER LETTER</v>
      </c>
      <c r="S2233" s="11" t="s">
        <v>12165</v>
      </c>
    </row>
    <row r="2234" ht="22.5" customHeight="1">
      <c r="A2234" s="10">
        <v>46270.48601609954</v>
      </c>
      <c r="B2234" s="11" t="s">
        <v>12166</v>
      </c>
      <c r="C2234" s="11" t="s">
        <v>195</v>
      </c>
      <c r="D2234" s="11" t="s">
        <v>108</v>
      </c>
      <c r="E2234" s="12">
        <v>46174.0</v>
      </c>
      <c r="F2234" s="12">
        <v>46239.0</v>
      </c>
      <c r="G2234" s="11" t="s">
        <v>12167</v>
      </c>
      <c r="H2234" s="11">
        <v>7.008025899E9</v>
      </c>
      <c r="I2234" s="11" t="s">
        <v>82</v>
      </c>
      <c r="J2234" s="11" t="s">
        <v>71</v>
      </c>
      <c r="K2234" s="11" t="s">
        <v>72</v>
      </c>
      <c r="L2234" s="11" t="s">
        <v>73</v>
      </c>
      <c r="M2234" s="11" t="s">
        <v>12168</v>
      </c>
      <c r="N2234" s="11" t="s">
        <v>75</v>
      </c>
      <c r="O2234" s="11" t="s">
        <v>71</v>
      </c>
      <c r="P2234" s="11" t="s">
        <v>12169</v>
      </c>
      <c r="Q2234" s="13" t="s">
        <v>12170</v>
      </c>
      <c r="R2234" s="14" t="str">
        <f>HYPERLINK("https://drive.google.com/file/d/1L1XXG1MBCNrhyD1XRm-Emd3y_YxHCoS7/view?usp=drivesdk","OFFER LETTER")</f>
        <v>OFFER LETTER</v>
      </c>
      <c r="S2234" s="11" t="s">
        <v>12171</v>
      </c>
    </row>
    <row r="2235" ht="22.5" customHeight="1">
      <c r="A2235" s="10">
        <v>46270.487877418986</v>
      </c>
      <c r="B2235" s="11" t="s">
        <v>12172</v>
      </c>
      <c r="C2235" s="11" t="s">
        <v>128</v>
      </c>
      <c r="D2235" s="11" t="s">
        <v>68</v>
      </c>
      <c r="E2235" s="12">
        <v>46256.0</v>
      </c>
      <c r="F2235" s="12">
        <v>46287.0</v>
      </c>
      <c r="G2235" s="11" t="s">
        <v>12173</v>
      </c>
      <c r="H2235" s="11">
        <v>6.394050398E9</v>
      </c>
      <c r="I2235" s="11" t="s">
        <v>82</v>
      </c>
      <c r="J2235" s="11" t="s">
        <v>71</v>
      </c>
      <c r="K2235" s="11" t="s">
        <v>72</v>
      </c>
      <c r="L2235" s="11" t="s">
        <v>73</v>
      </c>
      <c r="M2235" s="11" t="s">
        <v>12174</v>
      </c>
      <c r="N2235" s="11" t="s">
        <v>86</v>
      </c>
      <c r="O2235" s="11" t="s">
        <v>263</v>
      </c>
      <c r="P2235" s="11" t="s">
        <v>12175</v>
      </c>
      <c r="Q2235" s="13" t="s">
        <v>12176</v>
      </c>
      <c r="R2235" s="14" t="str">
        <f>HYPERLINK("https://drive.google.com/file/d/1hkMOXQJho6ZoZyEQW5tovgMCAr5f_7Qy/view?usp=drivesdk","OFFER LETTER")</f>
        <v>OFFER LETTER</v>
      </c>
      <c r="S2235" s="11" t="s">
        <v>12177</v>
      </c>
    </row>
    <row r="2236" ht="22.5" customHeight="1">
      <c r="A2236" s="10">
        <v>46270.48983774305</v>
      </c>
      <c r="B2236" s="11" t="s">
        <v>12178</v>
      </c>
      <c r="C2236" s="11" t="s">
        <v>91</v>
      </c>
      <c r="D2236" s="11" t="s">
        <v>68</v>
      </c>
      <c r="E2236" s="12">
        <v>46280.0</v>
      </c>
      <c r="F2236" s="12">
        <v>46310.0</v>
      </c>
      <c r="G2236" s="11" t="s">
        <v>12179</v>
      </c>
      <c r="H2236" s="17" t="s">
        <v>12180</v>
      </c>
      <c r="I2236" s="11" t="s">
        <v>70</v>
      </c>
      <c r="J2236" s="11" t="s">
        <v>71</v>
      </c>
      <c r="K2236" s="11" t="s">
        <v>72</v>
      </c>
      <c r="L2236" s="11" t="s">
        <v>73</v>
      </c>
      <c r="M2236" s="11" t="s">
        <v>12181</v>
      </c>
      <c r="N2236" s="11" t="s">
        <v>75</v>
      </c>
      <c r="O2236" s="11" t="s">
        <v>130</v>
      </c>
      <c r="P2236" s="11" t="s">
        <v>12182</v>
      </c>
      <c r="Q2236" s="13" t="s">
        <v>12183</v>
      </c>
      <c r="R2236" s="14" t="str">
        <f>HYPERLINK("https://drive.google.com/file/d/1M9WrB_fvOvL0GHWkBovfpDqbDX8yLYzh/view?usp=drivesdk","OFFER LETTER")</f>
        <v>OFFER LETTER</v>
      </c>
      <c r="S2236" s="11" t="s">
        <v>12184</v>
      </c>
    </row>
    <row r="2237" ht="22.5" customHeight="1">
      <c r="A2237" s="10">
        <v>46270.50559623842</v>
      </c>
      <c r="B2237" s="11" t="s">
        <v>12185</v>
      </c>
      <c r="C2237" s="11" t="s">
        <v>195</v>
      </c>
      <c r="D2237" s="11" t="s">
        <v>68</v>
      </c>
      <c r="E2237" s="12">
        <v>46239.0</v>
      </c>
      <c r="F2237" s="12">
        <v>46270.0</v>
      </c>
      <c r="G2237" s="11" t="s">
        <v>12186</v>
      </c>
      <c r="H2237" s="11">
        <v>8.431824945E9</v>
      </c>
      <c r="I2237" s="11" t="s">
        <v>70</v>
      </c>
      <c r="J2237" s="11" t="s">
        <v>71</v>
      </c>
      <c r="K2237" s="11" t="s">
        <v>72</v>
      </c>
      <c r="L2237" s="11" t="s">
        <v>131</v>
      </c>
      <c r="M2237" s="11" t="s">
        <v>12187</v>
      </c>
      <c r="N2237" s="11" t="s">
        <v>1641</v>
      </c>
      <c r="O2237" s="11" t="s">
        <v>71</v>
      </c>
      <c r="P2237" s="11" t="s">
        <v>12188</v>
      </c>
      <c r="Q2237" s="13" t="s">
        <v>12189</v>
      </c>
      <c r="R2237" s="14" t="str">
        <f>HYPERLINK("https://drive.google.com/file/d/1gTF7F5RoELtiiseHSYM5iEEJPcu5pYlf/view?usp=drivesdk","OFFER LETTER")</f>
        <v>OFFER LETTER</v>
      </c>
      <c r="S2237" s="11" t="s">
        <v>12190</v>
      </c>
    </row>
    <row r="2238" ht="22.5" customHeight="1">
      <c r="A2238" s="10">
        <v>46270.508696053235</v>
      </c>
      <c r="B2238" s="11" t="s">
        <v>8186</v>
      </c>
      <c r="C2238" s="11" t="s">
        <v>237</v>
      </c>
      <c r="D2238" s="11" t="s">
        <v>68</v>
      </c>
      <c r="E2238" s="12">
        <v>46236.0</v>
      </c>
      <c r="F2238" s="12">
        <v>46264.0</v>
      </c>
      <c r="G2238" s="11" t="s">
        <v>8187</v>
      </c>
      <c r="H2238" s="11">
        <v>7.82947529E9</v>
      </c>
      <c r="I2238" s="11" t="s">
        <v>82</v>
      </c>
      <c r="J2238" s="11" t="s">
        <v>83</v>
      </c>
      <c r="K2238" s="11" t="s">
        <v>72</v>
      </c>
      <c r="L2238" s="11" t="s">
        <v>73</v>
      </c>
      <c r="M2238" s="11" t="s">
        <v>8188</v>
      </c>
      <c r="N2238" s="11" t="s">
        <v>226</v>
      </c>
      <c r="O2238" s="11" t="s">
        <v>71</v>
      </c>
      <c r="P2238" s="11" t="s">
        <v>12191</v>
      </c>
      <c r="Q2238" s="13" t="s">
        <v>12192</v>
      </c>
      <c r="R2238" s="14" t="str">
        <f t="shared" ref="R2238:R2239" si="1">HYPERLINK("https://drive.google.com/file/d/1KuHfyOybdC2NCs9Up0JZr76ndo8JCMQf/view?usp=drivesdk","OFFER LETTER")</f>
        <v>OFFER LETTER</v>
      </c>
      <c r="S2238" s="11" t="s">
        <v>12193</v>
      </c>
    </row>
    <row r="2239" ht="22.5" customHeight="1">
      <c r="A2239" s="10">
        <v>46270.509345949074</v>
      </c>
      <c r="B2239" s="11" t="s">
        <v>12194</v>
      </c>
      <c r="C2239" s="11" t="s">
        <v>259</v>
      </c>
      <c r="D2239" s="11" t="s">
        <v>108</v>
      </c>
      <c r="E2239" s="12">
        <v>46203.0</v>
      </c>
      <c r="F2239" s="12">
        <v>46264.0</v>
      </c>
      <c r="G2239" s="11" t="s">
        <v>12195</v>
      </c>
      <c r="H2239" s="11">
        <v>9.668072683E9</v>
      </c>
      <c r="I2239" s="11" t="s">
        <v>82</v>
      </c>
      <c r="J2239" s="11" t="s">
        <v>71</v>
      </c>
      <c r="K2239" s="11" t="s">
        <v>72</v>
      </c>
      <c r="L2239" s="11" t="s">
        <v>73</v>
      </c>
      <c r="M2239" s="11" t="s">
        <v>12196</v>
      </c>
      <c r="N2239" s="11" t="s">
        <v>2778</v>
      </c>
      <c r="O2239" s="11" t="s">
        <v>71</v>
      </c>
      <c r="R2239" s="14" t="str">
        <f t="shared" si="1"/>
        <v>OFFER LETTER</v>
      </c>
      <c r="S2239" s="11" t="s">
        <v>12197</v>
      </c>
    </row>
    <row r="2240" ht="22.5" customHeight="1">
      <c r="A2240" s="10">
        <v>46270.52192976852</v>
      </c>
      <c r="B2240" s="11" t="s">
        <v>12198</v>
      </c>
      <c r="C2240" s="11" t="s">
        <v>237</v>
      </c>
      <c r="D2240" s="11" t="s">
        <v>68</v>
      </c>
      <c r="E2240" s="12">
        <v>46270.0</v>
      </c>
      <c r="F2240" s="12">
        <v>46300.0</v>
      </c>
      <c r="G2240" s="11" t="s">
        <v>12199</v>
      </c>
      <c r="H2240" s="11">
        <v>8.668965028E9</v>
      </c>
      <c r="I2240" s="11" t="s">
        <v>82</v>
      </c>
      <c r="J2240" s="11" t="s">
        <v>71</v>
      </c>
      <c r="K2240" s="11" t="s">
        <v>72</v>
      </c>
      <c r="L2240" s="11" t="s">
        <v>73</v>
      </c>
      <c r="M2240" s="11" t="s">
        <v>12200</v>
      </c>
      <c r="N2240" s="11" t="s">
        <v>75</v>
      </c>
      <c r="O2240" s="11" t="s">
        <v>71</v>
      </c>
      <c r="P2240" s="11" t="s">
        <v>12201</v>
      </c>
      <c r="Q2240" s="13" t="s">
        <v>12202</v>
      </c>
      <c r="R2240" s="14" t="str">
        <f>HYPERLINK("https://drive.google.com/file/d/1pTMLzc4PBC1Mq0rfoh2tnmrXPC5dVp_p/view?usp=drivesdk","OFFER LETTER")</f>
        <v>OFFER LETTER</v>
      </c>
      <c r="S2240" s="11" t="s">
        <v>12203</v>
      </c>
    </row>
    <row r="2241" ht="22.5" customHeight="1">
      <c r="A2241" s="10">
        <v>46270.52327152778</v>
      </c>
      <c r="B2241" s="11" t="s">
        <v>12204</v>
      </c>
      <c r="C2241" s="11" t="s">
        <v>173</v>
      </c>
      <c r="D2241" s="11" t="s">
        <v>68</v>
      </c>
      <c r="E2241" s="12">
        <v>46219.0</v>
      </c>
      <c r="F2241" s="12">
        <v>46250.0</v>
      </c>
      <c r="G2241" s="11" t="s">
        <v>12205</v>
      </c>
      <c r="H2241" s="11">
        <v>6.39897442E9</v>
      </c>
      <c r="I2241" s="11" t="s">
        <v>82</v>
      </c>
      <c r="J2241" s="11" t="s">
        <v>71</v>
      </c>
      <c r="K2241" s="11" t="s">
        <v>72</v>
      </c>
      <c r="L2241" s="11" t="s">
        <v>84</v>
      </c>
      <c r="M2241" s="11" t="s">
        <v>301</v>
      </c>
      <c r="N2241" s="11" t="s">
        <v>198</v>
      </c>
      <c r="O2241" s="11" t="s">
        <v>71</v>
      </c>
      <c r="P2241" s="11" t="s">
        <v>12206</v>
      </c>
      <c r="Q2241" s="13" t="s">
        <v>12207</v>
      </c>
      <c r="R2241" s="14" t="str">
        <f>HYPERLINK("https://drive.google.com/file/d/16RZDAW49J_MgePCOS2MRR6Q0vCIlfeHK/view?usp=drivesdk","OFFER LETTER")</f>
        <v>OFFER LETTER</v>
      </c>
      <c r="S2241" s="11" t="s">
        <v>12208</v>
      </c>
    </row>
    <row r="2242" ht="22.5" customHeight="1">
      <c r="A2242" s="10">
        <v>46270.52948060185</v>
      </c>
      <c r="B2242" s="11" t="s">
        <v>12209</v>
      </c>
      <c r="C2242" s="11" t="s">
        <v>80</v>
      </c>
      <c r="D2242" s="11" t="s">
        <v>68</v>
      </c>
      <c r="E2242" s="12">
        <v>46270.0</v>
      </c>
      <c r="F2242" s="12">
        <v>46300.0</v>
      </c>
      <c r="G2242" s="11" t="s">
        <v>12210</v>
      </c>
      <c r="H2242" s="11" t="s">
        <v>12209</v>
      </c>
      <c r="I2242" s="11" t="s">
        <v>82</v>
      </c>
      <c r="J2242" s="11" t="s">
        <v>71</v>
      </c>
      <c r="K2242" s="11" t="s">
        <v>72</v>
      </c>
      <c r="L2242" s="11" t="s">
        <v>131</v>
      </c>
      <c r="M2242" s="11" t="s">
        <v>12211</v>
      </c>
      <c r="N2242" s="11" t="s">
        <v>75</v>
      </c>
      <c r="O2242" s="11" t="s">
        <v>71</v>
      </c>
      <c r="P2242" s="11" t="s">
        <v>12212</v>
      </c>
      <c r="Q2242" s="13" t="s">
        <v>12213</v>
      </c>
      <c r="R2242" s="14" t="str">
        <f>HYPERLINK("https://drive.google.com/file/d/1_0e1sG_IsN1u7JgvZStK2EQoeuvkYViu/view?usp=drivesdk","OFFER LETTER")</f>
        <v>OFFER LETTER</v>
      </c>
      <c r="S2242" s="11" t="s">
        <v>12214</v>
      </c>
    </row>
    <row r="2243" ht="22.5" customHeight="1">
      <c r="A2243" s="10">
        <v>46270.52973045139</v>
      </c>
      <c r="B2243" s="11" t="s">
        <v>12215</v>
      </c>
      <c r="C2243" s="11" t="s">
        <v>195</v>
      </c>
      <c r="D2243" s="11" t="s">
        <v>68</v>
      </c>
      <c r="E2243" s="12">
        <v>45449.0</v>
      </c>
      <c r="F2243" s="12">
        <v>46926.0</v>
      </c>
      <c r="G2243" s="11" t="s">
        <v>12216</v>
      </c>
      <c r="H2243" s="11">
        <v>8.919292038E9</v>
      </c>
      <c r="I2243" s="11" t="s">
        <v>82</v>
      </c>
      <c r="J2243" s="11" t="s">
        <v>71</v>
      </c>
      <c r="K2243" s="11" t="s">
        <v>72</v>
      </c>
      <c r="L2243" s="11" t="s">
        <v>73</v>
      </c>
      <c r="M2243" s="11" t="s">
        <v>12217</v>
      </c>
      <c r="N2243" s="11" t="s">
        <v>1641</v>
      </c>
      <c r="O2243" s="11" t="s">
        <v>71</v>
      </c>
      <c r="P2243" s="11" t="s">
        <v>12218</v>
      </c>
      <c r="Q2243" s="13" t="s">
        <v>12219</v>
      </c>
      <c r="R2243" s="14" t="str">
        <f>HYPERLINK("https://drive.google.com/file/d/1-MZ-N12oypxnLQfDoZbYrGDEw6wbXjAp/view?usp=drivesdk","OFFER LETTER")</f>
        <v>OFFER LETTER</v>
      </c>
      <c r="S2243" s="11" t="s">
        <v>12220</v>
      </c>
    </row>
    <row r="2244" ht="22.5" customHeight="1">
      <c r="A2244" s="10">
        <v>46270.53677756945</v>
      </c>
      <c r="B2244" s="11" t="s">
        <v>12221</v>
      </c>
      <c r="C2244" s="11" t="s">
        <v>107</v>
      </c>
      <c r="D2244" s="11" t="s">
        <v>68</v>
      </c>
      <c r="E2244" s="12">
        <v>46253.0</v>
      </c>
      <c r="F2244" s="12">
        <v>46253.0</v>
      </c>
      <c r="G2244" s="11" t="s">
        <v>12222</v>
      </c>
      <c r="H2244" s="11">
        <v>8.088863971E9</v>
      </c>
      <c r="I2244" s="11" t="s">
        <v>70</v>
      </c>
      <c r="J2244" s="11" t="s">
        <v>71</v>
      </c>
      <c r="K2244" s="11" t="s">
        <v>72</v>
      </c>
      <c r="L2244" s="11" t="s">
        <v>131</v>
      </c>
      <c r="M2244" s="11" t="s">
        <v>12223</v>
      </c>
      <c r="N2244" s="11" t="s">
        <v>86</v>
      </c>
      <c r="O2244" s="11" t="s">
        <v>71</v>
      </c>
      <c r="P2244" s="11" t="s">
        <v>12224</v>
      </c>
      <c r="Q2244" s="13" t="s">
        <v>12225</v>
      </c>
      <c r="R2244" s="14" t="str">
        <f>HYPERLINK("https://drive.google.com/file/d/1coh1n65MTUr87MDEyHfbB09h4YDC-r8x/view?usp=drivesdk","OFFER LETTER")</f>
        <v>OFFER LETTER</v>
      </c>
      <c r="S2244" s="11" t="s">
        <v>12226</v>
      </c>
    </row>
    <row r="2245" ht="22.5" customHeight="1">
      <c r="A2245" s="10">
        <v>46270.547431886574</v>
      </c>
      <c r="B2245" s="11" t="s">
        <v>12227</v>
      </c>
      <c r="C2245" s="11" t="s">
        <v>237</v>
      </c>
      <c r="D2245" s="11" t="s">
        <v>8221</v>
      </c>
      <c r="E2245" s="12">
        <v>46174.0</v>
      </c>
      <c r="F2245" s="12">
        <v>46218.0</v>
      </c>
      <c r="G2245" s="11" t="s">
        <v>12228</v>
      </c>
      <c r="H2245" s="11">
        <v>9.122004671E9</v>
      </c>
      <c r="I2245" s="11" t="s">
        <v>82</v>
      </c>
      <c r="J2245" s="11" t="s">
        <v>71</v>
      </c>
      <c r="K2245" s="11" t="s">
        <v>72</v>
      </c>
      <c r="L2245" s="11" t="s">
        <v>73</v>
      </c>
      <c r="M2245" s="11" t="s">
        <v>12229</v>
      </c>
      <c r="N2245" s="11" t="s">
        <v>7498</v>
      </c>
      <c r="O2245" s="11" t="s">
        <v>71</v>
      </c>
      <c r="P2245" s="11" t="s">
        <v>12230</v>
      </c>
      <c r="Q2245" s="13" t="s">
        <v>12231</v>
      </c>
      <c r="R2245" s="14" t="str">
        <f>HYPERLINK("https://drive.google.com/file/d/1RjEVDJWEV8Xxsahs2BjNxUVguatvIA20/view?usp=drivesdk","OFFER LETTER")</f>
        <v>OFFER LETTER</v>
      </c>
      <c r="S2245" s="11" t="s">
        <v>12232</v>
      </c>
    </row>
    <row r="2246" ht="22.5" customHeight="1">
      <c r="A2246" s="10">
        <v>46270.568257175924</v>
      </c>
      <c r="B2246" s="11" t="s">
        <v>12233</v>
      </c>
      <c r="C2246" s="11" t="s">
        <v>165</v>
      </c>
      <c r="D2246" s="11" t="s">
        <v>68</v>
      </c>
      <c r="E2246" s="12">
        <v>46237.0</v>
      </c>
      <c r="F2246" s="12">
        <v>46268.0</v>
      </c>
      <c r="G2246" s="11" t="s">
        <v>12234</v>
      </c>
      <c r="H2246" s="11">
        <v>8.208921431E9</v>
      </c>
      <c r="I2246" s="11" t="s">
        <v>82</v>
      </c>
      <c r="J2246" s="11" t="s">
        <v>71</v>
      </c>
      <c r="K2246" s="11" t="s">
        <v>167</v>
      </c>
      <c r="L2246" s="11" t="s">
        <v>84</v>
      </c>
      <c r="M2246" s="11" t="s">
        <v>12235</v>
      </c>
      <c r="N2246" s="11" t="s">
        <v>226</v>
      </c>
      <c r="O2246" s="11" t="s">
        <v>71</v>
      </c>
      <c r="P2246" s="11" t="s">
        <v>12236</v>
      </c>
      <c r="Q2246" s="13" t="s">
        <v>12237</v>
      </c>
      <c r="R2246" s="14" t="str">
        <f>HYPERLINK("https://drive.google.com/file/d/1744XOx8DEsVmmpX_D5LsuVvfoYFHGaW0/view?usp=drivesdk","OFFER LETTER")</f>
        <v>OFFER LETTER</v>
      </c>
      <c r="S2246" s="11" t="s">
        <v>12238</v>
      </c>
    </row>
    <row r="2247" ht="22.5" customHeight="1">
      <c r="A2247" s="10">
        <v>46270.56839381944</v>
      </c>
      <c r="B2247" s="11" t="s">
        <v>12239</v>
      </c>
      <c r="C2247" s="11" t="s">
        <v>237</v>
      </c>
      <c r="D2247" s="11" t="s">
        <v>68</v>
      </c>
      <c r="E2247" s="12">
        <v>46286.0</v>
      </c>
      <c r="F2247" s="12">
        <v>46316.0</v>
      </c>
      <c r="G2247" s="11" t="s">
        <v>12240</v>
      </c>
      <c r="H2247" s="11">
        <v>9.302224207E9</v>
      </c>
      <c r="I2247" s="11" t="s">
        <v>70</v>
      </c>
      <c r="J2247" s="11" t="s">
        <v>71</v>
      </c>
      <c r="K2247" s="11" t="s">
        <v>72</v>
      </c>
      <c r="L2247" s="11" t="s">
        <v>73</v>
      </c>
      <c r="M2247" s="11" t="s">
        <v>12241</v>
      </c>
      <c r="N2247" s="11" t="s">
        <v>86</v>
      </c>
      <c r="O2247" s="11" t="s">
        <v>263</v>
      </c>
      <c r="P2247" s="11" t="s">
        <v>12242</v>
      </c>
      <c r="Q2247" s="13" t="s">
        <v>12243</v>
      </c>
      <c r="R2247" s="14" t="str">
        <f>HYPERLINK("https://drive.google.com/file/d/1lHt6LbBA1f3U9xdQdhOGcrzotS8431YM/view?usp=drivesdk","OFFER LETTER")</f>
        <v>OFFER LETTER</v>
      </c>
      <c r="S2247" s="11" t="s">
        <v>12244</v>
      </c>
    </row>
    <row r="2248" ht="22.5" customHeight="1">
      <c r="A2248" s="10">
        <v>46270.572606319445</v>
      </c>
      <c r="B2248" s="11" t="s">
        <v>12245</v>
      </c>
      <c r="C2248" s="11" t="s">
        <v>173</v>
      </c>
      <c r="D2248" s="11" t="s">
        <v>108</v>
      </c>
      <c r="E2248" s="12">
        <v>46183.0</v>
      </c>
      <c r="F2248" s="12">
        <v>46244.0</v>
      </c>
      <c r="G2248" s="11" t="s">
        <v>12246</v>
      </c>
      <c r="H2248" s="11" t="s">
        <v>12247</v>
      </c>
      <c r="I2248" s="11" t="s">
        <v>82</v>
      </c>
      <c r="J2248" s="11" t="s">
        <v>71</v>
      </c>
      <c r="K2248" s="11" t="s">
        <v>72</v>
      </c>
      <c r="L2248" s="11" t="s">
        <v>73</v>
      </c>
      <c r="M2248" s="11" t="s">
        <v>9205</v>
      </c>
      <c r="N2248" s="11" t="s">
        <v>5502</v>
      </c>
      <c r="O2248" s="11" t="s">
        <v>71</v>
      </c>
      <c r="P2248" s="11" t="s">
        <v>12248</v>
      </c>
      <c r="Q2248" s="13" t="s">
        <v>12249</v>
      </c>
      <c r="R2248" s="14" t="str">
        <f>HYPERLINK("https://drive.google.com/file/d/1c_Hgxfh3NmiJ5PVH115VwciMndVxod6W/view?usp=drivesdk","OFFER LETTER")</f>
        <v>OFFER LETTER</v>
      </c>
      <c r="S2248" s="11" t="s">
        <v>12250</v>
      </c>
    </row>
    <row r="2249" ht="22.5" customHeight="1">
      <c r="A2249" s="10">
        <v>46270.57901246528</v>
      </c>
      <c r="B2249" s="11" t="s">
        <v>12251</v>
      </c>
      <c r="C2249" s="11" t="s">
        <v>195</v>
      </c>
      <c r="D2249" s="11" t="s">
        <v>68</v>
      </c>
      <c r="E2249" s="12">
        <v>46174.0</v>
      </c>
      <c r="F2249" s="12">
        <v>46212.0</v>
      </c>
      <c r="G2249" s="11" t="s">
        <v>12252</v>
      </c>
      <c r="H2249" s="11">
        <v>8.076470626E9</v>
      </c>
      <c r="I2249" s="11" t="s">
        <v>82</v>
      </c>
      <c r="J2249" s="11" t="s">
        <v>71</v>
      </c>
      <c r="K2249" s="11" t="s">
        <v>72</v>
      </c>
      <c r="L2249" s="11" t="s">
        <v>131</v>
      </c>
      <c r="M2249" s="11" t="s">
        <v>12253</v>
      </c>
      <c r="N2249" s="11" t="s">
        <v>75</v>
      </c>
      <c r="O2249" s="11" t="s">
        <v>71</v>
      </c>
      <c r="P2249" s="11" t="s">
        <v>12254</v>
      </c>
      <c r="Q2249" s="13" t="s">
        <v>12255</v>
      </c>
      <c r="R2249" s="14" t="str">
        <f>HYPERLINK("https://drive.google.com/file/d/1y7yGvATdO34uGOpVp9lz0UtbGpjbwgd-/view?usp=drivesdk","OFFER LETTER")</f>
        <v>OFFER LETTER</v>
      </c>
      <c r="S2249" s="11" t="s">
        <v>12256</v>
      </c>
    </row>
    <row r="2250" ht="22.5" customHeight="1">
      <c r="A2250" s="10">
        <v>46270.58102543982</v>
      </c>
      <c r="B2250" s="11" t="s">
        <v>12257</v>
      </c>
      <c r="C2250" s="11" t="s">
        <v>195</v>
      </c>
      <c r="D2250" s="11" t="s">
        <v>68</v>
      </c>
      <c r="E2250" s="12">
        <v>46238.0</v>
      </c>
      <c r="F2250" s="12">
        <v>46269.0</v>
      </c>
      <c r="G2250" s="11" t="s">
        <v>12258</v>
      </c>
      <c r="H2250" s="11">
        <v>7.859067176E9</v>
      </c>
      <c r="I2250" s="11" t="s">
        <v>82</v>
      </c>
      <c r="J2250" s="11" t="s">
        <v>71</v>
      </c>
      <c r="K2250" s="11" t="s">
        <v>72</v>
      </c>
      <c r="L2250" s="11" t="s">
        <v>84</v>
      </c>
      <c r="M2250" s="11" t="s">
        <v>2535</v>
      </c>
      <c r="N2250" s="11" t="s">
        <v>75</v>
      </c>
      <c r="O2250" s="11" t="s">
        <v>71</v>
      </c>
      <c r="P2250" s="11" t="s">
        <v>12259</v>
      </c>
      <c r="Q2250" s="13" t="s">
        <v>12260</v>
      </c>
      <c r="R2250" s="14" t="str">
        <f>HYPERLINK("https://drive.google.com/file/d/1O3_Y4aA8Jv5CR0gWcok1CVEmMqAhPJMT/view?usp=drivesdk","OFFER LETTER")</f>
        <v>OFFER LETTER</v>
      </c>
      <c r="S2250" s="11" t="s">
        <v>12261</v>
      </c>
    </row>
    <row r="2251" ht="22.5" customHeight="1">
      <c r="A2251" s="10">
        <v>46270.58543476852</v>
      </c>
      <c r="B2251" s="11" t="s">
        <v>12262</v>
      </c>
      <c r="C2251" s="11" t="s">
        <v>80</v>
      </c>
      <c r="D2251" s="11" t="s">
        <v>68</v>
      </c>
      <c r="E2251" s="12">
        <v>46270.0</v>
      </c>
      <c r="F2251" s="12">
        <v>46300.0</v>
      </c>
      <c r="G2251" s="11" t="s">
        <v>12263</v>
      </c>
      <c r="H2251" s="11">
        <v>9.411205974E9</v>
      </c>
      <c r="I2251" s="11" t="s">
        <v>82</v>
      </c>
      <c r="J2251" s="11" t="s">
        <v>71</v>
      </c>
      <c r="K2251" s="11" t="s">
        <v>72</v>
      </c>
      <c r="L2251" s="11" t="s">
        <v>131</v>
      </c>
      <c r="M2251" s="11" t="s">
        <v>12264</v>
      </c>
      <c r="N2251" s="11" t="s">
        <v>75</v>
      </c>
      <c r="O2251" s="11" t="s">
        <v>71</v>
      </c>
      <c r="P2251" s="11" t="s">
        <v>12265</v>
      </c>
      <c r="Q2251" s="13" t="s">
        <v>12266</v>
      </c>
      <c r="R2251" s="14" t="str">
        <f>HYPERLINK("https://drive.google.com/file/d/1MqPeUPqWSqlHnm3Iq3WU9FB4MmRMvi8k/view?usp=drivesdk","OFFER LETTER")</f>
        <v>OFFER LETTER</v>
      </c>
      <c r="S2251" s="11" t="s">
        <v>12267</v>
      </c>
    </row>
    <row r="2252" ht="22.5" customHeight="1">
      <c r="A2252" s="10">
        <v>46270.59273704861</v>
      </c>
      <c r="B2252" s="11" t="s">
        <v>12268</v>
      </c>
      <c r="C2252" s="11" t="s">
        <v>354</v>
      </c>
      <c r="D2252" s="11" t="s">
        <v>238</v>
      </c>
      <c r="E2252" s="12">
        <v>46270.0</v>
      </c>
      <c r="F2252" s="12">
        <v>46332.0</v>
      </c>
      <c r="G2252" s="11" t="s">
        <v>12269</v>
      </c>
      <c r="H2252" s="11">
        <v>8.392828108E9</v>
      </c>
      <c r="I2252" s="11" t="s">
        <v>82</v>
      </c>
      <c r="J2252" s="11" t="s">
        <v>71</v>
      </c>
      <c r="K2252" s="11" t="s">
        <v>72</v>
      </c>
      <c r="L2252" s="11" t="s">
        <v>131</v>
      </c>
      <c r="M2252" s="11" t="s">
        <v>12270</v>
      </c>
      <c r="N2252" s="11" t="s">
        <v>75</v>
      </c>
      <c r="O2252" s="11" t="s">
        <v>71</v>
      </c>
      <c r="P2252" s="11" t="s">
        <v>12271</v>
      </c>
      <c r="Q2252" s="13" t="s">
        <v>12272</v>
      </c>
      <c r="R2252" s="14" t="str">
        <f>HYPERLINK("https://drive.google.com/file/d/1vprfTZU-vSE76-1E1mWhG_NmzEPFCOJy/view?usp=drivesdk","OFFER LETTER")</f>
        <v>OFFER LETTER</v>
      </c>
      <c r="S2252" s="11" t="s">
        <v>12273</v>
      </c>
    </row>
    <row r="2253" ht="22.5" customHeight="1">
      <c r="A2253" s="10">
        <v>46270.59899091435</v>
      </c>
      <c r="B2253" s="11" t="s">
        <v>12274</v>
      </c>
      <c r="C2253" s="11" t="s">
        <v>195</v>
      </c>
      <c r="D2253" s="11" t="s">
        <v>68</v>
      </c>
      <c r="E2253" s="12">
        <v>46147.0</v>
      </c>
      <c r="F2253" s="12">
        <v>46178.0</v>
      </c>
      <c r="G2253" s="11" t="s">
        <v>12275</v>
      </c>
      <c r="H2253" s="11">
        <v>9.650468264E9</v>
      </c>
      <c r="I2253" s="11" t="s">
        <v>82</v>
      </c>
      <c r="J2253" s="11" t="s">
        <v>71</v>
      </c>
      <c r="K2253" s="11" t="s">
        <v>72</v>
      </c>
      <c r="L2253" s="11" t="s">
        <v>84</v>
      </c>
      <c r="M2253" s="11" t="s">
        <v>2021</v>
      </c>
      <c r="N2253" s="11" t="s">
        <v>86</v>
      </c>
      <c r="O2253" s="11" t="s">
        <v>71</v>
      </c>
      <c r="P2253" s="11" t="s">
        <v>12276</v>
      </c>
      <c r="Q2253" s="13" t="s">
        <v>12277</v>
      </c>
      <c r="R2253" s="14" t="str">
        <f>HYPERLINK("https://drive.google.com/file/d/1LEcXq_4P1S8O9IjbzlNnBefngoNhqfMZ/view?usp=drivesdk","OFFER LETTER")</f>
        <v>OFFER LETTER</v>
      </c>
      <c r="S2253" s="11" t="s">
        <v>12278</v>
      </c>
    </row>
    <row r="2254" ht="22.5" customHeight="1">
      <c r="A2254" s="10">
        <v>46270.600244988425</v>
      </c>
      <c r="B2254" s="11" t="s">
        <v>12279</v>
      </c>
      <c r="C2254" s="11" t="s">
        <v>195</v>
      </c>
      <c r="D2254" s="11" t="s">
        <v>68</v>
      </c>
      <c r="E2254" s="12">
        <v>46240.0</v>
      </c>
      <c r="F2254" s="12">
        <v>46271.0</v>
      </c>
      <c r="G2254" s="11" t="s">
        <v>12280</v>
      </c>
      <c r="H2254" s="11">
        <v>9.515339702E9</v>
      </c>
      <c r="I2254" s="11" t="s">
        <v>82</v>
      </c>
      <c r="J2254" s="11" t="s">
        <v>71</v>
      </c>
      <c r="K2254" s="11" t="s">
        <v>72</v>
      </c>
      <c r="L2254" s="11" t="s">
        <v>84</v>
      </c>
      <c r="M2254" s="11" t="s">
        <v>12281</v>
      </c>
      <c r="N2254" s="11" t="s">
        <v>75</v>
      </c>
      <c r="O2254" s="11" t="s">
        <v>71</v>
      </c>
      <c r="P2254" s="11" t="s">
        <v>12282</v>
      </c>
      <c r="Q2254" s="13" t="s">
        <v>12283</v>
      </c>
      <c r="R2254" s="14" t="str">
        <f>HYPERLINK("https://drive.google.com/file/d/1aQbluc8edf6woVSRAjl8DribX9Q1lwMq/view?usp=drivesdk","OFFER LETTER")</f>
        <v>OFFER LETTER</v>
      </c>
      <c r="S2254" s="11" t="s">
        <v>12284</v>
      </c>
    </row>
    <row r="2255" ht="22.5" customHeight="1">
      <c r="A2255" s="10">
        <v>46270.608716041665</v>
      </c>
      <c r="B2255" s="11" t="s">
        <v>12285</v>
      </c>
      <c r="C2255" s="11" t="s">
        <v>195</v>
      </c>
      <c r="D2255" s="11" t="s">
        <v>68</v>
      </c>
      <c r="E2255" s="12">
        <v>46236.0</v>
      </c>
      <c r="F2255" s="12">
        <v>46268.0</v>
      </c>
      <c r="G2255" s="11" t="s">
        <v>12286</v>
      </c>
      <c r="H2255" s="11">
        <v>9.942506288E9</v>
      </c>
      <c r="I2255" s="11" t="s">
        <v>82</v>
      </c>
      <c r="J2255" s="11" t="s">
        <v>71</v>
      </c>
      <c r="K2255" s="11" t="s">
        <v>72</v>
      </c>
      <c r="L2255" s="11" t="s">
        <v>84</v>
      </c>
      <c r="M2255" s="11" t="s">
        <v>886</v>
      </c>
      <c r="N2255" s="11" t="s">
        <v>86</v>
      </c>
      <c r="O2255" s="11" t="s">
        <v>71</v>
      </c>
      <c r="P2255" s="11" t="s">
        <v>12287</v>
      </c>
      <c r="Q2255" s="13" t="s">
        <v>12288</v>
      </c>
      <c r="R2255" s="14" t="str">
        <f>HYPERLINK("https://drive.google.com/file/d/1ksk_49CDtjy78bBc-5d6Wp94QsDRCPtH/view?usp=drivesdk","OFFER LETTER")</f>
        <v>OFFER LETTER</v>
      </c>
      <c r="S2255" s="11" t="s">
        <v>12289</v>
      </c>
    </row>
    <row r="2256" ht="22.5" customHeight="1">
      <c r="A2256" s="10">
        <v>46270.60958099537</v>
      </c>
      <c r="B2256" s="11" t="s">
        <v>12290</v>
      </c>
      <c r="C2256" s="11" t="s">
        <v>91</v>
      </c>
      <c r="D2256" s="11" t="s">
        <v>68</v>
      </c>
      <c r="E2256" s="12">
        <v>46239.0</v>
      </c>
      <c r="F2256" s="12">
        <v>46270.0</v>
      </c>
      <c r="G2256" s="11" t="s">
        <v>12291</v>
      </c>
      <c r="H2256" s="11">
        <v>9.12181915E9</v>
      </c>
      <c r="I2256" s="11" t="s">
        <v>82</v>
      </c>
      <c r="J2256" s="11" t="s">
        <v>71</v>
      </c>
      <c r="K2256" s="11" t="s">
        <v>72</v>
      </c>
      <c r="L2256" s="11" t="s">
        <v>84</v>
      </c>
      <c r="M2256" s="11" t="s">
        <v>123</v>
      </c>
      <c r="N2256" s="11" t="s">
        <v>86</v>
      </c>
      <c r="O2256" s="11" t="s">
        <v>71</v>
      </c>
      <c r="P2256" s="11" t="s">
        <v>12292</v>
      </c>
      <c r="Q2256" s="13" t="s">
        <v>12293</v>
      </c>
      <c r="R2256" s="14" t="str">
        <f>HYPERLINK("https://drive.google.com/file/d/1ELqy9Qs3HA6JL7r7nEwF7SppUFCjNfuS/view?usp=drivesdk","OFFER LETTER")</f>
        <v>OFFER LETTER</v>
      </c>
      <c r="S2256" s="11" t="s">
        <v>12294</v>
      </c>
    </row>
    <row r="2257" ht="22.5" customHeight="1">
      <c r="A2257" s="10">
        <v>46270.63682745371</v>
      </c>
      <c r="B2257" s="11" t="s">
        <v>11149</v>
      </c>
      <c r="C2257" s="11" t="s">
        <v>354</v>
      </c>
      <c r="D2257" s="11" t="s">
        <v>108</v>
      </c>
      <c r="E2257" s="12">
        <v>46177.0</v>
      </c>
      <c r="F2257" s="12">
        <v>46241.0</v>
      </c>
      <c r="G2257" s="11" t="s">
        <v>11150</v>
      </c>
      <c r="H2257" s="11">
        <v>8.984050051E9</v>
      </c>
      <c r="I2257" s="11" t="s">
        <v>82</v>
      </c>
      <c r="J2257" s="11" t="s">
        <v>71</v>
      </c>
      <c r="K2257" s="11" t="s">
        <v>72</v>
      </c>
      <c r="L2257" s="11" t="s">
        <v>73</v>
      </c>
      <c r="M2257" s="11" t="s">
        <v>12295</v>
      </c>
      <c r="N2257" s="11" t="s">
        <v>75</v>
      </c>
      <c r="O2257" s="11" t="s">
        <v>71</v>
      </c>
      <c r="P2257" s="11" t="s">
        <v>12296</v>
      </c>
      <c r="Q2257" s="13" t="s">
        <v>12297</v>
      </c>
      <c r="R2257" s="14" t="str">
        <f>HYPERLINK("https://drive.google.com/file/d/1XOuZFs_pNNmR2Pg-VP-NoTjS-l0wwo7z/view?usp=drivesdk","OFFER LETTER")</f>
        <v>OFFER LETTER</v>
      </c>
      <c r="S2257" s="11" t="s">
        <v>12298</v>
      </c>
    </row>
    <row r="2258" ht="22.5" customHeight="1">
      <c r="A2258" s="10">
        <v>46270.642691354165</v>
      </c>
      <c r="B2258" s="11" t="s">
        <v>12299</v>
      </c>
      <c r="C2258" s="11" t="s">
        <v>173</v>
      </c>
      <c r="D2258" s="11" t="s">
        <v>68</v>
      </c>
      <c r="E2258" s="12">
        <v>46235.0</v>
      </c>
      <c r="F2258" s="12">
        <v>46270.0</v>
      </c>
      <c r="G2258" s="11" t="s">
        <v>12300</v>
      </c>
      <c r="H2258" s="11">
        <v>6.388706158E9</v>
      </c>
      <c r="I2258" s="11" t="s">
        <v>82</v>
      </c>
      <c r="J2258" s="11" t="s">
        <v>71</v>
      </c>
      <c r="K2258" s="11" t="s">
        <v>72</v>
      </c>
      <c r="L2258" s="11" t="s">
        <v>84</v>
      </c>
      <c r="M2258" s="11" t="s">
        <v>7642</v>
      </c>
      <c r="N2258" s="11" t="s">
        <v>75</v>
      </c>
      <c r="O2258" s="11" t="s">
        <v>71</v>
      </c>
      <c r="P2258" s="11" t="s">
        <v>12301</v>
      </c>
      <c r="Q2258" s="13" t="s">
        <v>12302</v>
      </c>
      <c r="R2258" s="14" t="str">
        <f>HYPERLINK("https://drive.google.com/file/d/1lxtfApTxtTN-M53rolUHnD9lQuVCGaLC/view?usp=drivesdk","OFFER LETTER")</f>
        <v>OFFER LETTER</v>
      </c>
      <c r="S2258" s="11" t="s">
        <v>12303</v>
      </c>
    </row>
    <row r="2259" ht="22.5" customHeight="1">
      <c r="A2259" s="10">
        <v>46270.64724133102</v>
      </c>
      <c r="B2259" s="11" t="s">
        <v>12304</v>
      </c>
      <c r="C2259" s="11" t="s">
        <v>354</v>
      </c>
      <c r="D2259" s="11" t="s">
        <v>68</v>
      </c>
      <c r="E2259" s="12">
        <v>46176.0</v>
      </c>
      <c r="F2259" s="12">
        <v>46244.0</v>
      </c>
      <c r="G2259" s="11" t="s">
        <v>12305</v>
      </c>
      <c r="H2259" s="11">
        <v>6.370013929E9</v>
      </c>
      <c r="I2259" s="11" t="s">
        <v>82</v>
      </c>
      <c r="J2259" s="11" t="s">
        <v>71</v>
      </c>
      <c r="K2259" s="11" t="s">
        <v>72</v>
      </c>
      <c r="L2259" s="11" t="s">
        <v>73</v>
      </c>
      <c r="M2259" s="11" t="s">
        <v>12306</v>
      </c>
      <c r="N2259" s="11" t="s">
        <v>75</v>
      </c>
      <c r="O2259" s="11" t="s">
        <v>71</v>
      </c>
      <c r="P2259" s="11" t="s">
        <v>12307</v>
      </c>
      <c r="Q2259" s="13" t="s">
        <v>12308</v>
      </c>
      <c r="R2259" s="14" t="str">
        <f>HYPERLINK("https://drive.google.com/file/d/1Py0OnHcMa9nDvRSxR6iePhzRdZrMaCjJ/view?usp=drivesdk","OFFER LETTER")</f>
        <v>OFFER LETTER</v>
      </c>
      <c r="S2259" s="11" t="s">
        <v>12309</v>
      </c>
    </row>
    <row r="2260" ht="22.5" customHeight="1">
      <c r="A2260" s="10">
        <v>46270.6486775</v>
      </c>
      <c r="B2260" s="11" t="s">
        <v>12304</v>
      </c>
      <c r="C2260" s="11" t="s">
        <v>354</v>
      </c>
      <c r="D2260" s="11" t="s">
        <v>108</v>
      </c>
      <c r="E2260" s="12">
        <v>46176.0</v>
      </c>
      <c r="F2260" s="12">
        <v>46244.0</v>
      </c>
      <c r="G2260" s="11" t="s">
        <v>12305</v>
      </c>
      <c r="H2260" s="11">
        <v>6.370013929E9</v>
      </c>
      <c r="I2260" s="11" t="s">
        <v>82</v>
      </c>
      <c r="J2260" s="11" t="s">
        <v>71</v>
      </c>
      <c r="K2260" s="11" t="s">
        <v>72</v>
      </c>
      <c r="L2260" s="11" t="s">
        <v>73</v>
      </c>
      <c r="M2260" s="11" t="s">
        <v>12310</v>
      </c>
      <c r="N2260" s="11" t="s">
        <v>75</v>
      </c>
      <c r="O2260" s="11" t="s">
        <v>71</v>
      </c>
      <c r="P2260" s="11" t="s">
        <v>12311</v>
      </c>
      <c r="Q2260" s="13" t="s">
        <v>12312</v>
      </c>
      <c r="R2260" s="14" t="str">
        <f>HYPERLINK("https://drive.google.com/file/d/1E314OtBhEMgjIBqvBY8gxwvKk8355qmJ/view?usp=drivesdk","OFFER LETTER")</f>
        <v>OFFER LETTER</v>
      </c>
      <c r="S2260" s="11" t="s">
        <v>12313</v>
      </c>
    </row>
    <row r="2261" ht="22.5" customHeight="1">
      <c r="A2261" s="10">
        <v>46270.64983895833</v>
      </c>
      <c r="B2261" s="11" t="s">
        <v>12314</v>
      </c>
      <c r="C2261" s="11" t="s">
        <v>195</v>
      </c>
      <c r="D2261" s="11" t="s">
        <v>68</v>
      </c>
      <c r="E2261" s="12">
        <v>46180.0</v>
      </c>
      <c r="F2261" s="12">
        <v>46210.0</v>
      </c>
      <c r="G2261" s="11" t="s">
        <v>12315</v>
      </c>
      <c r="H2261" s="11">
        <v>9.119780742E9</v>
      </c>
      <c r="I2261" s="11" t="s">
        <v>82</v>
      </c>
      <c r="J2261" s="11" t="s">
        <v>71</v>
      </c>
      <c r="K2261" s="11" t="s">
        <v>72</v>
      </c>
      <c r="L2261" s="11" t="s">
        <v>84</v>
      </c>
      <c r="M2261" s="11" t="s">
        <v>886</v>
      </c>
      <c r="N2261" s="11" t="s">
        <v>3319</v>
      </c>
      <c r="O2261" s="11" t="s">
        <v>71</v>
      </c>
      <c r="P2261" s="11" t="s">
        <v>12316</v>
      </c>
      <c r="Q2261" s="13" t="s">
        <v>12317</v>
      </c>
      <c r="R2261" s="14" t="str">
        <f>HYPERLINK("https://drive.google.com/file/d/1NtzyHxKkLmomHRuMCnfa4jiBriwLkLhO/view?usp=drivesdk","OFFER LETTER")</f>
        <v>OFFER LETTER</v>
      </c>
      <c r="S2261" s="11" t="s">
        <v>12318</v>
      </c>
    </row>
    <row r="2262" ht="22.5" customHeight="1">
      <c r="A2262" s="10">
        <v>46270.66126340278</v>
      </c>
      <c r="B2262" s="11" t="s">
        <v>12319</v>
      </c>
      <c r="C2262" s="11" t="s">
        <v>237</v>
      </c>
      <c r="D2262" s="11" t="s">
        <v>68</v>
      </c>
      <c r="E2262" s="12">
        <v>46170.0</v>
      </c>
      <c r="F2262" s="12">
        <v>46201.0</v>
      </c>
      <c r="G2262" s="11" t="s">
        <v>12320</v>
      </c>
      <c r="H2262" s="11">
        <v>9.154995161E9</v>
      </c>
      <c r="I2262" s="11" t="s">
        <v>82</v>
      </c>
      <c r="J2262" s="11" t="s">
        <v>71</v>
      </c>
      <c r="K2262" s="11" t="s">
        <v>72</v>
      </c>
      <c r="L2262" s="11" t="s">
        <v>131</v>
      </c>
      <c r="M2262" s="11" t="s">
        <v>12321</v>
      </c>
      <c r="N2262" s="11" t="s">
        <v>155</v>
      </c>
      <c r="O2262" s="11" t="s">
        <v>71</v>
      </c>
      <c r="P2262" s="11" t="s">
        <v>12322</v>
      </c>
      <c r="Q2262" s="13" t="s">
        <v>12323</v>
      </c>
      <c r="R2262" s="14" t="str">
        <f>HYPERLINK("https://drive.google.com/file/d/1ABGq25Q1ATLLIsqruHNgM7XFYtRLI5XA/view?usp=drivesdk","OFFER LETTER")</f>
        <v>OFFER LETTER</v>
      </c>
      <c r="S2262" s="11" t="s">
        <v>12324</v>
      </c>
    </row>
    <row r="2263" ht="22.5" customHeight="1">
      <c r="A2263" s="10">
        <v>46270.67627358796</v>
      </c>
      <c r="B2263" s="11" t="s">
        <v>12325</v>
      </c>
      <c r="C2263" s="11" t="s">
        <v>237</v>
      </c>
      <c r="D2263" s="11" t="s">
        <v>68</v>
      </c>
      <c r="E2263" s="12">
        <v>46250.0</v>
      </c>
      <c r="F2263" s="12">
        <v>46281.0</v>
      </c>
      <c r="G2263" s="11" t="s">
        <v>12326</v>
      </c>
      <c r="H2263" s="11">
        <v>8.295025216E9</v>
      </c>
      <c r="I2263" s="11" t="s">
        <v>82</v>
      </c>
      <c r="J2263" s="11" t="s">
        <v>71</v>
      </c>
      <c r="K2263" s="11" t="s">
        <v>72</v>
      </c>
      <c r="L2263" s="11" t="s">
        <v>73</v>
      </c>
      <c r="M2263" s="11" t="s">
        <v>12327</v>
      </c>
      <c r="N2263" s="11" t="s">
        <v>86</v>
      </c>
      <c r="O2263" s="11" t="s">
        <v>71</v>
      </c>
      <c r="P2263" s="11" t="s">
        <v>12328</v>
      </c>
      <c r="Q2263" s="13" t="s">
        <v>12329</v>
      </c>
      <c r="R2263" s="14" t="str">
        <f>HYPERLINK("https://drive.google.com/file/d/14dCdMq92-f76L2crqEFekILoOlZoLmFN/view?usp=drivesdk","OFFER LETTER")</f>
        <v>OFFER LETTER</v>
      </c>
      <c r="S2263" s="11" t="s">
        <v>12330</v>
      </c>
    </row>
    <row r="2264" ht="22.5" customHeight="1">
      <c r="A2264" s="10">
        <v>46270.7311950463</v>
      </c>
      <c r="B2264" s="11" t="s">
        <v>12331</v>
      </c>
      <c r="C2264" s="11" t="s">
        <v>67</v>
      </c>
      <c r="D2264" s="11" t="s">
        <v>68</v>
      </c>
      <c r="E2264" s="12">
        <v>46188.0</v>
      </c>
      <c r="F2264" s="12">
        <v>46218.0</v>
      </c>
      <c r="G2264" s="11" t="s">
        <v>12332</v>
      </c>
      <c r="H2264" s="11">
        <v>9.870926563E9</v>
      </c>
      <c r="I2264" s="11" t="s">
        <v>82</v>
      </c>
      <c r="J2264" s="11" t="s">
        <v>71</v>
      </c>
      <c r="K2264" s="11" t="s">
        <v>72</v>
      </c>
      <c r="L2264" s="11" t="s">
        <v>84</v>
      </c>
      <c r="M2264" s="11" t="s">
        <v>1779</v>
      </c>
      <c r="N2264" s="11" t="s">
        <v>226</v>
      </c>
      <c r="O2264" s="11" t="s">
        <v>71</v>
      </c>
      <c r="P2264" s="11" t="s">
        <v>12333</v>
      </c>
      <c r="Q2264" s="13" t="s">
        <v>12334</v>
      </c>
      <c r="R2264" s="14" t="str">
        <f>HYPERLINK("https://drive.google.com/file/d/13u05DXpTGolV-plFtfxuzJ9THR-FzwBm/view?usp=drivesdk","OFFER LETTER")</f>
        <v>OFFER LETTER</v>
      </c>
      <c r="S2264" s="11" t="s">
        <v>12335</v>
      </c>
    </row>
    <row r="2265" ht="22.5" customHeight="1">
      <c r="A2265" s="10">
        <v>46270.73837608796</v>
      </c>
      <c r="B2265" s="11" t="s">
        <v>12336</v>
      </c>
      <c r="C2265" s="11" t="s">
        <v>298</v>
      </c>
      <c r="D2265" s="11" t="s">
        <v>68</v>
      </c>
      <c r="E2265" s="12">
        <v>46194.0</v>
      </c>
      <c r="F2265" s="12">
        <v>46228.0</v>
      </c>
      <c r="G2265" s="11" t="s">
        <v>12337</v>
      </c>
      <c r="H2265" s="11">
        <v>9.540075398E9</v>
      </c>
      <c r="I2265" s="11" t="s">
        <v>82</v>
      </c>
      <c r="J2265" s="11" t="s">
        <v>71</v>
      </c>
      <c r="K2265" s="11" t="s">
        <v>72</v>
      </c>
      <c r="L2265" s="11" t="s">
        <v>84</v>
      </c>
      <c r="M2265" s="11" t="s">
        <v>12338</v>
      </c>
      <c r="N2265" s="11" t="s">
        <v>8506</v>
      </c>
      <c r="O2265" s="11" t="s">
        <v>71</v>
      </c>
      <c r="P2265" s="11" t="s">
        <v>12339</v>
      </c>
      <c r="Q2265" s="13" t="s">
        <v>12340</v>
      </c>
      <c r="R2265" s="14" t="str">
        <f>HYPERLINK("https://drive.google.com/file/d/104GuJ8v6TlHG5v-Y6lMleiTLiIEgMcKX/view?usp=drivesdk","OFFER LETTER")</f>
        <v>OFFER LETTER</v>
      </c>
      <c r="S2265" s="11" t="s">
        <v>12341</v>
      </c>
    </row>
    <row r="2266" ht="22.5" customHeight="1">
      <c r="A2266" s="10">
        <v>46270.73917168981</v>
      </c>
      <c r="B2266" s="11" t="s">
        <v>12342</v>
      </c>
      <c r="C2266" s="11" t="s">
        <v>259</v>
      </c>
      <c r="D2266" s="11" t="s">
        <v>108</v>
      </c>
      <c r="E2266" s="12">
        <v>46167.0</v>
      </c>
      <c r="F2266" s="12">
        <v>46226.0</v>
      </c>
      <c r="G2266" s="11" t="s">
        <v>12343</v>
      </c>
      <c r="H2266" s="11">
        <v>6.202915381E9</v>
      </c>
      <c r="I2266" s="11" t="s">
        <v>82</v>
      </c>
      <c r="J2266" s="11" t="s">
        <v>71</v>
      </c>
      <c r="K2266" s="11" t="s">
        <v>72</v>
      </c>
      <c r="L2266" s="11" t="s">
        <v>73</v>
      </c>
      <c r="M2266" s="11" t="s">
        <v>12344</v>
      </c>
      <c r="N2266" s="11" t="s">
        <v>198</v>
      </c>
      <c r="O2266" s="11" t="s">
        <v>71</v>
      </c>
      <c r="P2266" s="11" t="s">
        <v>12345</v>
      </c>
      <c r="Q2266" s="13" t="s">
        <v>12346</v>
      </c>
      <c r="R2266" s="14" t="str">
        <f>HYPERLINK("https://drive.google.com/file/d/1dyNVe39nobE4tlNuZp-g8SbaB3cVN63F/view?usp=drivesdk","OFFER LETTER")</f>
        <v>OFFER LETTER</v>
      </c>
      <c r="S2266" s="11" t="s">
        <v>12347</v>
      </c>
    </row>
    <row r="2267" ht="22.5" customHeight="1">
      <c r="A2267" s="10">
        <v>46270.73975021991</v>
      </c>
      <c r="B2267" s="11" t="s">
        <v>12348</v>
      </c>
      <c r="C2267" s="11" t="s">
        <v>298</v>
      </c>
      <c r="D2267" s="11" t="s">
        <v>68</v>
      </c>
      <c r="E2267" s="12">
        <v>46197.0</v>
      </c>
      <c r="F2267" s="12">
        <v>46231.0</v>
      </c>
      <c r="G2267" s="11" t="s">
        <v>12349</v>
      </c>
      <c r="H2267" s="11">
        <v>8.920661273E9</v>
      </c>
      <c r="I2267" s="11" t="s">
        <v>82</v>
      </c>
      <c r="J2267" s="11" t="s">
        <v>71</v>
      </c>
      <c r="K2267" s="11" t="s">
        <v>72</v>
      </c>
      <c r="L2267" s="11" t="s">
        <v>84</v>
      </c>
      <c r="M2267" s="11" t="s">
        <v>12350</v>
      </c>
      <c r="N2267" s="11" t="s">
        <v>226</v>
      </c>
      <c r="O2267" s="11" t="s">
        <v>71</v>
      </c>
      <c r="P2267" s="11" t="s">
        <v>12351</v>
      </c>
      <c r="Q2267" s="13" t="s">
        <v>12352</v>
      </c>
      <c r="R2267" s="14" t="str">
        <f>HYPERLINK("https://drive.google.com/file/d/1wNswP_a09T1tCvY--MvamlRTsyan9e-u/view?usp=drivesdk","OFFER LETTER")</f>
        <v>OFFER LETTER</v>
      </c>
      <c r="S2267" s="11" t="s">
        <v>12353</v>
      </c>
    </row>
    <row r="2268" ht="22.5" customHeight="1">
      <c r="A2268" s="10">
        <v>46270.75117121528</v>
      </c>
      <c r="B2268" s="11" t="s">
        <v>12354</v>
      </c>
      <c r="C2268" s="11" t="s">
        <v>259</v>
      </c>
      <c r="D2268" s="11" t="s">
        <v>108</v>
      </c>
      <c r="E2268" s="12">
        <v>46166.0</v>
      </c>
      <c r="F2268" s="12">
        <v>46225.0</v>
      </c>
      <c r="G2268" s="11" t="s">
        <v>12355</v>
      </c>
      <c r="H2268" s="11">
        <v>9.905135353E9</v>
      </c>
      <c r="I2268" s="11" t="s">
        <v>82</v>
      </c>
      <c r="J2268" s="11" t="s">
        <v>130</v>
      </c>
      <c r="K2268" s="11" t="s">
        <v>72</v>
      </c>
      <c r="L2268" s="11" t="s">
        <v>73</v>
      </c>
      <c r="M2268" s="11" t="s">
        <v>12356</v>
      </c>
      <c r="N2268" s="11" t="s">
        <v>241</v>
      </c>
      <c r="O2268" s="11" t="s">
        <v>71</v>
      </c>
      <c r="P2268" s="11" t="s">
        <v>12357</v>
      </c>
      <c r="Q2268" s="13" t="s">
        <v>12358</v>
      </c>
      <c r="R2268" s="14" t="str">
        <f>HYPERLINK("https://drive.google.com/file/d/1Ptumtl9Fm6oMCQGqS2Wn3ux92c21HsZV/view?usp=drivesdk","OFFER LETTER")</f>
        <v>OFFER LETTER</v>
      </c>
      <c r="S2268" s="11" t="s">
        <v>12359</v>
      </c>
    </row>
    <row r="2269" ht="22.5" customHeight="1">
      <c r="A2269" s="10">
        <v>46270.75193791666</v>
      </c>
      <c r="B2269" s="11" t="s">
        <v>12360</v>
      </c>
      <c r="C2269" s="11" t="s">
        <v>237</v>
      </c>
      <c r="D2269" s="11" t="s">
        <v>68</v>
      </c>
      <c r="E2269" s="12">
        <v>46237.0</v>
      </c>
      <c r="F2269" s="12">
        <v>46270.0</v>
      </c>
      <c r="G2269" s="11" t="s">
        <v>12361</v>
      </c>
      <c r="H2269" s="11">
        <v>8.247044752E9</v>
      </c>
      <c r="I2269" s="11" t="s">
        <v>70</v>
      </c>
      <c r="J2269" s="11" t="s">
        <v>130</v>
      </c>
      <c r="K2269" s="11" t="s">
        <v>72</v>
      </c>
      <c r="L2269" s="11" t="s">
        <v>131</v>
      </c>
      <c r="M2269" s="11" t="s">
        <v>11255</v>
      </c>
      <c r="N2269" s="11" t="s">
        <v>226</v>
      </c>
      <c r="O2269" s="11" t="s">
        <v>71</v>
      </c>
      <c r="P2269" s="11" t="s">
        <v>12362</v>
      </c>
      <c r="Q2269" s="13" t="s">
        <v>12363</v>
      </c>
      <c r="R2269" s="14" t="str">
        <f>HYPERLINK("https://drive.google.com/file/d/1DTVxFCO1AzzjkfzYq9YI_oM6-lXQ6oe_/view?usp=drivesdk","OFFER LETTER")</f>
        <v>OFFER LETTER</v>
      </c>
      <c r="S2269" s="11" t="s">
        <v>12364</v>
      </c>
    </row>
    <row r="2270" ht="22.5" customHeight="1">
      <c r="A2270" s="10">
        <v>46270.768822314814</v>
      </c>
      <c r="B2270" s="11" t="s">
        <v>12365</v>
      </c>
      <c r="C2270" s="11" t="s">
        <v>173</v>
      </c>
      <c r="D2270" s="11" t="s">
        <v>68</v>
      </c>
      <c r="E2270" s="12">
        <v>46235.0</v>
      </c>
      <c r="F2270" s="12">
        <v>46266.0</v>
      </c>
      <c r="G2270" s="11" t="s">
        <v>12366</v>
      </c>
      <c r="H2270" s="11">
        <v>9.37649299E9</v>
      </c>
      <c r="I2270" s="11" t="s">
        <v>70</v>
      </c>
      <c r="J2270" s="11" t="s">
        <v>71</v>
      </c>
      <c r="K2270" s="11" t="s">
        <v>72</v>
      </c>
      <c r="L2270" s="11" t="s">
        <v>131</v>
      </c>
      <c r="M2270" s="11" t="s">
        <v>2058</v>
      </c>
      <c r="N2270" s="11" t="s">
        <v>86</v>
      </c>
      <c r="O2270" s="11" t="s">
        <v>71</v>
      </c>
      <c r="P2270" s="11" t="s">
        <v>12367</v>
      </c>
      <c r="Q2270" s="13" t="s">
        <v>12368</v>
      </c>
      <c r="R2270" s="14" t="str">
        <f>HYPERLINK("https://drive.google.com/file/d/1brJlG8SyOQ-d-mg2Tv0XLDYxYuHKOmVm/view?usp=drivesdk","OFFER LETTER")</f>
        <v>OFFER LETTER</v>
      </c>
      <c r="S2270" s="11" t="s">
        <v>12369</v>
      </c>
    </row>
    <row r="2271" ht="22.5" customHeight="1">
      <c r="A2271" s="10">
        <v>46270.777554120374</v>
      </c>
      <c r="B2271" s="11" t="s">
        <v>12370</v>
      </c>
      <c r="C2271" s="11" t="s">
        <v>173</v>
      </c>
      <c r="D2271" s="11" t="s">
        <v>68</v>
      </c>
      <c r="E2271" s="12">
        <v>46270.0</v>
      </c>
      <c r="F2271" s="12">
        <v>46300.0</v>
      </c>
      <c r="G2271" s="11" t="s">
        <v>12371</v>
      </c>
      <c r="H2271" s="11">
        <v>6.383904821E9</v>
      </c>
      <c r="I2271" s="11" t="s">
        <v>70</v>
      </c>
      <c r="J2271" s="11" t="s">
        <v>71</v>
      </c>
      <c r="K2271" s="11" t="s">
        <v>72</v>
      </c>
      <c r="L2271" s="11" t="s">
        <v>73</v>
      </c>
      <c r="M2271" s="11" t="s">
        <v>12372</v>
      </c>
      <c r="N2271" s="11" t="s">
        <v>2996</v>
      </c>
      <c r="O2271" s="11" t="s">
        <v>71</v>
      </c>
      <c r="P2271" s="11" t="s">
        <v>12373</v>
      </c>
      <c r="Q2271" s="13" t="s">
        <v>12374</v>
      </c>
      <c r="R2271" s="14" t="str">
        <f>HYPERLINK("https://drive.google.com/file/d/1L4pfjPsjjGEn5IVoUSaKjN8kXPDIZMCF/view?usp=drivesdk","OFFER LETTER")</f>
        <v>OFFER LETTER</v>
      </c>
      <c r="S2271" s="11" t="s">
        <v>12375</v>
      </c>
    </row>
    <row r="2272" ht="22.5" customHeight="1">
      <c r="A2272" s="10">
        <v>46270.84493104166</v>
      </c>
      <c r="B2272" s="11" t="s">
        <v>922</v>
      </c>
      <c r="C2272" s="11" t="s">
        <v>173</v>
      </c>
      <c r="D2272" s="11" t="s">
        <v>68</v>
      </c>
      <c r="E2272" s="12">
        <v>46224.0</v>
      </c>
      <c r="F2272" s="12">
        <v>46256.0</v>
      </c>
      <c r="G2272" s="11" t="s">
        <v>12376</v>
      </c>
      <c r="H2272" s="11">
        <v>9.346820083E9</v>
      </c>
      <c r="I2272" s="11" t="s">
        <v>82</v>
      </c>
      <c r="J2272" s="11" t="s">
        <v>71</v>
      </c>
      <c r="K2272" s="11" t="s">
        <v>72</v>
      </c>
      <c r="L2272" s="11" t="s">
        <v>73</v>
      </c>
      <c r="M2272" s="11" t="s">
        <v>1135</v>
      </c>
      <c r="N2272" s="11" t="s">
        <v>86</v>
      </c>
      <c r="O2272" s="11" t="s">
        <v>71</v>
      </c>
      <c r="P2272" s="11" t="s">
        <v>12377</v>
      </c>
      <c r="Q2272" s="13" t="s">
        <v>12378</v>
      </c>
      <c r="R2272" s="14" t="str">
        <f>HYPERLINK("https://drive.google.com/file/d/1ZgeItwOe8Rz0fPnG766GUBU23aLeFWGf/view?usp=drivesdk","OFFER LETTER")</f>
        <v>OFFER LETTER</v>
      </c>
      <c r="S2272" s="11" t="s">
        <v>12379</v>
      </c>
    </row>
    <row r="2273" ht="22.5" customHeight="1">
      <c r="A2273" s="10">
        <v>46270.85433958333</v>
      </c>
      <c r="B2273" s="11" t="s">
        <v>12380</v>
      </c>
      <c r="C2273" s="11" t="s">
        <v>173</v>
      </c>
      <c r="D2273" s="11" t="s">
        <v>68</v>
      </c>
      <c r="E2273" s="12">
        <v>46224.0</v>
      </c>
      <c r="F2273" s="12">
        <v>46256.0</v>
      </c>
      <c r="G2273" s="11" t="s">
        <v>12381</v>
      </c>
      <c r="H2273" s="11">
        <v>9.798239681E9</v>
      </c>
      <c r="I2273" s="11" t="s">
        <v>82</v>
      </c>
      <c r="J2273" s="11" t="s">
        <v>71</v>
      </c>
      <c r="K2273" s="11" t="s">
        <v>72</v>
      </c>
      <c r="L2273" s="11" t="s">
        <v>73</v>
      </c>
      <c r="M2273" s="11" t="s">
        <v>1135</v>
      </c>
      <c r="N2273" s="11" t="s">
        <v>86</v>
      </c>
      <c r="O2273" s="11" t="s">
        <v>71</v>
      </c>
      <c r="P2273" s="11" t="s">
        <v>12382</v>
      </c>
      <c r="Q2273" s="13" t="s">
        <v>12383</v>
      </c>
      <c r="R2273" s="14" t="str">
        <f>HYPERLINK("https://drive.google.com/file/d/1tlY5UCxZT--5sJaeZFdkYET5A0QMA-b3/view?usp=drivesdk","OFFER LETTER")</f>
        <v>OFFER LETTER</v>
      </c>
      <c r="S2273" s="11" t="s">
        <v>12384</v>
      </c>
    </row>
    <row r="2274" ht="22.5" customHeight="1">
      <c r="A2274" s="10">
        <v>46270.85592107639</v>
      </c>
      <c r="B2274" s="11" t="s">
        <v>12385</v>
      </c>
      <c r="C2274" s="11" t="s">
        <v>1320</v>
      </c>
      <c r="D2274" s="11" t="s">
        <v>68</v>
      </c>
      <c r="E2274" s="12">
        <v>46223.0</v>
      </c>
      <c r="F2274" s="12">
        <v>46256.0</v>
      </c>
      <c r="G2274" s="11" t="s">
        <v>12386</v>
      </c>
      <c r="H2274" s="11">
        <v>7.517947659E9</v>
      </c>
      <c r="I2274" s="11" t="s">
        <v>70</v>
      </c>
      <c r="J2274" s="11" t="s">
        <v>83</v>
      </c>
      <c r="K2274" s="11" t="s">
        <v>72</v>
      </c>
      <c r="L2274" s="11" t="s">
        <v>131</v>
      </c>
      <c r="M2274" s="11" t="s">
        <v>12387</v>
      </c>
      <c r="N2274" s="11" t="s">
        <v>1872</v>
      </c>
      <c r="O2274" s="11" t="s">
        <v>71</v>
      </c>
      <c r="P2274" s="11" t="s">
        <v>12388</v>
      </c>
      <c r="Q2274" s="13" t="s">
        <v>12389</v>
      </c>
      <c r="R2274" s="14" t="str">
        <f>HYPERLINK("https://drive.google.com/file/d/1CvgVQ_5_DEFmmOtNixnyt_4IvoWPFL0A/view?usp=drivesdk","OFFER LETTER")</f>
        <v>OFFER LETTER</v>
      </c>
      <c r="S2274" s="11" t="s">
        <v>12390</v>
      </c>
    </row>
    <row r="2275" ht="22.5" customHeight="1">
      <c r="A2275" s="10">
        <v>46270.86437101851</v>
      </c>
      <c r="B2275" s="11" t="s">
        <v>12391</v>
      </c>
      <c r="C2275" s="11" t="s">
        <v>128</v>
      </c>
      <c r="D2275" s="11" t="s">
        <v>238</v>
      </c>
      <c r="E2275" s="12">
        <v>46183.0</v>
      </c>
      <c r="F2275" s="12">
        <v>46245.0</v>
      </c>
      <c r="G2275" s="11" t="s">
        <v>12392</v>
      </c>
      <c r="H2275" s="11">
        <v>7.815099136E9</v>
      </c>
      <c r="I2275" s="11" t="s">
        <v>82</v>
      </c>
      <c r="J2275" s="11" t="s">
        <v>71</v>
      </c>
      <c r="K2275" s="11" t="s">
        <v>72</v>
      </c>
      <c r="L2275" s="11" t="s">
        <v>131</v>
      </c>
      <c r="M2275" s="11" t="s">
        <v>12393</v>
      </c>
      <c r="N2275" s="11" t="s">
        <v>86</v>
      </c>
      <c r="O2275" s="11" t="s">
        <v>71</v>
      </c>
      <c r="P2275" s="11" t="s">
        <v>12394</v>
      </c>
      <c r="Q2275" s="13" t="s">
        <v>12395</v>
      </c>
      <c r="R2275" s="14" t="str">
        <f>HYPERLINK("https://drive.google.com/file/d/18Gh7fmhUqF5aZwtrTW0DH7H36r8lI3ou/view?usp=drivesdk","OFFER LETTER")</f>
        <v>OFFER LETTER</v>
      </c>
      <c r="S2275" s="11" t="s">
        <v>12396</v>
      </c>
    </row>
    <row r="2276" ht="22.5" customHeight="1">
      <c r="A2276" s="10">
        <v>46270.87178234954</v>
      </c>
      <c r="B2276" s="11" t="s">
        <v>12397</v>
      </c>
      <c r="C2276" s="11" t="s">
        <v>173</v>
      </c>
      <c r="D2276" s="11" t="s">
        <v>68</v>
      </c>
      <c r="E2276" s="12">
        <v>46204.0</v>
      </c>
      <c r="F2276" s="12">
        <v>46233.0</v>
      </c>
      <c r="G2276" s="11" t="s">
        <v>12398</v>
      </c>
      <c r="H2276" s="11">
        <v>7.042902882E9</v>
      </c>
      <c r="I2276" s="11" t="s">
        <v>70</v>
      </c>
      <c r="J2276" s="11" t="s">
        <v>71</v>
      </c>
      <c r="K2276" s="11" t="s">
        <v>72</v>
      </c>
      <c r="L2276" s="11" t="s">
        <v>84</v>
      </c>
      <c r="M2276" s="11" t="s">
        <v>560</v>
      </c>
      <c r="N2276" s="11" t="s">
        <v>5871</v>
      </c>
      <c r="O2276" s="11" t="s">
        <v>71</v>
      </c>
      <c r="P2276" s="11" t="s">
        <v>12399</v>
      </c>
      <c r="Q2276" s="13" t="s">
        <v>12400</v>
      </c>
      <c r="R2276" s="14" t="str">
        <f>HYPERLINK("https://drive.google.com/file/d/1rai-JambBzGtRl1AyIbwm9i9t1VXqrZN/view?usp=drivesdk","OFFER LETTER")</f>
        <v>OFFER LETTER</v>
      </c>
      <c r="S2276" s="11" t="s">
        <v>12401</v>
      </c>
    </row>
    <row r="2277" ht="22.5" customHeight="1">
      <c r="A2277" s="10">
        <v>46270.875796064814</v>
      </c>
      <c r="B2277" s="11" t="s">
        <v>12402</v>
      </c>
      <c r="C2277" s="11" t="s">
        <v>128</v>
      </c>
      <c r="D2277" s="11" t="s">
        <v>68</v>
      </c>
      <c r="E2277" s="12">
        <v>46183.0</v>
      </c>
      <c r="F2277" s="12">
        <v>46245.0</v>
      </c>
      <c r="G2277" s="11" t="s">
        <v>12392</v>
      </c>
      <c r="H2277" s="11">
        <v>7.815099136E9</v>
      </c>
      <c r="I2277" s="11" t="s">
        <v>82</v>
      </c>
      <c r="J2277" s="11" t="s">
        <v>71</v>
      </c>
      <c r="K2277" s="11" t="s">
        <v>72</v>
      </c>
      <c r="L2277" s="11" t="s">
        <v>131</v>
      </c>
      <c r="M2277" s="11" t="s">
        <v>12403</v>
      </c>
      <c r="N2277" s="11" t="s">
        <v>198</v>
      </c>
      <c r="O2277" s="11" t="s">
        <v>71</v>
      </c>
      <c r="P2277" s="11" t="s">
        <v>12404</v>
      </c>
      <c r="Q2277" s="13" t="s">
        <v>12405</v>
      </c>
      <c r="R2277" s="14" t="str">
        <f>HYPERLINK("https://drive.google.com/file/d/1KP4CNrq0SgbB8fyqOSzOz5tTLi6vcXzV/view?usp=drivesdk","OFFER LETTER")</f>
        <v>OFFER LETTER</v>
      </c>
      <c r="S2277" s="11" t="s">
        <v>12406</v>
      </c>
    </row>
    <row r="2278" ht="22.5" customHeight="1">
      <c r="A2278" s="10">
        <v>46270.87733349537</v>
      </c>
      <c r="B2278" s="11" t="s">
        <v>12407</v>
      </c>
      <c r="C2278" s="11" t="s">
        <v>80</v>
      </c>
      <c r="D2278" s="11" t="s">
        <v>68</v>
      </c>
      <c r="E2278" s="12">
        <v>46270.0</v>
      </c>
      <c r="F2278" s="12">
        <v>46300.0</v>
      </c>
      <c r="G2278" s="11" t="s">
        <v>12408</v>
      </c>
      <c r="H2278" s="17" t="s">
        <v>12409</v>
      </c>
      <c r="I2278" s="11" t="s">
        <v>82</v>
      </c>
      <c r="J2278" s="11" t="s">
        <v>83</v>
      </c>
      <c r="K2278" s="11" t="s">
        <v>72</v>
      </c>
      <c r="L2278" s="11" t="s">
        <v>84</v>
      </c>
      <c r="M2278" s="11" t="s">
        <v>12410</v>
      </c>
      <c r="N2278" s="11" t="s">
        <v>86</v>
      </c>
      <c r="O2278" s="11" t="s">
        <v>71</v>
      </c>
      <c r="P2278" s="11" t="s">
        <v>12411</v>
      </c>
      <c r="Q2278" s="13" t="s">
        <v>12412</v>
      </c>
      <c r="R2278" s="14" t="str">
        <f>HYPERLINK("https://drive.google.com/file/d/1Kl4xrnNzUJfctxJoQ6xAJ72AnkuDUeeQ/view?usp=drivesdk","OFFER LETTER")</f>
        <v>OFFER LETTER</v>
      </c>
      <c r="S2278" s="11" t="s">
        <v>12413</v>
      </c>
    </row>
    <row r="2279" ht="22.5" customHeight="1">
      <c r="A2279" s="10">
        <v>46270.885797650466</v>
      </c>
      <c r="B2279" s="11" t="s">
        <v>12414</v>
      </c>
      <c r="C2279" s="11" t="s">
        <v>1320</v>
      </c>
      <c r="D2279" s="11" t="s">
        <v>68</v>
      </c>
      <c r="E2279" s="12">
        <v>46223.0</v>
      </c>
      <c r="F2279" s="12">
        <v>46256.0</v>
      </c>
      <c r="G2279" s="11" t="s">
        <v>12415</v>
      </c>
      <c r="H2279" s="17" t="s">
        <v>12416</v>
      </c>
      <c r="I2279" s="11" t="s">
        <v>70</v>
      </c>
      <c r="J2279" s="11" t="s">
        <v>83</v>
      </c>
      <c r="K2279" s="11" t="s">
        <v>72</v>
      </c>
      <c r="L2279" s="11" t="s">
        <v>131</v>
      </c>
      <c r="M2279" s="11" t="s">
        <v>12417</v>
      </c>
      <c r="N2279" s="11" t="s">
        <v>1872</v>
      </c>
      <c r="O2279" s="11" t="s">
        <v>71</v>
      </c>
      <c r="P2279" s="11" t="s">
        <v>12418</v>
      </c>
      <c r="Q2279" s="13" t="s">
        <v>12419</v>
      </c>
      <c r="R2279" s="14" t="str">
        <f>HYPERLINK("https://drive.google.com/file/d/1JGeIY9gM0tOvHij_WbZu2MXv2tSHp0Or/view?usp=drivesdk","OFFER LETTER")</f>
        <v>OFFER LETTER</v>
      </c>
      <c r="S2279" s="11" t="s">
        <v>12420</v>
      </c>
    </row>
    <row r="2280" ht="22.5" customHeight="1">
      <c r="A2280" s="10">
        <v>46270.90215149306</v>
      </c>
      <c r="B2280" s="11" t="s">
        <v>12421</v>
      </c>
      <c r="C2280" s="11" t="s">
        <v>354</v>
      </c>
      <c r="D2280" s="11" t="s">
        <v>68</v>
      </c>
      <c r="E2280" s="12">
        <v>46270.0</v>
      </c>
      <c r="F2280" s="12">
        <v>46300.0</v>
      </c>
      <c r="G2280" s="11" t="s">
        <v>12422</v>
      </c>
      <c r="H2280" s="11">
        <v>7.538821583E9</v>
      </c>
      <c r="I2280" s="11" t="s">
        <v>70</v>
      </c>
      <c r="J2280" s="11" t="s">
        <v>71</v>
      </c>
      <c r="K2280" s="11" t="s">
        <v>72</v>
      </c>
      <c r="L2280" s="11" t="s">
        <v>84</v>
      </c>
      <c r="M2280" s="11" t="s">
        <v>12423</v>
      </c>
      <c r="N2280" s="11" t="s">
        <v>198</v>
      </c>
      <c r="O2280" s="11" t="s">
        <v>71</v>
      </c>
      <c r="P2280" s="11" t="s">
        <v>12424</v>
      </c>
      <c r="Q2280" s="13" t="s">
        <v>12425</v>
      </c>
      <c r="R2280" s="14" t="str">
        <f>HYPERLINK("https://drive.google.com/file/d/1VA1ncCJMGgRnYYtCxhpjpa4zSflPW1Mr/view?usp=drivesdk","OFFER LETTER")</f>
        <v>OFFER LETTER</v>
      </c>
      <c r="S2280" s="11" t="s">
        <v>12426</v>
      </c>
    </row>
    <row r="2281" ht="22.5" customHeight="1">
      <c r="A2281" s="10">
        <v>46270.922362488425</v>
      </c>
      <c r="B2281" s="11" t="s">
        <v>12427</v>
      </c>
      <c r="C2281" s="11" t="s">
        <v>742</v>
      </c>
      <c r="D2281" s="11" t="s">
        <v>1507</v>
      </c>
      <c r="E2281" s="12">
        <v>46141.0</v>
      </c>
      <c r="F2281" s="12">
        <v>46263.0</v>
      </c>
      <c r="G2281" s="11" t="s">
        <v>11588</v>
      </c>
      <c r="H2281" s="11">
        <v>7.016066837E9</v>
      </c>
      <c r="I2281" s="11" t="s">
        <v>82</v>
      </c>
      <c r="J2281" s="11" t="s">
        <v>71</v>
      </c>
      <c r="K2281" s="11" t="s">
        <v>167</v>
      </c>
      <c r="L2281" s="11" t="s">
        <v>357</v>
      </c>
      <c r="M2281" s="11" t="s">
        <v>3625</v>
      </c>
      <c r="N2281" s="11" t="s">
        <v>155</v>
      </c>
      <c r="O2281" s="11" t="s">
        <v>71</v>
      </c>
      <c r="P2281" s="11" t="s">
        <v>12428</v>
      </c>
      <c r="Q2281" s="13" t="s">
        <v>12429</v>
      </c>
      <c r="R2281" s="14" t="str">
        <f>HYPERLINK("https://drive.google.com/file/d/1mw3XaUEHXtMAvgAgLhRVpWEhwztb8zZ-/view?usp=drivesdk","OFFER LETTER")</f>
        <v>OFFER LETTER</v>
      </c>
      <c r="S2281" s="11" t="s">
        <v>12430</v>
      </c>
    </row>
    <row r="2282" ht="22.5" customHeight="1">
      <c r="A2282" s="10">
        <v>46270.93812496528</v>
      </c>
      <c r="B2282" s="11" t="s">
        <v>12431</v>
      </c>
      <c r="C2282" s="11" t="s">
        <v>128</v>
      </c>
      <c r="D2282" s="11" t="s">
        <v>929</v>
      </c>
      <c r="E2282" s="12">
        <v>46143.0</v>
      </c>
      <c r="F2282" s="12">
        <v>46327.0</v>
      </c>
      <c r="G2282" s="11" t="s">
        <v>12432</v>
      </c>
      <c r="H2282" s="11">
        <v>9.57321868E9</v>
      </c>
      <c r="I2282" s="11" t="s">
        <v>82</v>
      </c>
      <c r="J2282" s="11" t="s">
        <v>71</v>
      </c>
      <c r="K2282" s="11" t="s">
        <v>72</v>
      </c>
      <c r="L2282" s="11" t="s">
        <v>131</v>
      </c>
      <c r="M2282" s="11" t="s">
        <v>12433</v>
      </c>
      <c r="N2282" s="11" t="s">
        <v>75</v>
      </c>
      <c r="O2282" s="11" t="s">
        <v>71</v>
      </c>
      <c r="P2282" s="11" t="s">
        <v>12434</v>
      </c>
      <c r="Q2282" s="13" t="s">
        <v>12435</v>
      </c>
      <c r="R2282" s="14" t="str">
        <f>HYPERLINK("https://drive.google.com/file/d/1hh-D3GquDP0zciomhuLtrN6fBhnzwP-7/view?usp=drivesdk","OFFER LETTER")</f>
        <v>OFFER LETTER</v>
      </c>
      <c r="S2282" s="11" t="s">
        <v>12436</v>
      </c>
    </row>
    <row r="2283" ht="22.5" customHeight="1">
      <c r="A2283" s="10">
        <v>46270.942335960644</v>
      </c>
      <c r="B2283" s="11" t="s">
        <v>12304</v>
      </c>
      <c r="C2283" s="11" t="s">
        <v>354</v>
      </c>
      <c r="D2283" s="11" t="s">
        <v>68</v>
      </c>
      <c r="E2283" s="12">
        <v>46176.0</v>
      </c>
      <c r="F2283" s="12">
        <v>46211.0</v>
      </c>
      <c r="G2283" s="11" t="s">
        <v>12305</v>
      </c>
      <c r="H2283" s="11">
        <v>6.370013929E9</v>
      </c>
      <c r="I2283" s="11" t="s">
        <v>82</v>
      </c>
      <c r="J2283" s="11" t="s">
        <v>71</v>
      </c>
      <c r="K2283" s="11" t="s">
        <v>72</v>
      </c>
      <c r="L2283" s="11" t="s">
        <v>73</v>
      </c>
      <c r="M2283" s="11" t="s">
        <v>12437</v>
      </c>
      <c r="N2283" s="11" t="s">
        <v>75</v>
      </c>
      <c r="O2283" s="11" t="s">
        <v>71</v>
      </c>
      <c r="P2283" s="11" t="s">
        <v>12438</v>
      </c>
      <c r="Q2283" s="13" t="s">
        <v>12439</v>
      </c>
      <c r="R2283" s="14" t="str">
        <f>HYPERLINK("https://drive.google.com/file/d/1ZOsmkTDtgJ4frYLgAurwCP_7xtjPn8Kk/view?usp=drivesdk","OFFER LETTER")</f>
        <v>OFFER LETTER</v>
      </c>
      <c r="S2283" s="11" t="s">
        <v>12440</v>
      </c>
    </row>
    <row r="2284" ht="22.5" customHeight="1">
      <c r="A2284" s="10">
        <v>46270.96051521991</v>
      </c>
      <c r="B2284" s="11" t="s">
        <v>12441</v>
      </c>
      <c r="C2284" s="11" t="s">
        <v>173</v>
      </c>
      <c r="D2284" s="11" t="s">
        <v>68</v>
      </c>
      <c r="E2284" s="12">
        <v>46235.0</v>
      </c>
      <c r="F2284" s="12">
        <v>46265.0</v>
      </c>
      <c r="G2284" s="11" t="s">
        <v>12442</v>
      </c>
      <c r="H2284" s="11">
        <v>9.341561982E9</v>
      </c>
      <c r="I2284" s="11" t="s">
        <v>82</v>
      </c>
      <c r="J2284" s="11" t="s">
        <v>71</v>
      </c>
      <c r="K2284" s="11" t="s">
        <v>72</v>
      </c>
      <c r="L2284" s="11" t="s">
        <v>84</v>
      </c>
      <c r="M2284" s="11" t="s">
        <v>2535</v>
      </c>
      <c r="N2284" s="11" t="s">
        <v>75</v>
      </c>
      <c r="O2284" s="11" t="s">
        <v>71</v>
      </c>
      <c r="P2284" s="11" t="s">
        <v>12443</v>
      </c>
      <c r="Q2284" s="13" t="s">
        <v>12444</v>
      </c>
      <c r="R2284" s="14" t="str">
        <f>HYPERLINK("https://drive.google.com/file/d/1xT84P-Y03vqz91gwunBqy_96NE3mLFtn/view?usp=drivesdk","OFFER LETTER")</f>
        <v>OFFER LETTER</v>
      </c>
      <c r="S2284" s="11" t="s">
        <v>12445</v>
      </c>
    </row>
    <row r="2285" ht="22.5" customHeight="1">
      <c r="A2285" s="10">
        <v>46270.96340959491</v>
      </c>
      <c r="B2285" s="11" t="s">
        <v>5255</v>
      </c>
      <c r="C2285" s="11" t="s">
        <v>1200</v>
      </c>
      <c r="D2285" s="11" t="s">
        <v>68</v>
      </c>
      <c r="E2285" s="12">
        <v>46239.0</v>
      </c>
      <c r="F2285" s="12">
        <v>46270.0</v>
      </c>
      <c r="G2285" s="11" t="s">
        <v>1216</v>
      </c>
      <c r="H2285" s="11">
        <v>9.630070066E9</v>
      </c>
      <c r="I2285" s="11" t="s">
        <v>82</v>
      </c>
      <c r="J2285" s="11" t="s">
        <v>71</v>
      </c>
      <c r="K2285" s="11" t="s">
        <v>72</v>
      </c>
      <c r="L2285" s="11" t="s">
        <v>84</v>
      </c>
      <c r="M2285" s="11" t="s">
        <v>886</v>
      </c>
      <c r="N2285" s="11" t="s">
        <v>155</v>
      </c>
      <c r="O2285" s="11" t="s">
        <v>71</v>
      </c>
      <c r="P2285" s="11" t="s">
        <v>12446</v>
      </c>
      <c r="Q2285" s="13" t="s">
        <v>12447</v>
      </c>
      <c r="R2285" s="14" t="str">
        <f>HYPERLINK("https://drive.google.com/file/d/1szsqdzkjMVxILpvmGcwTCF3zGAPrubKX/view?usp=drivesdk","OFFER LETTER")</f>
        <v>OFFER LETTER</v>
      </c>
      <c r="S2285" s="11" t="s">
        <v>12448</v>
      </c>
    </row>
    <row r="2286" ht="22.5" customHeight="1">
      <c r="A2286" s="10">
        <v>46270.96674581019</v>
      </c>
      <c r="B2286" s="11" t="s">
        <v>12449</v>
      </c>
      <c r="C2286" s="11" t="s">
        <v>173</v>
      </c>
      <c r="D2286" s="11" t="s">
        <v>68</v>
      </c>
      <c r="E2286" s="12">
        <v>46270.0</v>
      </c>
      <c r="F2286" s="12">
        <v>46300.0</v>
      </c>
      <c r="G2286" s="11" t="s">
        <v>12450</v>
      </c>
      <c r="H2286" s="11">
        <v>9.844957382E9</v>
      </c>
      <c r="I2286" s="11" t="s">
        <v>70</v>
      </c>
      <c r="J2286" s="11" t="s">
        <v>71</v>
      </c>
      <c r="K2286" s="11" t="s">
        <v>72</v>
      </c>
      <c r="L2286" s="11" t="s">
        <v>131</v>
      </c>
      <c r="M2286" s="11" t="s">
        <v>12451</v>
      </c>
      <c r="N2286" s="11" t="s">
        <v>219</v>
      </c>
      <c r="O2286" s="11" t="s">
        <v>71</v>
      </c>
      <c r="P2286" s="11" t="s">
        <v>12452</v>
      </c>
      <c r="Q2286" s="13" t="s">
        <v>12453</v>
      </c>
      <c r="R2286" s="14" t="str">
        <f>HYPERLINK("https://drive.google.com/file/d/1_PEuxJh_i1TLcQSRQQ4GA3gvYTgljptP/view?usp=drivesdk","OFFER LETTER")</f>
        <v>OFFER LETTER</v>
      </c>
      <c r="S2286" s="11" t="s">
        <v>12454</v>
      </c>
    </row>
    <row r="2287" ht="22.5" customHeight="1">
      <c r="A2287" s="10">
        <v>46270.96870025463</v>
      </c>
      <c r="B2287" s="11" t="s">
        <v>2597</v>
      </c>
      <c r="C2287" s="11" t="s">
        <v>173</v>
      </c>
      <c r="D2287" s="11" t="s">
        <v>68</v>
      </c>
      <c r="E2287" s="12">
        <v>46186.0</v>
      </c>
      <c r="F2287" s="12">
        <v>46216.0</v>
      </c>
      <c r="G2287" s="11" t="s">
        <v>12455</v>
      </c>
      <c r="H2287" s="11" t="s">
        <v>12456</v>
      </c>
      <c r="I2287" s="11" t="s">
        <v>82</v>
      </c>
      <c r="J2287" s="11" t="s">
        <v>71</v>
      </c>
      <c r="K2287" s="11" t="s">
        <v>72</v>
      </c>
      <c r="L2287" s="11" t="s">
        <v>73</v>
      </c>
      <c r="M2287" s="11" t="s">
        <v>9205</v>
      </c>
      <c r="N2287" s="11" t="s">
        <v>5502</v>
      </c>
      <c r="O2287" s="11" t="s">
        <v>71</v>
      </c>
      <c r="P2287" s="11" t="s">
        <v>12457</v>
      </c>
      <c r="Q2287" s="13" t="s">
        <v>12458</v>
      </c>
      <c r="R2287" s="14" t="str">
        <f>HYPERLINK("https://drive.google.com/file/d/1cBwoJQZadX9Ujfa90my66q5KlDHxKTQZ/view?usp=drivesdk","OFFER LETTER")</f>
        <v>OFFER LETTER</v>
      </c>
      <c r="S2287" s="11" t="s">
        <v>12459</v>
      </c>
    </row>
    <row r="2288" ht="22.5" customHeight="1">
      <c r="A2288" s="10">
        <v>46270.97098752315</v>
      </c>
      <c r="B2288" s="11" t="s">
        <v>12460</v>
      </c>
      <c r="C2288" s="11" t="s">
        <v>195</v>
      </c>
      <c r="D2288" s="11" t="s">
        <v>68</v>
      </c>
      <c r="E2288" s="12">
        <v>46239.0</v>
      </c>
      <c r="F2288" s="12">
        <v>46271.0</v>
      </c>
      <c r="G2288" s="11" t="s">
        <v>12461</v>
      </c>
      <c r="H2288" s="11">
        <v>9.431698135E9</v>
      </c>
      <c r="I2288" s="11" t="s">
        <v>82</v>
      </c>
      <c r="J2288" s="11" t="s">
        <v>71</v>
      </c>
      <c r="K2288" s="11" t="s">
        <v>72</v>
      </c>
      <c r="L2288" s="11" t="s">
        <v>84</v>
      </c>
      <c r="M2288" s="11" t="s">
        <v>886</v>
      </c>
      <c r="N2288" s="11" t="s">
        <v>86</v>
      </c>
      <c r="O2288" s="11" t="s">
        <v>71</v>
      </c>
      <c r="P2288" s="11" t="s">
        <v>12462</v>
      </c>
      <c r="Q2288" s="13" t="s">
        <v>12463</v>
      </c>
      <c r="R2288" s="14" t="str">
        <f>HYPERLINK("https://drive.google.com/file/d/1fgRAAfAaAI_MZgBl0yuiMXL1JcRh_4Tw/view?usp=drivesdk","OFFER LETTER")</f>
        <v>OFFER LETTER</v>
      </c>
      <c r="S2288" s="11" t="s">
        <v>12464</v>
      </c>
    </row>
    <row r="2289" ht="22.5" customHeight="1">
      <c r="A2289" s="10">
        <v>46270.99756310185</v>
      </c>
      <c r="B2289" s="11" t="s">
        <v>12465</v>
      </c>
      <c r="C2289" s="11" t="s">
        <v>107</v>
      </c>
      <c r="D2289" s="11" t="s">
        <v>68</v>
      </c>
      <c r="E2289" s="12">
        <v>46270.0</v>
      </c>
      <c r="F2289" s="12">
        <v>46300.0</v>
      </c>
      <c r="G2289" s="11" t="s">
        <v>12466</v>
      </c>
      <c r="H2289" s="11">
        <v>7.981643598E9</v>
      </c>
      <c r="I2289" s="11" t="s">
        <v>82</v>
      </c>
      <c r="J2289" s="11" t="s">
        <v>71</v>
      </c>
      <c r="K2289" s="11" t="s">
        <v>72</v>
      </c>
      <c r="L2289" s="11" t="s">
        <v>131</v>
      </c>
      <c r="M2289" s="11" t="s">
        <v>12467</v>
      </c>
      <c r="N2289" s="11" t="s">
        <v>86</v>
      </c>
      <c r="O2289" s="11" t="s">
        <v>71</v>
      </c>
      <c r="P2289" s="11" t="s">
        <v>12468</v>
      </c>
      <c r="Q2289" s="13" t="s">
        <v>12469</v>
      </c>
      <c r="R2289" s="14" t="str">
        <f>HYPERLINK("https://drive.google.com/file/d/1hkDAazWTn7tcdzlEJk9G860mEbt4AAbw/view?usp=drivesdk","OFFER LETTER")</f>
        <v>OFFER LETTER</v>
      </c>
      <c r="S2289" s="11" t="s">
        <v>12470</v>
      </c>
    </row>
    <row r="2290" ht="22.5" customHeight="1">
      <c r="A2290" s="10">
        <v>46271.008548391204</v>
      </c>
      <c r="B2290" s="11" t="s">
        <v>12471</v>
      </c>
      <c r="C2290" s="11" t="s">
        <v>237</v>
      </c>
      <c r="D2290" s="11" t="s">
        <v>68</v>
      </c>
      <c r="E2290" s="12">
        <v>46204.0</v>
      </c>
      <c r="F2290" s="12">
        <v>46239.0</v>
      </c>
      <c r="G2290" s="11" t="s">
        <v>12472</v>
      </c>
      <c r="H2290" s="11">
        <v>9.106176825E9</v>
      </c>
      <c r="I2290" s="11" t="s">
        <v>82</v>
      </c>
      <c r="J2290" s="11" t="s">
        <v>130</v>
      </c>
      <c r="K2290" s="11" t="s">
        <v>72</v>
      </c>
      <c r="L2290" s="11" t="s">
        <v>73</v>
      </c>
      <c r="M2290" s="11" t="s">
        <v>12473</v>
      </c>
      <c r="N2290" s="11" t="s">
        <v>86</v>
      </c>
      <c r="O2290" s="11" t="s">
        <v>71</v>
      </c>
      <c r="P2290" s="11" t="s">
        <v>12474</v>
      </c>
      <c r="Q2290" s="13" t="s">
        <v>12475</v>
      </c>
      <c r="R2290" s="14" t="str">
        <f>HYPERLINK("https://drive.google.com/file/d/16IUBZztZEH09Chfy7LuEFeX2dwdJiar-/view?usp=drivesdk","OFFER LETTER")</f>
        <v>OFFER LETTER</v>
      </c>
      <c r="S2290" s="11" t="s">
        <v>12476</v>
      </c>
    </row>
    <row r="2291" ht="22.5" customHeight="1">
      <c r="A2291" s="10">
        <v>46271.037990509256</v>
      </c>
      <c r="B2291" s="11" t="s">
        <v>12477</v>
      </c>
      <c r="C2291" s="11" t="s">
        <v>195</v>
      </c>
      <c r="D2291" s="11" t="s">
        <v>68</v>
      </c>
      <c r="E2291" s="12">
        <v>46237.0</v>
      </c>
      <c r="F2291" s="12">
        <v>46268.0</v>
      </c>
      <c r="G2291" s="11" t="s">
        <v>12478</v>
      </c>
      <c r="H2291" s="11">
        <v>9.142512249E9</v>
      </c>
      <c r="I2291" s="11" t="s">
        <v>82</v>
      </c>
      <c r="J2291" s="11" t="s">
        <v>71</v>
      </c>
      <c r="K2291" s="11" t="s">
        <v>72</v>
      </c>
      <c r="L2291" s="11" t="s">
        <v>73</v>
      </c>
      <c r="M2291" s="11" t="s">
        <v>2535</v>
      </c>
      <c r="N2291" s="11" t="s">
        <v>155</v>
      </c>
      <c r="O2291" s="11" t="s">
        <v>71</v>
      </c>
      <c r="P2291" s="11" t="s">
        <v>12479</v>
      </c>
      <c r="Q2291" s="13" t="s">
        <v>12480</v>
      </c>
      <c r="R2291" s="14" t="str">
        <f>HYPERLINK("https://drive.google.com/file/d/1M8dR_hbMkXvEYsgJ2QI_FSU8TtsZWsiz/view?usp=drivesdk","OFFER LETTER")</f>
        <v>OFFER LETTER</v>
      </c>
      <c r="S2291" s="11" t="s">
        <v>12481</v>
      </c>
    </row>
    <row r="2292" ht="22.5" customHeight="1">
      <c r="A2292" s="10">
        <v>46271.18088945602</v>
      </c>
      <c r="B2292" s="11" t="s">
        <v>9128</v>
      </c>
      <c r="C2292" s="11" t="s">
        <v>1320</v>
      </c>
      <c r="D2292" s="11" t="s">
        <v>68</v>
      </c>
      <c r="E2292" s="12">
        <v>46266.0</v>
      </c>
      <c r="F2292" s="12">
        <v>46295.0</v>
      </c>
      <c r="G2292" s="11" t="s">
        <v>9129</v>
      </c>
      <c r="H2292" s="11">
        <v>6.37664799E9</v>
      </c>
      <c r="I2292" s="11" t="s">
        <v>70</v>
      </c>
      <c r="J2292" s="11" t="s">
        <v>71</v>
      </c>
      <c r="K2292" s="11" t="s">
        <v>72</v>
      </c>
      <c r="L2292" s="11" t="s">
        <v>247</v>
      </c>
      <c r="M2292" s="11" t="s">
        <v>9130</v>
      </c>
      <c r="N2292" s="11" t="s">
        <v>75</v>
      </c>
      <c r="O2292" s="11" t="s">
        <v>71</v>
      </c>
      <c r="P2292" s="11" t="s">
        <v>12482</v>
      </c>
      <c r="Q2292" s="13" t="s">
        <v>12483</v>
      </c>
      <c r="R2292" s="14" t="str">
        <f>HYPERLINK("https://drive.google.com/file/d/1eafqtU5OlZL4Pe7LkXPen392pPvP_K9I/view?usp=drivesdk","OFFER LETTER")</f>
        <v>OFFER LETTER</v>
      </c>
      <c r="S2292" s="11" t="s">
        <v>12484</v>
      </c>
    </row>
    <row r="2293" ht="22.5" customHeight="1">
      <c r="A2293" s="10">
        <v>46271.331635740746</v>
      </c>
      <c r="B2293" s="11" t="s">
        <v>12485</v>
      </c>
      <c r="C2293" s="11" t="s">
        <v>298</v>
      </c>
      <c r="D2293" s="11" t="s">
        <v>108</v>
      </c>
      <c r="E2293" s="12">
        <v>46188.0</v>
      </c>
      <c r="F2293" s="12">
        <v>46248.0</v>
      </c>
      <c r="G2293" s="11" t="s">
        <v>12486</v>
      </c>
      <c r="H2293" s="11">
        <v>6.374726363E9</v>
      </c>
      <c r="I2293" s="11" t="s">
        <v>82</v>
      </c>
      <c r="J2293" s="11" t="s">
        <v>71</v>
      </c>
      <c r="K2293" s="11" t="s">
        <v>72</v>
      </c>
      <c r="L2293" s="11" t="s">
        <v>131</v>
      </c>
      <c r="M2293" s="11" t="s">
        <v>10239</v>
      </c>
      <c r="N2293" s="11" t="s">
        <v>241</v>
      </c>
      <c r="O2293" s="11" t="s">
        <v>71</v>
      </c>
      <c r="P2293" s="11" t="s">
        <v>12487</v>
      </c>
      <c r="Q2293" s="13" t="s">
        <v>12488</v>
      </c>
      <c r="R2293" s="14" t="str">
        <f>HYPERLINK("https://drive.google.com/file/d/1-eDG7bREQV_gdMQT1yj-Qp-AE54VqbJ9/view?usp=drivesdk","OFFER LETTER")</f>
        <v>OFFER LETTER</v>
      </c>
      <c r="S2293" s="11" t="s">
        <v>12489</v>
      </c>
    </row>
    <row r="2294" ht="22.5" customHeight="1">
      <c r="A2294" s="10">
        <v>46271.34569966435</v>
      </c>
      <c r="B2294" s="11" t="s">
        <v>12490</v>
      </c>
      <c r="C2294" s="11" t="s">
        <v>195</v>
      </c>
      <c r="D2294" s="11" t="s">
        <v>68</v>
      </c>
      <c r="E2294" s="12">
        <v>46262.0</v>
      </c>
      <c r="F2294" s="12">
        <v>46293.0</v>
      </c>
      <c r="G2294" s="11" t="s">
        <v>12491</v>
      </c>
      <c r="H2294" s="11">
        <v>9.657495033E9</v>
      </c>
      <c r="I2294" s="11" t="s">
        <v>82</v>
      </c>
      <c r="J2294" s="11" t="s">
        <v>83</v>
      </c>
      <c r="K2294" s="11" t="s">
        <v>72</v>
      </c>
      <c r="L2294" s="11" t="s">
        <v>73</v>
      </c>
      <c r="M2294" s="11" t="s">
        <v>12492</v>
      </c>
      <c r="N2294" s="11" t="s">
        <v>86</v>
      </c>
      <c r="O2294" s="11" t="s">
        <v>71</v>
      </c>
      <c r="P2294" s="11" t="s">
        <v>12493</v>
      </c>
      <c r="Q2294" s="13" t="s">
        <v>12494</v>
      </c>
      <c r="R2294" s="14" t="str">
        <f>HYPERLINK("https://drive.google.com/file/d/1U9pGt2LU4pCTHoqAFcK7MC0a13TFGMIJ/view?usp=drivesdk","OFFER LETTER")</f>
        <v>OFFER LETTER</v>
      </c>
      <c r="S2294" s="11" t="s">
        <v>12495</v>
      </c>
    </row>
    <row r="2295" ht="22.5" customHeight="1">
      <c r="A2295" s="10">
        <v>46271.3854346875</v>
      </c>
      <c r="B2295" s="11" t="s">
        <v>12496</v>
      </c>
      <c r="C2295" s="11" t="s">
        <v>128</v>
      </c>
      <c r="D2295" s="11" t="s">
        <v>68</v>
      </c>
      <c r="E2295" s="12">
        <v>46205.0</v>
      </c>
      <c r="F2295" s="12">
        <v>46235.0</v>
      </c>
      <c r="G2295" s="11" t="s">
        <v>12497</v>
      </c>
      <c r="H2295" s="11">
        <v>7.764053553E9</v>
      </c>
      <c r="I2295" s="11" t="s">
        <v>70</v>
      </c>
      <c r="J2295" s="11" t="s">
        <v>71</v>
      </c>
      <c r="K2295" s="11" t="s">
        <v>72</v>
      </c>
      <c r="L2295" s="11" t="s">
        <v>73</v>
      </c>
      <c r="M2295" s="11" t="s">
        <v>2655</v>
      </c>
      <c r="N2295" s="11" t="s">
        <v>219</v>
      </c>
      <c r="O2295" s="11" t="s">
        <v>71</v>
      </c>
      <c r="P2295" s="11" t="s">
        <v>12498</v>
      </c>
      <c r="Q2295" s="13" t="s">
        <v>12499</v>
      </c>
      <c r="R2295" s="14" t="str">
        <f>HYPERLINK("https://drive.google.com/file/d/1-wytQ4pTMwpZPqPm8mB7tVGZHTOcPGY8/view?usp=drivesdk","OFFER LETTER")</f>
        <v>OFFER LETTER</v>
      </c>
      <c r="S2295" s="11" t="s">
        <v>12500</v>
      </c>
    </row>
    <row r="2296" ht="22.5" customHeight="1">
      <c r="A2296" s="10">
        <v>46271.41437611111</v>
      </c>
      <c r="B2296" s="11" t="s">
        <v>12501</v>
      </c>
      <c r="C2296" s="11" t="s">
        <v>107</v>
      </c>
      <c r="D2296" s="11" t="s">
        <v>68</v>
      </c>
      <c r="E2296" s="12">
        <v>46183.0</v>
      </c>
      <c r="F2296" s="12">
        <v>46213.0</v>
      </c>
      <c r="G2296" s="11" t="s">
        <v>12502</v>
      </c>
      <c r="H2296" s="11">
        <v>9.361624519E9</v>
      </c>
      <c r="I2296" s="11" t="s">
        <v>82</v>
      </c>
      <c r="J2296" s="11" t="s">
        <v>130</v>
      </c>
      <c r="K2296" s="11" t="s">
        <v>72</v>
      </c>
      <c r="L2296" s="11" t="s">
        <v>73</v>
      </c>
      <c r="M2296" s="11" t="s">
        <v>12503</v>
      </c>
      <c r="N2296" s="11" t="s">
        <v>226</v>
      </c>
      <c r="O2296" s="11" t="s">
        <v>71</v>
      </c>
      <c r="P2296" s="11" t="s">
        <v>12504</v>
      </c>
      <c r="Q2296" s="13" t="s">
        <v>12505</v>
      </c>
      <c r="R2296" s="14" t="str">
        <f>HYPERLINK("https://drive.google.com/file/d/1DKrZIOO57WQxNO3NyDb6YrMCKnozUawW/view?usp=drivesdk","OFFER LETTER")</f>
        <v>OFFER LETTER</v>
      </c>
      <c r="S2296" s="11" t="s">
        <v>12506</v>
      </c>
    </row>
    <row r="2297" ht="22.5" customHeight="1">
      <c r="A2297" s="10">
        <v>46271.44004324074</v>
      </c>
      <c r="B2297" s="11" t="s">
        <v>12507</v>
      </c>
      <c r="C2297" s="11" t="s">
        <v>91</v>
      </c>
      <c r="D2297" s="11" t="s">
        <v>238</v>
      </c>
      <c r="E2297" s="12">
        <v>46271.0</v>
      </c>
      <c r="F2297" s="12">
        <v>46362.0</v>
      </c>
      <c r="G2297" s="11" t="s">
        <v>12508</v>
      </c>
      <c r="H2297" s="11">
        <v>7.810072742E9</v>
      </c>
      <c r="I2297" s="11" t="s">
        <v>70</v>
      </c>
      <c r="J2297" s="11" t="s">
        <v>71</v>
      </c>
      <c r="K2297" s="11" t="s">
        <v>72</v>
      </c>
      <c r="L2297" s="11" t="s">
        <v>73</v>
      </c>
      <c r="M2297" s="11" t="s">
        <v>12509</v>
      </c>
      <c r="N2297" s="11" t="s">
        <v>75</v>
      </c>
      <c r="O2297" s="11" t="s">
        <v>71</v>
      </c>
      <c r="P2297" s="11" t="s">
        <v>12510</v>
      </c>
      <c r="Q2297" s="13" t="s">
        <v>12511</v>
      </c>
      <c r="R2297" s="14" t="str">
        <f>HYPERLINK("https://drive.google.com/file/d/1c09pjxrxcExMdtOu5wwcWmVe2l0NObXf/view?usp=drivesdk","OFFER LETTER")</f>
        <v>OFFER LETTER</v>
      </c>
      <c r="S2297" s="11" t="s">
        <v>12512</v>
      </c>
    </row>
    <row r="2298" ht="22.5" customHeight="1">
      <c r="A2298" s="10">
        <v>46271.467651087965</v>
      </c>
      <c r="B2298" s="11" t="s">
        <v>12513</v>
      </c>
      <c r="C2298" s="11" t="s">
        <v>417</v>
      </c>
      <c r="D2298" s="11" t="s">
        <v>68</v>
      </c>
      <c r="E2298" s="12">
        <v>46277.0</v>
      </c>
      <c r="F2298" s="12">
        <v>46307.0</v>
      </c>
      <c r="G2298" s="11" t="s">
        <v>12514</v>
      </c>
      <c r="H2298" s="11">
        <v>8.610471539E9</v>
      </c>
      <c r="I2298" s="11" t="s">
        <v>82</v>
      </c>
      <c r="J2298" s="11" t="s">
        <v>130</v>
      </c>
      <c r="K2298" s="11" t="s">
        <v>356</v>
      </c>
      <c r="L2298" s="11" t="s">
        <v>357</v>
      </c>
      <c r="M2298" s="11" t="s">
        <v>12515</v>
      </c>
      <c r="N2298" s="11" t="s">
        <v>86</v>
      </c>
      <c r="O2298" s="11" t="s">
        <v>71</v>
      </c>
      <c r="P2298" s="11" t="s">
        <v>12516</v>
      </c>
      <c r="Q2298" s="13" t="s">
        <v>12517</v>
      </c>
      <c r="R2298" s="14" t="str">
        <f>HYPERLINK("https://drive.google.com/file/d/1nLzTrPHTPc3UKLTfjv2haQ8H9qt3zYfI/view?usp=drivesdk","OFFER LETTER")</f>
        <v>OFFER LETTER</v>
      </c>
      <c r="S2298" s="11" t="s">
        <v>12518</v>
      </c>
    </row>
    <row r="2299" ht="22.5" customHeight="1">
      <c r="A2299" s="10">
        <v>46271.47024258102</v>
      </c>
      <c r="B2299" s="11" t="s">
        <v>10787</v>
      </c>
      <c r="C2299" s="11" t="s">
        <v>91</v>
      </c>
      <c r="D2299" s="11" t="s">
        <v>68</v>
      </c>
      <c r="E2299" s="12">
        <v>46218.0</v>
      </c>
      <c r="F2299" s="12">
        <v>46250.0</v>
      </c>
      <c r="G2299" s="11" t="s">
        <v>10788</v>
      </c>
      <c r="H2299" s="11">
        <v>6.20793362E9</v>
      </c>
      <c r="I2299" s="11" t="s">
        <v>82</v>
      </c>
      <c r="J2299" s="11" t="s">
        <v>71</v>
      </c>
      <c r="K2299" s="11" t="s">
        <v>72</v>
      </c>
      <c r="L2299" s="11" t="s">
        <v>84</v>
      </c>
      <c r="M2299" s="11" t="s">
        <v>12519</v>
      </c>
      <c r="N2299" s="11" t="s">
        <v>86</v>
      </c>
      <c r="O2299" s="11" t="s">
        <v>71</v>
      </c>
      <c r="P2299" s="11" t="s">
        <v>12520</v>
      </c>
      <c r="Q2299" s="13" t="s">
        <v>12521</v>
      </c>
      <c r="R2299" s="14" t="str">
        <f>HYPERLINK("https://drive.google.com/file/d/1a-gDJFtlLaMcr9u-4ZNeCGn_gjPleVku/view?usp=drivesdk","OFFER LETTER")</f>
        <v>OFFER LETTER</v>
      </c>
      <c r="S2299" s="11" t="s">
        <v>12522</v>
      </c>
    </row>
    <row r="2300" ht="22.5" customHeight="1">
      <c r="A2300" s="10">
        <v>46271.48990305555</v>
      </c>
      <c r="B2300" s="11" t="s">
        <v>12523</v>
      </c>
      <c r="C2300" s="11" t="s">
        <v>195</v>
      </c>
      <c r="D2300" s="11" t="s">
        <v>68</v>
      </c>
      <c r="E2300" s="12">
        <v>46204.0</v>
      </c>
      <c r="F2300" s="12">
        <v>46235.0</v>
      </c>
      <c r="G2300" s="11" t="s">
        <v>12524</v>
      </c>
      <c r="H2300" s="11">
        <v>9.711082766E9</v>
      </c>
      <c r="I2300" s="11" t="s">
        <v>82</v>
      </c>
      <c r="J2300" s="11" t="s">
        <v>83</v>
      </c>
      <c r="K2300" s="11" t="s">
        <v>72</v>
      </c>
      <c r="L2300" s="11" t="s">
        <v>84</v>
      </c>
      <c r="M2300" s="11" t="s">
        <v>886</v>
      </c>
      <c r="N2300" s="11" t="s">
        <v>86</v>
      </c>
      <c r="O2300" s="11" t="s">
        <v>71</v>
      </c>
      <c r="P2300" s="11" t="s">
        <v>12525</v>
      </c>
      <c r="Q2300" s="13" t="s">
        <v>12526</v>
      </c>
      <c r="R2300" s="14" t="str">
        <f>HYPERLINK("https://drive.google.com/file/d/1M29cEYmban33WXytCiuVK_-GX8gYmzvj/view?usp=drivesdk","OFFER LETTER")</f>
        <v>OFFER LETTER</v>
      </c>
      <c r="S2300" s="11" t="s">
        <v>12527</v>
      </c>
    </row>
    <row r="2301" ht="22.5" customHeight="1">
      <c r="A2301" s="10">
        <v>46271.491165115745</v>
      </c>
      <c r="B2301" s="11" t="s">
        <v>12528</v>
      </c>
      <c r="C2301" s="11" t="s">
        <v>107</v>
      </c>
      <c r="D2301" s="11" t="s">
        <v>68</v>
      </c>
      <c r="E2301" s="12">
        <v>46272.0</v>
      </c>
      <c r="F2301" s="12">
        <v>46302.0</v>
      </c>
      <c r="G2301" s="11" t="s">
        <v>12529</v>
      </c>
      <c r="H2301" s="11">
        <v>8.299839794E9</v>
      </c>
      <c r="I2301" s="11" t="s">
        <v>82</v>
      </c>
      <c r="J2301" s="11" t="s">
        <v>71</v>
      </c>
      <c r="K2301" s="11" t="s">
        <v>110</v>
      </c>
      <c r="L2301" s="11" t="s">
        <v>84</v>
      </c>
      <c r="M2301" s="11" t="s">
        <v>12530</v>
      </c>
      <c r="N2301" s="11" t="s">
        <v>86</v>
      </c>
      <c r="O2301" s="11" t="s">
        <v>71</v>
      </c>
      <c r="P2301" s="11" t="s">
        <v>12531</v>
      </c>
      <c r="Q2301" s="13" t="s">
        <v>12532</v>
      </c>
      <c r="R2301" s="14" t="str">
        <f>HYPERLINK("https://drive.google.com/file/d/1B2TlIwf3rgm-k2hCPe562Utm9Yksd9i2/view?usp=drivesdk","OFFER LETTER")</f>
        <v>OFFER LETTER</v>
      </c>
      <c r="S2301" s="11" t="s">
        <v>12533</v>
      </c>
    </row>
    <row r="2302" ht="22.5" customHeight="1">
      <c r="A2302" s="10">
        <v>46271.49915001157</v>
      </c>
      <c r="B2302" s="11" t="s">
        <v>12534</v>
      </c>
      <c r="C2302" s="11" t="s">
        <v>195</v>
      </c>
      <c r="D2302" s="11" t="s">
        <v>68</v>
      </c>
      <c r="E2302" s="12">
        <v>46216.0</v>
      </c>
      <c r="F2302" s="12">
        <v>46248.0</v>
      </c>
      <c r="G2302" s="11" t="s">
        <v>12535</v>
      </c>
      <c r="H2302" s="11">
        <v>9.795356257E9</v>
      </c>
      <c r="I2302" s="11" t="s">
        <v>82</v>
      </c>
      <c r="J2302" s="11" t="s">
        <v>71</v>
      </c>
      <c r="K2302" s="11" t="s">
        <v>72</v>
      </c>
      <c r="L2302" s="11" t="s">
        <v>73</v>
      </c>
      <c r="M2302" s="11" t="s">
        <v>12536</v>
      </c>
      <c r="N2302" s="11" t="s">
        <v>3613</v>
      </c>
      <c r="O2302" s="11" t="s">
        <v>71</v>
      </c>
      <c r="P2302" s="11" t="s">
        <v>12537</v>
      </c>
      <c r="Q2302" s="13" t="s">
        <v>12538</v>
      </c>
      <c r="R2302" s="14" t="str">
        <f>HYPERLINK("https://drive.google.com/file/d/1zLG4tgK3ptylCLRIrQs24D5Jull-DafD/view?usp=drivesdk","OFFER LETTER")</f>
        <v>OFFER LETTER</v>
      </c>
      <c r="S2302" s="11" t="s">
        <v>12539</v>
      </c>
    </row>
    <row r="2303" ht="22.5" customHeight="1">
      <c r="A2303" s="10">
        <v>46271.501122222224</v>
      </c>
      <c r="B2303" s="11" t="s">
        <v>12540</v>
      </c>
      <c r="C2303" s="11" t="s">
        <v>259</v>
      </c>
      <c r="D2303" s="11" t="s">
        <v>1507</v>
      </c>
      <c r="E2303" s="12">
        <v>46204.0</v>
      </c>
      <c r="F2303" s="12">
        <v>46233.0</v>
      </c>
      <c r="G2303" s="11" t="s">
        <v>12541</v>
      </c>
      <c r="H2303" s="11">
        <v>8.930034914E9</v>
      </c>
      <c r="I2303" s="11" t="s">
        <v>82</v>
      </c>
      <c r="J2303" s="11" t="s">
        <v>71</v>
      </c>
      <c r="K2303" s="11" t="s">
        <v>110</v>
      </c>
      <c r="L2303" s="11" t="s">
        <v>84</v>
      </c>
      <c r="M2303" s="11" t="s">
        <v>12542</v>
      </c>
      <c r="N2303" s="11" t="s">
        <v>75</v>
      </c>
      <c r="O2303" s="11" t="s">
        <v>71</v>
      </c>
      <c r="P2303" s="11" t="s">
        <v>12543</v>
      </c>
      <c r="Q2303" s="13" t="s">
        <v>12544</v>
      </c>
      <c r="R2303" s="14" t="str">
        <f>HYPERLINK("https://drive.google.com/file/d/1qkuxV-A9FfqMv-Yn6WA7uN_1HA8MAuBY/view?usp=drivesdk","OFFER LETTER")</f>
        <v>OFFER LETTER</v>
      </c>
      <c r="S2303" s="11" t="s">
        <v>12545</v>
      </c>
    </row>
    <row r="2304" ht="22.5" customHeight="1">
      <c r="A2304" s="10">
        <v>46271.50540260416</v>
      </c>
      <c r="B2304" s="11" t="s">
        <v>12546</v>
      </c>
      <c r="C2304" s="11" t="s">
        <v>128</v>
      </c>
      <c r="D2304" s="11" t="s">
        <v>68</v>
      </c>
      <c r="E2304" s="12">
        <v>46271.0</v>
      </c>
      <c r="F2304" s="12">
        <v>46301.0</v>
      </c>
      <c r="G2304" s="11" t="s">
        <v>12547</v>
      </c>
      <c r="H2304" s="11">
        <v>9.535050582E9</v>
      </c>
      <c r="I2304" s="11" t="s">
        <v>82</v>
      </c>
      <c r="J2304" s="11" t="s">
        <v>71</v>
      </c>
      <c r="K2304" s="11" t="s">
        <v>110</v>
      </c>
      <c r="L2304" s="11" t="s">
        <v>73</v>
      </c>
      <c r="M2304" s="11" t="s">
        <v>12548</v>
      </c>
      <c r="N2304" s="11" t="s">
        <v>86</v>
      </c>
      <c r="O2304" s="11" t="s">
        <v>71</v>
      </c>
      <c r="P2304" s="11" t="s">
        <v>12549</v>
      </c>
      <c r="Q2304" s="13" t="s">
        <v>12550</v>
      </c>
      <c r="R2304" s="14" t="str">
        <f>HYPERLINK("https://drive.google.com/file/d/1ipV1-yJJrT4EytkKP8qLvSxhUvdR8i0S/view?usp=drivesdk","OFFER LETTER")</f>
        <v>OFFER LETTER</v>
      </c>
      <c r="S2304" s="11" t="s">
        <v>12551</v>
      </c>
    </row>
    <row r="2305" ht="22.5" customHeight="1">
      <c r="A2305" s="10">
        <v>46271.514493888884</v>
      </c>
      <c r="B2305" s="11" t="s">
        <v>12552</v>
      </c>
      <c r="C2305" s="11" t="s">
        <v>195</v>
      </c>
      <c r="D2305" s="11" t="s">
        <v>68</v>
      </c>
      <c r="E2305" s="12">
        <v>46271.0</v>
      </c>
      <c r="F2305" s="12">
        <v>46300.0</v>
      </c>
      <c r="G2305" s="11" t="s">
        <v>12553</v>
      </c>
      <c r="H2305" s="11">
        <v>8.121723307E9</v>
      </c>
      <c r="I2305" s="11" t="s">
        <v>82</v>
      </c>
      <c r="J2305" s="11" t="s">
        <v>71</v>
      </c>
      <c r="K2305" s="11" t="s">
        <v>72</v>
      </c>
      <c r="L2305" s="11" t="s">
        <v>84</v>
      </c>
      <c r="M2305" s="11" t="s">
        <v>12554</v>
      </c>
      <c r="N2305" s="11" t="s">
        <v>198</v>
      </c>
      <c r="O2305" s="11" t="s">
        <v>71</v>
      </c>
      <c r="P2305" s="11" t="s">
        <v>12555</v>
      </c>
      <c r="Q2305" s="13" t="s">
        <v>12556</v>
      </c>
      <c r="R2305" s="14" t="str">
        <f>HYPERLINK("https://drive.google.com/file/d/1LsmAcxtl51tdBIPoUSPGXm_3IouqX1HS/view?usp=drivesdk","OFFER LETTER")</f>
        <v>OFFER LETTER</v>
      </c>
      <c r="S2305" s="11" t="s">
        <v>12557</v>
      </c>
    </row>
    <row r="2306" ht="22.5" customHeight="1">
      <c r="A2306" s="10">
        <v>46271.52258774306</v>
      </c>
      <c r="B2306" s="11" t="s">
        <v>12558</v>
      </c>
      <c r="C2306" s="11" t="s">
        <v>195</v>
      </c>
      <c r="D2306" s="11" t="s">
        <v>108</v>
      </c>
      <c r="E2306" s="12">
        <v>46175.0</v>
      </c>
      <c r="F2306" s="12">
        <v>46236.0</v>
      </c>
      <c r="G2306" s="11" t="s">
        <v>12559</v>
      </c>
      <c r="H2306" s="11">
        <v>8.875331371E9</v>
      </c>
      <c r="I2306" s="11" t="s">
        <v>82</v>
      </c>
      <c r="J2306" s="11" t="s">
        <v>71</v>
      </c>
      <c r="K2306" s="11" t="s">
        <v>72</v>
      </c>
      <c r="L2306" s="11" t="s">
        <v>84</v>
      </c>
      <c r="M2306" s="11" t="s">
        <v>12560</v>
      </c>
      <c r="N2306" s="11" t="s">
        <v>219</v>
      </c>
      <c r="O2306" s="11" t="s">
        <v>71</v>
      </c>
      <c r="P2306" s="11" t="s">
        <v>12561</v>
      </c>
      <c r="Q2306" s="13" t="s">
        <v>12562</v>
      </c>
      <c r="R2306" s="14" t="str">
        <f>HYPERLINK("https://drive.google.com/file/d/1WJt54ObOxKdwbvxlz5dHEBvmrrBERVO2/view?usp=drivesdk","OFFER LETTER")</f>
        <v>OFFER LETTER</v>
      </c>
      <c r="S2306" s="11" t="s">
        <v>12563</v>
      </c>
    </row>
    <row r="2307" ht="22.5" customHeight="1">
      <c r="A2307" s="10">
        <v>46271.52585521991</v>
      </c>
      <c r="B2307" s="11" t="s">
        <v>12564</v>
      </c>
      <c r="C2307" s="11" t="s">
        <v>259</v>
      </c>
      <c r="D2307" s="11" t="s">
        <v>68</v>
      </c>
      <c r="E2307" s="12">
        <v>46275.0</v>
      </c>
      <c r="F2307" s="12">
        <v>46305.0</v>
      </c>
      <c r="G2307" s="11" t="s">
        <v>12565</v>
      </c>
      <c r="H2307" s="11">
        <v>8.692017261E9</v>
      </c>
      <c r="I2307" s="11" t="s">
        <v>70</v>
      </c>
      <c r="J2307" s="11" t="s">
        <v>71</v>
      </c>
      <c r="K2307" s="13" t="s">
        <v>443</v>
      </c>
      <c r="L2307" s="11" t="s">
        <v>73</v>
      </c>
      <c r="M2307" s="11" t="s">
        <v>12566</v>
      </c>
      <c r="N2307" s="11" t="s">
        <v>75</v>
      </c>
      <c r="O2307" s="11" t="s">
        <v>71</v>
      </c>
      <c r="P2307" s="11" t="s">
        <v>12567</v>
      </c>
      <c r="Q2307" s="13" t="s">
        <v>12568</v>
      </c>
      <c r="R2307" s="14" t="str">
        <f>HYPERLINK("https://drive.google.com/file/d/1piqctq4DyziGVKTAv77tHIqu1sAHWTTk/view?usp=drivesdk","OFFER LETTER")</f>
        <v>OFFER LETTER</v>
      </c>
      <c r="S2307" s="11" t="s">
        <v>12569</v>
      </c>
    </row>
    <row r="2308" ht="22.5" customHeight="1">
      <c r="A2308" s="10">
        <v>46271.54149584491</v>
      </c>
      <c r="B2308" s="11" t="s">
        <v>12570</v>
      </c>
      <c r="C2308" s="11" t="s">
        <v>742</v>
      </c>
      <c r="D2308" s="11" t="s">
        <v>68</v>
      </c>
      <c r="E2308" s="12">
        <v>46238.0</v>
      </c>
      <c r="F2308" s="12">
        <v>46238.0</v>
      </c>
      <c r="G2308" s="11" t="s">
        <v>12571</v>
      </c>
      <c r="H2308" s="11">
        <v>9.137349541E9</v>
      </c>
      <c r="I2308" s="11" t="s">
        <v>82</v>
      </c>
      <c r="J2308" s="11" t="s">
        <v>71</v>
      </c>
      <c r="K2308" s="11" t="s">
        <v>72</v>
      </c>
      <c r="L2308" s="11" t="s">
        <v>84</v>
      </c>
      <c r="M2308" s="11" t="s">
        <v>8202</v>
      </c>
      <c r="N2308" s="11" t="s">
        <v>75</v>
      </c>
      <c r="O2308" s="11" t="s">
        <v>71</v>
      </c>
      <c r="P2308" s="11" t="s">
        <v>12572</v>
      </c>
      <c r="Q2308" s="13" t="s">
        <v>12573</v>
      </c>
      <c r="R2308" s="14" t="str">
        <f>HYPERLINK("https://drive.google.com/file/d/1rSNFK5RXAHn7cAYAHlD7LdDR3jqFtpV0/view?usp=drivesdk","OFFER LETTER")</f>
        <v>OFFER LETTER</v>
      </c>
      <c r="S2308" s="11" t="s">
        <v>12574</v>
      </c>
    </row>
    <row r="2309" ht="22.5" customHeight="1">
      <c r="A2309" s="10">
        <v>46271.56253247685</v>
      </c>
      <c r="B2309" s="11" t="s">
        <v>12575</v>
      </c>
      <c r="C2309" s="11" t="s">
        <v>173</v>
      </c>
      <c r="D2309" s="11" t="s">
        <v>108</v>
      </c>
      <c r="E2309" s="12">
        <v>46185.0</v>
      </c>
      <c r="F2309" s="12">
        <v>46246.0</v>
      </c>
      <c r="G2309" s="11" t="s">
        <v>12576</v>
      </c>
      <c r="H2309" s="11">
        <v>9.398976458E9</v>
      </c>
      <c r="I2309" s="11" t="s">
        <v>82</v>
      </c>
      <c r="J2309" s="11" t="s">
        <v>71</v>
      </c>
      <c r="K2309" s="11" t="s">
        <v>72</v>
      </c>
      <c r="L2309" s="11" t="s">
        <v>131</v>
      </c>
      <c r="M2309" s="11" t="s">
        <v>12577</v>
      </c>
      <c r="N2309" s="11" t="s">
        <v>86</v>
      </c>
      <c r="O2309" s="11" t="s">
        <v>71</v>
      </c>
      <c r="P2309" s="11" t="s">
        <v>12578</v>
      </c>
      <c r="Q2309" s="13" t="s">
        <v>12579</v>
      </c>
      <c r="R2309" s="14" t="str">
        <f>HYPERLINK("https://drive.google.com/file/d/1l-_5HGsduRn8WDNZutEo4LJ4CUchpc05/view?usp=drivesdk","OFFER LETTER")</f>
        <v>OFFER LETTER</v>
      </c>
      <c r="S2309" s="11" t="s">
        <v>12580</v>
      </c>
    </row>
    <row r="2310" ht="22.5" customHeight="1">
      <c r="A2310" s="10">
        <v>46271.57770332176</v>
      </c>
      <c r="B2310" s="11" t="s">
        <v>12581</v>
      </c>
      <c r="C2310" s="11" t="s">
        <v>195</v>
      </c>
      <c r="D2310" s="11" t="s">
        <v>68</v>
      </c>
      <c r="E2310" s="12">
        <v>46179.0</v>
      </c>
      <c r="F2310" s="12">
        <v>46209.0</v>
      </c>
      <c r="G2310" s="11" t="s">
        <v>12582</v>
      </c>
      <c r="H2310" s="11">
        <v>8.707755113E9</v>
      </c>
      <c r="I2310" s="11" t="s">
        <v>82</v>
      </c>
      <c r="J2310" s="11" t="s">
        <v>71</v>
      </c>
      <c r="K2310" s="11" t="s">
        <v>72</v>
      </c>
      <c r="L2310" s="11" t="s">
        <v>73</v>
      </c>
      <c r="M2310" s="11" t="s">
        <v>886</v>
      </c>
      <c r="N2310" s="11" t="s">
        <v>86</v>
      </c>
      <c r="O2310" s="11" t="s">
        <v>71</v>
      </c>
      <c r="P2310" s="11" t="s">
        <v>12583</v>
      </c>
      <c r="Q2310" s="13" t="s">
        <v>12584</v>
      </c>
      <c r="R2310" s="14" t="str">
        <f>HYPERLINK("https://drive.google.com/file/d/1_PXzwIPlEMyOTPme53rdq_bAucgDiAM5/view?usp=drivesdk","OFFER LETTER")</f>
        <v>OFFER LETTER</v>
      </c>
      <c r="S2310" s="11" t="s">
        <v>12585</v>
      </c>
    </row>
    <row r="2311" ht="22.5" customHeight="1">
      <c r="A2311" s="10">
        <v>46271.5839778588</v>
      </c>
      <c r="B2311" s="11" t="s">
        <v>12586</v>
      </c>
      <c r="C2311" s="11" t="s">
        <v>91</v>
      </c>
      <c r="D2311" s="11" t="s">
        <v>238</v>
      </c>
      <c r="E2311" s="12">
        <v>46272.0</v>
      </c>
      <c r="F2311" s="12">
        <v>46363.0</v>
      </c>
      <c r="G2311" s="11" t="s">
        <v>12587</v>
      </c>
      <c r="H2311" s="11">
        <v>9.102586564E9</v>
      </c>
      <c r="I2311" s="11" t="s">
        <v>82</v>
      </c>
      <c r="J2311" s="11" t="s">
        <v>71</v>
      </c>
      <c r="K2311" s="11" t="s">
        <v>72</v>
      </c>
      <c r="L2311" s="11" t="s">
        <v>131</v>
      </c>
      <c r="M2311" s="11" t="s">
        <v>12588</v>
      </c>
      <c r="N2311" s="11" t="s">
        <v>75</v>
      </c>
      <c r="O2311" s="11" t="s">
        <v>71</v>
      </c>
      <c r="P2311" s="11" t="s">
        <v>12589</v>
      </c>
      <c r="Q2311" s="13" t="s">
        <v>12590</v>
      </c>
      <c r="R2311" s="14" t="str">
        <f>HYPERLINK("https://drive.google.com/file/d/1kfWh1p3nbKjxcBOQnERY5IFL82kj_EoR/view?usp=drivesdk","OFFER LETTER")</f>
        <v>OFFER LETTER</v>
      </c>
      <c r="S2311" s="11" t="s">
        <v>12591</v>
      </c>
    </row>
    <row r="2312" ht="22.5" customHeight="1">
      <c r="A2312" s="10">
        <v>46271.59176563658</v>
      </c>
      <c r="B2312" s="11" t="s">
        <v>12592</v>
      </c>
      <c r="C2312" s="11" t="s">
        <v>107</v>
      </c>
      <c r="D2312" s="11" t="s">
        <v>238</v>
      </c>
      <c r="E2312" s="12">
        <v>46272.0</v>
      </c>
      <c r="F2312" s="12">
        <v>46363.0</v>
      </c>
      <c r="G2312" s="11" t="s">
        <v>12593</v>
      </c>
      <c r="H2312" s="11">
        <v>9.651518838E9</v>
      </c>
      <c r="I2312" s="11" t="s">
        <v>82</v>
      </c>
      <c r="J2312" s="11" t="s">
        <v>71</v>
      </c>
      <c r="K2312" s="11" t="s">
        <v>110</v>
      </c>
      <c r="L2312" s="11" t="s">
        <v>73</v>
      </c>
      <c r="M2312" s="11" t="s">
        <v>12594</v>
      </c>
      <c r="N2312" s="11" t="s">
        <v>75</v>
      </c>
      <c r="O2312" s="11" t="s">
        <v>71</v>
      </c>
      <c r="P2312" s="11" t="s">
        <v>12595</v>
      </c>
      <c r="Q2312" s="13" t="s">
        <v>12596</v>
      </c>
      <c r="R2312" s="14" t="str">
        <f>HYPERLINK("https://drive.google.com/file/d/18Q4p8SulZaj9PZEEO_Vk5VNHbyE0Wj6H/view?usp=drivesdk","OFFER LETTER")</f>
        <v>OFFER LETTER</v>
      </c>
      <c r="S2312" s="11" t="s">
        <v>12597</v>
      </c>
    </row>
    <row r="2313" ht="22.5" customHeight="1">
      <c r="A2313" s="10">
        <v>46271.59460111111</v>
      </c>
      <c r="B2313" s="11" t="s">
        <v>4740</v>
      </c>
      <c r="C2313" s="11" t="s">
        <v>107</v>
      </c>
      <c r="D2313" s="11" t="s">
        <v>68</v>
      </c>
      <c r="E2313" s="12">
        <v>46315.0</v>
      </c>
      <c r="F2313" s="12">
        <v>46346.0</v>
      </c>
      <c r="G2313" s="11" t="s">
        <v>4741</v>
      </c>
      <c r="H2313" s="11">
        <v>9.336786733E9</v>
      </c>
      <c r="I2313" s="11" t="s">
        <v>82</v>
      </c>
      <c r="J2313" s="11" t="s">
        <v>130</v>
      </c>
      <c r="K2313" s="11" t="s">
        <v>72</v>
      </c>
      <c r="L2313" s="11" t="s">
        <v>84</v>
      </c>
      <c r="M2313" s="11" t="s">
        <v>4743</v>
      </c>
      <c r="N2313" s="11" t="s">
        <v>155</v>
      </c>
      <c r="O2313" s="11" t="s">
        <v>71</v>
      </c>
      <c r="P2313" s="11" t="s">
        <v>12598</v>
      </c>
      <c r="Q2313" s="13" t="s">
        <v>12599</v>
      </c>
      <c r="R2313" s="14" t="str">
        <f>HYPERLINK("https://drive.google.com/file/d/1vV89eIfkih1tuJVx7FFk6S6APIKtd0c2/view?usp=drivesdk","OFFER LETTER")</f>
        <v>OFFER LETTER</v>
      </c>
      <c r="S2313" s="11" t="s">
        <v>12600</v>
      </c>
    </row>
    <row r="2314" ht="22.5" customHeight="1">
      <c r="A2314" s="10">
        <v>46271.6445003125</v>
      </c>
      <c r="B2314" s="11" t="s">
        <v>12601</v>
      </c>
      <c r="C2314" s="11" t="s">
        <v>107</v>
      </c>
      <c r="D2314" s="11" t="s">
        <v>68</v>
      </c>
      <c r="E2314" s="12">
        <v>46037.0</v>
      </c>
      <c r="F2314" s="12">
        <v>46068.0</v>
      </c>
      <c r="G2314" s="11" t="s">
        <v>12602</v>
      </c>
      <c r="H2314" s="11">
        <v>7.592011734E9</v>
      </c>
      <c r="I2314" s="11" t="s">
        <v>70</v>
      </c>
      <c r="J2314" s="11" t="s">
        <v>71</v>
      </c>
      <c r="K2314" s="11" t="s">
        <v>167</v>
      </c>
      <c r="L2314" s="11" t="s">
        <v>357</v>
      </c>
      <c r="M2314" s="11" t="s">
        <v>12603</v>
      </c>
      <c r="N2314" s="11" t="s">
        <v>219</v>
      </c>
      <c r="O2314" s="11" t="s">
        <v>71</v>
      </c>
      <c r="P2314" s="11" t="s">
        <v>12604</v>
      </c>
      <c r="Q2314" s="13" t="s">
        <v>12605</v>
      </c>
      <c r="R2314" s="14" t="str">
        <f>HYPERLINK("https://drive.google.com/file/d/1e6r87PWB2JEOimS8I1biXPypGmVQO_QI/view?usp=drivesdk","OFFER LETTER")</f>
        <v>OFFER LETTER</v>
      </c>
      <c r="S2314" s="11" t="s">
        <v>12606</v>
      </c>
    </row>
    <row r="2315" ht="22.5" customHeight="1">
      <c r="A2315" s="10">
        <v>46271.67388795139</v>
      </c>
      <c r="B2315" s="11" t="s">
        <v>12607</v>
      </c>
      <c r="C2315" s="11" t="s">
        <v>128</v>
      </c>
      <c r="D2315" s="11" t="s">
        <v>68</v>
      </c>
      <c r="E2315" s="12">
        <v>46208.0</v>
      </c>
      <c r="F2315" s="12">
        <v>46240.0</v>
      </c>
      <c r="G2315" s="11" t="s">
        <v>12608</v>
      </c>
      <c r="H2315" s="11">
        <v>8.602292985E9</v>
      </c>
      <c r="I2315" s="11" t="s">
        <v>82</v>
      </c>
      <c r="J2315" s="11" t="s">
        <v>71</v>
      </c>
      <c r="K2315" s="11" t="s">
        <v>72</v>
      </c>
      <c r="L2315" s="11" t="s">
        <v>131</v>
      </c>
      <c r="M2315" s="11" t="s">
        <v>12609</v>
      </c>
      <c r="N2315" s="11" t="s">
        <v>1641</v>
      </c>
      <c r="O2315" s="11" t="s">
        <v>71</v>
      </c>
      <c r="P2315" s="11" t="s">
        <v>12610</v>
      </c>
      <c r="Q2315" s="13" t="s">
        <v>12611</v>
      </c>
      <c r="R2315" s="14" t="str">
        <f>HYPERLINK("https://drive.google.com/file/d/163-y9iKqjVaftTwfl65l7toElsnv_ebL/view?usp=drivesdk","OFFER LETTER")</f>
        <v>OFFER LETTER</v>
      </c>
      <c r="S2315" s="11" t="s">
        <v>12612</v>
      </c>
    </row>
    <row r="2316" ht="22.5" customHeight="1">
      <c r="A2316" s="10">
        <v>46271.68812056713</v>
      </c>
      <c r="B2316" s="11" t="s">
        <v>12613</v>
      </c>
      <c r="C2316" s="11" t="s">
        <v>237</v>
      </c>
      <c r="D2316" s="11" t="s">
        <v>68</v>
      </c>
      <c r="E2316" s="12">
        <v>46180.0</v>
      </c>
      <c r="F2316" s="12">
        <v>46210.0</v>
      </c>
      <c r="G2316" s="11" t="s">
        <v>12614</v>
      </c>
      <c r="H2316" s="11">
        <v>9.043099638E9</v>
      </c>
      <c r="I2316" s="11" t="s">
        <v>82</v>
      </c>
      <c r="J2316" s="11" t="s">
        <v>71</v>
      </c>
      <c r="K2316" s="11" t="s">
        <v>72</v>
      </c>
      <c r="L2316" s="11" t="s">
        <v>84</v>
      </c>
      <c r="M2316" s="11" t="s">
        <v>12615</v>
      </c>
      <c r="N2316" s="11" t="s">
        <v>86</v>
      </c>
      <c r="O2316" s="11" t="s">
        <v>71</v>
      </c>
      <c r="P2316" s="11" t="s">
        <v>12616</v>
      </c>
      <c r="Q2316" s="13" t="s">
        <v>12617</v>
      </c>
      <c r="R2316" s="14" t="str">
        <f>HYPERLINK("https://drive.google.com/file/d/1eYckRM2Yu2Kj5oK04q8ptG2fWqLs7sIG/view?usp=drivesdk","OFFER LETTER")</f>
        <v>OFFER LETTER</v>
      </c>
      <c r="S2316" s="11" t="s">
        <v>12618</v>
      </c>
    </row>
    <row r="2317" ht="22.5" customHeight="1">
      <c r="A2317" s="10">
        <v>46271.68883128472</v>
      </c>
      <c r="B2317" s="11" t="s">
        <v>12619</v>
      </c>
      <c r="C2317" s="11" t="s">
        <v>67</v>
      </c>
      <c r="D2317" s="11" t="s">
        <v>68</v>
      </c>
      <c r="E2317" s="12">
        <v>46157.0</v>
      </c>
      <c r="F2317" s="12">
        <v>46188.0</v>
      </c>
      <c r="G2317" s="11" t="s">
        <v>12620</v>
      </c>
      <c r="H2317" s="11">
        <v>9.270194759E9</v>
      </c>
      <c r="I2317" s="11" t="s">
        <v>70</v>
      </c>
      <c r="J2317" s="11" t="s">
        <v>71</v>
      </c>
      <c r="K2317" s="11" t="s">
        <v>72</v>
      </c>
      <c r="L2317" s="11" t="s">
        <v>84</v>
      </c>
      <c r="M2317" s="11" t="s">
        <v>12621</v>
      </c>
      <c r="N2317" s="11" t="s">
        <v>320</v>
      </c>
      <c r="O2317" s="11" t="s">
        <v>71</v>
      </c>
      <c r="P2317" s="11" t="s">
        <v>12622</v>
      </c>
      <c r="Q2317" s="13" t="s">
        <v>12623</v>
      </c>
      <c r="R2317" s="14" t="str">
        <f>HYPERLINK("https://drive.google.com/file/d/1urMPGjsNCzzzAHj9Pb8hkGaJPKdaCi-u/view?usp=drivesdk","OFFER LETTER")</f>
        <v>OFFER LETTER</v>
      </c>
      <c r="S2317" s="11" t="s">
        <v>12624</v>
      </c>
    </row>
    <row r="2318" ht="22.5" customHeight="1">
      <c r="A2318" s="10">
        <v>46271.71604291667</v>
      </c>
      <c r="B2318" s="11" t="s">
        <v>12625</v>
      </c>
      <c r="C2318" s="11" t="s">
        <v>195</v>
      </c>
      <c r="D2318" s="11" t="s">
        <v>68</v>
      </c>
      <c r="E2318" s="12">
        <v>46238.0</v>
      </c>
      <c r="F2318" s="12">
        <v>46269.0</v>
      </c>
      <c r="G2318" s="11" t="s">
        <v>12626</v>
      </c>
      <c r="H2318" s="11" t="s">
        <v>12627</v>
      </c>
      <c r="I2318" s="11" t="s">
        <v>70</v>
      </c>
      <c r="J2318" s="11" t="s">
        <v>71</v>
      </c>
      <c r="K2318" s="11" t="s">
        <v>72</v>
      </c>
      <c r="L2318" s="11" t="s">
        <v>84</v>
      </c>
      <c r="M2318" s="11" t="s">
        <v>849</v>
      </c>
      <c r="N2318" s="11" t="s">
        <v>86</v>
      </c>
      <c r="O2318" s="11" t="s">
        <v>71</v>
      </c>
      <c r="P2318" s="11" t="s">
        <v>12628</v>
      </c>
      <c r="Q2318" s="13" t="s">
        <v>12629</v>
      </c>
      <c r="R2318" s="14" t="str">
        <f>HYPERLINK("https://drive.google.com/file/d/1JQl73ZhkjRRuFB8KNt7DJgIoWQHYtGe-/view?usp=drivesdk","OFFER LETTER")</f>
        <v>OFFER LETTER</v>
      </c>
      <c r="S2318" s="11" t="s">
        <v>12630</v>
      </c>
    </row>
    <row r="2319" ht="22.5" customHeight="1">
      <c r="A2319" s="10">
        <v>46271.7220461574</v>
      </c>
      <c r="B2319" s="11" t="s">
        <v>12631</v>
      </c>
      <c r="C2319" s="11" t="s">
        <v>80</v>
      </c>
      <c r="D2319" s="11" t="s">
        <v>68</v>
      </c>
      <c r="E2319" s="12">
        <v>46236.0</v>
      </c>
      <c r="F2319" s="12">
        <v>46267.0</v>
      </c>
      <c r="G2319" s="11" t="s">
        <v>12632</v>
      </c>
      <c r="H2319" s="11">
        <v>8.073983084E9</v>
      </c>
      <c r="I2319" s="11" t="s">
        <v>82</v>
      </c>
      <c r="J2319" s="11" t="s">
        <v>130</v>
      </c>
      <c r="K2319" s="11" t="s">
        <v>72</v>
      </c>
      <c r="L2319" s="11" t="s">
        <v>73</v>
      </c>
      <c r="M2319" s="11" t="s">
        <v>12633</v>
      </c>
      <c r="N2319" s="11" t="s">
        <v>198</v>
      </c>
      <c r="O2319" s="11" t="s">
        <v>71</v>
      </c>
      <c r="P2319" s="11" t="s">
        <v>12634</v>
      </c>
      <c r="Q2319" s="13" t="s">
        <v>12635</v>
      </c>
      <c r="R2319" s="14" t="str">
        <f>HYPERLINK("https://drive.google.com/file/d/19oRMQgnY7IoelzsIC0bZBVni8MbWDaaa/view?usp=drivesdk","OFFER LETTER")</f>
        <v>OFFER LETTER</v>
      </c>
      <c r="S2319" s="11" t="s">
        <v>12636</v>
      </c>
    </row>
    <row r="2320" ht="22.5" customHeight="1">
      <c r="A2320" s="10">
        <v>46271.72520859954</v>
      </c>
      <c r="B2320" s="11" t="s">
        <v>12637</v>
      </c>
      <c r="C2320" s="11" t="s">
        <v>80</v>
      </c>
      <c r="D2320" s="11" t="s">
        <v>68</v>
      </c>
      <c r="E2320" s="12">
        <v>46236.0</v>
      </c>
      <c r="F2320" s="12">
        <v>46267.0</v>
      </c>
      <c r="G2320" s="11" t="s">
        <v>12638</v>
      </c>
      <c r="H2320" s="11">
        <v>9.482135371E9</v>
      </c>
      <c r="I2320" s="11" t="s">
        <v>82</v>
      </c>
      <c r="J2320" s="11" t="s">
        <v>130</v>
      </c>
      <c r="K2320" s="11" t="s">
        <v>72</v>
      </c>
      <c r="L2320" s="11" t="s">
        <v>73</v>
      </c>
      <c r="M2320" s="11" t="s">
        <v>12639</v>
      </c>
      <c r="N2320" s="11" t="s">
        <v>86</v>
      </c>
      <c r="O2320" s="11" t="s">
        <v>71</v>
      </c>
      <c r="P2320" s="11" t="s">
        <v>12640</v>
      </c>
      <c r="Q2320" s="13" t="s">
        <v>12641</v>
      </c>
      <c r="R2320" s="14" t="str">
        <f>HYPERLINK("https://drive.google.com/file/d/1xEzOJppSXQ_OfCz7JmThswdO-0NBUH1J/view?usp=drivesdk","OFFER LETTER")</f>
        <v>OFFER LETTER</v>
      </c>
      <c r="S2320" s="11" t="s">
        <v>12642</v>
      </c>
    </row>
    <row r="2321" ht="22.5" customHeight="1">
      <c r="A2321" s="10">
        <v>46271.73519482639</v>
      </c>
      <c r="B2321" s="11" t="s">
        <v>12643</v>
      </c>
      <c r="C2321" s="11" t="s">
        <v>195</v>
      </c>
      <c r="D2321" s="11" t="s">
        <v>68</v>
      </c>
      <c r="E2321" s="12">
        <v>46174.0</v>
      </c>
      <c r="F2321" s="12">
        <v>46203.0</v>
      </c>
      <c r="G2321" s="11" t="s">
        <v>12644</v>
      </c>
      <c r="H2321" s="11">
        <v>9.042495592E9</v>
      </c>
      <c r="I2321" s="11" t="s">
        <v>70</v>
      </c>
      <c r="J2321" s="11" t="s">
        <v>71</v>
      </c>
      <c r="K2321" s="11" t="s">
        <v>72</v>
      </c>
      <c r="L2321" s="11" t="s">
        <v>131</v>
      </c>
      <c r="M2321" s="11" t="s">
        <v>12645</v>
      </c>
      <c r="N2321" s="11" t="s">
        <v>86</v>
      </c>
      <c r="O2321" s="11" t="s">
        <v>71</v>
      </c>
      <c r="P2321" s="11" t="s">
        <v>12646</v>
      </c>
      <c r="Q2321" s="13" t="s">
        <v>12647</v>
      </c>
      <c r="R2321" s="14" t="str">
        <f>HYPERLINK("https://drive.google.com/file/d/1eKu4moG3wHVr3i_8gnQ8r_fzp799MwNX/view?usp=drivesdk","OFFER LETTER")</f>
        <v>OFFER LETTER</v>
      </c>
      <c r="S2321" s="11" t="s">
        <v>12648</v>
      </c>
    </row>
    <row r="2322" ht="22.5" customHeight="1">
      <c r="A2322" s="10">
        <v>46271.74132025463</v>
      </c>
      <c r="B2322" s="11" t="s">
        <v>12649</v>
      </c>
      <c r="C2322" s="11" t="s">
        <v>173</v>
      </c>
      <c r="D2322" s="11" t="s">
        <v>238</v>
      </c>
      <c r="E2322" s="12">
        <v>46272.0</v>
      </c>
      <c r="F2322" s="12">
        <v>46363.0</v>
      </c>
      <c r="G2322" s="11" t="s">
        <v>12650</v>
      </c>
      <c r="H2322" s="11">
        <v>9.33432592E9</v>
      </c>
      <c r="I2322" s="11" t="s">
        <v>82</v>
      </c>
      <c r="J2322" s="11" t="s">
        <v>71</v>
      </c>
      <c r="K2322" s="11" t="s">
        <v>72</v>
      </c>
      <c r="L2322" s="11" t="s">
        <v>131</v>
      </c>
      <c r="M2322" s="11" t="s">
        <v>12651</v>
      </c>
      <c r="N2322" s="11" t="s">
        <v>75</v>
      </c>
      <c r="O2322" s="11" t="s">
        <v>71</v>
      </c>
      <c r="P2322" s="11" t="s">
        <v>12652</v>
      </c>
      <c r="Q2322" s="13" t="s">
        <v>12653</v>
      </c>
      <c r="R2322" s="14" t="str">
        <f>HYPERLINK("https://drive.google.com/file/d/1YgSEUb4GVhsTyg6RVMTv04FW8__knOBp/view?usp=drivesdk","OFFER LETTER")</f>
        <v>OFFER LETTER</v>
      </c>
      <c r="S2322" s="11" t="s">
        <v>12654</v>
      </c>
    </row>
    <row r="2323" ht="22.5" customHeight="1">
      <c r="A2323" s="10">
        <v>46271.75564924769</v>
      </c>
      <c r="B2323" s="11" t="s">
        <v>12655</v>
      </c>
      <c r="C2323" s="11" t="s">
        <v>298</v>
      </c>
      <c r="D2323" s="11" t="s">
        <v>68</v>
      </c>
      <c r="E2323" s="12">
        <v>46271.0</v>
      </c>
      <c r="F2323" s="12">
        <v>46302.0</v>
      </c>
      <c r="G2323" s="11" t="s">
        <v>12656</v>
      </c>
      <c r="H2323" s="11">
        <v>6.265868767E9</v>
      </c>
      <c r="I2323" s="11" t="s">
        <v>82</v>
      </c>
      <c r="J2323" s="11" t="s">
        <v>71</v>
      </c>
      <c r="K2323" s="11" t="s">
        <v>72</v>
      </c>
      <c r="L2323" s="11" t="s">
        <v>131</v>
      </c>
      <c r="M2323" s="11" t="s">
        <v>7609</v>
      </c>
      <c r="N2323" s="11" t="s">
        <v>86</v>
      </c>
      <c r="O2323" s="11" t="s">
        <v>71</v>
      </c>
      <c r="P2323" s="11" t="s">
        <v>12657</v>
      </c>
      <c r="Q2323" s="13" t="s">
        <v>12658</v>
      </c>
      <c r="R2323" s="14" t="str">
        <f>HYPERLINK("https://drive.google.com/file/d/1dvfqLN1f-Yzjz39Pp_jbxzxEoBwH_A2D/view?usp=drivesdk","OFFER LETTER")</f>
        <v>OFFER LETTER</v>
      </c>
      <c r="S2323" s="11" t="s">
        <v>12659</v>
      </c>
    </row>
    <row r="2324" ht="22.5" customHeight="1">
      <c r="A2324" s="10">
        <v>46271.78474228009</v>
      </c>
      <c r="B2324" s="11" t="s">
        <v>12660</v>
      </c>
      <c r="C2324" s="11" t="s">
        <v>128</v>
      </c>
      <c r="D2324" s="11" t="s">
        <v>68</v>
      </c>
      <c r="E2324" s="12">
        <v>46240.0</v>
      </c>
      <c r="F2324" s="12">
        <v>46240.0</v>
      </c>
      <c r="G2324" s="11" t="s">
        <v>12661</v>
      </c>
      <c r="H2324" s="11">
        <v>9.336773381E9</v>
      </c>
      <c r="I2324" s="11" t="s">
        <v>82</v>
      </c>
      <c r="J2324" s="11" t="s">
        <v>71</v>
      </c>
      <c r="K2324" s="11" t="s">
        <v>72</v>
      </c>
      <c r="L2324" s="11" t="s">
        <v>84</v>
      </c>
      <c r="M2324" s="11" t="s">
        <v>1217</v>
      </c>
      <c r="N2324" s="11" t="s">
        <v>133</v>
      </c>
      <c r="O2324" s="11" t="s">
        <v>71</v>
      </c>
      <c r="P2324" s="11" t="s">
        <v>12662</v>
      </c>
      <c r="Q2324" s="13" t="s">
        <v>12663</v>
      </c>
      <c r="R2324" s="14" t="str">
        <f>HYPERLINK("https://drive.google.com/file/d/1NavCp7qEnNgsV9Bi43_tjalkc7uLIRfA/view?usp=drivesdk","OFFER LETTER")</f>
        <v>OFFER LETTER</v>
      </c>
      <c r="S2324" s="11" t="s">
        <v>12664</v>
      </c>
    </row>
    <row r="2325" ht="22.5" customHeight="1">
      <c r="A2325" s="10">
        <v>46271.80117622685</v>
      </c>
      <c r="B2325" s="11" t="s">
        <v>12665</v>
      </c>
      <c r="C2325" s="11" t="s">
        <v>237</v>
      </c>
      <c r="D2325" s="11" t="s">
        <v>68</v>
      </c>
      <c r="E2325" s="12">
        <v>46240.0</v>
      </c>
      <c r="F2325" s="12">
        <v>46269.0</v>
      </c>
      <c r="G2325" s="11" t="s">
        <v>12666</v>
      </c>
      <c r="H2325" s="11">
        <v>8.709154796E9</v>
      </c>
      <c r="I2325" s="11" t="s">
        <v>70</v>
      </c>
      <c r="J2325" s="11" t="s">
        <v>71</v>
      </c>
      <c r="K2325" s="11" t="s">
        <v>72</v>
      </c>
      <c r="L2325" s="11" t="s">
        <v>73</v>
      </c>
      <c r="M2325" s="11" t="s">
        <v>12667</v>
      </c>
      <c r="N2325" s="11" t="s">
        <v>75</v>
      </c>
      <c r="O2325" s="11" t="s">
        <v>71</v>
      </c>
      <c r="P2325" s="11" t="s">
        <v>12668</v>
      </c>
      <c r="Q2325" s="13" t="s">
        <v>12669</v>
      </c>
      <c r="R2325" s="14" t="str">
        <f>HYPERLINK("https://drive.google.com/file/d/1FxQurkCHLf4pcA90Mu17qcSbezbf2glt/view?usp=drivesdk","OFFER LETTER")</f>
        <v>OFFER LETTER</v>
      </c>
      <c r="S2325" s="11" t="s">
        <v>12670</v>
      </c>
    </row>
    <row r="2326" ht="22.5" customHeight="1">
      <c r="A2326" s="10">
        <v>46271.80463075232</v>
      </c>
      <c r="B2326" s="11" t="s">
        <v>12671</v>
      </c>
      <c r="C2326" s="11" t="s">
        <v>596</v>
      </c>
      <c r="D2326" s="11" t="s">
        <v>68</v>
      </c>
      <c r="E2326" s="12">
        <v>46187.0</v>
      </c>
      <c r="F2326" s="12">
        <v>46216.0</v>
      </c>
      <c r="G2326" s="11" t="s">
        <v>12672</v>
      </c>
      <c r="H2326" s="11">
        <v>9.142530589E9</v>
      </c>
      <c r="I2326" s="11" t="s">
        <v>82</v>
      </c>
      <c r="J2326" s="11" t="s">
        <v>71</v>
      </c>
      <c r="K2326" s="11" t="s">
        <v>72</v>
      </c>
      <c r="L2326" s="11" t="s">
        <v>84</v>
      </c>
      <c r="M2326" s="11" t="s">
        <v>5053</v>
      </c>
      <c r="N2326" s="11" t="s">
        <v>219</v>
      </c>
      <c r="O2326" s="11" t="s">
        <v>71</v>
      </c>
      <c r="P2326" s="11" t="s">
        <v>12673</v>
      </c>
      <c r="Q2326" s="13" t="s">
        <v>12674</v>
      </c>
      <c r="R2326" s="14" t="str">
        <f>HYPERLINK("https://drive.google.com/file/d/1H7CRgyE0iT_XyIwiK2lHuSZ5ncZR4r1S/view?usp=drivesdk","OFFER LETTER")</f>
        <v>OFFER LETTER</v>
      </c>
      <c r="S2326" s="11" t="s">
        <v>12675</v>
      </c>
    </row>
    <row r="2327" ht="22.5" customHeight="1">
      <c r="A2327" s="10">
        <v>46271.80660725695</v>
      </c>
      <c r="B2327" s="11" t="s">
        <v>12676</v>
      </c>
      <c r="C2327" s="11" t="s">
        <v>128</v>
      </c>
      <c r="D2327" s="11" t="s">
        <v>68</v>
      </c>
      <c r="E2327" s="12">
        <v>46271.0</v>
      </c>
      <c r="F2327" s="12">
        <v>46301.0</v>
      </c>
      <c r="G2327" s="11" t="s">
        <v>12677</v>
      </c>
      <c r="H2327" s="11">
        <v>7.497885742E9</v>
      </c>
      <c r="I2327" s="11" t="s">
        <v>70</v>
      </c>
      <c r="J2327" s="11" t="s">
        <v>71</v>
      </c>
      <c r="K2327" s="11" t="s">
        <v>72</v>
      </c>
      <c r="L2327" s="11" t="s">
        <v>73</v>
      </c>
      <c r="M2327" s="11" t="s">
        <v>12678</v>
      </c>
      <c r="N2327" s="11" t="s">
        <v>86</v>
      </c>
      <c r="O2327" s="11" t="s">
        <v>71</v>
      </c>
      <c r="P2327" s="11" t="s">
        <v>12679</v>
      </c>
      <c r="Q2327" s="13" t="s">
        <v>12680</v>
      </c>
      <c r="R2327" s="14" t="str">
        <f>HYPERLINK("https://drive.google.com/file/d/1z1Zey5L-cc7ecETTieN8hzVyFk3_RSik/view?usp=drivesdk","OFFER LETTER")</f>
        <v>OFFER LETTER</v>
      </c>
      <c r="S2327" s="11" t="s">
        <v>12681</v>
      </c>
    </row>
    <row r="2328" ht="22.5" customHeight="1">
      <c r="A2328" s="10">
        <v>46271.807291226854</v>
      </c>
      <c r="B2328" s="11" t="s">
        <v>12682</v>
      </c>
      <c r="C2328" s="11" t="s">
        <v>128</v>
      </c>
      <c r="D2328" s="11" t="s">
        <v>68</v>
      </c>
      <c r="E2328" s="12">
        <v>46153.0</v>
      </c>
      <c r="F2328" s="12">
        <v>46184.0</v>
      </c>
      <c r="G2328" s="11" t="s">
        <v>12683</v>
      </c>
      <c r="H2328" s="11">
        <v>7.400323598E9</v>
      </c>
      <c r="I2328" s="11" t="s">
        <v>70</v>
      </c>
      <c r="J2328" s="11" t="s">
        <v>71</v>
      </c>
      <c r="K2328" s="11" t="s">
        <v>110</v>
      </c>
      <c r="L2328" s="11" t="s">
        <v>73</v>
      </c>
      <c r="M2328" s="11" t="s">
        <v>3479</v>
      </c>
      <c r="N2328" s="11" t="s">
        <v>86</v>
      </c>
      <c r="O2328" s="11" t="s">
        <v>71</v>
      </c>
      <c r="P2328" s="11" t="s">
        <v>12684</v>
      </c>
      <c r="Q2328" s="13" t="s">
        <v>12685</v>
      </c>
      <c r="R2328" s="14" t="str">
        <f>HYPERLINK("https://drive.google.com/file/d/1q151COqKDuDqNN76cuvCUMaSEVEXodgo/view?usp=drivesdk","OFFER LETTER")</f>
        <v>OFFER LETTER</v>
      </c>
      <c r="S2328" s="11" t="s">
        <v>12686</v>
      </c>
    </row>
    <row r="2329" ht="22.5" customHeight="1">
      <c r="A2329" s="10">
        <v>46271.80755671296</v>
      </c>
      <c r="B2329" s="11" t="s">
        <v>12671</v>
      </c>
      <c r="C2329" s="11" t="s">
        <v>596</v>
      </c>
      <c r="D2329" s="11" t="s">
        <v>68</v>
      </c>
      <c r="E2329" s="12">
        <v>46187.0</v>
      </c>
      <c r="F2329" s="12">
        <v>46217.0</v>
      </c>
      <c r="G2329" s="11" t="s">
        <v>12672</v>
      </c>
      <c r="H2329" s="11">
        <v>9.142530589E9</v>
      </c>
      <c r="I2329" s="11" t="s">
        <v>82</v>
      </c>
      <c r="J2329" s="11" t="s">
        <v>71</v>
      </c>
      <c r="K2329" s="11" t="s">
        <v>72</v>
      </c>
      <c r="L2329" s="11" t="s">
        <v>84</v>
      </c>
      <c r="M2329" s="11" t="s">
        <v>5053</v>
      </c>
      <c r="N2329" s="11" t="s">
        <v>219</v>
      </c>
      <c r="O2329" s="11" t="s">
        <v>71</v>
      </c>
      <c r="P2329" s="11" t="s">
        <v>12687</v>
      </c>
      <c r="Q2329" s="13" t="s">
        <v>12688</v>
      </c>
      <c r="R2329" s="14" t="str">
        <f>HYPERLINK("https://drive.google.com/file/d/1CuMP8l6TsVIJe90Gj1oF-9PQ78jRaDBg/view?usp=drivesdk","OFFER LETTER")</f>
        <v>OFFER LETTER</v>
      </c>
      <c r="S2329" s="11" t="s">
        <v>12689</v>
      </c>
    </row>
    <row r="2330" ht="22.5" customHeight="1">
      <c r="A2330" s="10">
        <v>46271.80757690972</v>
      </c>
      <c r="B2330" s="11" t="s">
        <v>12690</v>
      </c>
      <c r="C2330" s="11" t="s">
        <v>128</v>
      </c>
      <c r="D2330" s="11" t="s">
        <v>108</v>
      </c>
      <c r="E2330" s="12">
        <v>46060.0</v>
      </c>
      <c r="F2330" s="12">
        <v>46062.0</v>
      </c>
      <c r="G2330" s="11" t="s">
        <v>12691</v>
      </c>
      <c r="H2330" s="11">
        <v>9.350001122E9</v>
      </c>
      <c r="I2330" s="11" t="s">
        <v>82</v>
      </c>
      <c r="J2330" s="11" t="s">
        <v>71</v>
      </c>
      <c r="K2330" s="11" t="s">
        <v>72</v>
      </c>
      <c r="L2330" s="11" t="s">
        <v>84</v>
      </c>
      <c r="M2330" s="11" t="s">
        <v>12692</v>
      </c>
      <c r="N2330" s="11" t="s">
        <v>75</v>
      </c>
      <c r="O2330" s="11" t="s">
        <v>71</v>
      </c>
      <c r="P2330" s="11" t="s">
        <v>12693</v>
      </c>
      <c r="Q2330" s="13" t="s">
        <v>12694</v>
      </c>
      <c r="R2330" s="14" t="str">
        <f>HYPERLINK("https://drive.google.com/file/d/1Wvsh74H6B_T5fauhvBc6O09ZbzEuFChU/view?usp=drivesdk","OFFER LETTER")</f>
        <v>OFFER LETTER</v>
      </c>
      <c r="S2330" s="11" t="s">
        <v>12695</v>
      </c>
    </row>
    <row r="2331" ht="22.5" customHeight="1">
      <c r="A2331" s="10">
        <v>46271.816442407406</v>
      </c>
      <c r="B2331" s="11" t="s">
        <v>12696</v>
      </c>
      <c r="C2331" s="11" t="s">
        <v>173</v>
      </c>
      <c r="D2331" s="11" t="s">
        <v>68</v>
      </c>
      <c r="E2331" s="12">
        <v>46271.0</v>
      </c>
      <c r="F2331" s="12">
        <v>46301.0</v>
      </c>
      <c r="G2331" s="11" t="s">
        <v>12697</v>
      </c>
      <c r="H2331" s="11">
        <v>7.452901006E9</v>
      </c>
      <c r="I2331" s="11" t="s">
        <v>70</v>
      </c>
      <c r="J2331" s="11" t="s">
        <v>71</v>
      </c>
      <c r="K2331" s="11" t="s">
        <v>72</v>
      </c>
      <c r="L2331" s="11" t="s">
        <v>73</v>
      </c>
      <c r="M2331" s="11" t="s">
        <v>12698</v>
      </c>
      <c r="N2331" s="11" t="s">
        <v>86</v>
      </c>
      <c r="O2331" s="11" t="s">
        <v>71</v>
      </c>
      <c r="P2331" s="11" t="s">
        <v>12699</v>
      </c>
      <c r="Q2331" s="13" t="s">
        <v>12700</v>
      </c>
      <c r="R2331" s="14" t="str">
        <f>HYPERLINK("https://drive.google.com/file/d/1nJcPAznzM_Wk_tkN85zOaecNK5pjV8_-/view?usp=drivesdk","OFFER LETTER")</f>
        <v>OFFER LETTER</v>
      </c>
      <c r="S2331" s="11" t="s">
        <v>12701</v>
      </c>
    </row>
    <row r="2332" ht="22.5" customHeight="1">
      <c r="A2332" s="10">
        <v>46271.818264953705</v>
      </c>
      <c r="B2332" s="11" t="s">
        <v>12702</v>
      </c>
      <c r="C2332" s="11" t="s">
        <v>1200</v>
      </c>
      <c r="D2332" s="11" t="s">
        <v>68</v>
      </c>
      <c r="E2332" s="12">
        <v>46174.0</v>
      </c>
      <c r="F2332" s="12">
        <v>46203.0</v>
      </c>
      <c r="G2332" s="11" t="s">
        <v>12703</v>
      </c>
      <c r="H2332" s="11">
        <v>8.754729461E9</v>
      </c>
      <c r="I2332" s="11" t="s">
        <v>82</v>
      </c>
      <c r="J2332" s="11" t="s">
        <v>83</v>
      </c>
      <c r="K2332" s="11" t="s">
        <v>72</v>
      </c>
      <c r="L2332" s="11" t="s">
        <v>73</v>
      </c>
      <c r="M2332" s="11" t="s">
        <v>6592</v>
      </c>
      <c r="N2332" s="11" t="s">
        <v>750</v>
      </c>
      <c r="O2332" s="11" t="s">
        <v>71</v>
      </c>
      <c r="P2332" s="11" t="s">
        <v>12704</v>
      </c>
      <c r="Q2332" s="13" t="s">
        <v>12705</v>
      </c>
      <c r="R2332" s="14" t="str">
        <f>HYPERLINK("https://drive.google.com/file/d/1suUsQCnt1ySR74SbZ359JqT1AE9VGiW-/view?usp=drivesdk","OFFER LETTER")</f>
        <v>OFFER LETTER</v>
      </c>
      <c r="S2332" s="11" t="s">
        <v>12706</v>
      </c>
    </row>
    <row r="2333" ht="22.5" customHeight="1">
      <c r="A2333" s="10">
        <v>46271.81838065972</v>
      </c>
      <c r="B2333" s="11" t="s">
        <v>12707</v>
      </c>
      <c r="C2333" s="11" t="s">
        <v>195</v>
      </c>
      <c r="D2333" s="11" t="s">
        <v>108</v>
      </c>
      <c r="E2333" s="12">
        <v>46271.0</v>
      </c>
      <c r="F2333" s="12">
        <v>46333.0</v>
      </c>
      <c r="G2333" s="11" t="s">
        <v>12708</v>
      </c>
      <c r="H2333" s="11">
        <v>9.121851684E9</v>
      </c>
      <c r="I2333" s="11" t="s">
        <v>82</v>
      </c>
      <c r="J2333" s="11" t="s">
        <v>71</v>
      </c>
      <c r="K2333" s="11" t="s">
        <v>72</v>
      </c>
      <c r="L2333" s="11" t="s">
        <v>73</v>
      </c>
      <c r="M2333" s="11" t="s">
        <v>4795</v>
      </c>
      <c r="N2333" s="11" t="s">
        <v>75</v>
      </c>
      <c r="O2333" s="11" t="s">
        <v>71</v>
      </c>
      <c r="P2333" s="11" t="s">
        <v>12709</v>
      </c>
      <c r="Q2333" s="13" t="s">
        <v>12710</v>
      </c>
      <c r="R2333" s="14" t="str">
        <f>HYPERLINK("https://drive.google.com/file/d/1BP_HrhDHJVf3Df_PIIhKvQ7kEW0TNos3/view?usp=drivesdk","OFFER LETTER")</f>
        <v>OFFER LETTER</v>
      </c>
      <c r="S2333" s="11" t="s">
        <v>12711</v>
      </c>
    </row>
    <row r="2334" ht="22.5" customHeight="1">
      <c r="A2334" s="10">
        <v>46271.81936760417</v>
      </c>
      <c r="B2334" s="11" t="s">
        <v>12712</v>
      </c>
      <c r="C2334" s="11" t="s">
        <v>259</v>
      </c>
      <c r="D2334" s="11" t="s">
        <v>68</v>
      </c>
      <c r="E2334" s="12">
        <v>46271.0</v>
      </c>
      <c r="F2334" s="12">
        <v>46291.0</v>
      </c>
      <c r="G2334" s="11" t="s">
        <v>12713</v>
      </c>
      <c r="H2334" s="11">
        <v>9.391960169E9</v>
      </c>
      <c r="I2334" s="11" t="s">
        <v>70</v>
      </c>
      <c r="J2334" s="11" t="s">
        <v>71</v>
      </c>
      <c r="K2334" s="11" t="s">
        <v>72</v>
      </c>
      <c r="L2334" s="11" t="s">
        <v>131</v>
      </c>
      <c r="M2334" s="11" t="s">
        <v>636</v>
      </c>
      <c r="N2334" s="11" t="s">
        <v>86</v>
      </c>
      <c r="O2334" s="11" t="s">
        <v>71</v>
      </c>
      <c r="P2334" s="11" t="s">
        <v>12714</v>
      </c>
      <c r="Q2334" s="13" t="s">
        <v>12715</v>
      </c>
      <c r="R2334" s="14" t="str">
        <f>HYPERLINK("https://drive.google.com/file/d/15vLUFVALlCeM7fzKx_KT7gxAaYAQmbLM/view?usp=drivesdk","OFFER LETTER")</f>
        <v>OFFER LETTER</v>
      </c>
      <c r="S2334" s="11" t="s">
        <v>12716</v>
      </c>
    </row>
    <row r="2335" ht="22.5" customHeight="1">
      <c r="A2335" s="10">
        <v>46271.823649074075</v>
      </c>
      <c r="B2335" s="11" t="s">
        <v>12717</v>
      </c>
      <c r="C2335" s="11" t="s">
        <v>128</v>
      </c>
      <c r="D2335" s="11" t="s">
        <v>68</v>
      </c>
      <c r="E2335" s="12">
        <v>46271.0</v>
      </c>
      <c r="F2335" s="12">
        <v>46301.0</v>
      </c>
      <c r="G2335" s="11" t="s">
        <v>12718</v>
      </c>
      <c r="H2335" s="11">
        <v>9.148300965E9</v>
      </c>
      <c r="I2335" s="11" t="s">
        <v>82</v>
      </c>
      <c r="J2335" s="11" t="s">
        <v>83</v>
      </c>
      <c r="K2335" s="11" t="s">
        <v>110</v>
      </c>
      <c r="L2335" s="11" t="s">
        <v>73</v>
      </c>
      <c r="M2335" s="11" t="s">
        <v>10303</v>
      </c>
      <c r="N2335" s="11" t="s">
        <v>86</v>
      </c>
      <c r="O2335" s="11" t="s">
        <v>71</v>
      </c>
      <c r="P2335" s="11" t="s">
        <v>12719</v>
      </c>
      <c r="Q2335" s="13" t="s">
        <v>12720</v>
      </c>
      <c r="R2335" s="14" t="str">
        <f>HYPERLINK("https://drive.google.com/file/d/1w4GCptOl0ZGdEvTctS-7U5PSX0SCOM-q/view?usp=drivesdk","OFFER LETTER")</f>
        <v>OFFER LETTER</v>
      </c>
      <c r="S2335" s="11" t="s">
        <v>12721</v>
      </c>
    </row>
    <row r="2336" ht="22.5" customHeight="1">
      <c r="A2336" s="10">
        <v>46271.82853395834</v>
      </c>
      <c r="B2336" s="11" t="s">
        <v>12540</v>
      </c>
      <c r="C2336" s="11" t="s">
        <v>259</v>
      </c>
      <c r="D2336" s="11" t="s">
        <v>1507</v>
      </c>
      <c r="E2336" s="12">
        <v>46204.0</v>
      </c>
      <c r="F2336" s="12">
        <v>46386.0</v>
      </c>
      <c r="G2336" s="11" t="s">
        <v>12541</v>
      </c>
      <c r="H2336" s="11">
        <v>8.930034914E9</v>
      </c>
      <c r="I2336" s="11" t="s">
        <v>82</v>
      </c>
      <c r="J2336" s="11" t="s">
        <v>71</v>
      </c>
      <c r="K2336" s="11" t="s">
        <v>110</v>
      </c>
      <c r="L2336" s="11" t="s">
        <v>84</v>
      </c>
      <c r="M2336" s="11" t="s">
        <v>12722</v>
      </c>
      <c r="N2336" s="11" t="s">
        <v>75</v>
      </c>
      <c r="O2336" s="11" t="s">
        <v>71</v>
      </c>
      <c r="P2336" s="11" t="s">
        <v>12723</v>
      </c>
      <c r="Q2336" s="13" t="s">
        <v>12724</v>
      </c>
      <c r="R2336" s="14" t="str">
        <f>HYPERLINK("https://drive.google.com/file/d/1wAsoR5NGGg6TRzLJt_2xzwjqXhnu3h6p/view?usp=drivesdk","OFFER LETTER")</f>
        <v>OFFER LETTER</v>
      </c>
      <c r="S2336" s="11" t="s">
        <v>12725</v>
      </c>
    </row>
    <row r="2337" ht="22.5" customHeight="1">
      <c r="A2337" s="10">
        <v>46271.84505797454</v>
      </c>
      <c r="B2337" s="11" t="s">
        <v>12726</v>
      </c>
      <c r="C2337" s="11" t="s">
        <v>195</v>
      </c>
      <c r="D2337" s="11" t="s">
        <v>238</v>
      </c>
      <c r="E2337" s="12">
        <v>46270.0</v>
      </c>
      <c r="F2337" s="12">
        <v>46331.0</v>
      </c>
      <c r="G2337" s="11" t="s">
        <v>12727</v>
      </c>
      <c r="H2337" s="11">
        <v>7.386242793E9</v>
      </c>
      <c r="I2337" s="11" t="s">
        <v>82</v>
      </c>
      <c r="J2337" s="11" t="s">
        <v>71</v>
      </c>
      <c r="K2337" s="13" t="s">
        <v>443</v>
      </c>
      <c r="L2337" s="11" t="s">
        <v>357</v>
      </c>
      <c r="M2337" s="11" t="s">
        <v>12728</v>
      </c>
      <c r="N2337" s="11" t="s">
        <v>320</v>
      </c>
      <c r="O2337" s="11" t="s">
        <v>71</v>
      </c>
      <c r="P2337" s="11" t="s">
        <v>12729</v>
      </c>
      <c r="Q2337" s="13" t="s">
        <v>12730</v>
      </c>
      <c r="R2337" s="14" t="str">
        <f>HYPERLINK("https://drive.google.com/file/d/1NGyZoOsWCBt_xFoxBzjoxAdXTTuE2Foy/view?usp=drivesdk","OFFER LETTER")</f>
        <v>OFFER LETTER</v>
      </c>
      <c r="S2337" s="11" t="s">
        <v>12731</v>
      </c>
    </row>
    <row r="2338" ht="22.5" customHeight="1">
      <c r="A2338" s="10">
        <v>46271.85011943287</v>
      </c>
      <c r="B2338" s="11" t="s">
        <v>12732</v>
      </c>
      <c r="C2338" s="11" t="s">
        <v>1200</v>
      </c>
      <c r="D2338" s="11" t="s">
        <v>68</v>
      </c>
      <c r="E2338" s="12">
        <v>46241.0</v>
      </c>
      <c r="F2338" s="12">
        <v>46272.0</v>
      </c>
      <c r="G2338" s="11" t="s">
        <v>1216</v>
      </c>
      <c r="H2338" s="11">
        <v>9.905644693E9</v>
      </c>
      <c r="I2338" s="11" t="s">
        <v>82</v>
      </c>
      <c r="J2338" s="11" t="s">
        <v>71</v>
      </c>
      <c r="K2338" s="11" t="s">
        <v>72</v>
      </c>
      <c r="L2338" s="11" t="s">
        <v>84</v>
      </c>
      <c r="M2338" s="11" t="s">
        <v>886</v>
      </c>
      <c r="N2338" s="11" t="s">
        <v>75</v>
      </c>
      <c r="O2338" s="11" t="s">
        <v>71</v>
      </c>
      <c r="P2338" s="11" t="s">
        <v>12733</v>
      </c>
      <c r="Q2338" s="13" t="s">
        <v>12734</v>
      </c>
      <c r="R2338" s="14" t="str">
        <f>HYPERLINK("https://drive.google.com/file/d/1wBTUqwOwbcnOH-AHzAHW7Wb-OoSxbnVX/view?usp=drivesdk","OFFER LETTER")</f>
        <v>OFFER LETTER</v>
      </c>
      <c r="S2338" s="11" t="s">
        <v>12735</v>
      </c>
    </row>
    <row r="2339" ht="22.5" customHeight="1">
      <c r="A2339" s="10">
        <v>46271.85252921296</v>
      </c>
      <c r="B2339" s="11" t="s">
        <v>12736</v>
      </c>
      <c r="C2339" s="11" t="s">
        <v>67</v>
      </c>
      <c r="D2339" s="11" t="s">
        <v>68</v>
      </c>
      <c r="E2339" s="12">
        <v>46238.0</v>
      </c>
      <c r="F2339" s="12">
        <v>46269.0</v>
      </c>
      <c r="G2339" s="11" t="s">
        <v>1216</v>
      </c>
      <c r="H2339" s="11">
        <v>9.630070066E9</v>
      </c>
      <c r="I2339" s="11" t="s">
        <v>82</v>
      </c>
      <c r="J2339" s="11" t="s">
        <v>71</v>
      </c>
      <c r="K2339" s="11" t="s">
        <v>72</v>
      </c>
      <c r="L2339" s="11" t="s">
        <v>84</v>
      </c>
      <c r="M2339" s="11" t="s">
        <v>886</v>
      </c>
      <c r="N2339" s="11" t="s">
        <v>219</v>
      </c>
      <c r="O2339" s="11" t="s">
        <v>71</v>
      </c>
      <c r="P2339" s="11" t="s">
        <v>12737</v>
      </c>
      <c r="Q2339" s="13" t="s">
        <v>12738</v>
      </c>
      <c r="R2339" s="14" t="str">
        <f>HYPERLINK("https://drive.google.com/file/d/1z6D-WxbaTEBJ29I46WtQ5TMrsvHOo4yJ/view?usp=drivesdk","OFFER LETTER")</f>
        <v>OFFER LETTER</v>
      </c>
      <c r="S2339" s="11" t="s">
        <v>12739</v>
      </c>
    </row>
    <row r="2340" ht="22.5" customHeight="1">
      <c r="A2340" s="10">
        <v>46271.85963327547</v>
      </c>
      <c r="B2340" s="11" t="s">
        <v>12740</v>
      </c>
      <c r="C2340" s="11" t="s">
        <v>195</v>
      </c>
      <c r="D2340" s="11" t="s">
        <v>238</v>
      </c>
      <c r="E2340" s="12">
        <v>46270.0</v>
      </c>
      <c r="F2340" s="12">
        <v>46361.0</v>
      </c>
      <c r="G2340" s="11" t="s">
        <v>12727</v>
      </c>
      <c r="H2340" s="11">
        <v>7.386242793E9</v>
      </c>
      <c r="I2340" s="11" t="s">
        <v>82</v>
      </c>
      <c r="J2340" s="11" t="s">
        <v>71</v>
      </c>
      <c r="K2340" s="13" t="s">
        <v>443</v>
      </c>
      <c r="L2340" s="11" t="s">
        <v>357</v>
      </c>
      <c r="M2340" s="11" t="s">
        <v>12728</v>
      </c>
      <c r="N2340" s="11" t="s">
        <v>936</v>
      </c>
      <c r="O2340" s="11" t="s">
        <v>71</v>
      </c>
      <c r="P2340" s="11" t="s">
        <v>12741</v>
      </c>
      <c r="Q2340" s="13" t="s">
        <v>12742</v>
      </c>
      <c r="R2340" s="14" t="str">
        <f>HYPERLINK("https://drive.google.com/file/d/1kaIfi7RFeJi7p7VeKqYbT2RVpbRHmggz/view?usp=drivesdk","OFFER LETTER")</f>
        <v>OFFER LETTER</v>
      </c>
      <c r="S2340" s="11" t="s">
        <v>12743</v>
      </c>
    </row>
    <row r="2341" ht="22.5" customHeight="1">
      <c r="A2341" s="10">
        <v>46271.868677025464</v>
      </c>
      <c r="B2341" s="11" t="s">
        <v>12744</v>
      </c>
      <c r="C2341" s="11" t="s">
        <v>173</v>
      </c>
      <c r="D2341" s="11" t="s">
        <v>68</v>
      </c>
      <c r="E2341" s="12">
        <v>46271.0</v>
      </c>
      <c r="F2341" s="12">
        <v>46301.0</v>
      </c>
      <c r="G2341" s="11" t="s">
        <v>12745</v>
      </c>
      <c r="H2341" s="11">
        <v>8.789144557E9</v>
      </c>
      <c r="I2341" s="11" t="s">
        <v>82</v>
      </c>
      <c r="J2341" s="11" t="s">
        <v>71</v>
      </c>
      <c r="K2341" s="11" t="s">
        <v>72</v>
      </c>
      <c r="L2341" s="11" t="s">
        <v>84</v>
      </c>
      <c r="M2341" s="11" t="s">
        <v>1135</v>
      </c>
      <c r="N2341" s="11" t="s">
        <v>86</v>
      </c>
      <c r="O2341" s="11" t="s">
        <v>71</v>
      </c>
      <c r="P2341" s="11" t="s">
        <v>12746</v>
      </c>
      <c r="Q2341" s="13" t="s">
        <v>12747</v>
      </c>
      <c r="R2341" s="14" t="str">
        <f>HYPERLINK("https://drive.google.com/file/d/1L1H3-mQyKa5-6Q0cS6enl5cb7iErxxte/view?usp=drivesdk","OFFER LETTER")</f>
        <v>OFFER LETTER</v>
      </c>
      <c r="S2341" s="11" t="s">
        <v>12748</v>
      </c>
    </row>
    <row r="2342" ht="22.5" customHeight="1">
      <c r="A2342" s="10">
        <v>46271.88474436343</v>
      </c>
      <c r="B2342" s="11" t="s">
        <v>12649</v>
      </c>
      <c r="C2342" s="11" t="s">
        <v>298</v>
      </c>
      <c r="D2342" s="11" t="s">
        <v>68</v>
      </c>
      <c r="E2342" s="12">
        <v>46271.0</v>
      </c>
      <c r="F2342" s="12">
        <v>46301.0</v>
      </c>
      <c r="G2342" s="11" t="s">
        <v>12749</v>
      </c>
      <c r="H2342" s="11">
        <v>7.76292294E9</v>
      </c>
      <c r="I2342" s="11" t="s">
        <v>82</v>
      </c>
      <c r="J2342" s="11" t="s">
        <v>71</v>
      </c>
      <c r="K2342" s="11" t="s">
        <v>72</v>
      </c>
      <c r="L2342" s="11" t="s">
        <v>84</v>
      </c>
      <c r="M2342" s="11" t="s">
        <v>1135</v>
      </c>
      <c r="N2342" s="11" t="s">
        <v>86</v>
      </c>
      <c r="O2342" s="11" t="s">
        <v>71</v>
      </c>
      <c r="P2342" s="11" t="s">
        <v>12750</v>
      </c>
      <c r="Q2342" s="13" t="s">
        <v>12751</v>
      </c>
      <c r="R2342" s="14" t="str">
        <f>HYPERLINK("https://drive.google.com/file/d/1BQTWSUgfL9pJy9t05qP7es-3CRzkpdXZ/view?usp=drivesdk","OFFER LETTER")</f>
        <v>OFFER LETTER</v>
      </c>
      <c r="S2342" s="11" t="s">
        <v>12752</v>
      </c>
    </row>
    <row r="2343" ht="22.5" customHeight="1">
      <c r="A2343" s="10">
        <v>46271.88575935185</v>
      </c>
      <c r="B2343" s="11" t="s">
        <v>12753</v>
      </c>
      <c r="C2343" s="11" t="s">
        <v>80</v>
      </c>
      <c r="D2343" s="11" t="s">
        <v>68</v>
      </c>
      <c r="E2343" s="12">
        <v>46236.0</v>
      </c>
      <c r="F2343" s="12">
        <v>46267.0</v>
      </c>
      <c r="G2343" s="11" t="s">
        <v>12754</v>
      </c>
      <c r="H2343" s="11">
        <v>9.591035076E9</v>
      </c>
      <c r="I2343" s="11" t="s">
        <v>82</v>
      </c>
      <c r="J2343" s="11" t="s">
        <v>71</v>
      </c>
      <c r="K2343" s="11" t="s">
        <v>72</v>
      </c>
      <c r="L2343" s="11" t="s">
        <v>73</v>
      </c>
      <c r="M2343" s="11" t="s">
        <v>12755</v>
      </c>
      <c r="N2343" s="11" t="s">
        <v>86</v>
      </c>
      <c r="O2343" s="11" t="s">
        <v>71</v>
      </c>
      <c r="P2343" s="11" t="s">
        <v>12756</v>
      </c>
      <c r="Q2343" s="13" t="s">
        <v>12757</v>
      </c>
      <c r="R2343" s="14" t="str">
        <f>HYPERLINK("https://drive.google.com/file/d/1UjlalwBy0HESOaf9ZgE7Rq_WP__m4CCR/view?usp=drivesdk","OFFER LETTER")</f>
        <v>OFFER LETTER</v>
      </c>
      <c r="S2343" s="11" t="s">
        <v>12758</v>
      </c>
    </row>
    <row r="2344" ht="22.5" customHeight="1">
      <c r="A2344" s="10">
        <v>46271.886755671294</v>
      </c>
      <c r="B2344" s="11" t="s">
        <v>12759</v>
      </c>
      <c r="C2344" s="11" t="s">
        <v>354</v>
      </c>
      <c r="D2344" s="11" t="s">
        <v>68</v>
      </c>
      <c r="E2344" s="12">
        <v>46362.0</v>
      </c>
      <c r="F2344" s="12">
        <v>46363.0</v>
      </c>
      <c r="G2344" s="11" t="s">
        <v>12760</v>
      </c>
      <c r="H2344" s="11">
        <v>7.505023767E9</v>
      </c>
      <c r="I2344" s="11" t="s">
        <v>82</v>
      </c>
      <c r="J2344" s="11" t="s">
        <v>71</v>
      </c>
      <c r="K2344" s="11" t="s">
        <v>72</v>
      </c>
      <c r="L2344" s="11" t="s">
        <v>84</v>
      </c>
      <c r="M2344" s="11" t="s">
        <v>12761</v>
      </c>
      <c r="N2344" s="11" t="s">
        <v>241</v>
      </c>
      <c r="O2344" s="11" t="s">
        <v>71</v>
      </c>
      <c r="P2344" s="11" t="s">
        <v>12762</v>
      </c>
      <c r="Q2344" s="13" t="s">
        <v>12763</v>
      </c>
      <c r="R2344" s="14" t="str">
        <f>HYPERLINK("https://drive.google.com/file/d/1AzLPoWs54y5naGGydhQSRrwKe5AOmrs1/view?usp=drivesdk","OFFER LETTER")</f>
        <v>OFFER LETTER</v>
      </c>
      <c r="S2344" s="11" t="s">
        <v>12764</v>
      </c>
    </row>
    <row r="2345" ht="22.5" customHeight="1">
      <c r="A2345" s="10">
        <v>46271.88917042824</v>
      </c>
      <c r="B2345" s="11" t="s">
        <v>12765</v>
      </c>
      <c r="C2345" s="11" t="s">
        <v>80</v>
      </c>
      <c r="D2345" s="11" t="s">
        <v>68</v>
      </c>
      <c r="E2345" s="12">
        <v>46249.0</v>
      </c>
      <c r="F2345" s="12">
        <v>46264.0</v>
      </c>
      <c r="G2345" s="11" t="s">
        <v>12766</v>
      </c>
      <c r="H2345" s="11">
        <v>8.056823438E9</v>
      </c>
      <c r="I2345" s="11" t="s">
        <v>82</v>
      </c>
      <c r="J2345" s="11" t="s">
        <v>71</v>
      </c>
      <c r="K2345" s="11" t="s">
        <v>72</v>
      </c>
      <c r="L2345" s="11" t="s">
        <v>84</v>
      </c>
      <c r="M2345" s="11" t="s">
        <v>12767</v>
      </c>
      <c r="N2345" s="11" t="s">
        <v>241</v>
      </c>
      <c r="O2345" s="11" t="s">
        <v>71</v>
      </c>
      <c r="P2345" s="11" t="s">
        <v>12768</v>
      </c>
      <c r="Q2345" s="13" t="s">
        <v>12769</v>
      </c>
      <c r="R2345" s="14" t="str">
        <f>HYPERLINK("https://drive.google.com/file/d/1OR8Mlny_LUfYyL_Bsu-W9KA-ZKunvtzv/view?usp=drivesdk","OFFER LETTER")</f>
        <v>OFFER LETTER</v>
      </c>
      <c r="S2345" s="11" t="s">
        <v>12770</v>
      </c>
    </row>
    <row r="2346" ht="22.5" customHeight="1">
      <c r="A2346" s="10">
        <v>46271.88949869213</v>
      </c>
      <c r="B2346" s="11" t="s">
        <v>12771</v>
      </c>
      <c r="C2346" s="11" t="s">
        <v>80</v>
      </c>
      <c r="D2346" s="11" t="s">
        <v>68</v>
      </c>
      <c r="E2346" s="12">
        <v>46236.0</v>
      </c>
      <c r="F2346" s="12">
        <v>46267.0</v>
      </c>
      <c r="G2346" s="11" t="s">
        <v>12772</v>
      </c>
      <c r="H2346" s="11">
        <v>7.676947298E9</v>
      </c>
      <c r="I2346" s="11" t="s">
        <v>82</v>
      </c>
      <c r="J2346" s="11" t="s">
        <v>71</v>
      </c>
      <c r="K2346" s="11" t="s">
        <v>72</v>
      </c>
      <c r="L2346" s="11" t="s">
        <v>73</v>
      </c>
      <c r="M2346" s="11" t="s">
        <v>12773</v>
      </c>
      <c r="N2346" s="11" t="s">
        <v>86</v>
      </c>
      <c r="O2346" s="11" t="s">
        <v>71</v>
      </c>
      <c r="P2346" s="11" t="s">
        <v>12774</v>
      </c>
      <c r="Q2346" s="13" t="s">
        <v>12775</v>
      </c>
      <c r="R2346" s="14" t="str">
        <f>HYPERLINK("https://drive.google.com/file/d/1P2nhdqhFGabqUzip1tlIYkwl9wsHeqIt/view?usp=drivesdk","OFFER LETTER")</f>
        <v>OFFER LETTER</v>
      </c>
      <c r="S2346" s="11" t="s">
        <v>12776</v>
      </c>
    </row>
    <row r="2347" ht="22.5" customHeight="1">
      <c r="A2347" s="10">
        <v>46271.88964010417</v>
      </c>
      <c r="B2347" s="11" t="s">
        <v>12759</v>
      </c>
      <c r="C2347" s="11" t="s">
        <v>354</v>
      </c>
      <c r="D2347" s="11" t="s">
        <v>68</v>
      </c>
      <c r="E2347" s="12">
        <v>46182.0</v>
      </c>
      <c r="F2347" s="12">
        <v>46212.0</v>
      </c>
      <c r="G2347" s="11" t="s">
        <v>12760</v>
      </c>
      <c r="H2347" s="11">
        <v>7.505023767E9</v>
      </c>
      <c r="I2347" s="11" t="s">
        <v>82</v>
      </c>
      <c r="J2347" s="11" t="s">
        <v>71</v>
      </c>
      <c r="K2347" s="11" t="s">
        <v>72</v>
      </c>
      <c r="L2347" s="11" t="s">
        <v>84</v>
      </c>
      <c r="M2347" s="11" t="s">
        <v>886</v>
      </c>
      <c r="N2347" s="11" t="s">
        <v>241</v>
      </c>
      <c r="O2347" s="11" t="s">
        <v>71</v>
      </c>
      <c r="P2347" s="11" t="s">
        <v>12777</v>
      </c>
      <c r="Q2347" s="13" t="s">
        <v>12778</v>
      </c>
      <c r="R2347" s="14" t="str">
        <f>HYPERLINK("https://drive.google.com/file/d/1pouE9CwmrBxhvCkF4fr4zRH9gw5wwyTV/view?usp=drivesdk","OFFER LETTER")</f>
        <v>OFFER LETTER</v>
      </c>
      <c r="S2347" s="11" t="s">
        <v>12779</v>
      </c>
    </row>
    <row r="2348" ht="22.5" customHeight="1">
      <c r="A2348" s="10">
        <v>46271.89089814815</v>
      </c>
      <c r="B2348" s="11" t="s">
        <v>12780</v>
      </c>
      <c r="C2348" s="11" t="s">
        <v>173</v>
      </c>
      <c r="D2348" s="11" t="s">
        <v>68</v>
      </c>
      <c r="E2348" s="12">
        <v>46198.0</v>
      </c>
      <c r="F2348" s="12">
        <v>46228.0</v>
      </c>
      <c r="G2348" s="11" t="s">
        <v>12781</v>
      </c>
      <c r="H2348" s="11">
        <v>7.644889069E9</v>
      </c>
      <c r="I2348" s="11" t="s">
        <v>82</v>
      </c>
      <c r="J2348" s="11" t="s">
        <v>71</v>
      </c>
      <c r="K2348" s="11" t="s">
        <v>72</v>
      </c>
      <c r="L2348" s="11" t="s">
        <v>73</v>
      </c>
      <c r="M2348" s="11" t="s">
        <v>1135</v>
      </c>
      <c r="N2348" s="11" t="s">
        <v>86</v>
      </c>
      <c r="O2348" s="11" t="s">
        <v>71</v>
      </c>
      <c r="P2348" s="11" t="s">
        <v>12782</v>
      </c>
      <c r="Q2348" s="13" t="s">
        <v>12783</v>
      </c>
      <c r="R2348" s="14" t="str">
        <f>HYPERLINK("https://drive.google.com/file/d/11N_3qps3r7SAwSX4UXzgDU6tNLY_ashZ/view?usp=drivesdk","OFFER LETTER")</f>
        <v>OFFER LETTER</v>
      </c>
      <c r="S2348" s="11" t="s">
        <v>12784</v>
      </c>
    </row>
    <row r="2349" ht="22.5" customHeight="1">
      <c r="A2349" s="10">
        <v>46271.89690342592</v>
      </c>
      <c r="B2349" s="11" t="s">
        <v>12785</v>
      </c>
      <c r="C2349" s="11" t="s">
        <v>195</v>
      </c>
      <c r="D2349" s="11" t="s">
        <v>108</v>
      </c>
      <c r="E2349" s="12">
        <v>46175.0</v>
      </c>
      <c r="F2349" s="12">
        <v>46232.0</v>
      </c>
      <c r="G2349" s="11" t="s">
        <v>12786</v>
      </c>
      <c r="H2349" s="11">
        <v>9.576457609E9</v>
      </c>
      <c r="I2349" s="11" t="s">
        <v>82</v>
      </c>
      <c r="J2349" s="11" t="s">
        <v>71</v>
      </c>
      <c r="K2349" s="11" t="s">
        <v>72</v>
      </c>
      <c r="L2349" s="11" t="s">
        <v>84</v>
      </c>
      <c r="M2349" s="11" t="s">
        <v>849</v>
      </c>
      <c r="N2349" s="11" t="s">
        <v>2778</v>
      </c>
      <c r="O2349" s="11" t="s">
        <v>71</v>
      </c>
      <c r="P2349" s="11" t="s">
        <v>12787</v>
      </c>
      <c r="Q2349" s="13" t="s">
        <v>12788</v>
      </c>
      <c r="R2349" s="14" t="str">
        <f>HYPERLINK("https://drive.google.com/file/d/1bZYmVPsKDLHc5MM9F9jRRO177HMl0LGN/view?usp=drivesdk","OFFER LETTER")</f>
        <v>OFFER LETTER</v>
      </c>
      <c r="S2349" s="11" t="s">
        <v>12789</v>
      </c>
    </row>
    <row r="2350" ht="22.5" customHeight="1">
      <c r="A2350" s="10">
        <v>46271.89973128472</v>
      </c>
      <c r="B2350" s="11" t="s">
        <v>12790</v>
      </c>
      <c r="C2350" s="11" t="s">
        <v>298</v>
      </c>
      <c r="D2350" s="11" t="s">
        <v>68</v>
      </c>
      <c r="E2350" s="12">
        <v>46271.0</v>
      </c>
      <c r="F2350" s="12">
        <v>46301.0</v>
      </c>
      <c r="G2350" s="11" t="s">
        <v>12791</v>
      </c>
      <c r="H2350" s="11">
        <v>7.992361901E9</v>
      </c>
      <c r="I2350" s="11" t="s">
        <v>82</v>
      </c>
      <c r="J2350" s="11" t="s">
        <v>71</v>
      </c>
      <c r="K2350" s="11" t="s">
        <v>72</v>
      </c>
      <c r="L2350" s="11" t="s">
        <v>84</v>
      </c>
      <c r="M2350" s="11" t="s">
        <v>1135</v>
      </c>
      <c r="N2350" s="11" t="s">
        <v>86</v>
      </c>
      <c r="O2350" s="11" t="s">
        <v>71</v>
      </c>
      <c r="P2350" s="11" t="s">
        <v>12792</v>
      </c>
      <c r="Q2350" s="13" t="s">
        <v>12793</v>
      </c>
      <c r="R2350" s="14" t="str">
        <f>HYPERLINK("https://drive.google.com/file/d/179xDF8jK-N0eYvYR0PoG-SUBe7vjNQed/view?usp=drivesdk","OFFER LETTER")</f>
        <v>OFFER LETTER</v>
      </c>
      <c r="S2350" s="11" t="s">
        <v>12794</v>
      </c>
    </row>
    <row r="2351" ht="22.5" customHeight="1">
      <c r="A2351" s="10">
        <v>46271.9019361574</v>
      </c>
      <c r="B2351" s="11" t="s">
        <v>12795</v>
      </c>
      <c r="C2351" s="11" t="s">
        <v>128</v>
      </c>
      <c r="D2351" s="11" t="s">
        <v>68</v>
      </c>
      <c r="E2351" s="12">
        <v>46271.0</v>
      </c>
      <c r="F2351" s="12">
        <v>46301.0</v>
      </c>
      <c r="G2351" s="11" t="s">
        <v>12547</v>
      </c>
      <c r="H2351" s="11" t="s">
        <v>12796</v>
      </c>
      <c r="I2351" s="11" t="s">
        <v>82</v>
      </c>
      <c r="J2351" s="11" t="s">
        <v>71</v>
      </c>
      <c r="K2351" s="11" t="s">
        <v>110</v>
      </c>
      <c r="L2351" s="11" t="s">
        <v>73</v>
      </c>
      <c r="M2351" s="11" t="s">
        <v>12797</v>
      </c>
      <c r="N2351" s="11" t="s">
        <v>86</v>
      </c>
      <c r="O2351" s="11" t="s">
        <v>71</v>
      </c>
      <c r="P2351" s="11" t="s">
        <v>12798</v>
      </c>
      <c r="Q2351" s="13" t="s">
        <v>12799</v>
      </c>
      <c r="R2351" s="14" t="str">
        <f>HYPERLINK("https://drive.google.com/file/d/1OwMIKn1WqmNt3jvZ218NdTMf8ASXvB9L/view?usp=drivesdk","OFFER LETTER")</f>
        <v>OFFER LETTER</v>
      </c>
      <c r="S2351" s="11" t="s">
        <v>12800</v>
      </c>
    </row>
    <row r="2352" ht="22.5" customHeight="1">
      <c r="A2352" s="10">
        <v>46271.91957353009</v>
      </c>
      <c r="B2352" s="11" t="s">
        <v>7677</v>
      </c>
      <c r="C2352" s="11" t="s">
        <v>298</v>
      </c>
      <c r="D2352" s="11" t="s">
        <v>68</v>
      </c>
      <c r="E2352" s="12">
        <v>46271.0</v>
      </c>
      <c r="F2352" s="12">
        <v>46301.0</v>
      </c>
      <c r="G2352" s="11" t="s">
        <v>12801</v>
      </c>
      <c r="H2352" s="11">
        <v>6.206992807E9</v>
      </c>
      <c r="I2352" s="11" t="s">
        <v>82</v>
      </c>
      <c r="J2352" s="11" t="s">
        <v>71</v>
      </c>
      <c r="K2352" s="11" t="s">
        <v>72</v>
      </c>
      <c r="L2352" s="11" t="s">
        <v>84</v>
      </c>
      <c r="M2352" s="11" t="s">
        <v>12802</v>
      </c>
      <c r="N2352" s="11" t="s">
        <v>86</v>
      </c>
      <c r="O2352" s="11" t="s">
        <v>71</v>
      </c>
      <c r="P2352" s="11" t="s">
        <v>12803</v>
      </c>
      <c r="Q2352" s="13" t="s">
        <v>12804</v>
      </c>
      <c r="R2352" s="14" t="str">
        <f>HYPERLINK("https://drive.google.com/file/d/1f6AhT77E_tWCMIltSkMXqqZOLQmGPIB2/view?usp=drivesdk","OFFER LETTER")</f>
        <v>OFFER LETTER</v>
      </c>
      <c r="S2352" s="11" t="s">
        <v>12805</v>
      </c>
    </row>
    <row r="2353" ht="22.5" customHeight="1">
      <c r="A2353" s="10">
        <v>46271.923017071764</v>
      </c>
      <c r="B2353" s="11" t="s">
        <v>12806</v>
      </c>
      <c r="C2353" s="11" t="s">
        <v>195</v>
      </c>
      <c r="D2353" s="11" t="s">
        <v>68</v>
      </c>
      <c r="E2353" s="12">
        <v>46202.0</v>
      </c>
      <c r="F2353" s="12">
        <v>46233.0</v>
      </c>
      <c r="G2353" s="11" t="s">
        <v>12807</v>
      </c>
      <c r="H2353" s="11">
        <v>6.397775686E9</v>
      </c>
      <c r="I2353" s="11" t="s">
        <v>82</v>
      </c>
      <c r="J2353" s="11" t="s">
        <v>71</v>
      </c>
      <c r="K2353" s="11" t="s">
        <v>72</v>
      </c>
      <c r="L2353" s="11" t="s">
        <v>84</v>
      </c>
      <c r="M2353" s="11" t="s">
        <v>808</v>
      </c>
      <c r="N2353" s="11" t="s">
        <v>86</v>
      </c>
      <c r="O2353" s="11" t="s">
        <v>71</v>
      </c>
      <c r="P2353" s="11" t="s">
        <v>12808</v>
      </c>
      <c r="Q2353" s="13" t="s">
        <v>12809</v>
      </c>
      <c r="R2353" s="14" t="str">
        <f>HYPERLINK("https://drive.google.com/file/d/1fNJrz5n7ZJ9JTDks7JScM-9Fc7vfkyoh/view?usp=drivesdk","OFFER LETTER")</f>
        <v>OFFER LETTER</v>
      </c>
      <c r="S2353" s="11" t="s">
        <v>12810</v>
      </c>
    </row>
    <row r="2354" ht="22.5" customHeight="1">
      <c r="A2354" s="10">
        <v>46271.92866958333</v>
      </c>
      <c r="B2354" s="11" t="s">
        <v>12811</v>
      </c>
      <c r="C2354" s="11" t="s">
        <v>259</v>
      </c>
      <c r="D2354" s="11" t="s">
        <v>68</v>
      </c>
      <c r="E2354" s="12">
        <v>46271.0</v>
      </c>
      <c r="F2354" s="12">
        <v>46301.0</v>
      </c>
      <c r="G2354" s="11" t="s">
        <v>12812</v>
      </c>
      <c r="H2354" s="11">
        <v>7.41059261E9</v>
      </c>
      <c r="I2354" s="11" t="s">
        <v>70</v>
      </c>
      <c r="J2354" s="11" t="s">
        <v>71</v>
      </c>
      <c r="K2354" s="11" t="s">
        <v>72</v>
      </c>
      <c r="L2354" s="11" t="s">
        <v>131</v>
      </c>
      <c r="M2354" s="11" t="s">
        <v>12813</v>
      </c>
      <c r="N2354" s="11" t="s">
        <v>86</v>
      </c>
      <c r="O2354" s="11" t="s">
        <v>71</v>
      </c>
      <c r="P2354" s="11" t="s">
        <v>12814</v>
      </c>
      <c r="Q2354" s="13" t="s">
        <v>12815</v>
      </c>
      <c r="R2354" s="14" t="str">
        <f>HYPERLINK("https://drive.google.com/file/d/17JOcBPETRzaPBe69YWuliJpyODFnP8WO/view?usp=drivesdk","OFFER LETTER")</f>
        <v>OFFER LETTER</v>
      </c>
      <c r="S2354" s="11" t="s">
        <v>12816</v>
      </c>
    </row>
    <row r="2355" ht="22.5" customHeight="1">
      <c r="A2355" s="10">
        <v>46271.929417569445</v>
      </c>
      <c r="B2355" s="11" t="s">
        <v>12817</v>
      </c>
      <c r="C2355" s="11" t="s">
        <v>195</v>
      </c>
      <c r="D2355" s="11" t="s">
        <v>68</v>
      </c>
      <c r="E2355" s="12">
        <v>46272.0</v>
      </c>
      <c r="F2355" s="12">
        <v>46302.0</v>
      </c>
      <c r="G2355" s="11" t="s">
        <v>12818</v>
      </c>
      <c r="H2355" s="11">
        <v>9.356304324E9</v>
      </c>
      <c r="I2355" s="11" t="s">
        <v>70</v>
      </c>
      <c r="J2355" s="11" t="s">
        <v>83</v>
      </c>
      <c r="K2355" s="11" t="s">
        <v>72</v>
      </c>
      <c r="L2355" s="11" t="s">
        <v>73</v>
      </c>
      <c r="M2355" s="11" t="s">
        <v>12819</v>
      </c>
      <c r="N2355" s="11" t="s">
        <v>86</v>
      </c>
      <c r="O2355" s="11" t="s">
        <v>71</v>
      </c>
      <c r="P2355" s="11" t="s">
        <v>12820</v>
      </c>
      <c r="Q2355" s="13" t="s">
        <v>12821</v>
      </c>
      <c r="R2355" s="14" t="str">
        <f>HYPERLINK("https://drive.google.com/file/d/1suWSA0WHkM89sx2TyrOArT48kKopAadg/view?usp=drivesdk","OFFER LETTER")</f>
        <v>OFFER LETTER</v>
      </c>
      <c r="S2355" s="11" t="s">
        <v>12822</v>
      </c>
    </row>
    <row r="2356" ht="22.5" customHeight="1">
      <c r="A2356" s="10">
        <v>46271.9371549537</v>
      </c>
      <c r="B2356" s="11" t="s">
        <v>12823</v>
      </c>
      <c r="C2356" s="11" t="s">
        <v>298</v>
      </c>
      <c r="D2356" s="11" t="s">
        <v>68</v>
      </c>
      <c r="E2356" s="12">
        <v>46271.0</v>
      </c>
      <c r="F2356" s="12">
        <v>46301.0</v>
      </c>
      <c r="G2356" s="11" t="s">
        <v>12824</v>
      </c>
      <c r="H2356" s="11">
        <v>9.113398919E9</v>
      </c>
      <c r="I2356" s="11" t="s">
        <v>82</v>
      </c>
      <c r="J2356" s="11" t="s">
        <v>71</v>
      </c>
      <c r="K2356" s="11" t="s">
        <v>72</v>
      </c>
      <c r="L2356" s="11" t="s">
        <v>84</v>
      </c>
      <c r="M2356" s="11" t="s">
        <v>12825</v>
      </c>
      <c r="N2356" s="11" t="s">
        <v>86</v>
      </c>
      <c r="O2356" s="11" t="s">
        <v>71</v>
      </c>
      <c r="P2356" s="11" t="s">
        <v>12826</v>
      </c>
      <c r="Q2356" s="13" t="s">
        <v>12827</v>
      </c>
      <c r="R2356" s="14" t="str">
        <f>HYPERLINK("https://drive.google.com/file/d/1ySLV_NMQjWtDVGi0h9tvaczAvsT2-8RP/view?usp=drivesdk","OFFER LETTER")</f>
        <v>OFFER LETTER</v>
      </c>
      <c r="S2356" s="11" t="s">
        <v>12828</v>
      </c>
    </row>
    <row r="2357" ht="22.5" customHeight="1">
      <c r="A2357" s="10">
        <v>46271.94036206018</v>
      </c>
      <c r="B2357" s="11" t="s">
        <v>12829</v>
      </c>
      <c r="C2357" s="11" t="s">
        <v>128</v>
      </c>
      <c r="D2357" s="11" t="s">
        <v>68</v>
      </c>
      <c r="E2357" s="12">
        <v>46167.0</v>
      </c>
      <c r="F2357" s="12">
        <v>46198.0</v>
      </c>
      <c r="G2357" s="11" t="s">
        <v>12830</v>
      </c>
      <c r="H2357" s="11">
        <v>7.354994662E9</v>
      </c>
      <c r="I2357" s="11" t="s">
        <v>82</v>
      </c>
      <c r="J2357" s="11" t="s">
        <v>71</v>
      </c>
      <c r="K2357" s="11" t="s">
        <v>72</v>
      </c>
      <c r="L2357" s="11" t="s">
        <v>73</v>
      </c>
      <c r="M2357" s="11" t="s">
        <v>9096</v>
      </c>
      <c r="N2357" s="11" t="s">
        <v>86</v>
      </c>
      <c r="O2357" s="11" t="s">
        <v>71</v>
      </c>
      <c r="P2357" s="11" t="s">
        <v>12831</v>
      </c>
      <c r="Q2357" s="13" t="s">
        <v>12832</v>
      </c>
      <c r="R2357" s="14" t="str">
        <f>HYPERLINK("https://drive.google.com/file/d/1CQwlqdM84d5ejZO5l7_wA4iDcO8jnn6I/view?usp=drivesdk","OFFER LETTER")</f>
        <v>OFFER LETTER</v>
      </c>
      <c r="S2357" s="11" t="s">
        <v>12833</v>
      </c>
    </row>
    <row r="2358" ht="22.5" customHeight="1">
      <c r="A2358" s="10">
        <v>46271.94294537037</v>
      </c>
      <c r="B2358" s="11" t="s">
        <v>12834</v>
      </c>
      <c r="C2358" s="11" t="s">
        <v>237</v>
      </c>
      <c r="D2358" s="11" t="s">
        <v>68</v>
      </c>
      <c r="E2358" s="12">
        <v>46272.0</v>
      </c>
      <c r="F2358" s="12">
        <v>46301.0</v>
      </c>
      <c r="G2358" s="11" t="s">
        <v>12835</v>
      </c>
      <c r="H2358" s="11">
        <v>9.011011723E9</v>
      </c>
      <c r="I2358" s="11" t="s">
        <v>70</v>
      </c>
      <c r="J2358" s="11" t="s">
        <v>71</v>
      </c>
      <c r="K2358" s="11" t="s">
        <v>72</v>
      </c>
      <c r="L2358" s="11" t="s">
        <v>73</v>
      </c>
      <c r="M2358" s="11" t="s">
        <v>12836</v>
      </c>
      <c r="N2358" s="11" t="s">
        <v>75</v>
      </c>
      <c r="O2358" s="11" t="s">
        <v>71</v>
      </c>
      <c r="P2358" s="11" t="s">
        <v>12837</v>
      </c>
      <c r="Q2358" s="13" t="s">
        <v>12838</v>
      </c>
      <c r="R2358" s="14" t="str">
        <f>HYPERLINK("https://drive.google.com/file/d/1G4KW9bCWV4_9_dsi9DefhT7KytkDuJWc/view?usp=drivesdk","OFFER LETTER")</f>
        <v>OFFER LETTER</v>
      </c>
      <c r="S2358" s="11" t="s">
        <v>12839</v>
      </c>
    </row>
    <row r="2359" ht="22.5" customHeight="1">
      <c r="A2359" s="10">
        <v>46271.9780774074</v>
      </c>
      <c r="B2359" s="11" t="s">
        <v>12840</v>
      </c>
      <c r="C2359" s="11" t="s">
        <v>80</v>
      </c>
      <c r="D2359" s="11" t="s">
        <v>68</v>
      </c>
      <c r="E2359" s="12">
        <v>46271.0</v>
      </c>
      <c r="F2359" s="12">
        <v>46300.0</v>
      </c>
      <c r="G2359" s="11" t="s">
        <v>12841</v>
      </c>
      <c r="H2359" s="11">
        <v>6.370295641E9</v>
      </c>
      <c r="I2359" s="11" t="s">
        <v>82</v>
      </c>
      <c r="J2359" s="11" t="s">
        <v>71</v>
      </c>
      <c r="K2359" s="11" t="s">
        <v>72</v>
      </c>
      <c r="L2359" s="11" t="s">
        <v>131</v>
      </c>
      <c r="M2359" s="11" t="s">
        <v>12842</v>
      </c>
      <c r="N2359" s="11" t="s">
        <v>86</v>
      </c>
      <c r="O2359" s="11" t="s">
        <v>71</v>
      </c>
      <c r="P2359" s="11" t="s">
        <v>12843</v>
      </c>
      <c r="Q2359" s="13" t="s">
        <v>12844</v>
      </c>
      <c r="R2359" s="14" t="str">
        <f>HYPERLINK("https://drive.google.com/file/d/1kvLV3eWwNvhEIfRQtk6JBoQh0k7Xud0F/view?usp=drivesdk","OFFER LETTER")</f>
        <v>OFFER LETTER</v>
      </c>
      <c r="S2359" s="11" t="s">
        <v>12845</v>
      </c>
    </row>
    <row r="2360" ht="22.5" customHeight="1">
      <c r="A2360" s="10">
        <v>46271.98352098379</v>
      </c>
      <c r="B2360" s="11" t="s">
        <v>12846</v>
      </c>
      <c r="C2360" s="11" t="s">
        <v>67</v>
      </c>
      <c r="D2360" s="11" t="s">
        <v>238</v>
      </c>
      <c r="E2360" s="12">
        <v>46271.0</v>
      </c>
      <c r="F2360" s="12">
        <v>46362.0</v>
      </c>
      <c r="G2360" s="11" t="s">
        <v>12847</v>
      </c>
      <c r="H2360" s="11">
        <v>9.528774524E9</v>
      </c>
      <c r="I2360" s="11" t="s">
        <v>82</v>
      </c>
      <c r="J2360" s="11" t="s">
        <v>71</v>
      </c>
      <c r="K2360" s="11" t="s">
        <v>72</v>
      </c>
      <c r="L2360" s="11" t="s">
        <v>131</v>
      </c>
      <c r="M2360" s="11" t="s">
        <v>12848</v>
      </c>
      <c r="N2360" s="11" t="s">
        <v>86</v>
      </c>
      <c r="O2360" s="11" t="s">
        <v>263</v>
      </c>
      <c r="P2360" s="11" t="s">
        <v>12849</v>
      </c>
      <c r="Q2360" s="13" t="s">
        <v>12850</v>
      </c>
      <c r="R2360" s="14" t="str">
        <f>HYPERLINK("https://drive.google.com/file/d/1SX717wG6ZWjYmvnFxgWiRkI-M1qY3EV2/view?usp=drivesdk","OFFER LETTER")</f>
        <v>OFFER LETTER</v>
      </c>
      <c r="S2360" s="11" t="s">
        <v>12851</v>
      </c>
    </row>
    <row r="2361" ht="22.5" customHeight="1">
      <c r="A2361" s="10">
        <v>46271.99273907408</v>
      </c>
      <c r="B2361" s="11" t="s">
        <v>12852</v>
      </c>
      <c r="C2361" s="11" t="s">
        <v>1320</v>
      </c>
      <c r="D2361" s="11" t="s">
        <v>108</v>
      </c>
      <c r="E2361" s="12">
        <v>46157.0</v>
      </c>
      <c r="F2361" s="12">
        <v>46218.0</v>
      </c>
      <c r="G2361" s="11" t="s">
        <v>12853</v>
      </c>
      <c r="H2361" s="11">
        <v>8.340537425E9</v>
      </c>
      <c r="I2361" s="11" t="s">
        <v>82</v>
      </c>
      <c r="J2361" s="11" t="s">
        <v>71</v>
      </c>
      <c r="K2361" s="11" t="s">
        <v>72</v>
      </c>
      <c r="L2361" s="11" t="s">
        <v>73</v>
      </c>
      <c r="M2361" s="11" t="s">
        <v>12854</v>
      </c>
      <c r="N2361" s="11" t="s">
        <v>86</v>
      </c>
      <c r="O2361" s="11" t="s">
        <v>71</v>
      </c>
      <c r="P2361" s="11" t="s">
        <v>12855</v>
      </c>
      <c r="Q2361" s="13" t="s">
        <v>12856</v>
      </c>
      <c r="R2361" s="14" t="str">
        <f>HYPERLINK("https://drive.google.com/file/d/1VyjxwHvG8SUZQTG6hc-0q4R8IZuCP93W/view?usp=drivesdk","OFFER LETTER")</f>
        <v>OFFER LETTER</v>
      </c>
      <c r="S2361" s="11" t="s">
        <v>12857</v>
      </c>
    </row>
    <row r="2362" ht="22.5" customHeight="1">
      <c r="A2362" s="10">
        <v>46271.99598678241</v>
      </c>
      <c r="B2362" s="11" t="s">
        <v>12858</v>
      </c>
      <c r="C2362" s="11" t="s">
        <v>91</v>
      </c>
      <c r="D2362" s="11" t="s">
        <v>68</v>
      </c>
      <c r="E2362" s="12">
        <v>46272.0</v>
      </c>
      <c r="F2362" s="12">
        <v>46302.0</v>
      </c>
      <c r="G2362" s="11" t="s">
        <v>12859</v>
      </c>
      <c r="H2362" s="11">
        <v>7.008977767E9</v>
      </c>
      <c r="I2362" s="11" t="s">
        <v>82</v>
      </c>
      <c r="J2362" s="11" t="s">
        <v>71</v>
      </c>
      <c r="K2362" s="11" t="s">
        <v>72</v>
      </c>
      <c r="L2362" s="11" t="s">
        <v>73</v>
      </c>
      <c r="M2362" s="11" t="s">
        <v>12860</v>
      </c>
      <c r="N2362" s="11" t="s">
        <v>226</v>
      </c>
      <c r="O2362" s="11" t="s">
        <v>71</v>
      </c>
      <c r="P2362" s="11" t="s">
        <v>12861</v>
      </c>
      <c r="Q2362" s="13" t="s">
        <v>12862</v>
      </c>
      <c r="R2362" s="14" t="str">
        <f>HYPERLINK("https://drive.google.com/file/d/157094q5BPQgVoATcTzlhA5p_rwlMwbC2/view?usp=drivesdk","OFFER LETTER")</f>
        <v>OFFER LETTER</v>
      </c>
      <c r="S2362" s="11" t="s">
        <v>12863</v>
      </c>
    </row>
    <row r="2363" ht="22.5" customHeight="1">
      <c r="A2363" s="10">
        <v>46272.00265177083</v>
      </c>
      <c r="B2363" s="11" t="s">
        <v>12864</v>
      </c>
      <c r="C2363" s="11" t="s">
        <v>195</v>
      </c>
      <c r="D2363" s="11" t="s">
        <v>108</v>
      </c>
      <c r="E2363" s="12">
        <v>46175.0</v>
      </c>
      <c r="F2363" s="12">
        <v>46236.0</v>
      </c>
      <c r="G2363" s="11" t="s">
        <v>12865</v>
      </c>
      <c r="H2363" s="11" t="s">
        <v>12866</v>
      </c>
      <c r="I2363" s="11" t="s">
        <v>82</v>
      </c>
      <c r="J2363" s="11" t="s">
        <v>71</v>
      </c>
      <c r="K2363" s="11" t="s">
        <v>72</v>
      </c>
      <c r="L2363" s="11" t="s">
        <v>84</v>
      </c>
      <c r="M2363" s="11" t="s">
        <v>12560</v>
      </c>
      <c r="N2363" s="11" t="s">
        <v>75</v>
      </c>
      <c r="O2363" s="11" t="s">
        <v>71</v>
      </c>
      <c r="P2363" s="11" t="s">
        <v>12867</v>
      </c>
      <c r="Q2363" s="13" t="s">
        <v>12868</v>
      </c>
      <c r="R2363" s="14" t="str">
        <f>HYPERLINK("https://drive.google.com/file/d/1Vo_Kc82tgJEqmIDYGNux3rxJpNjLG8an/view?usp=drivesdk","OFFER LETTER")</f>
        <v>OFFER LETTER</v>
      </c>
      <c r="S2363" s="11" t="s">
        <v>12869</v>
      </c>
    </row>
    <row r="2364" ht="22.5" customHeight="1">
      <c r="A2364" s="10">
        <v>46272.01340186343</v>
      </c>
      <c r="B2364" s="11" t="s">
        <v>12870</v>
      </c>
      <c r="C2364" s="11" t="s">
        <v>742</v>
      </c>
      <c r="D2364" s="11" t="s">
        <v>68</v>
      </c>
      <c r="E2364" s="12">
        <v>46253.0</v>
      </c>
      <c r="F2364" s="12">
        <v>46284.0</v>
      </c>
      <c r="G2364" s="11" t="s">
        <v>12871</v>
      </c>
      <c r="H2364" s="11">
        <v>8.454870315E9</v>
      </c>
      <c r="I2364" s="11" t="s">
        <v>82</v>
      </c>
      <c r="J2364" s="11" t="s">
        <v>71</v>
      </c>
      <c r="K2364" s="13" t="s">
        <v>443</v>
      </c>
      <c r="L2364" s="11" t="s">
        <v>357</v>
      </c>
      <c r="M2364" s="11" t="s">
        <v>12872</v>
      </c>
      <c r="N2364" s="11" t="s">
        <v>219</v>
      </c>
      <c r="O2364" s="11" t="s">
        <v>71</v>
      </c>
      <c r="P2364" s="11" t="s">
        <v>12873</v>
      </c>
      <c r="Q2364" s="13" t="s">
        <v>12874</v>
      </c>
      <c r="R2364" s="14" t="str">
        <f>HYPERLINK("https://drive.google.com/file/d/1fYGBrN3byXjUWRdHH8H34NIBqyvM08FE/view?usp=drivesdk","OFFER LETTER")</f>
        <v>OFFER LETTER</v>
      </c>
      <c r="S2364" s="11" t="s">
        <v>12875</v>
      </c>
    </row>
    <row r="2365" ht="22.5" customHeight="1">
      <c r="A2365" s="10">
        <v>46272.01536900463</v>
      </c>
      <c r="B2365" s="11" t="s">
        <v>12876</v>
      </c>
      <c r="C2365" s="11" t="s">
        <v>173</v>
      </c>
      <c r="D2365" s="11" t="s">
        <v>108</v>
      </c>
      <c r="E2365" s="12">
        <v>46174.0</v>
      </c>
      <c r="F2365" s="12">
        <v>46235.0</v>
      </c>
      <c r="G2365" s="11" t="s">
        <v>12877</v>
      </c>
      <c r="H2365" s="11">
        <v>7.845183127E9</v>
      </c>
      <c r="I2365" s="11" t="s">
        <v>70</v>
      </c>
      <c r="J2365" s="11" t="s">
        <v>71</v>
      </c>
      <c r="K2365" s="11" t="s">
        <v>72</v>
      </c>
      <c r="L2365" s="11" t="s">
        <v>131</v>
      </c>
      <c r="M2365" s="11" t="s">
        <v>2369</v>
      </c>
      <c r="N2365" s="11" t="s">
        <v>12878</v>
      </c>
      <c r="O2365" s="11" t="s">
        <v>71</v>
      </c>
      <c r="P2365" s="11" t="s">
        <v>12879</v>
      </c>
      <c r="Q2365" s="13" t="s">
        <v>12880</v>
      </c>
      <c r="R2365" s="14" t="str">
        <f>HYPERLINK("https://drive.google.com/file/d/154poXiPoyjKWfq9tKHQMbSzaYYvOcvy3/view?usp=drivesdk","OFFER LETTER")</f>
        <v>OFFER LETTER</v>
      </c>
      <c r="S2365" s="11" t="s">
        <v>12881</v>
      </c>
    </row>
    <row r="2366" ht="22.5" customHeight="1">
      <c r="A2366" s="10">
        <v>46272.08407931713</v>
      </c>
      <c r="B2366" s="11" t="s">
        <v>10248</v>
      </c>
      <c r="C2366" s="11" t="s">
        <v>107</v>
      </c>
      <c r="D2366" s="11" t="s">
        <v>238</v>
      </c>
      <c r="E2366" s="12">
        <v>46268.0</v>
      </c>
      <c r="F2366" s="12">
        <v>46359.0</v>
      </c>
      <c r="G2366" s="11" t="s">
        <v>11809</v>
      </c>
      <c r="H2366" s="11">
        <v>8.092226039E9</v>
      </c>
      <c r="I2366" s="11" t="s">
        <v>82</v>
      </c>
      <c r="K2366" s="11" t="s">
        <v>72</v>
      </c>
      <c r="L2366" s="11" t="s">
        <v>131</v>
      </c>
      <c r="M2366" s="11" t="s">
        <v>4071</v>
      </c>
      <c r="N2366" s="11" t="s">
        <v>86</v>
      </c>
      <c r="O2366" s="11" t="s">
        <v>71</v>
      </c>
      <c r="P2366" s="11" t="s">
        <v>12882</v>
      </c>
      <c r="Q2366" s="13" t="s">
        <v>12883</v>
      </c>
      <c r="R2366" s="14" t="str">
        <f>HYPERLINK("https://drive.google.com/file/d/1QTmQb-hU-hIyfW5Tc83zichqqSz2LwG9/view?usp=drivesdk","OFFER LETTER")</f>
        <v>OFFER LETTER</v>
      </c>
      <c r="S2366" s="11" t="s">
        <v>12884</v>
      </c>
    </row>
    <row r="2367" ht="22.5" customHeight="1">
      <c r="A2367" s="10">
        <v>46272.3540515625</v>
      </c>
      <c r="B2367" s="11" t="s">
        <v>12885</v>
      </c>
      <c r="C2367" s="11" t="s">
        <v>80</v>
      </c>
      <c r="D2367" s="11" t="s">
        <v>68</v>
      </c>
      <c r="E2367" s="12">
        <v>46272.0</v>
      </c>
      <c r="F2367" s="12">
        <v>46302.0</v>
      </c>
      <c r="G2367" s="11" t="s">
        <v>12886</v>
      </c>
      <c r="H2367" s="11">
        <v>9.884054592E9</v>
      </c>
      <c r="I2367" s="11" t="s">
        <v>82</v>
      </c>
      <c r="J2367" s="11" t="s">
        <v>71</v>
      </c>
      <c r="K2367" s="11" t="s">
        <v>72</v>
      </c>
      <c r="L2367" s="11" t="s">
        <v>84</v>
      </c>
      <c r="M2367" s="11" t="s">
        <v>12767</v>
      </c>
      <c r="N2367" s="11" t="s">
        <v>86</v>
      </c>
      <c r="O2367" s="11" t="s">
        <v>71</v>
      </c>
      <c r="P2367" s="11" t="s">
        <v>12887</v>
      </c>
      <c r="Q2367" s="13" t="s">
        <v>12888</v>
      </c>
      <c r="R2367" s="14" t="str">
        <f>HYPERLINK("https://drive.google.com/file/d/12nkXKo0JOJAiKCHly8IWH7A-dCpN1fFs/view?usp=drivesdk","OFFER LETTER")</f>
        <v>OFFER LETTER</v>
      </c>
      <c r="S2367" s="11" t="s">
        <v>12889</v>
      </c>
    </row>
    <row r="2368" ht="22.5" customHeight="1">
      <c r="A2368" s="10">
        <v>46272.38066783565</v>
      </c>
      <c r="B2368" s="11" t="s">
        <v>12890</v>
      </c>
      <c r="C2368" s="11" t="s">
        <v>259</v>
      </c>
      <c r="D2368" s="11" t="s">
        <v>68</v>
      </c>
      <c r="E2368" s="12">
        <v>46191.0</v>
      </c>
      <c r="F2368" s="12">
        <v>46218.0</v>
      </c>
      <c r="G2368" s="11" t="s">
        <v>12891</v>
      </c>
      <c r="H2368" s="11">
        <v>8.178516488E9</v>
      </c>
      <c r="I2368" s="11" t="s">
        <v>82</v>
      </c>
      <c r="J2368" s="11" t="s">
        <v>130</v>
      </c>
      <c r="K2368" s="11" t="s">
        <v>72</v>
      </c>
      <c r="L2368" s="11" t="s">
        <v>84</v>
      </c>
      <c r="M2368" s="11" t="s">
        <v>2655</v>
      </c>
      <c r="N2368" s="11" t="s">
        <v>47</v>
      </c>
      <c r="O2368" s="11" t="s">
        <v>71</v>
      </c>
      <c r="P2368" s="11" t="s">
        <v>12892</v>
      </c>
      <c r="Q2368" s="13" t="s">
        <v>12893</v>
      </c>
      <c r="R2368" s="14" t="str">
        <f>HYPERLINK("https://drive.google.com/file/d/1bz7QScbCt91crJS1J-eLAmHxtodhxLQC/view?usp=drivesdk","OFFER LETTER")</f>
        <v>OFFER LETTER</v>
      </c>
      <c r="S2368" s="11" t="s">
        <v>12894</v>
      </c>
    </row>
    <row r="2369" ht="22.5" customHeight="1">
      <c r="A2369" s="10">
        <v>46272.38788851852</v>
      </c>
      <c r="B2369" s="11" t="s">
        <v>12895</v>
      </c>
      <c r="C2369" s="11" t="s">
        <v>298</v>
      </c>
      <c r="D2369" s="11" t="s">
        <v>108</v>
      </c>
      <c r="E2369" s="12">
        <v>46174.0</v>
      </c>
      <c r="F2369" s="12">
        <v>46270.0</v>
      </c>
      <c r="G2369" s="11" t="s">
        <v>12896</v>
      </c>
      <c r="H2369" s="11">
        <v>7.909312136E9</v>
      </c>
      <c r="I2369" s="11" t="s">
        <v>82</v>
      </c>
      <c r="J2369" s="11" t="s">
        <v>71</v>
      </c>
      <c r="K2369" s="11" t="s">
        <v>72</v>
      </c>
      <c r="L2369" s="11" t="s">
        <v>131</v>
      </c>
      <c r="M2369" s="11" t="s">
        <v>12897</v>
      </c>
      <c r="N2369" s="11" t="s">
        <v>86</v>
      </c>
      <c r="O2369" s="11" t="s">
        <v>71</v>
      </c>
      <c r="P2369" s="11" t="s">
        <v>12898</v>
      </c>
      <c r="Q2369" s="13" t="s">
        <v>12899</v>
      </c>
      <c r="R2369" s="14" t="str">
        <f>HYPERLINK("https://drive.google.com/file/d/1vz1nRUaXxYTgkyQQ_5bq87vvycGZVwCr/view?usp=drivesdk","OFFER LETTER")</f>
        <v>OFFER LETTER</v>
      </c>
      <c r="S2369" s="11" t="s">
        <v>12900</v>
      </c>
    </row>
    <row r="2370" ht="22.5" customHeight="1">
      <c r="A2370" s="10">
        <v>46272.41452266204</v>
      </c>
      <c r="B2370" s="11" t="s">
        <v>12901</v>
      </c>
      <c r="C2370" s="11" t="s">
        <v>91</v>
      </c>
      <c r="D2370" s="11" t="s">
        <v>68</v>
      </c>
      <c r="E2370" s="12">
        <v>46174.0</v>
      </c>
      <c r="F2370" s="12">
        <v>46204.0</v>
      </c>
      <c r="G2370" s="11" t="s">
        <v>12902</v>
      </c>
      <c r="H2370" s="11">
        <v>8.085599884E9</v>
      </c>
      <c r="I2370" s="11" t="s">
        <v>70</v>
      </c>
      <c r="J2370" s="11" t="s">
        <v>71</v>
      </c>
      <c r="K2370" s="11" t="s">
        <v>72</v>
      </c>
      <c r="L2370" s="11" t="s">
        <v>73</v>
      </c>
      <c r="M2370" s="11" t="s">
        <v>9096</v>
      </c>
      <c r="N2370" s="11" t="s">
        <v>5502</v>
      </c>
      <c r="O2370" s="11" t="s">
        <v>71</v>
      </c>
      <c r="P2370" s="11" t="s">
        <v>12903</v>
      </c>
      <c r="Q2370" s="13" t="s">
        <v>12904</v>
      </c>
      <c r="R2370" s="14" t="str">
        <f>HYPERLINK("https://drive.google.com/file/d/1h3Y05z9HLP_OruMPGsR61WtTrJaklixR/view?usp=drivesdk","OFFER LETTER")</f>
        <v>OFFER LETTER</v>
      </c>
      <c r="S2370" s="11" t="s">
        <v>12905</v>
      </c>
    </row>
    <row r="2371" ht="22.5" customHeight="1">
      <c r="A2371" s="10">
        <v>46272.416309085645</v>
      </c>
      <c r="B2371" s="11" t="s">
        <v>12906</v>
      </c>
      <c r="C2371" s="11" t="s">
        <v>195</v>
      </c>
      <c r="D2371" s="11" t="s">
        <v>68</v>
      </c>
      <c r="E2371" s="12">
        <v>46175.0</v>
      </c>
      <c r="F2371" s="12">
        <v>46205.0</v>
      </c>
      <c r="G2371" s="11" t="s">
        <v>12907</v>
      </c>
      <c r="H2371" s="11">
        <v>7.538872336E9</v>
      </c>
      <c r="I2371" s="11" t="s">
        <v>82</v>
      </c>
      <c r="J2371" s="11" t="s">
        <v>71</v>
      </c>
      <c r="K2371" s="11" t="s">
        <v>72</v>
      </c>
      <c r="L2371" s="11" t="s">
        <v>131</v>
      </c>
      <c r="M2371" s="11" t="s">
        <v>12908</v>
      </c>
      <c r="N2371" s="11" t="s">
        <v>198</v>
      </c>
      <c r="O2371" s="11" t="s">
        <v>71</v>
      </c>
      <c r="P2371" s="11" t="s">
        <v>12909</v>
      </c>
      <c r="Q2371" s="13" t="s">
        <v>12910</v>
      </c>
      <c r="R2371" s="14" t="str">
        <f>HYPERLINK("https://drive.google.com/file/d/1M4T0GJOvzEbzFsJHYN9CZoWQOuhFTrzF/view?usp=drivesdk","OFFER LETTER")</f>
        <v>OFFER LETTER</v>
      </c>
      <c r="S2371" s="11" t="s">
        <v>12911</v>
      </c>
    </row>
    <row r="2372" ht="22.5" customHeight="1">
      <c r="A2372" s="10">
        <v>46272.42872991898</v>
      </c>
      <c r="B2372" s="11" t="s">
        <v>12912</v>
      </c>
      <c r="C2372" s="11" t="s">
        <v>173</v>
      </c>
      <c r="D2372" s="11" t="s">
        <v>68</v>
      </c>
      <c r="E2372" s="12">
        <v>46215.0</v>
      </c>
      <c r="F2372" s="12">
        <v>46245.0</v>
      </c>
      <c r="G2372" s="11" t="s">
        <v>12913</v>
      </c>
      <c r="H2372" s="11">
        <v>7.206356339E9</v>
      </c>
      <c r="I2372" s="11" t="s">
        <v>82</v>
      </c>
      <c r="J2372" s="11" t="s">
        <v>71</v>
      </c>
      <c r="K2372" s="11" t="s">
        <v>72</v>
      </c>
      <c r="L2372" s="11" t="s">
        <v>73</v>
      </c>
      <c r="M2372" s="11" t="s">
        <v>12914</v>
      </c>
      <c r="N2372" s="11" t="s">
        <v>75</v>
      </c>
      <c r="O2372" s="11" t="s">
        <v>71</v>
      </c>
      <c r="P2372" s="11" t="s">
        <v>12915</v>
      </c>
      <c r="Q2372" s="13" t="s">
        <v>12916</v>
      </c>
      <c r="R2372" s="14" t="str">
        <f>HYPERLINK("https://drive.google.com/file/d/1Z-IOjGr-gA_Tsx4IzVby-T8HWk8UdUQP/view?usp=drivesdk","OFFER LETTER")</f>
        <v>OFFER LETTER</v>
      </c>
      <c r="S2372" s="11" t="s">
        <v>12917</v>
      </c>
    </row>
    <row r="2373" ht="22.5" customHeight="1">
      <c r="A2373" s="10">
        <v>46272.4380562963</v>
      </c>
      <c r="B2373" s="11" t="s">
        <v>12918</v>
      </c>
      <c r="C2373" s="11" t="s">
        <v>80</v>
      </c>
      <c r="D2373" s="11" t="s">
        <v>108</v>
      </c>
      <c r="E2373" s="12">
        <v>46182.0</v>
      </c>
      <c r="F2373" s="12">
        <v>46237.0</v>
      </c>
      <c r="G2373" s="11" t="s">
        <v>9450</v>
      </c>
      <c r="H2373" s="11">
        <v>9.959338994E9</v>
      </c>
      <c r="I2373" s="11" t="s">
        <v>82</v>
      </c>
      <c r="J2373" s="11" t="s">
        <v>71</v>
      </c>
      <c r="K2373" s="11" t="s">
        <v>72</v>
      </c>
      <c r="L2373" s="11" t="s">
        <v>131</v>
      </c>
      <c r="M2373" s="11" t="s">
        <v>9288</v>
      </c>
      <c r="N2373" s="11" t="s">
        <v>75</v>
      </c>
      <c r="O2373" s="11" t="s">
        <v>71</v>
      </c>
      <c r="P2373" s="11" t="s">
        <v>12919</v>
      </c>
      <c r="Q2373" s="13" t="s">
        <v>12920</v>
      </c>
      <c r="R2373" s="14" t="str">
        <f>HYPERLINK("https://drive.google.com/file/d/1gd4UhGR0DTY6WrsChyh64KU7-Juk-Y_t/view?usp=drivesdk","OFFER LETTER")</f>
        <v>OFFER LETTER</v>
      </c>
      <c r="S2373" s="11" t="s">
        <v>12921</v>
      </c>
    </row>
    <row r="2374" ht="22.5" customHeight="1">
      <c r="A2374" s="10">
        <v>46272.44191842593</v>
      </c>
      <c r="B2374" s="11" t="s">
        <v>12922</v>
      </c>
      <c r="C2374" s="11" t="s">
        <v>128</v>
      </c>
      <c r="D2374" s="11" t="s">
        <v>108</v>
      </c>
      <c r="E2374" s="12">
        <v>46212.0</v>
      </c>
      <c r="F2374" s="12">
        <v>46214.0</v>
      </c>
      <c r="G2374" s="11" t="s">
        <v>12923</v>
      </c>
      <c r="H2374" s="11">
        <v>9.991842802E9</v>
      </c>
      <c r="I2374" s="11" t="s">
        <v>82</v>
      </c>
      <c r="J2374" s="11" t="s">
        <v>71</v>
      </c>
      <c r="K2374" s="11" t="s">
        <v>72</v>
      </c>
      <c r="L2374" s="11" t="s">
        <v>131</v>
      </c>
      <c r="M2374" s="11" t="s">
        <v>12924</v>
      </c>
      <c r="N2374" s="11" t="s">
        <v>86</v>
      </c>
      <c r="O2374" s="11" t="s">
        <v>71</v>
      </c>
      <c r="P2374" s="11" t="s">
        <v>12925</v>
      </c>
      <c r="Q2374" s="13" t="s">
        <v>12926</v>
      </c>
      <c r="R2374" s="14" t="str">
        <f>HYPERLINK("https://drive.google.com/file/d/1jKgYv9nGepfSdXDnfWlH6nmb2lKSY9BD/view?usp=drivesdk","OFFER LETTER")</f>
        <v>OFFER LETTER</v>
      </c>
      <c r="S2374" s="11" t="s">
        <v>12927</v>
      </c>
    </row>
    <row r="2375" ht="22.5" customHeight="1">
      <c r="A2375" s="10">
        <v>46272.44788625</v>
      </c>
      <c r="B2375" s="11" t="s">
        <v>12928</v>
      </c>
      <c r="C2375" s="11" t="s">
        <v>237</v>
      </c>
      <c r="D2375" s="11" t="s">
        <v>68</v>
      </c>
      <c r="E2375" s="12">
        <v>46025.0</v>
      </c>
      <c r="F2375" s="12">
        <v>46059.0</v>
      </c>
      <c r="G2375" s="11" t="s">
        <v>12929</v>
      </c>
      <c r="H2375" s="11">
        <v>7.020840094E9</v>
      </c>
      <c r="I2375" s="11" t="s">
        <v>82</v>
      </c>
      <c r="J2375" s="11" t="s">
        <v>71</v>
      </c>
      <c r="K2375" s="11" t="s">
        <v>72</v>
      </c>
      <c r="L2375" s="11" t="s">
        <v>73</v>
      </c>
      <c r="M2375" s="11" t="s">
        <v>12930</v>
      </c>
      <c r="N2375" s="11" t="s">
        <v>86</v>
      </c>
      <c r="O2375" s="11" t="s">
        <v>71</v>
      </c>
      <c r="P2375" s="11" t="s">
        <v>12931</v>
      </c>
      <c r="Q2375" s="13" t="s">
        <v>12932</v>
      </c>
      <c r="R2375" s="14" t="str">
        <f>HYPERLINK("https://drive.google.com/file/d/1aI533H9BRtA2qK3GAmMQSDlklRBdPfET/view?usp=drivesdk","OFFER LETTER")</f>
        <v>OFFER LETTER</v>
      </c>
      <c r="S2375" s="11" t="s">
        <v>12933</v>
      </c>
    </row>
    <row r="2376" ht="22.5" customHeight="1">
      <c r="A2376" s="10">
        <v>46272.45199548611</v>
      </c>
      <c r="B2376" s="11" t="s">
        <v>12934</v>
      </c>
      <c r="C2376" s="11" t="s">
        <v>107</v>
      </c>
      <c r="D2376" s="11" t="s">
        <v>68</v>
      </c>
      <c r="E2376" s="12">
        <v>46272.0</v>
      </c>
      <c r="F2376" s="12">
        <v>46302.0</v>
      </c>
      <c r="G2376" s="11" t="s">
        <v>12935</v>
      </c>
      <c r="H2376" s="11">
        <v>8.416913845E9</v>
      </c>
      <c r="I2376" s="11" t="s">
        <v>82</v>
      </c>
      <c r="J2376" s="11" t="s">
        <v>71</v>
      </c>
      <c r="K2376" s="11" t="s">
        <v>110</v>
      </c>
      <c r="L2376" s="11" t="s">
        <v>84</v>
      </c>
      <c r="M2376" s="11" t="s">
        <v>12936</v>
      </c>
      <c r="N2376" s="11" t="s">
        <v>86</v>
      </c>
      <c r="O2376" s="11" t="s">
        <v>71</v>
      </c>
      <c r="P2376" s="11" t="s">
        <v>12937</v>
      </c>
      <c r="Q2376" s="13" t="s">
        <v>12938</v>
      </c>
      <c r="R2376" s="14" t="str">
        <f>HYPERLINK("https://drive.google.com/file/d/1Mj8kKnSDdPryZ2YOg96tCt43BA0ODIP4/view?usp=drivesdk","OFFER LETTER")</f>
        <v>OFFER LETTER</v>
      </c>
      <c r="S2376" s="11" t="s">
        <v>12939</v>
      </c>
    </row>
    <row r="2377" ht="22.5" customHeight="1">
      <c r="A2377" s="10">
        <v>46272.4532396412</v>
      </c>
      <c r="B2377" s="11" t="s">
        <v>12940</v>
      </c>
      <c r="C2377" s="11" t="s">
        <v>107</v>
      </c>
      <c r="D2377" s="11" t="s">
        <v>68</v>
      </c>
      <c r="E2377" s="12">
        <v>46272.0</v>
      </c>
      <c r="F2377" s="12">
        <v>46302.0</v>
      </c>
      <c r="G2377" s="11" t="s">
        <v>12941</v>
      </c>
      <c r="H2377" s="11">
        <v>9.305090818E9</v>
      </c>
      <c r="I2377" s="11" t="s">
        <v>70</v>
      </c>
      <c r="J2377" s="11" t="s">
        <v>71</v>
      </c>
      <c r="K2377" s="11" t="s">
        <v>110</v>
      </c>
      <c r="L2377" s="11" t="s">
        <v>84</v>
      </c>
      <c r="M2377" s="11" t="s">
        <v>12942</v>
      </c>
      <c r="N2377" s="11" t="s">
        <v>86</v>
      </c>
      <c r="O2377" s="11" t="s">
        <v>71</v>
      </c>
      <c r="P2377" s="11" t="s">
        <v>12943</v>
      </c>
      <c r="Q2377" s="13" t="s">
        <v>12944</v>
      </c>
      <c r="R2377" s="14" t="str">
        <f>HYPERLINK("https://drive.google.com/file/d/1BnVZ-FMxu_AhD40Q2HhuO3KiQpCdiFpU/view?usp=drivesdk","OFFER LETTER")</f>
        <v>OFFER LETTER</v>
      </c>
      <c r="S2377" s="11" t="s">
        <v>12945</v>
      </c>
    </row>
    <row r="2378" ht="22.5" customHeight="1">
      <c r="A2378" s="10">
        <v>46272.45325335648</v>
      </c>
      <c r="B2378" s="11" t="s">
        <v>12946</v>
      </c>
      <c r="C2378" s="11" t="s">
        <v>195</v>
      </c>
      <c r="D2378" s="11" t="s">
        <v>68</v>
      </c>
      <c r="E2378" s="12">
        <v>46272.0</v>
      </c>
      <c r="F2378" s="12">
        <v>46305.0</v>
      </c>
      <c r="G2378" s="11" t="s">
        <v>12947</v>
      </c>
      <c r="H2378" s="11">
        <v>7.057863027E9</v>
      </c>
      <c r="I2378" s="11" t="s">
        <v>82</v>
      </c>
      <c r="J2378" s="11" t="s">
        <v>71</v>
      </c>
      <c r="K2378" s="11" t="s">
        <v>72</v>
      </c>
      <c r="L2378" s="11" t="s">
        <v>247</v>
      </c>
      <c r="M2378" s="11" t="s">
        <v>12948</v>
      </c>
      <c r="N2378" s="11" t="s">
        <v>241</v>
      </c>
      <c r="O2378" s="11" t="s">
        <v>71</v>
      </c>
      <c r="P2378" s="11" t="s">
        <v>12949</v>
      </c>
      <c r="Q2378" s="13" t="s">
        <v>12950</v>
      </c>
      <c r="R2378" s="14" t="str">
        <f>HYPERLINK("https://drive.google.com/file/d/105J8G1dD68yhIm7horbf53r16F-qu-59/view?usp=drivesdk","OFFER LETTER")</f>
        <v>OFFER LETTER</v>
      </c>
      <c r="S2378" s="11" t="s">
        <v>12951</v>
      </c>
    </row>
    <row r="2379" ht="22.5" customHeight="1">
      <c r="A2379" s="10">
        <v>46272.45457611111</v>
      </c>
      <c r="B2379" s="11" t="s">
        <v>12952</v>
      </c>
      <c r="C2379" s="11" t="s">
        <v>80</v>
      </c>
      <c r="D2379" s="11" t="s">
        <v>108</v>
      </c>
      <c r="E2379" s="12">
        <v>46182.0</v>
      </c>
      <c r="F2379" s="12">
        <v>46237.0</v>
      </c>
      <c r="G2379" s="11" t="s">
        <v>12953</v>
      </c>
      <c r="H2379" s="11">
        <v>7.671004121E9</v>
      </c>
      <c r="I2379" s="11" t="s">
        <v>82</v>
      </c>
      <c r="J2379" s="11" t="s">
        <v>71</v>
      </c>
      <c r="K2379" s="11" t="s">
        <v>72</v>
      </c>
      <c r="L2379" s="11" t="s">
        <v>131</v>
      </c>
      <c r="M2379" s="11" t="s">
        <v>12954</v>
      </c>
      <c r="N2379" s="11" t="s">
        <v>219</v>
      </c>
      <c r="O2379" s="11" t="s">
        <v>71</v>
      </c>
      <c r="P2379" s="11" t="s">
        <v>12955</v>
      </c>
      <c r="Q2379" s="13" t="s">
        <v>12956</v>
      </c>
      <c r="R2379" s="14" t="str">
        <f>HYPERLINK("https://drive.google.com/file/d/18NZMAm7zWg0q_ojqc72q-EQFwk5KMTx7/view?usp=drivesdk","OFFER LETTER")</f>
        <v>OFFER LETTER</v>
      </c>
      <c r="S2379" s="11" t="s">
        <v>12957</v>
      </c>
    </row>
    <row r="2380" ht="22.5" customHeight="1">
      <c r="A2380" s="10">
        <v>46272.4547290162</v>
      </c>
      <c r="B2380" s="11" t="s">
        <v>12958</v>
      </c>
      <c r="C2380" s="11" t="s">
        <v>128</v>
      </c>
      <c r="D2380" s="11" t="s">
        <v>238</v>
      </c>
      <c r="E2380" s="12">
        <v>46273.0</v>
      </c>
      <c r="F2380" s="12">
        <v>46337.0</v>
      </c>
      <c r="G2380" s="11" t="s">
        <v>12959</v>
      </c>
      <c r="H2380" s="11">
        <v>9.153321951E9</v>
      </c>
      <c r="I2380" s="11" t="s">
        <v>82</v>
      </c>
      <c r="J2380" s="11" t="s">
        <v>71</v>
      </c>
      <c r="K2380" s="11" t="s">
        <v>110</v>
      </c>
      <c r="L2380" s="11" t="s">
        <v>73</v>
      </c>
      <c r="M2380" s="11" t="s">
        <v>12960</v>
      </c>
      <c r="N2380" s="11" t="s">
        <v>12144</v>
      </c>
      <c r="O2380" s="11" t="s">
        <v>71</v>
      </c>
      <c r="P2380" s="11" t="s">
        <v>12961</v>
      </c>
      <c r="Q2380" s="13" t="s">
        <v>12962</v>
      </c>
      <c r="R2380" s="14" t="str">
        <f>HYPERLINK("https://drive.google.com/file/d/1Zhr2qmj7kKesKekz7u9U8iOPLGmf-HCX/view?usp=drivesdk","OFFER LETTER")</f>
        <v>OFFER LETTER</v>
      </c>
      <c r="S2380" s="11" t="s">
        <v>12963</v>
      </c>
    </row>
    <row r="2381" ht="22.5" customHeight="1">
      <c r="A2381" s="10">
        <v>46272.46164390046</v>
      </c>
      <c r="B2381" s="11" t="s">
        <v>12964</v>
      </c>
      <c r="C2381" s="11" t="s">
        <v>67</v>
      </c>
      <c r="D2381" s="11" t="s">
        <v>238</v>
      </c>
      <c r="E2381" s="12">
        <v>46218.0</v>
      </c>
      <c r="F2381" s="12">
        <v>46310.0</v>
      </c>
      <c r="G2381" s="11" t="s">
        <v>12965</v>
      </c>
      <c r="H2381" s="11">
        <v>7.39589779E9</v>
      </c>
      <c r="I2381" s="11" t="s">
        <v>82</v>
      </c>
      <c r="J2381" s="11" t="s">
        <v>71</v>
      </c>
      <c r="K2381" s="13" t="s">
        <v>443</v>
      </c>
      <c r="L2381" s="11" t="s">
        <v>73</v>
      </c>
      <c r="M2381" s="11" t="s">
        <v>111</v>
      </c>
      <c r="N2381" s="11" t="s">
        <v>219</v>
      </c>
      <c r="O2381" s="11" t="s">
        <v>71</v>
      </c>
      <c r="P2381" s="11" t="s">
        <v>12966</v>
      </c>
      <c r="Q2381" s="13" t="s">
        <v>12967</v>
      </c>
      <c r="R2381" s="14" t="str">
        <f>HYPERLINK("https://drive.google.com/file/d/1QQLkD4MXndSF2VDT5oYWXFCcqqe2m5IC/view?usp=drivesdk","OFFER LETTER")</f>
        <v>OFFER LETTER</v>
      </c>
      <c r="S2381" s="11" t="s">
        <v>12968</v>
      </c>
    </row>
    <row r="2382" ht="22.5" customHeight="1">
      <c r="A2382" s="10">
        <v>46272.46255631944</v>
      </c>
      <c r="B2382" s="11" t="s">
        <v>12969</v>
      </c>
      <c r="C2382" s="11" t="s">
        <v>107</v>
      </c>
      <c r="D2382" s="11" t="s">
        <v>68</v>
      </c>
      <c r="E2382" s="12">
        <v>46272.0</v>
      </c>
      <c r="F2382" s="12">
        <v>46302.0</v>
      </c>
      <c r="G2382" s="11" t="s">
        <v>12970</v>
      </c>
      <c r="H2382" s="11">
        <v>7.89771733E9</v>
      </c>
      <c r="I2382" s="11" t="s">
        <v>70</v>
      </c>
      <c r="J2382" s="11" t="s">
        <v>71</v>
      </c>
      <c r="K2382" s="11" t="s">
        <v>110</v>
      </c>
      <c r="L2382" s="11" t="s">
        <v>84</v>
      </c>
      <c r="M2382" s="11" t="s">
        <v>12530</v>
      </c>
      <c r="N2382" s="11" t="s">
        <v>86</v>
      </c>
      <c r="O2382" s="11" t="s">
        <v>71</v>
      </c>
      <c r="P2382" s="11" t="s">
        <v>12971</v>
      </c>
      <c r="Q2382" s="13" t="s">
        <v>12972</v>
      </c>
      <c r="R2382" s="14" t="str">
        <f>HYPERLINK("https://drive.google.com/file/d/1_qZzV3lyCrFGEpQA9_VStkpB9q0ArbOs/view?usp=drivesdk","OFFER LETTER")</f>
        <v>OFFER LETTER</v>
      </c>
      <c r="S2382" s="11" t="s">
        <v>12973</v>
      </c>
    </row>
    <row r="2383" ht="22.5" customHeight="1">
      <c r="A2383" s="10">
        <v>46272.46654336806</v>
      </c>
      <c r="B2383" s="11" t="s">
        <v>8418</v>
      </c>
      <c r="C2383" s="11" t="s">
        <v>107</v>
      </c>
      <c r="D2383" s="11" t="s">
        <v>108</v>
      </c>
      <c r="E2383" s="12">
        <v>46269.0</v>
      </c>
      <c r="F2383" s="12">
        <v>46331.0</v>
      </c>
      <c r="G2383" s="11" t="s">
        <v>12974</v>
      </c>
      <c r="H2383" s="11">
        <v>9.528474434E9</v>
      </c>
      <c r="I2383" s="11" t="s">
        <v>82</v>
      </c>
      <c r="J2383" s="11" t="s">
        <v>71</v>
      </c>
      <c r="K2383" s="11" t="s">
        <v>110</v>
      </c>
      <c r="L2383" s="11" t="s">
        <v>84</v>
      </c>
      <c r="M2383" s="11" t="s">
        <v>12975</v>
      </c>
      <c r="N2383" s="11" t="s">
        <v>86</v>
      </c>
      <c r="O2383" s="11" t="s">
        <v>71</v>
      </c>
      <c r="P2383" s="11" t="s">
        <v>12976</v>
      </c>
      <c r="Q2383" s="13" t="s">
        <v>12977</v>
      </c>
      <c r="R2383" s="14" t="str">
        <f>HYPERLINK("https://drive.google.com/file/d/1MrFpqnVjg0J892OHuCSx8JuGOA4-8Dnn/view?usp=drivesdk","OFFER LETTER")</f>
        <v>OFFER LETTER</v>
      </c>
      <c r="S2383" s="11" t="s">
        <v>12978</v>
      </c>
    </row>
    <row r="2384" ht="22.5" customHeight="1">
      <c r="A2384" s="10">
        <v>46272.473311608795</v>
      </c>
      <c r="B2384" s="11" t="s">
        <v>12979</v>
      </c>
      <c r="C2384" s="11" t="s">
        <v>195</v>
      </c>
      <c r="D2384" s="11" t="s">
        <v>68</v>
      </c>
      <c r="E2384" s="12">
        <v>46179.0</v>
      </c>
      <c r="F2384" s="12">
        <v>46209.0</v>
      </c>
      <c r="G2384" s="11" t="s">
        <v>12980</v>
      </c>
      <c r="H2384" s="11">
        <v>9.142607853E9</v>
      </c>
      <c r="I2384" s="11" t="s">
        <v>82</v>
      </c>
      <c r="J2384" s="11" t="s">
        <v>71</v>
      </c>
      <c r="K2384" s="11" t="s">
        <v>72</v>
      </c>
      <c r="L2384" s="11" t="s">
        <v>84</v>
      </c>
      <c r="M2384" s="11" t="s">
        <v>1779</v>
      </c>
      <c r="N2384" s="11" t="s">
        <v>226</v>
      </c>
      <c r="O2384" s="11" t="s">
        <v>71</v>
      </c>
      <c r="P2384" s="11" t="s">
        <v>12981</v>
      </c>
      <c r="Q2384" s="13" t="s">
        <v>12982</v>
      </c>
      <c r="R2384" s="14" t="str">
        <f>HYPERLINK("https://drive.google.com/file/d/1rZQyzCLT81hAWkCG9QT5i58UkXvR8Wld/view?usp=drivesdk","OFFER LETTER")</f>
        <v>OFFER LETTER</v>
      </c>
      <c r="S2384" s="11" t="s">
        <v>12983</v>
      </c>
    </row>
    <row r="2385" ht="22.5" customHeight="1">
      <c r="A2385" s="10">
        <v>46272.474711400464</v>
      </c>
      <c r="B2385" s="11" t="s">
        <v>12984</v>
      </c>
      <c r="C2385" s="11" t="s">
        <v>195</v>
      </c>
      <c r="D2385" s="11" t="s">
        <v>108</v>
      </c>
      <c r="E2385" s="12">
        <v>46190.0</v>
      </c>
      <c r="F2385" s="12">
        <v>46251.0</v>
      </c>
      <c r="G2385" s="11" t="s">
        <v>12985</v>
      </c>
      <c r="H2385" s="11">
        <v>9.400821057E9</v>
      </c>
      <c r="I2385" s="11" t="s">
        <v>70</v>
      </c>
      <c r="J2385" s="11" t="s">
        <v>71</v>
      </c>
      <c r="K2385" s="11" t="s">
        <v>72</v>
      </c>
      <c r="L2385" s="11" t="s">
        <v>84</v>
      </c>
      <c r="M2385" s="11" t="s">
        <v>12986</v>
      </c>
      <c r="N2385" s="11" t="s">
        <v>86</v>
      </c>
      <c r="O2385" s="11" t="s">
        <v>71</v>
      </c>
      <c r="P2385" s="11" t="s">
        <v>12987</v>
      </c>
      <c r="Q2385" s="13" t="s">
        <v>12988</v>
      </c>
      <c r="R2385" s="14" t="str">
        <f>HYPERLINK("https://drive.google.com/file/d/1ne_bCvqjK-6OKOFRbDWaGVj5nngdn7-F/view?usp=drivesdk","OFFER LETTER")</f>
        <v>OFFER LETTER</v>
      </c>
      <c r="S2385" s="11" t="s">
        <v>12989</v>
      </c>
    </row>
    <row r="2386" ht="22.5" customHeight="1">
      <c r="A2386" s="10">
        <v>46272.48581614583</v>
      </c>
      <c r="B2386" s="11" t="s">
        <v>12990</v>
      </c>
      <c r="C2386" s="11" t="s">
        <v>195</v>
      </c>
      <c r="D2386" s="11" t="s">
        <v>68</v>
      </c>
      <c r="E2386" s="12">
        <v>46272.0</v>
      </c>
      <c r="F2386" s="12">
        <v>46302.0</v>
      </c>
      <c r="G2386" s="11" t="s">
        <v>12991</v>
      </c>
      <c r="H2386" s="11">
        <v>9.63449206E9</v>
      </c>
      <c r="I2386" s="11" t="s">
        <v>82</v>
      </c>
      <c r="J2386" s="11" t="s">
        <v>71</v>
      </c>
      <c r="K2386" s="11" t="s">
        <v>72</v>
      </c>
      <c r="L2386" s="11" t="s">
        <v>73</v>
      </c>
      <c r="M2386" s="11" t="s">
        <v>437</v>
      </c>
      <c r="N2386" s="11" t="s">
        <v>75</v>
      </c>
      <c r="O2386" s="11" t="s">
        <v>71</v>
      </c>
      <c r="P2386" s="11" t="s">
        <v>12992</v>
      </c>
      <c r="Q2386" s="13" t="s">
        <v>12993</v>
      </c>
      <c r="R2386" s="14" t="str">
        <f>HYPERLINK("https://drive.google.com/file/d/1ceRkc1SDjS45a4ZFz_FOirc1jensVdf4/view?usp=drivesdk","OFFER LETTER")</f>
        <v>OFFER LETTER</v>
      </c>
      <c r="S2386" s="11" t="s">
        <v>12994</v>
      </c>
    </row>
    <row r="2387" ht="22.5" customHeight="1">
      <c r="A2387" s="10">
        <v>46272.50135939815</v>
      </c>
      <c r="B2387" s="11" t="s">
        <v>12995</v>
      </c>
      <c r="C2387" s="11" t="s">
        <v>195</v>
      </c>
      <c r="D2387" s="11" t="s">
        <v>68</v>
      </c>
      <c r="E2387" s="12">
        <v>46188.0</v>
      </c>
      <c r="F2387" s="12">
        <v>46228.0</v>
      </c>
      <c r="G2387" s="11" t="s">
        <v>12996</v>
      </c>
      <c r="H2387" s="11">
        <v>8.90077819E9</v>
      </c>
      <c r="I2387" s="11" t="s">
        <v>82</v>
      </c>
      <c r="J2387" s="11" t="s">
        <v>71</v>
      </c>
      <c r="K2387" s="11" t="s">
        <v>72</v>
      </c>
      <c r="L2387" s="11" t="s">
        <v>84</v>
      </c>
      <c r="M2387" s="11" t="s">
        <v>5088</v>
      </c>
      <c r="N2387" s="11" t="s">
        <v>75</v>
      </c>
      <c r="O2387" s="11" t="s">
        <v>71</v>
      </c>
      <c r="P2387" s="11" t="s">
        <v>12997</v>
      </c>
      <c r="Q2387" s="13" t="s">
        <v>12998</v>
      </c>
      <c r="R2387" s="14" t="str">
        <f>HYPERLINK("https://drive.google.com/file/d/16yx5reQKuEXnH1Ev5Snj27omb92CZMhl/view?usp=drivesdk","OFFER LETTER")</f>
        <v>OFFER LETTER</v>
      </c>
      <c r="S2387" s="11" t="s">
        <v>12999</v>
      </c>
    </row>
    <row r="2388" ht="22.5" customHeight="1">
      <c r="A2388" s="10">
        <v>46272.502110625</v>
      </c>
      <c r="B2388" s="11" t="s">
        <v>13000</v>
      </c>
      <c r="C2388" s="11" t="s">
        <v>91</v>
      </c>
      <c r="D2388" s="11" t="s">
        <v>68</v>
      </c>
      <c r="E2388" s="12">
        <v>46209.0</v>
      </c>
      <c r="F2388" s="12">
        <v>46239.0</v>
      </c>
      <c r="G2388" s="11" t="s">
        <v>13001</v>
      </c>
      <c r="H2388" s="11">
        <v>9.489891108E9</v>
      </c>
      <c r="I2388" s="11" t="s">
        <v>70</v>
      </c>
      <c r="J2388" s="11" t="s">
        <v>71</v>
      </c>
      <c r="K2388" s="11" t="s">
        <v>72</v>
      </c>
      <c r="L2388" s="11" t="s">
        <v>73</v>
      </c>
      <c r="M2388" s="11" t="s">
        <v>9570</v>
      </c>
      <c r="N2388" s="11" t="s">
        <v>226</v>
      </c>
      <c r="O2388" s="11" t="s">
        <v>71</v>
      </c>
      <c r="P2388" s="11" t="s">
        <v>13002</v>
      </c>
      <c r="Q2388" s="13" t="s">
        <v>13003</v>
      </c>
      <c r="R2388" s="14" t="str">
        <f>HYPERLINK("https://drive.google.com/file/d/1RxqoBumC2mnhpFn2DBBM7sGwk8zY0yy8/view?usp=drivesdk","OFFER LETTER")</f>
        <v>OFFER LETTER</v>
      </c>
      <c r="S2388" s="11" t="s">
        <v>13004</v>
      </c>
    </row>
    <row r="2389" ht="22.5" customHeight="1">
      <c r="A2389" s="10">
        <v>46272.52283541667</v>
      </c>
      <c r="B2389" s="11" t="s">
        <v>13005</v>
      </c>
      <c r="C2389" s="11" t="s">
        <v>195</v>
      </c>
      <c r="D2389" s="11" t="s">
        <v>68</v>
      </c>
      <c r="E2389" s="12">
        <v>46237.0</v>
      </c>
      <c r="F2389" s="12">
        <v>46268.0</v>
      </c>
      <c r="G2389" s="11" t="s">
        <v>13006</v>
      </c>
      <c r="H2389" s="11">
        <v>7.073382996E9</v>
      </c>
      <c r="I2389" s="11" t="s">
        <v>82</v>
      </c>
      <c r="K2389" s="11" t="s">
        <v>72</v>
      </c>
      <c r="L2389" s="11" t="s">
        <v>84</v>
      </c>
      <c r="M2389" s="11" t="s">
        <v>2535</v>
      </c>
      <c r="N2389" s="11" t="s">
        <v>86</v>
      </c>
      <c r="O2389" s="11" t="s">
        <v>71</v>
      </c>
      <c r="P2389" s="11" t="s">
        <v>13007</v>
      </c>
      <c r="Q2389" s="13" t="s">
        <v>13008</v>
      </c>
      <c r="R2389" s="14" t="str">
        <f>HYPERLINK("https://drive.google.com/file/d/1XkTSza2gWjrMSriJyWN6XlN9vPQtWSv4/view?usp=drivesdk","OFFER LETTER")</f>
        <v>OFFER LETTER</v>
      </c>
      <c r="S2389" s="11" t="s">
        <v>13009</v>
      </c>
    </row>
    <row r="2390" ht="22.5" customHeight="1">
      <c r="A2390" s="10">
        <v>46272.52647162037</v>
      </c>
      <c r="B2390" s="11" t="s">
        <v>13010</v>
      </c>
      <c r="C2390" s="11" t="s">
        <v>195</v>
      </c>
      <c r="D2390" s="11" t="s">
        <v>68</v>
      </c>
      <c r="E2390" s="12">
        <v>46272.0</v>
      </c>
      <c r="F2390" s="12">
        <v>46302.0</v>
      </c>
      <c r="G2390" s="11" t="s">
        <v>13011</v>
      </c>
      <c r="H2390" s="11">
        <v>9.347884195E9</v>
      </c>
      <c r="I2390" s="11" t="s">
        <v>70</v>
      </c>
      <c r="J2390" s="11" t="s">
        <v>83</v>
      </c>
      <c r="K2390" s="13" t="s">
        <v>443</v>
      </c>
      <c r="L2390" s="11" t="s">
        <v>247</v>
      </c>
      <c r="M2390" s="11" t="s">
        <v>13012</v>
      </c>
      <c r="N2390" s="11" t="s">
        <v>75</v>
      </c>
      <c r="O2390" s="11" t="s">
        <v>71</v>
      </c>
      <c r="P2390" s="11" t="s">
        <v>13013</v>
      </c>
      <c r="Q2390" s="13" t="s">
        <v>13014</v>
      </c>
      <c r="R2390" s="14" t="str">
        <f>HYPERLINK("https://drive.google.com/file/d/1GoRvzEYuIJeIPmkFzZpPwWf3qEl4EKvH/view?usp=drivesdk","OFFER LETTER")</f>
        <v>OFFER LETTER</v>
      </c>
      <c r="S2390" s="11" t="s">
        <v>13015</v>
      </c>
    </row>
    <row r="2391" ht="22.5" customHeight="1">
      <c r="A2391" s="10">
        <v>46272.540854837964</v>
      </c>
      <c r="B2391" s="11" t="s">
        <v>13016</v>
      </c>
      <c r="C2391" s="11" t="s">
        <v>107</v>
      </c>
      <c r="D2391" s="11" t="s">
        <v>68</v>
      </c>
      <c r="E2391" s="12">
        <v>46272.0</v>
      </c>
      <c r="F2391" s="12">
        <v>46302.0</v>
      </c>
      <c r="G2391" s="11" t="s">
        <v>13017</v>
      </c>
      <c r="H2391" s="11">
        <v>9.99085946E9</v>
      </c>
      <c r="I2391" s="11" t="s">
        <v>82</v>
      </c>
      <c r="J2391" s="11" t="s">
        <v>71</v>
      </c>
      <c r="K2391" s="11" t="s">
        <v>110</v>
      </c>
      <c r="L2391" s="11" t="s">
        <v>73</v>
      </c>
      <c r="M2391" s="11" t="s">
        <v>13018</v>
      </c>
      <c r="N2391" s="11" t="s">
        <v>86</v>
      </c>
      <c r="O2391" s="11" t="s">
        <v>71</v>
      </c>
      <c r="P2391" s="11" t="s">
        <v>13019</v>
      </c>
      <c r="Q2391" s="13" t="s">
        <v>13020</v>
      </c>
      <c r="R2391" s="14" t="str">
        <f>HYPERLINK("https://drive.google.com/file/d/1VSUSY0Dd-VOMAq0a7KCzrC4_73voXbSM/view?usp=drivesdk","OFFER LETTER")</f>
        <v>OFFER LETTER</v>
      </c>
      <c r="S2391" s="11" t="s">
        <v>13021</v>
      </c>
    </row>
    <row r="2392" ht="22.5" customHeight="1">
      <c r="A2392" s="10">
        <v>46272.54310538195</v>
      </c>
      <c r="B2392" s="11" t="s">
        <v>13022</v>
      </c>
      <c r="C2392" s="11" t="s">
        <v>80</v>
      </c>
      <c r="D2392" s="11" t="s">
        <v>68</v>
      </c>
      <c r="E2392" s="12">
        <v>46204.0</v>
      </c>
      <c r="F2392" s="12">
        <v>46235.0</v>
      </c>
      <c r="G2392" s="11" t="s">
        <v>13023</v>
      </c>
      <c r="H2392" s="11">
        <v>9.959265083E9</v>
      </c>
      <c r="I2392" s="11" t="s">
        <v>82</v>
      </c>
      <c r="J2392" s="11" t="s">
        <v>71</v>
      </c>
      <c r="K2392" s="11" t="s">
        <v>72</v>
      </c>
      <c r="L2392" s="11" t="s">
        <v>131</v>
      </c>
      <c r="M2392" s="11" t="s">
        <v>13024</v>
      </c>
      <c r="N2392" s="11" t="s">
        <v>198</v>
      </c>
      <c r="O2392" s="11" t="s">
        <v>71</v>
      </c>
      <c r="P2392" s="11" t="s">
        <v>13025</v>
      </c>
      <c r="Q2392" s="13" t="s">
        <v>13026</v>
      </c>
      <c r="R2392" s="14" t="str">
        <f>HYPERLINK("https://drive.google.com/file/d/1lrG1PPaRcVAmTUd_3Y2krveacC7M3XqE/view?usp=drivesdk","OFFER LETTER")</f>
        <v>OFFER LETTER</v>
      </c>
      <c r="S2392" s="11" t="s">
        <v>13027</v>
      </c>
    </row>
    <row r="2393" ht="22.5" customHeight="1">
      <c r="A2393" s="10">
        <v>46272.54765479166</v>
      </c>
      <c r="B2393" s="11" t="s">
        <v>13028</v>
      </c>
      <c r="C2393" s="11" t="s">
        <v>67</v>
      </c>
      <c r="D2393" s="11" t="s">
        <v>929</v>
      </c>
      <c r="E2393" s="12">
        <v>46272.0</v>
      </c>
      <c r="F2393" s="12">
        <v>46453.0</v>
      </c>
      <c r="G2393" s="11" t="s">
        <v>13029</v>
      </c>
      <c r="H2393" s="11">
        <v>9.917651884E9</v>
      </c>
      <c r="I2393" s="11" t="s">
        <v>82</v>
      </c>
      <c r="J2393" s="11" t="s">
        <v>71</v>
      </c>
      <c r="K2393" s="11" t="s">
        <v>110</v>
      </c>
      <c r="L2393" s="11" t="s">
        <v>247</v>
      </c>
      <c r="M2393" s="11" t="s">
        <v>13030</v>
      </c>
      <c r="N2393" s="11" t="s">
        <v>75</v>
      </c>
      <c r="O2393" s="11" t="s">
        <v>71</v>
      </c>
      <c r="P2393" s="11" t="s">
        <v>13031</v>
      </c>
      <c r="Q2393" s="13" t="s">
        <v>13032</v>
      </c>
      <c r="R2393" s="14" t="str">
        <f>HYPERLINK("https://drive.google.com/file/d/1agu7s7BM77EeH7LOb6dEwiLFZ3JDAyI5/view?usp=drivesdk","OFFER LETTER")</f>
        <v>OFFER LETTER</v>
      </c>
      <c r="S2393" s="11" t="s">
        <v>13033</v>
      </c>
    </row>
    <row r="2394" ht="22.5" customHeight="1">
      <c r="A2394" s="10">
        <v>46272.56185902777</v>
      </c>
      <c r="B2394" s="11" t="s">
        <v>13034</v>
      </c>
      <c r="C2394" s="11" t="s">
        <v>195</v>
      </c>
      <c r="D2394" s="11" t="s">
        <v>108</v>
      </c>
      <c r="E2394" s="12">
        <v>46154.0</v>
      </c>
      <c r="F2394" s="12" t="s">
        <v>8611</v>
      </c>
      <c r="G2394" s="11" t="s">
        <v>13035</v>
      </c>
      <c r="H2394" s="11">
        <v>9.390051589E9</v>
      </c>
      <c r="I2394" s="11" t="s">
        <v>82</v>
      </c>
      <c r="J2394" s="11" t="s">
        <v>71</v>
      </c>
      <c r="K2394" s="11" t="s">
        <v>72</v>
      </c>
      <c r="L2394" s="11" t="s">
        <v>131</v>
      </c>
      <c r="M2394" s="11" t="s">
        <v>13036</v>
      </c>
      <c r="N2394" s="11" t="s">
        <v>8937</v>
      </c>
      <c r="O2394" s="11" t="s">
        <v>71</v>
      </c>
      <c r="P2394" s="11" t="s">
        <v>13037</v>
      </c>
      <c r="Q2394" s="13" t="s">
        <v>13038</v>
      </c>
      <c r="R2394" s="14" t="str">
        <f>HYPERLINK("https://drive.google.com/file/d/14CKhYl-8kavbh9jZVSxKhN_BtrCqX0OE/view?usp=drivesdk","OFFER LETTER")</f>
        <v>OFFER LETTER</v>
      </c>
      <c r="S2394" s="11" t="s">
        <v>13039</v>
      </c>
    </row>
    <row r="2395" ht="22.5" customHeight="1">
      <c r="A2395" s="10">
        <v>46272.56267726852</v>
      </c>
      <c r="B2395" s="11" t="s">
        <v>13040</v>
      </c>
      <c r="C2395" s="11" t="s">
        <v>195</v>
      </c>
      <c r="D2395" s="11" t="s">
        <v>68</v>
      </c>
      <c r="E2395" s="12">
        <v>46224.0</v>
      </c>
      <c r="F2395" s="12">
        <v>46255.0</v>
      </c>
      <c r="G2395" s="11" t="s">
        <v>13041</v>
      </c>
      <c r="H2395" s="11">
        <v>7.48857033E9</v>
      </c>
      <c r="I2395" s="11" t="s">
        <v>82</v>
      </c>
      <c r="J2395" s="11" t="s">
        <v>83</v>
      </c>
      <c r="K2395" s="11" t="s">
        <v>72</v>
      </c>
      <c r="L2395" s="11" t="s">
        <v>84</v>
      </c>
      <c r="M2395" s="11" t="s">
        <v>13042</v>
      </c>
      <c r="N2395" s="11" t="s">
        <v>241</v>
      </c>
      <c r="O2395" s="11" t="s">
        <v>71</v>
      </c>
      <c r="P2395" s="11" t="s">
        <v>13043</v>
      </c>
      <c r="Q2395" s="13" t="s">
        <v>13044</v>
      </c>
      <c r="R2395" s="14" t="str">
        <f>HYPERLINK("https://drive.google.com/file/d/1tEQmvDCgcfc6j6_MLMe2nU_2Z5x6y2YE/view?usp=drivesdk","OFFER LETTER")</f>
        <v>OFFER LETTER</v>
      </c>
      <c r="S2395" s="11" t="s">
        <v>13045</v>
      </c>
    </row>
    <row r="2396" ht="22.5" customHeight="1">
      <c r="A2396" s="10">
        <v>46272.57019201389</v>
      </c>
      <c r="B2396" s="11" t="s">
        <v>13046</v>
      </c>
      <c r="C2396" s="11" t="s">
        <v>91</v>
      </c>
      <c r="D2396" s="11" t="s">
        <v>68</v>
      </c>
      <c r="E2396" s="12">
        <v>46249.0</v>
      </c>
      <c r="F2396" s="12">
        <v>46280.0</v>
      </c>
      <c r="G2396" s="11" t="s">
        <v>13047</v>
      </c>
      <c r="H2396" s="11">
        <v>8.072455383E9</v>
      </c>
      <c r="I2396" s="11" t="s">
        <v>82</v>
      </c>
      <c r="J2396" s="11" t="s">
        <v>71</v>
      </c>
      <c r="K2396" s="11" t="s">
        <v>72</v>
      </c>
      <c r="L2396" s="11" t="s">
        <v>131</v>
      </c>
      <c r="M2396" s="11" t="s">
        <v>13048</v>
      </c>
      <c r="N2396" s="11" t="s">
        <v>86</v>
      </c>
      <c r="O2396" s="11" t="s">
        <v>71</v>
      </c>
      <c r="P2396" s="11" t="s">
        <v>13049</v>
      </c>
      <c r="Q2396" s="13" t="s">
        <v>13050</v>
      </c>
      <c r="R2396" s="14" t="str">
        <f>HYPERLINK("https://drive.google.com/file/d/1VduYksvgK0uPpQwtg09_fS9nWhEZxB-o/view?usp=drivesdk","OFFER LETTER")</f>
        <v>OFFER LETTER</v>
      </c>
      <c r="S2396" s="11" t="s">
        <v>13051</v>
      </c>
    </row>
    <row r="2397" ht="22.5" customHeight="1">
      <c r="A2397" s="10">
        <v>46272.57171186343</v>
      </c>
      <c r="B2397" s="11" t="s">
        <v>13052</v>
      </c>
      <c r="C2397" s="11" t="s">
        <v>107</v>
      </c>
      <c r="D2397" s="11" t="s">
        <v>929</v>
      </c>
      <c r="E2397" s="12">
        <v>46096.0</v>
      </c>
      <c r="F2397" s="12">
        <v>46280.0</v>
      </c>
      <c r="G2397" s="11" t="s">
        <v>13053</v>
      </c>
      <c r="H2397" s="11">
        <v>9.264446653E9</v>
      </c>
      <c r="I2397" s="11" t="s">
        <v>70</v>
      </c>
      <c r="J2397" s="11" t="s">
        <v>130</v>
      </c>
      <c r="K2397" s="11" t="s">
        <v>72</v>
      </c>
      <c r="L2397" s="11" t="s">
        <v>247</v>
      </c>
      <c r="M2397" s="11" t="s">
        <v>13054</v>
      </c>
      <c r="N2397" s="11" t="s">
        <v>75</v>
      </c>
      <c r="O2397" s="11" t="s">
        <v>71</v>
      </c>
      <c r="P2397" s="11" t="s">
        <v>13055</v>
      </c>
      <c r="Q2397" s="13" t="s">
        <v>13056</v>
      </c>
      <c r="R2397" s="14" t="str">
        <f>HYPERLINK("https://drive.google.com/file/d/10u5JT-N6QZyz7qYCVHUd7_FK8Jqx-Xsw/view?usp=drivesdk","OFFER LETTER")</f>
        <v>OFFER LETTER</v>
      </c>
      <c r="S2397" s="11" t="s">
        <v>13057</v>
      </c>
    </row>
    <row r="2398" ht="22.5" customHeight="1">
      <c r="A2398" s="10">
        <v>46272.574966932865</v>
      </c>
      <c r="B2398" s="11" t="s">
        <v>13058</v>
      </c>
      <c r="C2398" s="11" t="s">
        <v>195</v>
      </c>
      <c r="D2398" s="11" t="s">
        <v>68</v>
      </c>
      <c r="E2398" s="12">
        <v>46272.0</v>
      </c>
      <c r="F2398" s="12">
        <v>46302.0</v>
      </c>
      <c r="G2398" s="11" t="s">
        <v>13059</v>
      </c>
      <c r="H2398" s="11">
        <v>9.525025696E9</v>
      </c>
      <c r="I2398" s="11" t="s">
        <v>82</v>
      </c>
      <c r="J2398" s="11" t="s">
        <v>71</v>
      </c>
      <c r="K2398" s="11" t="s">
        <v>72</v>
      </c>
      <c r="L2398" s="11" t="s">
        <v>73</v>
      </c>
      <c r="M2398" s="11" t="s">
        <v>197</v>
      </c>
      <c r="N2398" s="11" t="s">
        <v>198</v>
      </c>
      <c r="O2398" s="11" t="s">
        <v>71</v>
      </c>
      <c r="P2398" s="11" t="s">
        <v>13060</v>
      </c>
      <c r="Q2398" s="13" t="s">
        <v>13061</v>
      </c>
      <c r="R2398" s="14" t="str">
        <f>HYPERLINK("https://drive.google.com/file/d/1qu8-bAXoi4PFLQpu9sHTmv1lrtQoFchI/view?usp=drivesdk","OFFER LETTER")</f>
        <v>OFFER LETTER</v>
      </c>
      <c r="S2398" s="11" t="s">
        <v>13062</v>
      </c>
    </row>
    <row r="2399" ht="22.5" customHeight="1">
      <c r="A2399" s="10">
        <v>46272.576443564816</v>
      </c>
      <c r="B2399" s="11" t="s">
        <v>13063</v>
      </c>
      <c r="C2399" s="11" t="s">
        <v>128</v>
      </c>
      <c r="D2399" s="11" t="s">
        <v>68</v>
      </c>
      <c r="E2399" s="12">
        <v>46148.0</v>
      </c>
      <c r="F2399" s="12">
        <v>46179.0</v>
      </c>
      <c r="G2399" s="11" t="s">
        <v>13064</v>
      </c>
      <c r="H2399" s="11">
        <v>8.168512216E9</v>
      </c>
      <c r="I2399" s="11" t="s">
        <v>82</v>
      </c>
      <c r="J2399" s="11" t="s">
        <v>71</v>
      </c>
      <c r="K2399" s="11" t="s">
        <v>72</v>
      </c>
      <c r="L2399" s="11" t="s">
        <v>73</v>
      </c>
      <c r="M2399" s="11" t="s">
        <v>886</v>
      </c>
      <c r="N2399" s="11" t="s">
        <v>86</v>
      </c>
      <c r="O2399" s="11" t="s">
        <v>71</v>
      </c>
      <c r="P2399" s="11" t="s">
        <v>13065</v>
      </c>
      <c r="Q2399" s="13" t="s">
        <v>13066</v>
      </c>
      <c r="R2399" s="14" t="str">
        <f>HYPERLINK("https://drive.google.com/file/d/1xcT0SyTW3hIdn_9w7C1xTjLpE0eTKUgF/view?usp=drivesdk","OFFER LETTER")</f>
        <v>OFFER LETTER</v>
      </c>
      <c r="S2399" s="11" t="s">
        <v>13067</v>
      </c>
    </row>
    <row r="2400" ht="22.5" customHeight="1">
      <c r="A2400" s="10">
        <v>46272.583979930554</v>
      </c>
      <c r="B2400" s="11" t="s">
        <v>13068</v>
      </c>
      <c r="C2400" s="11" t="s">
        <v>173</v>
      </c>
      <c r="D2400" s="11" t="s">
        <v>68</v>
      </c>
      <c r="E2400" s="12">
        <v>46218.0</v>
      </c>
      <c r="F2400" s="12">
        <v>46249.0</v>
      </c>
      <c r="G2400" s="11" t="s">
        <v>13069</v>
      </c>
      <c r="H2400" s="11">
        <v>7.007222766E9</v>
      </c>
      <c r="I2400" s="11" t="s">
        <v>82</v>
      </c>
      <c r="J2400" s="11" t="s">
        <v>71</v>
      </c>
      <c r="K2400" s="11" t="s">
        <v>72</v>
      </c>
      <c r="L2400" s="11" t="s">
        <v>84</v>
      </c>
      <c r="M2400" s="11" t="s">
        <v>2535</v>
      </c>
      <c r="N2400" s="11" t="s">
        <v>86</v>
      </c>
      <c r="O2400" s="11" t="s">
        <v>263</v>
      </c>
      <c r="P2400" s="11" t="s">
        <v>13070</v>
      </c>
      <c r="Q2400" s="13" t="s">
        <v>13071</v>
      </c>
      <c r="R2400" s="14" t="str">
        <f>HYPERLINK("https://drive.google.com/file/d/1JYTgjnhtrHBn9vfnBMwHPcF1hoBzjXlX/view?usp=drivesdk","OFFER LETTER")</f>
        <v>OFFER LETTER</v>
      </c>
      <c r="S2400" s="11" t="s">
        <v>13072</v>
      </c>
    </row>
    <row r="2401" ht="22.5" customHeight="1">
      <c r="A2401" s="10">
        <v>46272.58512217592</v>
      </c>
      <c r="B2401" s="11" t="s">
        <v>13073</v>
      </c>
      <c r="C2401" s="11" t="s">
        <v>107</v>
      </c>
      <c r="D2401" s="11" t="s">
        <v>68</v>
      </c>
      <c r="E2401" s="12">
        <v>46262.0</v>
      </c>
      <c r="F2401" s="12">
        <v>46295.0</v>
      </c>
      <c r="G2401" s="11" t="s">
        <v>13074</v>
      </c>
      <c r="H2401" s="11">
        <v>7.013318942E9</v>
      </c>
      <c r="I2401" s="11" t="s">
        <v>82</v>
      </c>
      <c r="J2401" s="11" t="s">
        <v>71</v>
      </c>
      <c r="K2401" s="11" t="s">
        <v>72</v>
      </c>
      <c r="L2401" s="11" t="s">
        <v>73</v>
      </c>
      <c r="M2401" s="11" t="s">
        <v>13075</v>
      </c>
      <c r="N2401" s="11" t="s">
        <v>75</v>
      </c>
      <c r="O2401" s="11" t="s">
        <v>71</v>
      </c>
      <c r="P2401" s="11" t="s">
        <v>13076</v>
      </c>
      <c r="Q2401" s="13" t="s">
        <v>13077</v>
      </c>
      <c r="R2401" s="14" t="str">
        <f>HYPERLINK("https://drive.google.com/file/d/1XO9czq_K97dSK3lupPkZPZXAuoWEFL6g/view?usp=drivesdk","OFFER LETTER")</f>
        <v>OFFER LETTER</v>
      </c>
      <c r="S2401" s="11" t="s">
        <v>13078</v>
      </c>
    </row>
    <row r="2402" ht="22.5" customHeight="1">
      <c r="A2402" s="10">
        <v>46272.58669725695</v>
      </c>
      <c r="B2402" s="11" t="s">
        <v>13079</v>
      </c>
      <c r="C2402" s="11" t="s">
        <v>107</v>
      </c>
      <c r="D2402" s="11" t="s">
        <v>68</v>
      </c>
      <c r="E2402" s="12">
        <v>46272.0</v>
      </c>
      <c r="F2402" s="12">
        <v>46302.0</v>
      </c>
      <c r="G2402" s="11" t="s">
        <v>13080</v>
      </c>
      <c r="H2402" s="11" t="s">
        <v>13081</v>
      </c>
      <c r="I2402" s="11" t="s">
        <v>70</v>
      </c>
      <c r="J2402" s="11" t="s">
        <v>71</v>
      </c>
      <c r="K2402" s="11" t="s">
        <v>167</v>
      </c>
      <c r="L2402" s="11" t="s">
        <v>247</v>
      </c>
      <c r="M2402" s="11" t="s">
        <v>13082</v>
      </c>
      <c r="N2402" s="11" t="s">
        <v>241</v>
      </c>
      <c r="O2402" s="11" t="s">
        <v>71</v>
      </c>
      <c r="P2402" s="11" t="s">
        <v>13083</v>
      </c>
      <c r="Q2402" s="13" t="s">
        <v>13084</v>
      </c>
      <c r="R2402" s="14" t="str">
        <f>HYPERLINK("https://drive.google.com/file/d/1j5THMMhoiv1q1PoxQiLbhhro_Dr_aKP2/view?usp=drivesdk","OFFER LETTER")</f>
        <v>OFFER LETTER</v>
      </c>
      <c r="S2402" s="11" t="s">
        <v>13085</v>
      </c>
    </row>
    <row r="2403" ht="22.5" customHeight="1">
      <c r="A2403" s="10">
        <v>46272.5869956713</v>
      </c>
      <c r="B2403" s="11" t="s">
        <v>13086</v>
      </c>
      <c r="C2403" s="11" t="s">
        <v>195</v>
      </c>
      <c r="D2403" s="11" t="s">
        <v>68</v>
      </c>
      <c r="E2403" s="12">
        <v>46278.0</v>
      </c>
      <c r="F2403" s="12">
        <v>46308.0</v>
      </c>
      <c r="G2403" s="11" t="s">
        <v>13087</v>
      </c>
      <c r="H2403" s="11">
        <v>9.907954637E9</v>
      </c>
      <c r="I2403" s="11" t="s">
        <v>82</v>
      </c>
      <c r="J2403" s="11" t="s">
        <v>71</v>
      </c>
      <c r="K2403" s="11" t="s">
        <v>72</v>
      </c>
      <c r="L2403" s="11" t="s">
        <v>131</v>
      </c>
      <c r="M2403" s="11" t="s">
        <v>13088</v>
      </c>
      <c r="N2403" s="11" t="s">
        <v>75</v>
      </c>
      <c r="O2403" s="11" t="s">
        <v>71</v>
      </c>
      <c r="P2403" s="11" t="s">
        <v>13089</v>
      </c>
      <c r="Q2403" s="13" t="s">
        <v>13090</v>
      </c>
      <c r="R2403" s="14" t="str">
        <f>HYPERLINK("https://drive.google.com/file/d/17m2J_f4DS7fXwa3Vld5_RYCA-ey1KRBL/view?usp=drivesdk","OFFER LETTER")</f>
        <v>OFFER LETTER</v>
      </c>
      <c r="S2403" s="11" t="s">
        <v>13091</v>
      </c>
    </row>
    <row r="2404" ht="22.5" customHeight="1">
      <c r="A2404" s="10">
        <v>46272.58736011574</v>
      </c>
      <c r="B2404" s="11" t="s">
        <v>13092</v>
      </c>
      <c r="C2404" s="11" t="s">
        <v>128</v>
      </c>
      <c r="D2404" s="11" t="s">
        <v>68</v>
      </c>
      <c r="E2404" s="12">
        <v>46272.0</v>
      </c>
      <c r="F2404" s="12">
        <v>46302.0</v>
      </c>
      <c r="G2404" s="11" t="s">
        <v>13093</v>
      </c>
      <c r="H2404" s="11">
        <v>7.548009117E9</v>
      </c>
      <c r="I2404" s="11" t="s">
        <v>82</v>
      </c>
      <c r="K2404" s="11" t="s">
        <v>110</v>
      </c>
      <c r="L2404" s="11" t="s">
        <v>73</v>
      </c>
      <c r="M2404" s="11" t="s">
        <v>8349</v>
      </c>
      <c r="N2404" s="11" t="s">
        <v>936</v>
      </c>
      <c r="O2404" s="11" t="s">
        <v>263</v>
      </c>
      <c r="P2404" s="11" t="s">
        <v>13094</v>
      </c>
      <c r="Q2404" s="13" t="s">
        <v>13095</v>
      </c>
      <c r="R2404" s="14" t="str">
        <f>HYPERLINK("https://drive.google.com/file/d/1Zk1n9fm6uOf6RZMiUKZyblfr3qO6jzJ9/view?usp=drivesdk","OFFER LETTER")</f>
        <v>OFFER LETTER</v>
      </c>
      <c r="S2404" s="11" t="s">
        <v>13096</v>
      </c>
    </row>
    <row r="2405" ht="22.5" customHeight="1">
      <c r="A2405" s="10">
        <v>46272.58962747685</v>
      </c>
      <c r="B2405" s="11" t="s">
        <v>13097</v>
      </c>
      <c r="C2405" s="11" t="s">
        <v>195</v>
      </c>
      <c r="D2405" s="11" t="s">
        <v>68</v>
      </c>
      <c r="E2405" s="12">
        <v>46272.0</v>
      </c>
      <c r="F2405" s="12">
        <v>46302.0</v>
      </c>
      <c r="G2405" s="11" t="s">
        <v>13098</v>
      </c>
      <c r="H2405" s="11">
        <v>7.093155287E9</v>
      </c>
      <c r="I2405" s="11" t="s">
        <v>70</v>
      </c>
      <c r="J2405" s="11" t="s">
        <v>71</v>
      </c>
      <c r="K2405" s="11" t="s">
        <v>72</v>
      </c>
      <c r="L2405" s="11" t="s">
        <v>73</v>
      </c>
      <c r="M2405" s="11" t="s">
        <v>13099</v>
      </c>
      <c r="N2405" s="11" t="s">
        <v>155</v>
      </c>
      <c r="O2405" s="11" t="s">
        <v>71</v>
      </c>
      <c r="P2405" s="11" t="s">
        <v>13100</v>
      </c>
      <c r="Q2405" s="13" t="s">
        <v>13101</v>
      </c>
      <c r="R2405" s="14" t="str">
        <f>HYPERLINK("https://drive.google.com/file/d/1MzVACrzf_VDaTL3Z3Id3dmIjW1z4ql2T/view?usp=drivesdk","OFFER LETTER")</f>
        <v>OFFER LETTER</v>
      </c>
      <c r="S2405" s="11" t="s">
        <v>13102</v>
      </c>
    </row>
    <row r="2406" ht="22.5" customHeight="1">
      <c r="A2406" s="10">
        <v>46272.58969302083</v>
      </c>
      <c r="B2406" s="11" t="s">
        <v>13103</v>
      </c>
      <c r="C2406" s="11" t="s">
        <v>107</v>
      </c>
      <c r="D2406" s="11" t="s">
        <v>68</v>
      </c>
      <c r="E2406" s="12">
        <v>46286.0</v>
      </c>
      <c r="F2406" s="12">
        <v>46316.0</v>
      </c>
      <c r="G2406" s="11" t="s">
        <v>13104</v>
      </c>
      <c r="H2406" s="11">
        <v>9.156606548E9</v>
      </c>
      <c r="I2406" s="11" t="s">
        <v>70</v>
      </c>
      <c r="J2406" s="11" t="s">
        <v>71</v>
      </c>
      <c r="K2406" s="11" t="s">
        <v>72</v>
      </c>
      <c r="L2406" s="11" t="s">
        <v>131</v>
      </c>
      <c r="M2406" s="11" t="s">
        <v>13105</v>
      </c>
      <c r="N2406" s="11" t="s">
        <v>1641</v>
      </c>
      <c r="O2406" s="11" t="s">
        <v>71</v>
      </c>
      <c r="P2406" s="11" t="s">
        <v>13106</v>
      </c>
      <c r="Q2406" s="13" t="s">
        <v>13107</v>
      </c>
      <c r="R2406" s="14" t="str">
        <f>HYPERLINK("https://drive.google.com/file/d/1qv_Ekhd3SRqJ3fwfmQhuNlI-KSPNKurW/view?usp=drivesdk","OFFER LETTER")</f>
        <v>OFFER LETTER</v>
      </c>
      <c r="S2406" s="11" t="s">
        <v>13108</v>
      </c>
    </row>
    <row r="2407" ht="22.5" customHeight="1">
      <c r="A2407" s="10">
        <v>46272.5899965625</v>
      </c>
      <c r="B2407" s="11" t="s">
        <v>13109</v>
      </c>
      <c r="C2407" s="11" t="s">
        <v>128</v>
      </c>
      <c r="D2407" s="11" t="s">
        <v>68</v>
      </c>
      <c r="E2407" s="12">
        <v>46241.0</v>
      </c>
      <c r="F2407" s="12">
        <v>46274.0</v>
      </c>
      <c r="G2407" s="11" t="s">
        <v>13110</v>
      </c>
      <c r="H2407" s="11">
        <v>7.857816735E9</v>
      </c>
      <c r="I2407" s="11" t="s">
        <v>70</v>
      </c>
      <c r="J2407" s="11" t="s">
        <v>71</v>
      </c>
      <c r="K2407" s="11" t="s">
        <v>72</v>
      </c>
      <c r="L2407" s="11" t="s">
        <v>84</v>
      </c>
      <c r="M2407" s="11" t="s">
        <v>13111</v>
      </c>
      <c r="N2407" s="11" t="s">
        <v>133</v>
      </c>
      <c r="O2407" s="11" t="s">
        <v>71</v>
      </c>
      <c r="P2407" s="11" t="s">
        <v>13112</v>
      </c>
      <c r="Q2407" s="13" t="s">
        <v>13113</v>
      </c>
      <c r="R2407" s="14" t="str">
        <f>HYPERLINK("https://drive.google.com/file/d/1YDfXO1-hIZOMs6P2Z_p5GHdndzaHJWvO/view?usp=drivesdk","OFFER LETTER")</f>
        <v>OFFER LETTER</v>
      </c>
      <c r="S2407" s="11" t="s">
        <v>13114</v>
      </c>
    </row>
    <row r="2408" ht="22.5" customHeight="1">
      <c r="A2408" s="10">
        <v>46272.590315023146</v>
      </c>
      <c r="B2408" s="11" t="s">
        <v>13115</v>
      </c>
      <c r="C2408" s="11" t="s">
        <v>107</v>
      </c>
      <c r="D2408" s="11" t="s">
        <v>68</v>
      </c>
      <c r="E2408" s="12">
        <v>46272.0</v>
      </c>
      <c r="F2408" s="12">
        <v>46302.0</v>
      </c>
      <c r="G2408" s="11" t="s">
        <v>13116</v>
      </c>
      <c r="H2408" s="11">
        <v>7.083266742E9</v>
      </c>
      <c r="I2408" s="11" t="s">
        <v>82</v>
      </c>
      <c r="J2408" s="11" t="s">
        <v>71</v>
      </c>
      <c r="K2408" s="11" t="s">
        <v>72</v>
      </c>
      <c r="L2408" s="11" t="s">
        <v>84</v>
      </c>
      <c r="M2408" s="11" t="s">
        <v>13117</v>
      </c>
      <c r="N2408" s="11" t="s">
        <v>241</v>
      </c>
      <c r="O2408" s="11" t="s">
        <v>71</v>
      </c>
      <c r="P2408" s="11" t="s">
        <v>13118</v>
      </c>
      <c r="Q2408" s="13" t="s">
        <v>13119</v>
      </c>
      <c r="R2408" s="14" t="str">
        <f>HYPERLINK("https://drive.google.com/file/d/1XjfPAXgzHEGqloA1A9AK7ZY0RyJvEQ7Y/view?usp=drivesdk","OFFER LETTER")</f>
        <v>OFFER LETTER</v>
      </c>
      <c r="S2408" s="11" t="s">
        <v>13120</v>
      </c>
    </row>
    <row r="2409" ht="22.5" customHeight="1">
      <c r="A2409" s="10">
        <v>46272.59067799769</v>
      </c>
      <c r="B2409" s="11" t="s">
        <v>13121</v>
      </c>
      <c r="C2409" s="11" t="s">
        <v>237</v>
      </c>
      <c r="D2409" s="11" t="s">
        <v>929</v>
      </c>
      <c r="E2409" s="12">
        <v>46402.0</v>
      </c>
      <c r="F2409" s="12">
        <v>46583.0</v>
      </c>
      <c r="G2409" s="11" t="s">
        <v>13122</v>
      </c>
      <c r="H2409" s="11">
        <v>9.665348479E9</v>
      </c>
      <c r="I2409" s="11" t="s">
        <v>82</v>
      </c>
      <c r="J2409" s="11" t="s">
        <v>71</v>
      </c>
      <c r="K2409" s="11" t="s">
        <v>72</v>
      </c>
      <c r="L2409" s="11" t="s">
        <v>131</v>
      </c>
      <c r="M2409" s="11" t="s">
        <v>13123</v>
      </c>
      <c r="N2409" s="11" t="s">
        <v>75</v>
      </c>
      <c r="O2409" s="11" t="s">
        <v>71</v>
      </c>
      <c r="P2409" s="11" t="s">
        <v>13124</v>
      </c>
      <c r="Q2409" s="13" t="s">
        <v>13125</v>
      </c>
      <c r="R2409" s="14" t="str">
        <f>HYPERLINK("https://drive.google.com/file/d/1WosQ-jlx1yXvogg1cLxN-ci7WWRFBS4d/view?usp=drivesdk","OFFER LETTER")</f>
        <v>OFFER LETTER</v>
      </c>
      <c r="S2409" s="11" t="s">
        <v>13126</v>
      </c>
    </row>
    <row r="2410" ht="22.5" customHeight="1">
      <c r="A2410" s="10">
        <v>46272.591229224534</v>
      </c>
      <c r="B2410" s="11" t="s">
        <v>13127</v>
      </c>
      <c r="C2410" s="11" t="s">
        <v>91</v>
      </c>
      <c r="D2410" s="11" t="s">
        <v>68</v>
      </c>
      <c r="E2410" s="12">
        <v>46280.0</v>
      </c>
      <c r="F2410" s="12">
        <v>46320.0</v>
      </c>
      <c r="G2410" s="11" t="s">
        <v>13128</v>
      </c>
      <c r="H2410" s="11">
        <v>7.07599408E9</v>
      </c>
      <c r="I2410" s="11" t="s">
        <v>82</v>
      </c>
      <c r="J2410" s="11" t="s">
        <v>71</v>
      </c>
      <c r="K2410" s="11" t="s">
        <v>72</v>
      </c>
      <c r="L2410" s="11" t="s">
        <v>131</v>
      </c>
      <c r="M2410" s="11" t="s">
        <v>8361</v>
      </c>
      <c r="N2410" s="11" t="s">
        <v>75</v>
      </c>
      <c r="O2410" s="11" t="s">
        <v>71</v>
      </c>
      <c r="P2410" s="11" t="s">
        <v>13129</v>
      </c>
      <c r="Q2410" s="13" t="s">
        <v>13130</v>
      </c>
      <c r="R2410" s="14" t="str">
        <f>HYPERLINK("https://drive.google.com/file/d/1C3B8MXLB3hKm64roPAIRy7zVhKzyQoaW/view?usp=drivesdk","OFFER LETTER")</f>
        <v>OFFER LETTER</v>
      </c>
      <c r="S2410" s="11" t="s">
        <v>13131</v>
      </c>
    </row>
    <row r="2411" ht="22.5" customHeight="1">
      <c r="A2411" s="10">
        <v>46272.59262434028</v>
      </c>
      <c r="B2411" s="11" t="s">
        <v>13132</v>
      </c>
      <c r="C2411" s="11" t="s">
        <v>173</v>
      </c>
      <c r="D2411" s="11" t="s">
        <v>68</v>
      </c>
      <c r="E2411" s="12">
        <v>46272.0</v>
      </c>
      <c r="F2411" s="12">
        <v>46302.0</v>
      </c>
      <c r="G2411" s="11" t="s">
        <v>13133</v>
      </c>
      <c r="H2411" s="11">
        <v>9.734770487E9</v>
      </c>
      <c r="I2411" s="11" t="s">
        <v>82</v>
      </c>
      <c r="J2411" s="11" t="s">
        <v>71</v>
      </c>
      <c r="K2411" s="11" t="s">
        <v>1028</v>
      </c>
      <c r="L2411" s="11" t="s">
        <v>247</v>
      </c>
      <c r="M2411" s="11" t="s">
        <v>13134</v>
      </c>
      <c r="N2411" s="11" t="s">
        <v>198</v>
      </c>
      <c r="O2411" s="11" t="s">
        <v>71</v>
      </c>
      <c r="P2411" s="11" t="s">
        <v>13135</v>
      </c>
      <c r="Q2411" s="13" t="s">
        <v>13136</v>
      </c>
      <c r="R2411" s="14" t="str">
        <f>HYPERLINK("https://drive.google.com/file/d/1VYEXSSkUnJlVJQjA804KMKZQm84lEx_D/view?usp=drivesdk","OFFER LETTER")</f>
        <v>OFFER LETTER</v>
      </c>
      <c r="S2411" s="11" t="s">
        <v>13137</v>
      </c>
    </row>
    <row r="2412" ht="22.5" customHeight="1">
      <c r="A2412" s="10">
        <v>46272.59389402778</v>
      </c>
      <c r="B2412" s="11" t="s">
        <v>13138</v>
      </c>
      <c r="C2412" s="11" t="s">
        <v>128</v>
      </c>
      <c r="D2412" s="11" t="s">
        <v>8221</v>
      </c>
      <c r="E2412" s="12">
        <v>46273.0</v>
      </c>
      <c r="F2412" s="12">
        <v>46318.0</v>
      </c>
      <c r="G2412" s="11" t="s">
        <v>13139</v>
      </c>
      <c r="H2412" s="11">
        <v>7.093304665E9</v>
      </c>
      <c r="I2412" s="11" t="s">
        <v>82</v>
      </c>
      <c r="J2412" s="11" t="s">
        <v>71</v>
      </c>
      <c r="K2412" s="11" t="s">
        <v>72</v>
      </c>
      <c r="L2412" s="11" t="s">
        <v>73</v>
      </c>
      <c r="M2412" s="11" t="s">
        <v>13140</v>
      </c>
      <c r="N2412" s="11" t="s">
        <v>241</v>
      </c>
      <c r="O2412" s="11" t="s">
        <v>71</v>
      </c>
      <c r="P2412" s="11" t="s">
        <v>13141</v>
      </c>
      <c r="Q2412" s="13" t="s">
        <v>13142</v>
      </c>
      <c r="R2412" s="14" t="str">
        <f>HYPERLINK("https://drive.google.com/file/d/1Uc6G8KW9_nQq8N8CcXLgPIKQbzft0VsT/view?usp=drivesdk","OFFER LETTER")</f>
        <v>OFFER LETTER</v>
      </c>
      <c r="S2412" s="11" t="s">
        <v>13143</v>
      </c>
    </row>
    <row r="2413" ht="22.5" customHeight="1">
      <c r="A2413" s="10">
        <v>46272.595679756945</v>
      </c>
      <c r="B2413" s="11" t="s">
        <v>13144</v>
      </c>
      <c r="C2413" s="11" t="s">
        <v>128</v>
      </c>
      <c r="D2413" s="11" t="s">
        <v>68</v>
      </c>
      <c r="E2413" s="12">
        <v>46272.0</v>
      </c>
      <c r="F2413" s="12">
        <v>46302.0</v>
      </c>
      <c r="G2413" s="11" t="s">
        <v>13145</v>
      </c>
      <c r="H2413" s="11">
        <v>9.637395591E9</v>
      </c>
      <c r="I2413" s="11" t="s">
        <v>70</v>
      </c>
      <c r="J2413" s="11" t="s">
        <v>71</v>
      </c>
      <c r="K2413" s="11" t="s">
        <v>356</v>
      </c>
      <c r="L2413" s="11" t="s">
        <v>247</v>
      </c>
      <c r="M2413" s="11" t="s">
        <v>13146</v>
      </c>
      <c r="N2413" s="11" t="s">
        <v>241</v>
      </c>
      <c r="O2413" s="11" t="s">
        <v>263</v>
      </c>
      <c r="P2413" s="11" t="s">
        <v>13147</v>
      </c>
      <c r="Q2413" s="13" t="s">
        <v>13148</v>
      </c>
      <c r="R2413" s="14" t="str">
        <f>HYPERLINK("https://drive.google.com/file/d/1J5iGAILEObhCz7fOkx1w-TkLRAKs9fGi/view?usp=drivesdk","OFFER LETTER")</f>
        <v>OFFER LETTER</v>
      </c>
      <c r="S2413" s="11" t="s">
        <v>13149</v>
      </c>
    </row>
    <row r="2414" ht="22.5" customHeight="1">
      <c r="A2414" s="10">
        <v>46272.59664690972</v>
      </c>
      <c r="B2414" s="11" t="s">
        <v>13150</v>
      </c>
      <c r="C2414" s="11" t="s">
        <v>259</v>
      </c>
      <c r="D2414" s="11" t="s">
        <v>68</v>
      </c>
      <c r="E2414" s="12">
        <v>46280.0</v>
      </c>
      <c r="F2414" s="12">
        <v>46310.0</v>
      </c>
      <c r="G2414" s="11" t="s">
        <v>13151</v>
      </c>
      <c r="H2414" s="11">
        <v>8.600503536E9</v>
      </c>
      <c r="I2414" s="11" t="s">
        <v>82</v>
      </c>
      <c r="J2414" s="11" t="s">
        <v>71</v>
      </c>
      <c r="K2414" s="11" t="s">
        <v>110</v>
      </c>
      <c r="L2414" s="11" t="s">
        <v>73</v>
      </c>
      <c r="M2414" s="11" t="s">
        <v>13152</v>
      </c>
      <c r="N2414" s="11" t="s">
        <v>241</v>
      </c>
      <c r="O2414" s="11" t="s">
        <v>71</v>
      </c>
      <c r="P2414" s="11" t="s">
        <v>13153</v>
      </c>
      <c r="Q2414" s="13" t="s">
        <v>13154</v>
      </c>
      <c r="R2414" s="14" t="str">
        <f>HYPERLINK("https://drive.google.com/file/d/18Rc0IoWYDaVyqrEWRCyF3pnukrXyfUhR/view?usp=drivesdk","OFFER LETTER")</f>
        <v>OFFER LETTER</v>
      </c>
      <c r="S2414" s="11" t="s">
        <v>13155</v>
      </c>
    </row>
    <row r="2415" ht="22.5" customHeight="1">
      <c r="A2415" s="10">
        <v>46272.59784043982</v>
      </c>
      <c r="B2415" s="11" t="s">
        <v>13156</v>
      </c>
      <c r="C2415" s="11" t="s">
        <v>128</v>
      </c>
      <c r="D2415" s="11" t="s">
        <v>108</v>
      </c>
      <c r="E2415" s="12">
        <v>46241.0</v>
      </c>
      <c r="F2415" s="12">
        <v>46302.0</v>
      </c>
      <c r="G2415" s="11" t="s">
        <v>13157</v>
      </c>
      <c r="H2415" s="11">
        <v>8.639925578E9</v>
      </c>
      <c r="I2415" s="11" t="s">
        <v>82</v>
      </c>
      <c r="J2415" s="11" t="s">
        <v>71</v>
      </c>
      <c r="K2415" s="11" t="s">
        <v>72</v>
      </c>
      <c r="L2415" s="11" t="s">
        <v>73</v>
      </c>
      <c r="M2415" s="11" t="s">
        <v>13158</v>
      </c>
      <c r="N2415" s="11" t="s">
        <v>241</v>
      </c>
      <c r="O2415" s="11" t="s">
        <v>71</v>
      </c>
      <c r="P2415" s="11" t="s">
        <v>13159</v>
      </c>
      <c r="Q2415" s="13" t="s">
        <v>13160</v>
      </c>
      <c r="R2415" s="14" t="str">
        <f>HYPERLINK("https://drive.google.com/file/d/1KvNIGmIhJrxdF_k5R83Bx3I2EE1Ax7Qp/view?usp=drivesdk","OFFER LETTER")</f>
        <v>OFFER LETTER</v>
      </c>
      <c r="S2415" s="11" t="s">
        <v>13161</v>
      </c>
    </row>
    <row r="2416" ht="22.5" customHeight="1">
      <c r="A2416" s="10">
        <v>46272.59809197916</v>
      </c>
      <c r="B2416" s="11" t="s">
        <v>13162</v>
      </c>
      <c r="C2416" s="11" t="s">
        <v>107</v>
      </c>
      <c r="D2416" s="11" t="s">
        <v>68</v>
      </c>
      <c r="E2416" s="12">
        <v>46272.0</v>
      </c>
      <c r="F2416" s="12">
        <v>46302.0</v>
      </c>
      <c r="G2416" s="11" t="s">
        <v>13163</v>
      </c>
      <c r="H2416" s="11">
        <v>7.989959504E9</v>
      </c>
      <c r="I2416" s="11" t="s">
        <v>82</v>
      </c>
      <c r="J2416" s="11" t="s">
        <v>71</v>
      </c>
      <c r="K2416" s="11" t="s">
        <v>72</v>
      </c>
      <c r="L2416" s="11" t="s">
        <v>247</v>
      </c>
      <c r="M2416" s="11" t="s">
        <v>2691</v>
      </c>
      <c r="N2416" s="11" t="s">
        <v>241</v>
      </c>
      <c r="O2416" s="11" t="s">
        <v>71</v>
      </c>
      <c r="P2416" s="11" t="s">
        <v>13164</v>
      </c>
      <c r="Q2416" s="13" t="s">
        <v>13165</v>
      </c>
      <c r="R2416" s="14" t="str">
        <f>HYPERLINK("https://drive.google.com/file/d/15h7kJrtErFUNovOm6zaQ8yfcT91utjFS/view?usp=drivesdk","OFFER LETTER")</f>
        <v>OFFER LETTER</v>
      </c>
      <c r="S2416" s="11" t="s">
        <v>13166</v>
      </c>
    </row>
    <row r="2417" ht="22.5" customHeight="1">
      <c r="A2417" s="10">
        <v>46272.59925900463</v>
      </c>
      <c r="B2417" s="11" t="s">
        <v>13167</v>
      </c>
      <c r="C2417" s="11" t="s">
        <v>1320</v>
      </c>
      <c r="D2417" s="11" t="s">
        <v>68</v>
      </c>
      <c r="E2417" s="12">
        <v>46272.0</v>
      </c>
      <c r="F2417" s="12">
        <v>46302.0</v>
      </c>
      <c r="G2417" s="11" t="s">
        <v>13168</v>
      </c>
      <c r="H2417" s="11">
        <v>9.209354617E9</v>
      </c>
      <c r="I2417" s="11" t="s">
        <v>70</v>
      </c>
      <c r="J2417" s="11" t="s">
        <v>71</v>
      </c>
      <c r="K2417" s="11" t="s">
        <v>72</v>
      </c>
      <c r="L2417" s="11" t="s">
        <v>73</v>
      </c>
      <c r="M2417" s="11" t="s">
        <v>13169</v>
      </c>
      <c r="N2417" s="11" t="s">
        <v>241</v>
      </c>
      <c r="O2417" s="11" t="s">
        <v>71</v>
      </c>
      <c r="P2417" s="11" t="s">
        <v>13170</v>
      </c>
      <c r="Q2417" s="13" t="s">
        <v>13171</v>
      </c>
      <c r="R2417" s="14" t="str">
        <f>HYPERLINK("https://drive.google.com/file/d/1ENdjvMov-FHNXzhQDRkg1L3-F73zBCx-/view?usp=drivesdk","OFFER LETTER")</f>
        <v>OFFER LETTER</v>
      </c>
      <c r="S2417" s="11" t="s">
        <v>13172</v>
      </c>
    </row>
    <row r="2418" ht="22.5" customHeight="1">
      <c r="A2418" s="10">
        <v>46272.59959912037</v>
      </c>
      <c r="B2418" s="11" t="s">
        <v>13173</v>
      </c>
      <c r="C2418" s="11" t="s">
        <v>128</v>
      </c>
      <c r="D2418" s="11" t="s">
        <v>68</v>
      </c>
      <c r="E2418" s="12">
        <v>46183.0</v>
      </c>
      <c r="F2418" s="12">
        <v>46218.0</v>
      </c>
      <c r="G2418" s="11" t="s">
        <v>13174</v>
      </c>
      <c r="H2418" s="11">
        <v>7.303010626E9</v>
      </c>
      <c r="I2418" s="11" t="s">
        <v>70</v>
      </c>
      <c r="J2418" s="11" t="s">
        <v>71</v>
      </c>
      <c r="K2418" s="11" t="s">
        <v>72</v>
      </c>
      <c r="L2418" s="11" t="s">
        <v>84</v>
      </c>
      <c r="M2418" s="11" t="s">
        <v>7000</v>
      </c>
      <c r="N2418" s="11" t="s">
        <v>75</v>
      </c>
      <c r="O2418" s="11" t="s">
        <v>71</v>
      </c>
      <c r="P2418" s="11" t="s">
        <v>13175</v>
      </c>
      <c r="Q2418" s="13" t="s">
        <v>13176</v>
      </c>
      <c r="R2418" s="14" t="str">
        <f>HYPERLINK("https://drive.google.com/file/d/1D31RWS7MPCRWHwqJvTD6oBk9Bd6rg1vA/view?usp=drivesdk","OFFER LETTER")</f>
        <v>OFFER LETTER</v>
      </c>
      <c r="S2418" s="11" t="s">
        <v>13177</v>
      </c>
    </row>
    <row r="2419" ht="22.5" customHeight="1">
      <c r="A2419" s="10">
        <v>46272.60066043981</v>
      </c>
      <c r="B2419" s="11" t="s">
        <v>13178</v>
      </c>
      <c r="C2419" s="11" t="s">
        <v>128</v>
      </c>
      <c r="D2419" s="11" t="s">
        <v>108</v>
      </c>
      <c r="E2419" s="12">
        <v>46241.0</v>
      </c>
      <c r="F2419" s="12">
        <v>46302.0</v>
      </c>
      <c r="G2419" s="11" t="s">
        <v>13157</v>
      </c>
      <c r="H2419" s="11">
        <v>8.639925578E9</v>
      </c>
      <c r="I2419" s="11" t="s">
        <v>82</v>
      </c>
      <c r="J2419" s="11" t="s">
        <v>71</v>
      </c>
      <c r="K2419" s="11" t="s">
        <v>72</v>
      </c>
      <c r="L2419" s="11" t="s">
        <v>73</v>
      </c>
      <c r="M2419" s="11" t="s">
        <v>13179</v>
      </c>
      <c r="N2419" s="11" t="s">
        <v>241</v>
      </c>
      <c r="O2419" s="11" t="s">
        <v>71</v>
      </c>
      <c r="P2419" s="11" t="s">
        <v>13180</v>
      </c>
      <c r="Q2419" s="13" t="s">
        <v>13181</v>
      </c>
      <c r="R2419" s="14" t="str">
        <f>HYPERLINK("https://drive.google.com/file/d/1wnWV0A_onROgLtqNLP5B2FR3hZ161KyD/view?usp=drivesdk","OFFER LETTER")</f>
        <v>OFFER LETTER</v>
      </c>
      <c r="S2419" s="11" t="s">
        <v>13182</v>
      </c>
    </row>
    <row r="2420" ht="22.5" customHeight="1">
      <c r="A2420" s="10">
        <v>46272.60191643519</v>
      </c>
      <c r="B2420" s="11" t="s">
        <v>13183</v>
      </c>
      <c r="C2420" s="11" t="s">
        <v>107</v>
      </c>
      <c r="D2420" s="11" t="s">
        <v>68</v>
      </c>
      <c r="E2420" s="12">
        <v>46272.0</v>
      </c>
      <c r="F2420" s="12">
        <v>46302.0</v>
      </c>
      <c r="G2420" s="11" t="s">
        <v>13184</v>
      </c>
      <c r="H2420" s="17" t="s">
        <v>13185</v>
      </c>
      <c r="I2420" s="11" t="s">
        <v>82</v>
      </c>
      <c r="J2420" s="11" t="s">
        <v>130</v>
      </c>
      <c r="K2420" s="11" t="s">
        <v>110</v>
      </c>
      <c r="L2420" s="11" t="s">
        <v>247</v>
      </c>
      <c r="M2420" s="11" t="s">
        <v>13186</v>
      </c>
      <c r="N2420" s="11" t="s">
        <v>241</v>
      </c>
      <c r="O2420" s="11" t="s">
        <v>263</v>
      </c>
      <c r="P2420" s="11" t="s">
        <v>13187</v>
      </c>
      <c r="Q2420" s="13" t="s">
        <v>13188</v>
      </c>
      <c r="R2420" s="14" t="str">
        <f>HYPERLINK("https://drive.google.com/file/d/1cgPH_-3MJEt_XACyE_VNRQQ09QIt8_r1/view?usp=drivesdk","OFFER LETTER")</f>
        <v>OFFER LETTER</v>
      </c>
      <c r="S2420" s="11" t="s">
        <v>13189</v>
      </c>
    </row>
    <row r="2421" ht="22.5" customHeight="1">
      <c r="A2421" s="10">
        <v>46272.60254818287</v>
      </c>
      <c r="B2421" s="11" t="s">
        <v>13190</v>
      </c>
      <c r="C2421" s="11" t="s">
        <v>195</v>
      </c>
      <c r="D2421" s="11" t="s">
        <v>68</v>
      </c>
      <c r="E2421" s="12">
        <v>46274.0</v>
      </c>
      <c r="F2421" s="12">
        <v>46304.0</v>
      </c>
      <c r="G2421" s="11" t="s">
        <v>13191</v>
      </c>
      <c r="H2421" s="11">
        <v>9.270573818E9</v>
      </c>
      <c r="I2421" s="11" t="s">
        <v>70</v>
      </c>
      <c r="J2421" s="11" t="s">
        <v>71</v>
      </c>
      <c r="K2421" s="11" t="s">
        <v>72</v>
      </c>
      <c r="L2421" s="11" t="s">
        <v>73</v>
      </c>
      <c r="M2421" s="11" t="s">
        <v>13192</v>
      </c>
      <c r="N2421" s="11" t="s">
        <v>75</v>
      </c>
      <c r="O2421" s="11" t="s">
        <v>71</v>
      </c>
      <c r="P2421" s="11" t="s">
        <v>13193</v>
      </c>
      <c r="Q2421" s="13" t="s">
        <v>13194</v>
      </c>
      <c r="R2421" s="14" t="str">
        <f>HYPERLINK("https://drive.google.com/file/d/1P2w0DGLgLJadDOppBbSHbVsB2XWlLxVV/view?usp=drivesdk","OFFER LETTER")</f>
        <v>OFFER LETTER</v>
      </c>
      <c r="S2421" s="11" t="s">
        <v>13195</v>
      </c>
    </row>
    <row r="2422" ht="22.5" customHeight="1">
      <c r="A2422" s="10">
        <v>46272.603075520834</v>
      </c>
      <c r="B2422" s="11" t="s">
        <v>13196</v>
      </c>
      <c r="C2422" s="11" t="s">
        <v>128</v>
      </c>
      <c r="D2422" s="11" t="s">
        <v>68</v>
      </c>
      <c r="E2422" s="12">
        <v>46272.0</v>
      </c>
      <c r="F2422" s="12">
        <v>46302.0</v>
      </c>
      <c r="G2422" s="11" t="s">
        <v>13197</v>
      </c>
      <c r="H2422" s="11">
        <v>6.372726273E9</v>
      </c>
      <c r="I2422" s="11" t="s">
        <v>82</v>
      </c>
      <c r="J2422" s="11" t="s">
        <v>71</v>
      </c>
      <c r="K2422" s="11" t="s">
        <v>72</v>
      </c>
      <c r="L2422" s="11" t="s">
        <v>131</v>
      </c>
      <c r="M2422" s="11" t="s">
        <v>13198</v>
      </c>
      <c r="N2422" s="11" t="s">
        <v>1641</v>
      </c>
      <c r="O2422" s="11" t="s">
        <v>71</v>
      </c>
      <c r="P2422" s="11" t="s">
        <v>13199</v>
      </c>
      <c r="Q2422" s="13" t="s">
        <v>13200</v>
      </c>
      <c r="R2422" s="14" t="str">
        <f>HYPERLINK("https://drive.google.com/file/d/1MQclG_iiWOlD4iFD9leAqpxCMPgMncG5/view?usp=drivesdk","OFFER LETTER")</f>
        <v>OFFER LETTER</v>
      </c>
      <c r="S2422" s="11" t="s">
        <v>13201</v>
      </c>
    </row>
    <row r="2423" ht="22.5" customHeight="1">
      <c r="A2423" s="10">
        <v>46272.6032465625</v>
      </c>
      <c r="B2423" s="11" t="s">
        <v>13202</v>
      </c>
      <c r="C2423" s="11" t="s">
        <v>173</v>
      </c>
      <c r="D2423" s="11" t="s">
        <v>68</v>
      </c>
      <c r="E2423" s="12">
        <v>46174.0</v>
      </c>
      <c r="F2423" s="12">
        <v>46203.0</v>
      </c>
      <c r="G2423" s="11" t="s">
        <v>13203</v>
      </c>
      <c r="H2423" s="11">
        <v>9.645383297E9</v>
      </c>
      <c r="I2423" s="11" t="s">
        <v>82</v>
      </c>
      <c r="J2423" s="11" t="s">
        <v>71</v>
      </c>
      <c r="K2423" s="11" t="s">
        <v>72</v>
      </c>
      <c r="L2423" s="11" t="s">
        <v>73</v>
      </c>
      <c r="M2423" s="11" t="s">
        <v>13204</v>
      </c>
      <c r="N2423" s="11" t="s">
        <v>86</v>
      </c>
      <c r="O2423" s="11" t="s">
        <v>71</v>
      </c>
      <c r="P2423" s="11" t="s">
        <v>13205</v>
      </c>
      <c r="Q2423" s="13" t="s">
        <v>13206</v>
      </c>
      <c r="R2423" s="14" t="str">
        <f>HYPERLINK("https://drive.google.com/file/d/15mZOa7y6WiTqu0b35LZAy9zgmGRsOT1S/view?usp=drivesdk","OFFER LETTER")</f>
        <v>OFFER LETTER</v>
      </c>
      <c r="S2423" s="11" t="s">
        <v>13207</v>
      </c>
    </row>
    <row r="2424" ht="22.5" customHeight="1">
      <c r="A2424" s="10">
        <v>46272.603249618056</v>
      </c>
      <c r="B2424" s="11" t="s">
        <v>13208</v>
      </c>
      <c r="C2424" s="11" t="s">
        <v>173</v>
      </c>
      <c r="D2424" s="11" t="s">
        <v>68</v>
      </c>
      <c r="E2424" s="12">
        <v>46272.0</v>
      </c>
      <c r="F2424" s="12">
        <v>46302.0</v>
      </c>
      <c r="G2424" s="11" t="s">
        <v>13209</v>
      </c>
      <c r="H2424" s="11">
        <v>9.889612676E9</v>
      </c>
      <c r="I2424" s="11" t="s">
        <v>82</v>
      </c>
      <c r="J2424" s="11" t="s">
        <v>71</v>
      </c>
      <c r="K2424" s="11" t="s">
        <v>72</v>
      </c>
      <c r="L2424" s="11" t="s">
        <v>84</v>
      </c>
      <c r="M2424" s="11" t="s">
        <v>13210</v>
      </c>
      <c r="N2424" s="11" t="s">
        <v>75</v>
      </c>
      <c r="O2424" s="11" t="s">
        <v>71</v>
      </c>
      <c r="P2424" s="11" t="s">
        <v>13211</v>
      </c>
      <c r="Q2424" s="13" t="s">
        <v>13212</v>
      </c>
      <c r="R2424" s="14" t="str">
        <f>HYPERLINK("https://drive.google.com/file/d/1zon_YcbD2vj5Rb2TN4F1ut5JizAnDVxO/view?usp=drivesdk","OFFER LETTER")</f>
        <v>OFFER LETTER</v>
      </c>
      <c r="S2424" s="11" t="s">
        <v>13213</v>
      </c>
    </row>
    <row r="2425" ht="22.5" customHeight="1">
      <c r="A2425" s="10">
        <v>46272.604028125</v>
      </c>
      <c r="B2425" s="11" t="s">
        <v>13214</v>
      </c>
      <c r="C2425" s="11" t="s">
        <v>107</v>
      </c>
      <c r="D2425" s="11" t="s">
        <v>108</v>
      </c>
      <c r="E2425" s="12">
        <v>46178.0</v>
      </c>
      <c r="F2425" s="12">
        <v>46239.0</v>
      </c>
      <c r="G2425" s="11" t="s">
        <v>13215</v>
      </c>
      <c r="H2425" s="11">
        <v>7.995745175E9</v>
      </c>
      <c r="I2425" s="11" t="s">
        <v>82</v>
      </c>
      <c r="J2425" s="11" t="s">
        <v>71</v>
      </c>
      <c r="K2425" s="11" t="s">
        <v>72</v>
      </c>
      <c r="L2425" s="11" t="s">
        <v>73</v>
      </c>
      <c r="M2425" s="11" t="s">
        <v>13216</v>
      </c>
      <c r="N2425" s="11" t="s">
        <v>1533</v>
      </c>
      <c r="O2425" s="11" t="s">
        <v>71</v>
      </c>
      <c r="P2425" s="11" t="s">
        <v>13217</v>
      </c>
      <c r="Q2425" s="13" t="s">
        <v>13218</v>
      </c>
      <c r="R2425" s="14" t="str">
        <f>HYPERLINK("https://drive.google.com/file/d/1qDroFHqxxJu1aqkkIo9_nSeC47B0_ySB/view?usp=drivesdk","OFFER LETTER")</f>
        <v>OFFER LETTER</v>
      </c>
      <c r="S2425" s="11" t="s">
        <v>13219</v>
      </c>
    </row>
    <row r="2426" ht="22.5" customHeight="1">
      <c r="A2426" s="10">
        <v>46272.60687826389</v>
      </c>
      <c r="B2426" s="11" t="s">
        <v>13220</v>
      </c>
      <c r="C2426" s="11" t="s">
        <v>91</v>
      </c>
      <c r="D2426" s="11" t="s">
        <v>68</v>
      </c>
      <c r="E2426" s="12">
        <v>46272.0</v>
      </c>
      <c r="F2426" s="12">
        <v>46301.0</v>
      </c>
      <c r="G2426" s="11" t="s">
        <v>13221</v>
      </c>
      <c r="H2426" s="11">
        <v>9.305775998E9</v>
      </c>
      <c r="I2426" s="11" t="s">
        <v>82</v>
      </c>
      <c r="J2426" s="11" t="s">
        <v>71</v>
      </c>
      <c r="K2426" s="11" t="s">
        <v>72</v>
      </c>
      <c r="L2426" s="11" t="s">
        <v>131</v>
      </c>
      <c r="M2426" s="11" t="s">
        <v>13222</v>
      </c>
      <c r="N2426" s="11" t="s">
        <v>241</v>
      </c>
      <c r="O2426" s="11" t="s">
        <v>71</v>
      </c>
      <c r="P2426" s="11" t="s">
        <v>13223</v>
      </c>
      <c r="Q2426" s="13" t="s">
        <v>13224</v>
      </c>
      <c r="R2426" s="14" t="str">
        <f>HYPERLINK("https://drive.google.com/file/d/1jlRTiiNywqwOW4Ts2awkrGwNCkTv1XBI/view?usp=drivesdk","OFFER LETTER")</f>
        <v>OFFER LETTER</v>
      </c>
      <c r="S2426" s="11" t="s">
        <v>13225</v>
      </c>
    </row>
    <row r="2427" ht="22.5" customHeight="1">
      <c r="A2427" s="10">
        <v>46272.61400957176</v>
      </c>
      <c r="B2427" s="11" t="s">
        <v>13226</v>
      </c>
      <c r="C2427" s="11" t="s">
        <v>237</v>
      </c>
      <c r="D2427" s="11" t="s">
        <v>68</v>
      </c>
      <c r="E2427" s="12">
        <v>46273.0</v>
      </c>
      <c r="F2427" s="12">
        <v>46303.0</v>
      </c>
      <c r="G2427" s="11" t="s">
        <v>13227</v>
      </c>
      <c r="H2427" s="11">
        <v>9.373251564E9</v>
      </c>
      <c r="I2427" s="11" t="s">
        <v>82</v>
      </c>
      <c r="J2427" s="11" t="s">
        <v>71</v>
      </c>
      <c r="K2427" s="11" t="s">
        <v>110</v>
      </c>
      <c r="L2427" s="11" t="s">
        <v>357</v>
      </c>
      <c r="M2427" s="11" t="s">
        <v>13228</v>
      </c>
      <c r="N2427" s="11" t="s">
        <v>12144</v>
      </c>
      <c r="O2427" s="11" t="s">
        <v>71</v>
      </c>
      <c r="P2427" s="11" t="s">
        <v>13229</v>
      </c>
      <c r="Q2427" s="13" t="s">
        <v>13230</v>
      </c>
      <c r="R2427" s="14" t="str">
        <f>HYPERLINK("https://drive.google.com/file/d/10yYfWgN1j0Hjm1cc5w5k40l_LvcvPp33/view?usp=drivesdk","OFFER LETTER")</f>
        <v>OFFER LETTER</v>
      </c>
      <c r="S2427" s="11" t="s">
        <v>13231</v>
      </c>
    </row>
    <row r="2428" ht="22.5" customHeight="1">
      <c r="A2428" s="10">
        <v>46272.61416982639</v>
      </c>
      <c r="B2428" s="11" t="s">
        <v>13232</v>
      </c>
      <c r="C2428" s="11" t="s">
        <v>173</v>
      </c>
      <c r="D2428" s="11" t="s">
        <v>68</v>
      </c>
      <c r="E2428" s="12">
        <v>46275.0</v>
      </c>
      <c r="F2428" s="12">
        <v>46305.0</v>
      </c>
      <c r="G2428" s="11" t="s">
        <v>13233</v>
      </c>
      <c r="H2428" s="11">
        <v>9.311533503E9</v>
      </c>
      <c r="I2428" s="11" t="s">
        <v>82</v>
      </c>
      <c r="J2428" s="11" t="s">
        <v>71</v>
      </c>
      <c r="K2428" s="11" t="s">
        <v>110</v>
      </c>
      <c r="L2428" s="11" t="s">
        <v>73</v>
      </c>
      <c r="M2428" s="11" t="s">
        <v>12975</v>
      </c>
      <c r="N2428" s="11" t="s">
        <v>241</v>
      </c>
      <c r="O2428" s="11" t="s">
        <v>71</v>
      </c>
      <c r="P2428" s="11" t="s">
        <v>13234</v>
      </c>
      <c r="Q2428" s="13" t="s">
        <v>13235</v>
      </c>
      <c r="R2428" s="14" t="str">
        <f>HYPERLINK("https://drive.google.com/file/d/1O6cvn3JWN_O3zfvRd28QycfQ7UhTeNqy/view?usp=drivesdk","OFFER LETTER")</f>
        <v>OFFER LETTER</v>
      </c>
      <c r="S2428" s="11" t="s">
        <v>13236</v>
      </c>
    </row>
    <row r="2429" ht="22.5" customHeight="1">
      <c r="A2429" s="10">
        <v>46272.61499862268</v>
      </c>
      <c r="B2429" s="11" t="s">
        <v>13237</v>
      </c>
      <c r="C2429" s="11" t="s">
        <v>742</v>
      </c>
      <c r="D2429" s="11" t="s">
        <v>68</v>
      </c>
      <c r="E2429" s="12">
        <v>46272.0</v>
      </c>
      <c r="F2429" s="12">
        <v>46302.0</v>
      </c>
      <c r="G2429" s="11" t="s">
        <v>13238</v>
      </c>
      <c r="H2429" s="11">
        <v>9.877806431E9</v>
      </c>
      <c r="I2429" s="11" t="s">
        <v>82</v>
      </c>
      <c r="J2429" s="11" t="s">
        <v>71</v>
      </c>
      <c r="K2429" s="11" t="s">
        <v>356</v>
      </c>
      <c r="L2429" s="11" t="s">
        <v>84</v>
      </c>
      <c r="M2429" s="11" t="s">
        <v>13239</v>
      </c>
      <c r="N2429" s="11" t="s">
        <v>1641</v>
      </c>
      <c r="O2429" s="11" t="s">
        <v>71</v>
      </c>
      <c r="P2429" s="11" t="s">
        <v>13240</v>
      </c>
      <c r="Q2429" s="13" t="s">
        <v>13241</v>
      </c>
      <c r="R2429" s="14" t="str">
        <f>HYPERLINK("https://drive.google.com/file/d/1F2_cM6rJ6H3CBgqVaSTwpzOe-ADC3W04/view?usp=drivesdk","OFFER LETTER")</f>
        <v>OFFER LETTER</v>
      </c>
      <c r="S2429" s="11" t="s">
        <v>13242</v>
      </c>
    </row>
    <row r="2430" ht="22.5" customHeight="1">
      <c r="A2430" s="10">
        <v>46272.61649324074</v>
      </c>
      <c r="B2430" s="11" t="s">
        <v>13243</v>
      </c>
      <c r="C2430" s="11" t="s">
        <v>91</v>
      </c>
      <c r="D2430" s="11" t="s">
        <v>68</v>
      </c>
      <c r="E2430" s="12">
        <v>46275.0</v>
      </c>
      <c r="F2430" s="12">
        <v>46305.0</v>
      </c>
      <c r="G2430" s="11" t="s">
        <v>13244</v>
      </c>
      <c r="H2430" s="11">
        <v>9.934997967E9</v>
      </c>
      <c r="I2430" s="11" t="s">
        <v>70</v>
      </c>
      <c r="J2430" s="11" t="s">
        <v>71</v>
      </c>
      <c r="K2430" s="11" t="s">
        <v>72</v>
      </c>
      <c r="L2430" s="11" t="s">
        <v>84</v>
      </c>
      <c r="M2430" s="11" t="s">
        <v>13245</v>
      </c>
      <c r="N2430" s="11" t="s">
        <v>75</v>
      </c>
      <c r="O2430" s="11" t="s">
        <v>71</v>
      </c>
      <c r="P2430" s="11" t="s">
        <v>13246</v>
      </c>
      <c r="Q2430" s="13" t="s">
        <v>13247</v>
      </c>
      <c r="R2430" s="14" t="str">
        <f>HYPERLINK("https://drive.google.com/file/d/1yhR0jCP7doXCckS9GnMhbkbrnb-ZqHui/view?usp=drivesdk","OFFER LETTER")</f>
        <v>OFFER LETTER</v>
      </c>
      <c r="S2430" s="11" t="s">
        <v>13248</v>
      </c>
    </row>
    <row r="2431" ht="22.5" customHeight="1">
      <c r="A2431" s="10">
        <v>46272.61661990741</v>
      </c>
      <c r="B2431" s="11" t="s">
        <v>13249</v>
      </c>
      <c r="C2431" s="11" t="s">
        <v>173</v>
      </c>
      <c r="D2431" s="11" t="s">
        <v>68</v>
      </c>
      <c r="E2431" s="12">
        <v>46272.0</v>
      </c>
      <c r="F2431" s="12">
        <v>46302.0</v>
      </c>
      <c r="G2431" s="11" t="s">
        <v>13250</v>
      </c>
      <c r="H2431" s="11">
        <v>7.249512655E9</v>
      </c>
      <c r="I2431" s="11" t="s">
        <v>82</v>
      </c>
      <c r="J2431" s="11" t="s">
        <v>71</v>
      </c>
      <c r="K2431" s="11" t="s">
        <v>356</v>
      </c>
      <c r="L2431" s="11" t="s">
        <v>357</v>
      </c>
      <c r="M2431" s="11" t="s">
        <v>13251</v>
      </c>
      <c r="N2431" s="11" t="s">
        <v>241</v>
      </c>
      <c r="O2431" s="11" t="s">
        <v>71</v>
      </c>
      <c r="P2431" s="11" t="s">
        <v>13252</v>
      </c>
      <c r="Q2431" s="13" t="s">
        <v>13253</v>
      </c>
      <c r="R2431" s="14" t="str">
        <f>HYPERLINK("https://drive.google.com/file/d/1Tnvh5Q07IQHxQCCCVGWDCmsZA0knssAp/view?usp=drivesdk","OFFER LETTER")</f>
        <v>OFFER LETTER</v>
      </c>
      <c r="S2431" s="11" t="s">
        <v>13254</v>
      </c>
    </row>
    <row r="2432" ht="22.5" customHeight="1">
      <c r="A2432" s="10">
        <v>46272.61883381945</v>
      </c>
      <c r="B2432" s="11" t="s">
        <v>13255</v>
      </c>
      <c r="C2432" s="11" t="s">
        <v>107</v>
      </c>
      <c r="D2432" s="11" t="s">
        <v>68</v>
      </c>
      <c r="E2432" s="12">
        <v>46272.0</v>
      </c>
      <c r="F2432" s="12">
        <v>46302.0</v>
      </c>
      <c r="G2432" s="11" t="s">
        <v>13256</v>
      </c>
      <c r="H2432" s="11">
        <v>9.86936656E9</v>
      </c>
      <c r="I2432" s="11" t="s">
        <v>70</v>
      </c>
      <c r="J2432" s="11" t="s">
        <v>71</v>
      </c>
      <c r="K2432" s="11" t="s">
        <v>72</v>
      </c>
      <c r="L2432" s="11" t="s">
        <v>73</v>
      </c>
      <c r="M2432" s="11" t="s">
        <v>662</v>
      </c>
      <c r="N2432" s="11" t="s">
        <v>241</v>
      </c>
      <c r="O2432" s="11" t="s">
        <v>71</v>
      </c>
      <c r="P2432" s="11" t="s">
        <v>13257</v>
      </c>
      <c r="Q2432" s="13" t="s">
        <v>13258</v>
      </c>
      <c r="R2432" s="14" t="str">
        <f>HYPERLINK("https://drive.google.com/file/d/1NldESGzAG8hqow8kEhfN_s7w_qol9_6I/view?usp=drivesdk","OFFER LETTER")</f>
        <v>OFFER LETTER</v>
      </c>
      <c r="S2432" s="11" t="s">
        <v>13259</v>
      </c>
    </row>
    <row r="2433" ht="22.5" customHeight="1">
      <c r="A2433" s="10">
        <v>46272.61956709491</v>
      </c>
      <c r="B2433" s="11" t="s">
        <v>13260</v>
      </c>
      <c r="C2433" s="11" t="s">
        <v>173</v>
      </c>
      <c r="D2433" s="11" t="s">
        <v>108</v>
      </c>
      <c r="E2433" s="12">
        <v>46179.0</v>
      </c>
      <c r="F2433" s="12">
        <v>46240.0</v>
      </c>
      <c r="G2433" s="11" t="s">
        <v>13215</v>
      </c>
      <c r="H2433" s="11">
        <v>7.995745175E9</v>
      </c>
      <c r="I2433" s="11" t="s">
        <v>82</v>
      </c>
      <c r="J2433" s="11" t="s">
        <v>71</v>
      </c>
      <c r="K2433" s="11" t="s">
        <v>72</v>
      </c>
      <c r="L2433" s="11" t="s">
        <v>73</v>
      </c>
      <c r="M2433" s="11" t="s">
        <v>13216</v>
      </c>
      <c r="N2433" s="11" t="s">
        <v>1533</v>
      </c>
      <c r="O2433" s="11" t="s">
        <v>71</v>
      </c>
      <c r="P2433" s="11" t="s">
        <v>13261</v>
      </c>
      <c r="Q2433" s="13" t="s">
        <v>13262</v>
      </c>
      <c r="R2433" s="14" t="str">
        <f>HYPERLINK("https://drive.google.com/file/d/1TxwRVOf4s4jBULPqErKvHzSTTPGmA-S0/view?usp=drivesdk","OFFER LETTER")</f>
        <v>OFFER LETTER</v>
      </c>
      <c r="S2433" s="11" t="s">
        <v>13263</v>
      </c>
    </row>
    <row r="2434" ht="22.5" customHeight="1">
      <c r="A2434" s="10">
        <v>46272.62114137731</v>
      </c>
      <c r="B2434" s="11" t="s">
        <v>13264</v>
      </c>
      <c r="C2434" s="11" t="s">
        <v>128</v>
      </c>
      <c r="D2434" s="11" t="s">
        <v>238</v>
      </c>
      <c r="E2434" s="12">
        <v>46272.0</v>
      </c>
      <c r="F2434" s="12">
        <v>46333.0</v>
      </c>
      <c r="G2434" s="11" t="s">
        <v>13265</v>
      </c>
      <c r="H2434" s="11">
        <v>8.055680941E9</v>
      </c>
      <c r="I2434" s="11" t="s">
        <v>82</v>
      </c>
      <c r="J2434" s="11" t="s">
        <v>71</v>
      </c>
      <c r="K2434" s="13" t="s">
        <v>443</v>
      </c>
      <c r="L2434" s="11" t="s">
        <v>131</v>
      </c>
      <c r="M2434" s="11" t="s">
        <v>13266</v>
      </c>
      <c r="N2434" s="11" t="s">
        <v>4001</v>
      </c>
      <c r="O2434" s="11" t="s">
        <v>71</v>
      </c>
      <c r="P2434" s="11" t="s">
        <v>13267</v>
      </c>
      <c r="Q2434" s="13" t="s">
        <v>13268</v>
      </c>
      <c r="R2434" s="14" t="str">
        <f>HYPERLINK("https://drive.google.com/file/d/1E-hRDzIWVC_bqx-9kX_7JMhZiVy51yic/view?usp=drivesdk","OFFER LETTER")</f>
        <v>OFFER LETTER</v>
      </c>
      <c r="S2434" s="11" t="s">
        <v>13269</v>
      </c>
    </row>
    <row r="2435" ht="22.5" customHeight="1">
      <c r="A2435" s="10">
        <v>46272.621453472224</v>
      </c>
      <c r="B2435" s="11" t="s">
        <v>13270</v>
      </c>
      <c r="C2435" s="11" t="s">
        <v>80</v>
      </c>
      <c r="D2435" s="11" t="s">
        <v>108</v>
      </c>
      <c r="E2435" s="12">
        <v>46185.0</v>
      </c>
      <c r="F2435" s="12">
        <v>46247.0</v>
      </c>
      <c r="G2435" s="11" t="s">
        <v>13271</v>
      </c>
      <c r="H2435" s="11">
        <v>9.121698808E9</v>
      </c>
      <c r="I2435" s="11" t="s">
        <v>82</v>
      </c>
      <c r="J2435" s="11" t="s">
        <v>130</v>
      </c>
      <c r="K2435" s="11" t="s">
        <v>72</v>
      </c>
      <c r="L2435" s="11" t="s">
        <v>131</v>
      </c>
      <c r="M2435" s="11" t="s">
        <v>9347</v>
      </c>
      <c r="N2435" s="11" t="s">
        <v>75</v>
      </c>
      <c r="O2435" s="11" t="s">
        <v>71</v>
      </c>
      <c r="P2435" s="11" t="s">
        <v>13272</v>
      </c>
      <c r="Q2435" s="13" t="s">
        <v>13273</v>
      </c>
      <c r="R2435" s="14" t="str">
        <f>HYPERLINK("https://drive.google.com/file/d/1JimTJsjh5nG94-e2jwrLImMDgmxyw_VS/view?usp=drivesdk","OFFER LETTER")</f>
        <v>OFFER LETTER</v>
      </c>
      <c r="S2435" s="11" t="s">
        <v>13274</v>
      </c>
    </row>
    <row r="2436" ht="22.5" customHeight="1">
      <c r="A2436" s="10">
        <v>46272.62213059027</v>
      </c>
      <c r="B2436" s="11" t="s">
        <v>13275</v>
      </c>
      <c r="C2436" s="11" t="s">
        <v>128</v>
      </c>
      <c r="D2436" s="11" t="s">
        <v>68</v>
      </c>
      <c r="E2436" s="12">
        <v>46188.0</v>
      </c>
      <c r="F2436" s="12">
        <v>46218.0</v>
      </c>
      <c r="G2436" s="11" t="s">
        <v>13276</v>
      </c>
      <c r="H2436" s="11">
        <v>8.10278579E9</v>
      </c>
      <c r="I2436" s="11" t="s">
        <v>82</v>
      </c>
      <c r="J2436" s="11" t="s">
        <v>71</v>
      </c>
      <c r="K2436" s="11" t="s">
        <v>72</v>
      </c>
      <c r="L2436" s="11" t="s">
        <v>84</v>
      </c>
      <c r="M2436" s="11" t="s">
        <v>7000</v>
      </c>
      <c r="N2436" s="11" t="s">
        <v>75</v>
      </c>
      <c r="O2436" s="11" t="s">
        <v>71</v>
      </c>
      <c r="P2436" s="11" t="s">
        <v>13277</v>
      </c>
      <c r="Q2436" s="13" t="s">
        <v>13278</v>
      </c>
      <c r="R2436" s="14" t="str">
        <f>HYPERLINK("https://drive.google.com/file/d/14X4Aq6ybwdn3bu1xoPw29RV_YFWc6EXS/view?usp=drivesdk","OFFER LETTER")</f>
        <v>OFFER LETTER</v>
      </c>
      <c r="S2436" s="11" t="s">
        <v>13279</v>
      </c>
    </row>
    <row r="2437" ht="22.5" customHeight="1">
      <c r="A2437" s="10">
        <v>46272.6221822338</v>
      </c>
      <c r="B2437" s="11" t="s">
        <v>13280</v>
      </c>
      <c r="C2437" s="11" t="s">
        <v>417</v>
      </c>
      <c r="D2437" s="11" t="s">
        <v>108</v>
      </c>
      <c r="E2437" s="12">
        <v>46180.0</v>
      </c>
      <c r="F2437" s="12">
        <v>46241.0</v>
      </c>
      <c r="G2437" s="11" t="s">
        <v>13215</v>
      </c>
      <c r="H2437" s="11">
        <v>7.995745175E9</v>
      </c>
      <c r="I2437" s="11" t="s">
        <v>82</v>
      </c>
      <c r="J2437" s="11" t="s">
        <v>71</v>
      </c>
      <c r="K2437" s="11" t="s">
        <v>72</v>
      </c>
      <c r="L2437" s="11" t="s">
        <v>73</v>
      </c>
      <c r="M2437" s="11" t="s">
        <v>13216</v>
      </c>
      <c r="N2437" s="11" t="s">
        <v>226</v>
      </c>
      <c r="O2437" s="11" t="s">
        <v>71</v>
      </c>
      <c r="P2437" s="11" t="s">
        <v>13281</v>
      </c>
      <c r="Q2437" s="13" t="s">
        <v>13282</v>
      </c>
      <c r="R2437" s="14" t="str">
        <f>HYPERLINK("https://drive.google.com/file/d/13BZvWKlZKTrOXBL8EBtSNb2yTRS4Nr-b/view?usp=drivesdk","OFFER LETTER")</f>
        <v>OFFER LETTER</v>
      </c>
      <c r="S2437" s="11" t="s">
        <v>13283</v>
      </c>
    </row>
    <row r="2438" ht="22.5" customHeight="1">
      <c r="A2438" s="10">
        <v>46272.623000555555</v>
      </c>
      <c r="B2438" s="11" t="s">
        <v>13284</v>
      </c>
      <c r="C2438" s="11" t="s">
        <v>128</v>
      </c>
      <c r="D2438" s="11" t="s">
        <v>68</v>
      </c>
      <c r="E2438" s="12">
        <v>46279.0</v>
      </c>
      <c r="F2438" s="12">
        <v>46309.0</v>
      </c>
      <c r="G2438" s="11" t="s">
        <v>13285</v>
      </c>
      <c r="H2438" s="11">
        <v>8.457887404E9</v>
      </c>
      <c r="I2438" s="11" t="s">
        <v>70</v>
      </c>
      <c r="J2438" s="11" t="s">
        <v>71</v>
      </c>
      <c r="K2438" s="13" t="s">
        <v>674</v>
      </c>
      <c r="L2438" s="11" t="s">
        <v>247</v>
      </c>
      <c r="M2438" s="11" t="s">
        <v>13286</v>
      </c>
      <c r="N2438" s="11" t="s">
        <v>86</v>
      </c>
      <c r="O2438" s="11" t="s">
        <v>71</v>
      </c>
      <c r="P2438" s="11" t="s">
        <v>13287</v>
      </c>
      <c r="Q2438" s="13" t="s">
        <v>13288</v>
      </c>
      <c r="R2438" s="14" t="str">
        <f>HYPERLINK("https://drive.google.com/file/d/16OdxpczRwsKQuC2AYYj1KFcX6up_QVWx/view?usp=drivesdk","OFFER LETTER")</f>
        <v>OFFER LETTER</v>
      </c>
      <c r="S2438" s="11" t="s">
        <v>13289</v>
      </c>
    </row>
    <row r="2439" ht="22.5" customHeight="1">
      <c r="A2439" s="10">
        <v>46272.62809216435</v>
      </c>
      <c r="B2439" s="11" t="s">
        <v>13290</v>
      </c>
      <c r="C2439" s="11" t="s">
        <v>1320</v>
      </c>
      <c r="D2439" s="11" t="s">
        <v>68</v>
      </c>
      <c r="E2439" s="12">
        <v>46275.0</v>
      </c>
      <c r="F2439" s="12">
        <v>46305.0</v>
      </c>
      <c r="G2439" s="11" t="s">
        <v>13291</v>
      </c>
      <c r="H2439" s="11">
        <v>9.305440189E9</v>
      </c>
      <c r="I2439" s="11" t="s">
        <v>82</v>
      </c>
      <c r="J2439" s="11" t="s">
        <v>71</v>
      </c>
      <c r="K2439" s="11" t="s">
        <v>72</v>
      </c>
      <c r="L2439" s="11" t="s">
        <v>131</v>
      </c>
      <c r="M2439" s="11" t="s">
        <v>13245</v>
      </c>
      <c r="N2439" s="11" t="s">
        <v>1576</v>
      </c>
      <c r="O2439" s="11" t="s">
        <v>71</v>
      </c>
      <c r="P2439" s="11" t="s">
        <v>13292</v>
      </c>
      <c r="Q2439" s="13" t="s">
        <v>13293</v>
      </c>
      <c r="R2439" s="14" t="str">
        <f>HYPERLINK("https://drive.google.com/file/d/1SONFeIbAexw75CjHoupTcrlmWUDfJJTS/view?usp=drivesdk","OFFER LETTER")</f>
        <v>OFFER LETTER</v>
      </c>
      <c r="S2439" s="11" t="s">
        <v>13294</v>
      </c>
    </row>
    <row r="2440" ht="22.5" customHeight="1">
      <c r="A2440" s="10">
        <v>46272.63266449074</v>
      </c>
      <c r="B2440" s="11" t="s">
        <v>6716</v>
      </c>
      <c r="C2440" s="11" t="s">
        <v>237</v>
      </c>
      <c r="D2440" s="11" t="s">
        <v>68</v>
      </c>
      <c r="E2440" s="12">
        <v>39909.0</v>
      </c>
      <c r="F2440" s="12">
        <v>46302.0</v>
      </c>
      <c r="G2440" s="11" t="s">
        <v>13295</v>
      </c>
      <c r="H2440" s="11">
        <v>8.766015878E9</v>
      </c>
      <c r="I2440" s="11" t="s">
        <v>82</v>
      </c>
      <c r="J2440" s="11" t="s">
        <v>71</v>
      </c>
      <c r="K2440" s="11" t="s">
        <v>72</v>
      </c>
      <c r="L2440" s="11" t="s">
        <v>357</v>
      </c>
      <c r="M2440" s="11" t="s">
        <v>13296</v>
      </c>
      <c r="N2440" s="11" t="s">
        <v>7098</v>
      </c>
      <c r="O2440" s="11" t="s">
        <v>71</v>
      </c>
      <c r="P2440" s="11" t="s">
        <v>13297</v>
      </c>
      <c r="Q2440" s="13" t="s">
        <v>13298</v>
      </c>
      <c r="R2440" s="14" t="str">
        <f>HYPERLINK("https://drive.google.com/file/d/1APYrqjB2vFmvbL89uALihogAAj0VyB4s/view?usp=drivesdk","OFFER LETTER")</f>
        <v>OFFER LETTER</v>
      </c>
      <c r="S2440" s="11" t="s">
        <v>13299</v>
      </c>
    </row>
    <row r="2441" ht="22.5" customHeight="1">
      <c r="A2441" s="10">
        <v>46272.633026400465</v>
      </c>
      <c r="B2441" s="11" t="s">
        <v>13300</v>
      </c>
      <c r="C2441" s="11" t="s">
        <v>128</v>
      </c>
      <c r="D2441" s="11" t="s">
        <v>68</v>
      </c>
      <c r="E2441" s="12">
        <v>46169.0</v>
      </c>
      <c r="F2441" s="12">
        <v>46200.0</v>
      </c>
      <c r="G2441" s="11" t="s">
        <v>13301</v>
      </c>
      <c r="H2441" s="11">
        <v>8.468976848E9</v>
      </c>
      <c r="I2441" s="11" t="s">
        <v>70</v>
      </c>
      <c r="J2441" s="11" t="s">
        <v>71</v>
      </c>
      <c r="K2441" s="11" t="s">
        <v>72</v>
      </c>
      <c r="L2441" s="11" t="s">
        <v>73</v>
      </c>
      <c r="M2441" s="11" t="s">
        <v>10490</v>
      </c>
      <c r="N2441" s="11" t="s">
        <v>86</v>
      </c>
      <c r="O2441" s="11" t="s">
        <v>71</v>
      </c>
      <c r="P2441" s="11" t="s">
        <v>13302</v>
      </c>
      <c r="Q2441" s="13" t="s">
        <v>13303</v>
      </c>
      <c r="R2441" s="14" t="str">
        <f>HYPERLINK("https://drive.google.com/file/d/1LOMl6twziFeLV6POsy_kEJNNei_sNyMS/view?usp=drivesdk","OFFER LETTER")</f>
        <v>OFFER LETTER</v>
      </c>
      <c r="S2441" s="11" t="s">
        <v>13304</v>
      </c>
    </row>
    <row r="2442" ht="22.5" customHeight="1">
      <c r="A2442" s="10">
        <v>46272.636346307874</v>
      </c>
      <c r="B2442" s="11" t="s">
        <v>13305</v>
      </c>
      <c r="C2442" s="11" t="s">
        <v>354</v>
      </c>
      <c r="D2442" s="11" t="s">
        <v>68</v>
      </c>
      <c r="E2442" s="12">
        <v>46148.0</v>
      </c>
      <c r="F2442" s="12">
        <v>46179.0</v>
      </c>
      <c r="G2442" s="11" t="s">
        <v>13306</v>
      </c>
      <c r="H2442" s="11">
        <v>8.595683837E9</v>
      </c>
      <c r="I2442" s="11" t="s">
        <v>82</v>
      </c>
      <c r="J2442" s="11" t="s">
        <v>71</v>
      </c>
      <c r="K2442" s="11" t="s">
        <v>72</v>
      </c>
      <c r="L2442" s="11" t="s">
        <v>73</v>
      </c>
      <c r="M2442" s="11" t="s">
        <v>886</v>
      </c>
      <c r="N2442" s="11" t="s">
        <v>86</v>
      </c>
      <c r="O2442" s="11" t="s">
        <v>71</v>
      </c>
      <c r="P2442" s="11" t="s">
        <v>13307</v>
      </c>
      <c r="Q2442" s="13" t="s">
        <v>13308</v>
      </c>
      <c r="R2442" s="14" t="str">
        <f>HYPERLINK("https://drive.google.com/file/d/1v1UakKNPiFZrz3xZOV2xXbJa6m2362M9/view?usp=drivesdk","OFFER LETTER")</f>
        <v>OFFER LETTER</v>
      </c>
      <c r="S2442" s="11" t="s">
        <v>13309</v>
      </c>
    </row>
    <row r="2443" ht="22.5" customHeight="1">
      <c r="A2443" s="10">
        <v>46272.642922037034</v>
      </c>
      <c r="B2443" s="11" t="s">
        <v>13310</v>
      </c>
      <c r="C2443" s="11" t="s">
        <v>128</v>
      </c>
      <c r="D2443" s="11" t="s">
        <v>68</v>
      </c>
      <c r="E2443" s="12">
        <v>46275.0</v>
      </c>
      <c r="F2443" s="12">
        <v>46305.0</v>
      </c>
      <c r="G2443" s="11" t="s">
        <v>13311</v>
      </c>
      <c r="H2443" s="11">
        <v>9.424667037E9</v>
      </c>
      <c r="I2443" s="11" t="s">
        <v>82</v>
      </c>
      <c r="J2443" s="11" t="s">
        <v>83</v>
      </c>
      <c r="K2443" s="11" t="s">
        <v>72</v>
      </c>
      <c r="L2443" s="11" t="s">
        <v>73</v>
      </c>
      <c r="M2443" s="11" t="s">
        <v>13312</v>
      </c>
      <c r="N2443" s="11" t="s">
        <v>241</v>
      </c>
      <c r="O2443" s="11" t="s">
        <v>71</v>
      </c>
      <c r="P2443" s="11" t="s">
        <v>13313</v>
      </c>
      <c r="Q2443" s="13" t="s">
        <v>13314</v>
      </c>
      <c r="R2443" s="14" t="str">
        <f>HYPERLINK("https://drive.google.com/file/d/1GuW6VtqWofL812yjmZTnigD6SQlrWvCF/view?usp=drivesdk","OFFER LETTER")</f>
        <v>OFFER LETTER</v>
      </c>
      <c r="S2443" s="11" t="s">
        <v>13315</v>
      </c>
    </row>
    <row r="2444" ht="22.5" customHeight="1">
      <c r="A2444" s="10">
        <v>46272.64506109954</v>
      </c>
      <c r="B2444" s="11" t="s">
        <v>13316</v>
      </c>
      <c r="C2444" s="11" t="s">
        <v>1320</v>
      </c>
      <c r="D2444" s="11" t="s">
        <v>68</v>
      </c>
      <c r="E2444" s="12">
        <v>46272.0</v>
      </c>
      <c r="F2444" s="12">
        <v>46302.0</v>
      </c>
      <c r="G2444" s="11" t="s">
        <v>13317</v>
      </c>
      <c r="H2444" s="11">
        <v>8.261075589E9</v>
      </c>
      <c r="I2444" s="11" t="s">
        <v>82</v>
      </c>
      <c r="J2444" s="11" t="s">
        <v>71</v>
      </c>
      <c r="K2444" s="11" t="s">
        <v>72</v>
      </c>
      <c r="L2444" s="11" t="s">
        <v>247</v>
      </c>
      <c r="M2444" s="11" t="s">
        <v>13318</v>
      </c>
      <c r="N2444" s="11" t="s">
        <v>75</v>
      </c>
      <c r="O2444" s="11" t="s">
        <v>71</v>
      </c>
      <c r="P2444" s="11" t="s">
        <v>13319</v>
      </c>
      <c r="Q2444" s="13" t="s">
        <v>13320</v>
      </c>
      <c r="R2444" s="14" t="str">
        <f>HYPERLINK("https://drive.google.com/file/d/13EUnU2ydteZP9n9pmSX86pi3F-Q6Xnga/view?usp=drivesdk","OFFER LETTER")</f>
        <v>OFFER LETTER</v>
      </c>
      <c r="S2444" s="11" t="s">
        <v>13321</v>
      </c>
    </row>
    <row r="2445" ht="22.5" customHeight="1">
      <c r="A2445" s="10">
        <v>46272.64530553241</v>
      </c>
      <c r="B2445" s="11" t="s">
        <v>13322</v>
      </c>
      <c r="C2445" s="11" t="s">
        <v>80</v>
      </c>
      <c r="D2445" s="11" t="s">
        <v>68</v>
      </c>
      <c r="E2445" s="12">
        <v>46276.0</v>
      </c>
      <c r="F2445" s="12">
        <v>46305.0</v>
      </c>
      <c r="G2445" s="11" t="s">
        <v>13323</v>
      </c>
      <c r="H2445" s="11">
        <v>9.61818151E9</v>
      </c>
      <c r="I2445" s="11" t="s">
        <v>82</v>
      </c>
      <c r="J2445" s="11" t="s">
        <v>83</v>
      </c>
      <c r="K2445" s="11" t="s">
        <v>72</v>
      </c>
      <c r="L2445" s="11" t="s">
        <v>84</v>
      </c>
      <c r="M2445" s="11" t="s">
        <v>400</v>
      </c>
      <c r="N2445" s="11" t="s">
        <v>155</v>
      </c>
      <c r="O2445" s="11" t="s">
        <v>71</v>
      </c>
      <c r="P2445" s="11" t="s">
        <v>13324</v>
      </c>
      <c r="Q2445" s="13" t="s">
        <v>13325</v>
      </c>
      <c r="R2445" s="14" t="str">
        <f>HYPERLINK("https://drive.google.com/file/d/13GI86MW5-ZIQ9sHY4adIRaIFv44mdYTZ/view?usp=drivesdk","OFFER LETTER")</f>
        <v>OFFER LETTER</v>
      </c>
      <c r="S2445" s="11" t="s">
        <v>13326</v>
      </c>
    </row>
    <row r="2446" ht="22.5" customHeight="1">
      <c r="A2446" s="10">
        <v>46272.64877670139</v>
      </c>
      <c r="B2446" s="11" t="s">
        <v>13327</v>
      </c>
      <c r="C2446" s="11" t="s">
        <v>237</v>
      </c>
      <c r="D2446" s="11" t="s">
        <v>68</v>
      </c>
      <c r="E2446" s="12">
        <v>46272.0</v>
      </c>
      <c r="F2446" s="12">
        <v>46302.0</v>
      </c>
      <c r="G2446" s="11" t="s">
        <v>13328</v>
      </c>
      <c r="H2446" s="11">
        <v>7.842267278E9</v>
      </c>
      <c r="I2446" s="11" t="s">
        <v>82</v>
      </c>
      <c r="J2446" s="11" t="s">
        <v>71</v>
      </c>
      <c r="K2446" s="11" t="s">
        <v>72</v>
      </c>
      <c r="L2446" s="11" t="s">
        <v>84</v>
      </c>
      <c r="M2446" s="11" t="s">
        <v>13329</v>
      </c>
      <c r="N2446" s="11" t="s">
        <v>1641</v>
      </c>
      <c r="O2446" s="11" t="s">
        <v>71</v>
      </c>
      <c r="P2446" s="11" t="s">
        <v>13330</v>
      </c>
      <c r="Q2446" s="13" t="s">
        <v>13331</v>
      </c>
      <c r="R2446" s="14" t="str">
        <f>HYPERLINK("https://drive.google.com/file/d/1yoMayU5VsaXtvvpz2SLjlJ13RkWE6XA2/view?usp=drivesdk","OFFER LETTER")</f>
        <v>OFFER LETTER</v>
      </c>
      <c r="S2446" s="11" t="s">
        <v>13332</v>
      </c>
    </row>
    <row r="2447" ht="22.5" customHeight="1">
      <c r="A2447" s="10">
        <v>46272.650657199076</v>
      </c>
      <c r="B2447" s="11" t="s">
        <v>13333</v>
      </c>
      <c r="C2447" s="11" t="s">
        <v>67</v>
      </c>
      <c r="D2447" s="11" t="s">
        <v>929</v>
      </c>
      <c r="E2447" s="12">
        <v>45921.0</v>
      </c>
      <c r="F2447" s="12">
        <v>46085.0</v>
      </c>
      <c r="G2447" s="11" t="s">
        <v>13334</v>
      </c>
      <c r="H2447" s="11">
        <v>7.682924491E9</v>
      </c>
      <c r="I2447" s="11" t="s">
        <v>82</v>
      </c>
      <c r="J2447" s="11" t="s">
        <v>71</v>
      </c>
      <c r="K2447" s="11" t="s">
        <v>72</v>
      </c>
      <c r="L2447" s="11" t="s">
        <v>73</v>
      </c>
      <c r="M2447" s="11" t="s">
        <v>13335</v>
      </c>
      <c r="N2447" s="11" t="s">
        <v>226</v>
      </c>
      <c r="O2447" s="11" t="s">
        <v>71</v>
      </c>
      <c r="P2447" s="11" t="s">
        <v>13336</v>
      </c>
      <c r="Q2447" s="13" t="s">
        <v>13337</v>
      </c>
      <c r="R2447" s="14" t="str">
        <f>HYPERLINK("https://drive.google.com/file/d/19rZzmpxy2yJqPG_5xRNenMeSIOqYagLS/view?usp=drivesdk","OFFER LETTER")</f>
        <v>OFFER LETTER</v>
      </c>
      <c r="S2447" s="11" t="s">
        <v>13338</v>
      </c>
    </row>
    <row r="2448" ht="22.5" customHeight="1">
      <c r="A2448" s="10">
        <v>46272.65173572917</v>
      </c>
      <c r="B2448" s="11" t="s">
        <v>13339</v>
      </c>
      <c r="C2448" s="11" t="s">
        <v>107</v>
      </c>
      <c r="D2448" s="11" t="s">
        <v>68</v>
      </c>
      <c r="E2448" s="12">
        <v>46272.0</v>
      </c>
      <c r="F2448" s="12">
        <v>46301.0</v>
      </c>
      <c r="G2448" s="11" t="s">
        <v>13340</v>
      </c>
      <c r="H2448" s="11">
        <v>8.899037279E9</v>
      </c>
      <c r="I2448" s="11" t="s">
        <v>82</v>
      </c>
      <c r="J2448" s="11" t="s">
        <v>71</v>
      </c>
      <c r="K2448" s="13" t="s">
        <v>443</v>
      </c>
      <c r="L2448" s="11" t="s">
        <v>84</v>
      </c>
      <c r="M2448" s="11" t="s">
        <v>13341</v>
      </c>
      <c r="N2448" s="11" t="s">
        <v>75</v>
      </c>
      <c r="O2448" s="11" t="s">
        <v>71</v>
      </c>
      <c r="P2448" s="11" t="s">
        <v>13342</v>
      </c>
      <c r="Q2448" s="13" t="s">
        <v>13343</v>
      </c>
      <c r="R2448" s="14" t="str">
        <f>HYPERLINK("https://drive.google.com/file/d/1MXwDHGypTd_uEs4fj78Y8aJU-SLN9zY3/view?usp=drivesdk","OFFER LETTER")</f>
        <v>OFFER LETTER</v>
      </c>
      <c r="S2448" s="11" t="s">
        <v>13344</v>
      </c>
    </row>
    <row r="2449" ht="22.5" customHeight="1">
      <c r="A2449" s="10">
        <v>46272.65924149306</v>
      </c>
      <c r="B2449" s="11" t="s">
        <v>13345</v>
      </c>
      <c r="C2449" s="11" t="s">
        <v>195</v>
      </c>
      <c r="D2449" s="11" t="s">
        <v>68</v>
      </c>
      <c r="E2449" s="12">
        <v>46266.0</v>
      </c>
      <c r="F2449" s="12">
        <v>46280.0</v>
      </c>
      <c r="G2449" s="11" t="s">
        <v>13346</v>
      </c>
      <c r="H2449" s="11">
        <v>9.70973686E9</v>
      </c>
      <c r="I2449" s="11" t="s">
        <v>82</v>
      </c>
      <c r="J2449" s="11" t="s">
        <v>71</v>
      </c>
      <c r="K2449" s="11" t="s">
        <v>72</v>
      </c>
      <c r="L2449" s="11" t="s">
        <v>84</v>
      </c>
      <c r="M2449" s="11" t="s">
        <v>13347</v>
      </c>
      <c r="N2449" s="11" t="s">
        <v>241</v>
      </c>
      <c r="O2449" s="11" t="s">
        <v>71</v>
      </c>
      <c r="P2449" s="11" t="s">
        <v>13348</v>
      </c>
      <c r="Q2449" s="13" t="s">
        <v>13349</v>
      </c>
      <c r="R2449" s="14" t="str">
        <f>HYPERLINK("https://drive.google.com/file/d/1LI6cVJVji9DppsTrKidVBMugLwrPGhXL/view?usp=drivesdk","OFFER LETTER")</f>
        <v>OFFER LETTER</v>
      </c>
      <c r="S2449" s="11" t="s">
        <v>13350</v>
      </c>
    </row>
    <row r="2450" ht="22.5" customHeight="1">
      <c r="A2450" s="10">
        <v>46272.65982792824</v>
      </c>
      <c r="B2450" s="11" t="s">
        <v>13351</v>
      </c>
      <c r="C2450" s="11" t="s">
        <v>165</v>
      </c>
      <c r="D2450" s="11" t="s">
        <v>68</v>
      </c>
      <c r="E2450" s="12">
        <v>46272.0</v>
      </c>
      <c r="F2450" s="12">
        <v>46302.0</v>
      </c>
      <c r="G2450" s="11" t="s">
        <v>13352</v>
      </c>
      <c r="H2450" s="11">
        <v>8.520865541E9</v>
      </c>
      <c r="I2450" s="11" t="s">
        <v>70</v>
      </c>
      <c r="J2450" s="11" t="s">
        <v>71</v>
      </c>
      <c r="K2450" s="11" t="s">
        <v>167</v>
      </c>
      <c r="L2450" s="11" t="s">
        <v>84</v>
      </c>
      <c r="M2450" s="11" t="s">
        <v>13353</v>
      </c>
      <c r="N2450" s="11" t="s">
        <v>86</v>
      </c>
      <c r="O2450" s="11" t="s">
        <v>263</v>
      </c>
      <c r="P2450" s="11" t="s">
        <v>13354</v>
      </c>
      <c r="Q2450" s="13" t="s">
        <v>13355</v>
      </c>
      <c r="R2450" s="14" t="str">
        <f>HYPERLINK("https://drive.google.com/file/d/1SPUGxPiPf_wcY56l18r4glBiEFIwGkZN/view?usp=drivesdk","OFFER LETTER")</f>
        <v>OFFER LETTER</v>
      </c>
      <c r="S2450" s="11" t="s">
        <v>13356</v>
      </c>
    </row>
    <row r="2451" ht="22.5" customHeight="1">
      <c r="A2451" s="10">
        <v>46272.662617951384</v>
      </c>
      <c r="B2451" s="11" t="s">
        <v>13357</v>
      </c>
      <c r="C2451" s="11" t="s">
        <v>80</v>
      </c>
      <c r="D2451" s="11" t="s">
        <v>68</v>
      </c>
      <c r="E2451" s="12">
        <v>46211.0</v>
      </c>
      <c r="F2451" s="12">
        <v>46254.0</v>
      </c>
      <c r="G2451" s="11" t="s">
        <v>13358</v>
      </c>
      <c r="H2451" s="11">
        <v>9.8343732E9</v>
      </c>
      <c r="I2451" s="11" t="s">
        <v>70</v>
      </c>
      <c r="J2451" s="11" t="s">
        <v>71</v>
      </c>
      <c r="K2451" s="11" t="s">
        <v>72</v>
      </c>
      <c r="L2451" s="11" t="s">
        <v>131</v>
      </c>
      <c r="M2451" s="11" t="s">
        <v>13359</v>
      </c>
      <c r="N2451" s="11" t="s">
        <v>6829</v>
      </c>
      <c r="O2451" s="11" t="s">
        <v>71</v>
      </c>
      <c r="P2451" s="11" t="s">
        <v>13360</v>
      </c>
      <c r="Q2451" s="13" t="s">
        <v>13361</v>
      </c>
      <c r="R2451" s="14" t="str">
        <f>HYPERLINK("https://drive.google.com/file/d/13wNHgVxWBWBm4bAkW8Wig8y0GBpp6dTB/view?usp=drivesdk","OFFER LETTER")</f>
        <v>OFFER LETTER</v>
      </c>
      <c r="S2451" s="11" t="s">
        <v>13362</v>
      </c>
    </row>
    <row r="2452" ht="22.5" customHeight="1">
      <c r="A2452" s="10">
        <v>46272.664002199075</v>
      </c>
      <c r="B2452" s="11" t="s">
        <v>13363</v>
      </c>
      <c r="C2452" s="11" t="s">
        <v>596</v>
      </c>
      <c r="D2452" s="11" t="s">
        <v>68</v>
      </c>
      <c r="E2452" s="12">
        <v>46272.0</v>
      </c>
      <c r="F2452" s="12">
        <v>46302.0</v>
      </c>
      <c r="G2452" s="11" t="s">
        <v>13364</v>
      </c>
      <c r="H2452" s="11">
        <v>8.95771372E9</v>
      </c>
      <c r="I2452" s="11" t="s">
        <v>82</v>
      </c>
      <c r="J2452" s="11" t="s">
        <v>71</v>
      </c>
      <c r="K2452" s="11" t="s">
        <v>72</v>
      </c>
      <c r="L2452" s="11" t="s">
        <v>84</v>
      </c>
      <c r="M2452" s="11" t="s">
        <v>13365</v>
      </c>
      <c r="N2452" s="11" t="s">
        <v>86</v>
      </c>
      <c r="O2452" s="11" t="s">
        <v>71</v>
      </c>
      <c r="P2452" s="11" t="s">
        <v>13366</v>
      </c>
      <c r="Q2452" s="13" t="s">
        <v>13367</v>
      </c>
      <c r="R2452" s="14" t="str">
        <f>HYPERLINK("https://drive.google.com/file/d/1BVGA35EvAsrSz9WHMQpjzk11zJmCn6Mh/view?usp=drivesdk","OFFER LETTER")</f>
        <v>OFFER LETTER</v>
      </c>
      <c r="S2452" s="11" t="s">
        <v>13368</v>
      </c>
    </row>
    <row r="2453" ht="22.5" customHeight="1">
      <c r="A2453" s="10">
        <v>46272.66863357639</v>
      </c>
      <c r="B2453" s="11" t="s">
        <v>13369</v>
      </c>
      <c r="C2453" s="11" t="s">
        <v>298</v>
      </c>
      <c r="D2453" s="11" t="s">
        <v>68</v>
      </c>
      <c r="E2453" s="12">
        <v>46272.0</v>
      </c>
      <c r="F2453" s="12">
        <v>46302.0</v>
      </c>
      <c r="G2453" s="11" t="s">
        <v>13370</v>
      </c>
      <c r="H2453" s="11">
        <v>6.362167234E9</v>
      </c>
      <c r="I2453" s="11" t="s">
        <v>70</v>
      </c>
      <c r="J2453" s="11" t="s">
        <v>71</v>
      </c>
      <c r="K2453" s="11" t="s">
        <v>72</v>
      </c>
      <c r="L2453" s="11" t="s">
        <v>84</v>
      </c>
      <c r="M2453" s="11" t="s">
        <v>13371</v>
      </c>
      <c r="N2453" s="11" t="s">
        <v>241</v>
      </c>
      <c r="O2453" s="11" t="s">
        <v>71</v>
      </c>
      <c r="P2453" s="11" t="s">
        <v>13372</v>
      </c>
      <c r="Q2453" s="13" t="s">
        <v>13373</v>
      </c>
      <c r="R2453" s="14" t="str">
        <f>HYPERLINK("https://drive.google.com/file/d/15Nm0dVN75g266_u7gs3P4_92dSpNdLiE/view?usp=drivesdk","OFFER LETTER")</f>
        <v>OFFER LETTER</v>
      </c>
      <c r="S2453" s="11" t="s">
        <v>13374</v>
      </c>
    </row>
    <row r="2454" ht="22.5" customHeight="1">
      <c r="A2454" s="10">
        <v>46272.66922054398</v>
      </c>
      <c r="B2454" s="11" t="s">
        <v>13375</v>
      </c>
      <c r="C2454" s="11" t="s">
        <v>107</v>
      </c>
      <c r="D2454" s="11" t="s">
        <v>238</v>
      </c>
      <c r="E2454" s="12">
        <v>45292.0</v>
      </c>
      <c r="F2454" s="12">
        <v>45660.0</v>
      </c>
      <c r="G2454" s="11" t="s">
        <v>13376</v>
      </c>
      <c r="H2454" s="11">
        <v>7.498212611E9</v>
      </c>
      <c r="I2454" s="11" t="s">
        <v>70</v>
      </c>
      <c r="J2454" s="11" t="s">
        <v>83</v>
      </c>
      <c r="K2454" s="11" t="s">
        <v>72</v>
      </c>
      <c r="L2454" s="11" t="s">
        <v>247</v>
      </c>
      <c r="M2454" s="11" t="s">
        <v>13377</v>
      </c>
      <c r="N2454" s="11" t="s">
        <v>226</v>
      </c>
      <c r="O2454" s="11" t="s">
        <v>71</v>
      </c>
      <c r="P2454" s="11" t="s">
        <v>13378</v>
      </c>
      <c r="Q2454" s="13" t="s">
        <v>13379</v>
      </c>
      <c r="R2454" s="14" t="str">
        <f>HYPERLINK("https://drive.google.com/file/d/1SnVw_0UP1ZCVbGHJxT5_GrlreXY2shWw/view?usp=drivesdk","OFFER LETTER")</f>
        <v>OFFER LETTER</v>
      </c>
      <c r="S2454" s="11" t="s">
        <v>13380</v>
      </c>
    </row>
    <row r="2455" ht="22.5" customHeight="1">
      <c r="A2455" s="10">
        <v>46272.670762546295</v>
      </c>
      <c r="B2455" s="11" t="s">
        <v>13381</v>
      </c>
      <c r="C2455" s="11" t="s">
        <v>173</v>
      </c>
      <c r="D2455" s="11" t="s">
        <v>68</v>
      </c>
      <c r="E2455" s="12">
        <v>46277.0</v>
      </c>
      <c r="F2455" s="12">
        <v>46307.0</v>
      </c>
      <c r="G2455" s="11" t="s">
        <v>13382</v>
      </c>
      <c r="H2455" s="11">
        <v>9.310926105E9</v>
      </c>
      <c r="I2455" s="11" t="s">
        <v>82</v>
      </c>
      <c r="J2455" s="11" t="s">
        <v>71</v>
      </c>
      <c r="K2455" s="11" t="s">
        <v>72</v>
      </c>
      <c r="L2455" s="11" t="s">
        <v>84</v>
      </c>
      <c r="M2455" s="11" t="s">
        <v>13383</v>
      </c>
      <c r="N2455" s="11" t="s">
        <v>75</v>
      </c>
      <c r="O2455" s="11" t="s">
        <v>71</v>
      </c>
      <c r="P2455" s="11" t="s">
        <v>13384</v>
      </c>
      <c r="Q2455" s="13" t="s">
        <v>13385</v>
      </c>
      <c r="R2455" s="14" t="str">
        <f>HYPERLINK("https://drive.google.com/file/d/10X-FaHJ9vSH1tzmZNODMhoOvxXSTlT2q/view?usp=drivesdk","OFFER LETTER")</f>
        <v>OFFER LETTER</v>
      </c>
      <c r="S2455" s="11" t="s">
        <v>13386</v>
      </c>
    </row>
    <row r="2456" ht="22.5" customHeight="1">
      <c r="A2456" s="10">
        <v>46272.670767372685</v>
      </c>
      <c r="B2456" s="11" t="s">
        <v>13387</v>
      </c>
      <c r="C2456" s="11" t="s">
        <v>67</v>
      </c>
      <c r="D2456" s="11" t="s">
        <v>108</v>
      </c>
      <c r="E2456" s="12">
        <v>46198.0</v>
      </c>
      <c r="F2456" s="12">
        <v>46259.0</v>
      </c>
      <c r="G2456" s="11" t="s">
        <v>13388</v>
      </c>
      <c r="H2456" s="11">
        <v>9.560371092E9</v>
      </c>
      <c r="I2456" s="11" t="s">
        <v>70</v>
      </c>
      <c r="J2456" s="11" t="s">
        <v>71</v>
      </c>
      <c r="K2456" s="11" t="s">
        <v>72</v>
      </c>
      <c r="L2456" s="11" t="s">
        <v>131</v>
      </c>
      <c r="M2456" s="11" t="s">
        <v>13389</v>
      </c>
      <c r="N2456" s="11" t="s">
        <v>86</v>
      </c>
      <c r="O2456" s="11" t="s">
        <v>71</v>
      </c>
      <c r="P2456" s="11" t="s">
        <v>13390</v>
      </c>
      <c r="Q2456" s="13" t="s">
        <v>13391</v>
      </c>
      <c r="R2456" s="14" t="str">
        <f>HYPERLINK("https://drive.google.com/file/d/1idV993Ywu9fM2HrLI9vtmICd_htjbt0u/view?usp=drivesdk","OFFER LETTER")</f>
        <v>OFFER LETTER</v>
      </c>
      <c r="S2456" s="11" t="s">
        <v>13386</v>
      </c>
    </row>
    <row r="2457" ht="22.5" customHeight="1">
      <c r="A2457" s="10">
        <v>46272.671624490744</v>
      </c>
      <c r="B2457" s="11" t="s">
        <v>13392</v>
      </c>
      <c r="C2457" s="11" t="s">
        <v>91</v>
      </c>
      <c r="D2457" s="11" t="s">
        <v>68</v>
      </c>
      <c r="E2457" s="12">
        <v>46272.0</v>
      </c>
      <c r="F2457" s="12">
        <v>46302.0</v>
      </c>
      <c r="G2457" s="11" t="s">
        <v>13393</v>
      </c>
      <c r="H2457" s="11">
        <v>7.977347959E9</v>
      </c>
      <c r="I2457" s="11" t="s">
        <v>82</v>
      </c>
      <c r="J2457" s="11" t="s">
        <v>71</v>
      </c>
      <c r="K2457" s="11" t="s">
        <v>72</v>
      </c>
      <c r="L2457" s="11" t="s">
        <v>73</v>
      </c>
      <c r="M2457" s="11" t="s">
        <v>13394</v>
      </c>
      <c r="N2457" s="11" t="s">
        <v>219</v>
      </c>
      <c r="O2457" s="11" t="s">
        <v>71</v>
      </c>
      <c r="P2457" s="11" t="s">
        <v>13395</v>
      </c>
      <c r="Q2457" s="13" t="s">
        <v>13396</v>
      </c>
      <c r="R2457" s="14" t="str">
        <f>HYPERLINK("https://drive.google.com/file/d/1AoOZkEGTe3r3LhRB8x6xsTSL1AyL8olC/view?usp=drivesdk","OFFER LETTER")</f>
        <v>OFFER LETTER</v>
      </c>
      <c r="S2457" s="11" t="s">
        <v>13397</v>
      </c>
    </row>
    <row r="2458" ht="22.5" customHeight="1">
      <c r="A2458" s="10">
        <v>46272.67547707176</v>
      </c>
      <c r="B2458" s="11" t="s">
        <v>13398</v>
      </c>
      <c r="C2458" s="11" t="s">
        <v>237</v>
      </c>
      <c r="D2458" s="11" t="s">
        <v>108</v>
      </c>
      <c r="E2458" s="12">
        <v>46263.0</v>
      </c>
      <c r="F2458" s="12">
        <v>46324.0</v>
      </c>
      <c r="G2458" s="11" t="s">
        <v>13399</v>
      </c>
      <c r="H2458" s="11">
        <v>9.93110431E9</v>
      </c>
      <c r="I2458" s="11" t="s">
        <v>82</v>
      </c>
      <c r="J2458" s="11" t="s">
        <v>71</v>
      </c>
      <c r="K2458" s="11" t="s">
        <v>72</v>
      </c>
      <c r="L2458" s="11" t="s">
        <v>131</v>
      </c>
      <c r="M2458" s="11" t="s">
        <v>13400</v>
      </c>
      <c r="N2458" s="11" t="s">
        <v>13401</v>
      </c>
      <c r="O2458" s="11" t="s">
        <v>71</v>
      </c>
      <c r="P2458" s="11" t="s">
        <v>13402</v>
      </c>
      <c r="Q2458" s="13" t="s">
        <v>13403</v>
      </c>
      <c r="R2458" s="14" t="str">
        <f>HYPERLINK("https://drive.google.com/file/d/1XsctkvmKB49fpEEts3DK9lPAJG0m8oZf/view?usp=drivesdk","OFFER LETTER")</f>
        <v>OFFER LETTER</v>
      </c>
      <c r="S2458" s="11" t="s">
        <v>13404</v>
      </c>
    </row>
    <row r="2459" ht="22.5" customHeight="1">
      <c r="A2459" s="10">
        <v>46272.6783380787</v>
      </c>
      <c r="B2459" s="11" t="s">
        <v>13398</v>
      </c>
      <c r="C2459" s="11" t="s">
        <v>237</v>
      </c>
      <c r="D2459" s="11" t="s">
        <v>108</v>
      </c>
      <c r="E2459" s="12">
        <v>46263.0</v>
      </c>
      <c r="F2459" s="12">
        <v>46324.0</v>
      </c>
      <c r="G2459" s="11" t="s">
        <v>13399</v>
      </c>
      <c r="H2459" s="11">
        <v>9.93110431E9</v>
      </c>
      <c r="I2459" s="11" t="s">
        <v>82</v>
      </c>
      <c r="J2459" s="11" t="s">
        <v>71</v>
      </c>
      <c r="K2459" s="11" t="s">
        <v>72</v>
      </c>
      <c r="L2459" s="11" t="s">
        <v>131</v>
      </c>
      <c r="M2459" s="11" t="s">
        <v>13405</v>
      </c>
      <c r="N2459" s="11" t="s">
        <v>5871</v>
      </c>
      <c r="O2459" s="11" t="s">
        <v>71</v>
      </c>
      <c r="P2459" s="11" t="s">
        <v>13406</v>
      </c>
      <c r="Q2459" s="13" t="s">
        <v>13407</v>
      </c>
      <c r="R2459" s="14" t="str">
        <f>HYPERLINK("https://drive.google.com/file/d/1xVvc9APMV7Biq022Na7BuAzg0tO1XWhr/view?usp=drivesdk","OFFER LETTER")</f>
        <v>OFFER LETTER</v>
      </c>
      <c r="S2459" s="11" t="s">
        <v>13408</v>
      </c>
    </row>
    <row r="2460" ht="22.5" customHeight="1">
      <c r="A2460" s="10">
        <v>46272.67863833334</v>
      </c>
      <c r="B2460" s="11" t="s">
        <v>13363</v>
      </c>
      <c r="C2460" s="11" t="s">
        <v>596</v>
      </c>
      <c r="D2460" s="11" t="s">
        <v>68</v>
      </c>
      <c r="E2460" s="12">
        <v>46272.0</v>
      </c>
      <c r="F2460" s="12">
        <v>46302.0</v>
      </c>
      <c r="G2460" s="11" t="s">
        <v>13409</v>
      </c>
      <c r="H2460" s="11">
        <v>8.95771372E9</v>
      </c>
      <c r="I2460" s="11" t="s">
        <v>82</v>
      </c>
      <c r="J2460" s="11" t="s">
        <v>71</v>
      </c>
      <c r="K2460" s="11" t="s">
        <v>72</v>
      </c>
      <c r="L2460" s="11" t="s">
        <v>84</v>
      </c>
      <c r="M2460" s="11" t="s">
        <v>13410</v>
      </c>
      <c r="N2460" s="11" t="s">
        <v>86</v>
      </c>
      <c r="O2460" s="11" t="s">
        <v>71</v>
      </c>
      <c r="P2460" s="11" t="s">
        <v>13411</v>
      </c>
      <c r="Q2460" s="13" t="s">
        <v>13412</v>
      </c>
      <c r="R2460" s="14" t="str">
        <f>HYPERLINK("https://drive.google.com/file/d/1OhIqI4L5wQlbLv9VfxphyLNKqNZkbwNQ/view?usp=drivesdk","OFFER LETTER")</f>
        <v>OFFER LETTER</v>
      </c>
      <c r="S2460" s="11" t="s">
        <v>13408</v>
      </c>
    </row>
    <row r="2461" ht="22.5" customHeight="1">
      <c r="A2461" s="10">
        <v>46272.67872002315</v>
      </c>
      <c r="B2461" s="11" t="s">
        <v>13413</v>
      </c>
      <c r="C2461" s="11" t="s">
        <v>128</v>
      </c>
      <c r="D2461" s="11" t="s">
        <v>68</v>
      </c>
      <c r="E2461" s="12">
        <v>46275.0</v>
      </c>
      <c r="F2461" s="12">
        <v>46305.0</v>
      </c>
      <c r="G2461" s="11" t="s">
        <v>13414</v>
      </c>
      <c r="H2461" s="11">
        <v>9.098601844E9</v>
      </c>
      <c r="I2461" s="11" t="s">
        <v>82</v>
      </c>
      <c r="J2461" s="11" t="s">
        <v>83</v>
      </c>
      <c r="K2461" s="11" t="s">
        <v>72</v>
      </c>
      <c r="L2461" s="11" t="s">
        <v>73</v>
      </c>
      <c r="M2461" s="11" t="s">
        <v>13415</v>
      </c>
      <c r="N2461" s="11" t="s">
        <v>86</v>
      </c>
      <c r="O2461" s="11" t="s">
        <v>71</v>
      </c>
      <c r="P2461" s="11" t="s">
        <v>13416</v>
      </c>
      <c r="Q2461" s="13" t="s">
        <v>13417</v>
      </c>
      <c r="R2461" s="14" t="str">
        <f>HYPERLINK("https://drive.google.com/file/d/1fU8R-QwKXuNvBdqH_x42b9bgKsMzRS8l/view?usp=drivesdk","OFFER LETTER")</f>
        <v>OFFER LETTER</v>
      </c>
      <c r="S2461" s="11" t="s">
        <v>13408</v>
      </c>
    </row>
    <row r="2462" ht="22.5" customHeight="1">
      <c r="A2462" s="10">
        <v>46272.68072278935</v>
      </c>
      <c r="B2462" s="11" t="s">
        <v>4377</v>
      </c>
      <c r="C2462" s="11" t="s">
        <v>195</v>
      </c>
      <c r="D2462" s="11" t="s">
        <v>68</v>
      </c>
      <c r="E2462" s="12">
        <v>46235.0</v>
      </c>
      <c r="F2462" s="12">
        <v>46269.0</v>
      </c>
      <c r="G2462" s="11" t="s">
        <v>13418</v>
      </c>
      <c r="H2462" s="11">
        <v>9.798577309E9</v>
      </c>
      <c r="I2462" s="11" t="s">
        <v>82</v>
      </c>
      <c r="J2462" s="11" t="s">
        <v>71</v>
      </c>
      <c r="K2462" s="11" t="s">
        <v>356</v>
      </c>
      <c r="L2462" s="11" t="s">
        <v>84</v>
      </c>
      <c r="M2462" s="11" t="s">
        <v>13419</v>
      </c>
      <c r="N2462" s="11" t="s">
        <v>86</v>
      </c>
      <c r="O2462" s="11" t="s">
        <v>71</v>
      </c>
      <c r="P2462" s="11" t="s">
        <v>13420</v>
      </c>
      <c r="Q2462" s="13" t="s">
        <v>13421</v>
      </c>
      <c r="R2462" s="14" t="str">
        <f>HYPERLINK("https://drive.google.com/file/d/1I2H3XqaWUILuJdkBn8T74OjzpZIjniMQ/view?usp=drivesdk","OFFER LETTER")</f>
        <v>OFFER LETTER</v>
      </c>
      <c r="S2462" s="11" t="s">
        <v>13422</v>
      </c>
    </row>
    <row r="2463" ht="22.5" customHeight="1">
      <c r="A2463" s="10">
        <v>46272.688560821756</v>
      </c>
      <c r="B2463" s="11" t="s">
        <v>13423</v>
      </c>
      <c r="C2463" s="11" t="s">
        <v>195</v>
      </c>
      <c r="D2463" s="11" t="s">
        <v>68</v>
      </c>
      <c r="E2463" s="12">
        <v>46274.0</v>
      </c>
      <c r="F2463" s="12">
        <v>46304.0</v>
      </c>
      <c r="G2463" s="11" t="s">
        <v>13424</v>
      </c>
      <c r="H2463" s="11">
        <v>9.860164974E9</v>
      </c>
      <c r="I2463" s="11" t="s">
        <v>70</v>
      </c>
      <c r="J2463" s="11" t="s">
        <v>71</v>
      </c>
      <c r="K2463" s="11" t="s">
        <v>72</v>
      </c>
      <c r="L2463" s="11" t="s">
        <v>73</v>
      </c>
      <c r="M2463" s="11" t="s">
        <v>13425</v>
      </c>
      <c r="N2463" s="11" t="s">
        <v>75</v>
      </c>
      <c r="O2463" s="11" t="s">
        <v>71</v>
      </c>
      <c r="P2463" s="11" t="s">
        <v>13426</v>
      </c>
      <c r="Q2463" s="13" t="s">
        <v>13427</v>
      </c>
      <c r="R2463" s="14" t="str">
        <f>HYPERLINK("https://drive.google.com/file/d/1c56zrq3MXXoHUr6qZVrvgmeeElLQ95oY/view?usp=drivesdk","OFFER LETTER")</f>
        <v>OFFER LETTER</v>
      </c>
      <c r="S2463" s="11" t="s">
        <v>13428</v>
      </c>
    </row>
    <row r="2464" ht="22.5" customHeight="1">
      <c r="A2464" s="10">
        <v>46272.68903707176</v>
      </c>
      <c r="B2464" s="11" t="s">
        <v>13429</v>
      </c>
      <c r="C2464" s="11" t="s">
        <v>237</v>
      </c>
      <c r="D2464" s="11" t="s">
        <v>108</v>
      </c>
      <c r="E2464" s="12">
        <v>46263.0</v>
      </c>
      <c r="F2464" s="12">
        <v>46324.0</v>
      </c>
      <c r="G2464" s="11" t="s">
        <v>13430</v>
      </c>
      <c r="H2464" s="11">
        <v>7.654401975E9</v>
      </c>
      <c r="I2464" s="11" t="s">
        <v>82</v>
      </c>
      <c r="J2464" s="11" t="s">
        <v>71</v>
      </c>
      <c r="K2464" s="11" t="s">
        <v>72</v>
      </c>
      <c r="L2464" s="11" t="s">
        <v>131</v>
      </c>
      <c r="M2464" s="11" t="s">
        <v>13431</v>
      </c>
      <c r="N2464" s="11" t="s">
        <v>3833</v>
      </c>
      <c r="O2464" s="11" t="s">
        <v>71</v>
      </c>
      <c r="P2464" s="11" t="s">
        <v>13432</v>
      </c>
      <c r="Q2464" s="13" t="s">
        <v>13433</v>
      </c>
      <c r="R2464" s="14" t="str">
        <f>HYPERLINK("https://drive.google.com/file/d/19sJsNx607R36uxZURDH2-OeZrkkI4zc8/view?usp=drivesdk","OFFER LETTER")</f>
        <v>OFFER LETTER</v>
      </c>
      <c r="S2464" s="11" t="s">
        <v>13434</v>
      </c>
    </row>
    <row r="2465" ht="22.5" customHeight="1">
      <c r="A2465" s="10">
        <v>46272.689594421296</v>
      </c>
      <c r="B2465" s="11" t="s">
        <v>13435</v>
      </c>
      <c r="C2465" s="11" t="s">
        <v>128</v>
      </c>
      <c r="D2465" s="11" t="s">
        <v>68</v>
      </c>
      <c r="E2465" s="12">
        <v>46276.0</v>
      </c>
      <c r="F2465" s="12">
        <v>46306.0</v>
      </c>
      <c r="G2465" s="11" t="s">
        <v>13436</v>
      </c>
      <c r="H2465" s="11">
        <v>8.341865286E9</v>
      </c>
      <c r="I2465" s="11" t="s">
        <v>82</v>
      </c>
      <c r="J2465" s="11" t="s">
        <v>71</v>
      </c>
      <c r="K2465" s="11" t="s">
        <v>72</v>
      </c>
      <c r="L2465" s="11" t="s">
        <v>73</v>
      </c>
      <c r="M2465" s="11" t="s">
        <v>13437</v>
      </c>
      <c r="N2465" s="11" t="s">
        <v>86</v>
      </c>
      <c r="O2465" s="11" t="s">
        <v>71</v>
      </c>
      <c r="P2465" s="11" t="s">
        <v>13438</v>
      </c>
      <c r="Q2465" s="13" t="s">
        <v>13439</v>
      </c>
      <c r="R2465" s="14" t="str">
        <f>HYPERLINK("https://drive.google.com/file/d/1QZIH-5iNNNb2oSFy5gb-MJSXFilZ7iSx/view?usp=drivesdk","OFFER LETTER")</f>
        <v>OFFER LETTER</v>
      </c>
      <c r="S2465" s="11" t="s">
        <v>13440</v>
      </c>
    </row>
    <row r="2466" ht="22.5" customHeight="1">
      <c r="A2466" s="10">
        <v>46272.691816377315</v>
      </c>
      <c r="B2466" s="11" t="s">
        <v>13441</v>
      </c>
      <c r="C2466" s="11" t="s">
        <v>259</v>
      </c>
      <c r="D2466" s="11" t="s">
        <v>68</v>
      </c>
      <c r="E2466" s="12">
        <v>46272.0</v>
      </c>
      <c r="F2466" s="12">
        <v>46305.0</v>
      </c>
      <c r="G2466" s="11" t="s">
        <v>13442</v>
      </c>
      <c r="H2466" s="11">
        <v>8.710926644E9</v>
      </c>
      <c r="I2466" s="11" t="s">
        <v>82</v>
      </c>
      <c r="J2466" s="11" t="s">
        <v>71</v>
      </c>
      <c r="K2466" s="11" t="s">
        <v>110</v>
      </c>
      <c r="L2466" s="11" t="s">
        <v>247</v>
      </c>
      <c r="M2466" s="11" t="s">
        <v>13443</v>
      </c>
      <c r="N2466" s="11" t="s">
        <v>241</v>
      </c>
      <c r="O2466" s="11" t="s">
        <v>71</v>
      </c>
      <c r="P2466" s="11" t="s">
        <v>13444</v>
      </c>
      <c r="Q2466" s="13" t="s">
        <v>13445</v>
      </c>
      <c r="R2466" s="14" t="str">
        <f>HYPERLINK("https://drive.google.com/file/d/1VsstF3Tc__7agMSzOb4iqntvT2N5M3ZD/view?usp=drivesdk","OFFER LETTER")</f>
        <v>OFFER LETTER</v>
      </c>
      <c r="S2466" s="11" t="s">
        <v>13446</v>
      </c>
    </row>
    <row r="2467" ht="22.5" customHeight="1">
      <c r="A2467" s="10">
        <v>46272.69381892361</v>
      </c>
      <c r="B2467" s="11" t="s">
        <v>13447</v>
      </c>
      <c r="C2467" s="11" t="s">
        <v>195</v>
      </c>
      <c r="D2467" s="11" t="s">
        <v>68</v>
      </c>
      <c r="E2467" s="12">
        <v>46272.0</v>
      </c>
      <c r="F2467" s="12">
        <v>46302.0</v>
      </c>
      <c r="G2467" s="11" t="s">
        <v>13448</v>
      </c>
      <c r="H2467" s="11">
        <v>8.957543308E9</v>
      </c>
      <c r="I2467" s="11" t="s">
        <v>82</v>
      </c>
      <c r="J2467" s="11" t="s">
        <v>83</v>
      </c>
      <c r="K2467" s="11" t="s">
        <v>72</v>
      </c>
      <c r="L2467" s="11" t="s">
        <v>131</v>
      </c>
      <c r="M2467" s="11" t="s">
        <v>13449</v>
      </c>
      <c r="N2467" s="11" t="s">
        <v>86</v>
      </c>
      <c r="O2467" s="11" t="s">
        <v>71</v>
      </c>
      <c r="P2467" s="11" t="s">
        <v>13450</v>
      </c>
      <c r="Q2467" s="13" t="s">
        <v>13451</v>
      </c>
      <c r="R2467" s="14" t="str">
        <f>HYPERLINK("https://drive.google.com/file/d/1-yT_Tzc9JiR_kIfDziW33jrgSEF6lEhG/view?usp=drivesdk","OFFER LETTER")</f>
        <v>OFFER LETTER</v>
      </c>
      <c r="S2467" s="11" t="s">
        <v>13452</v>
      </c>
    </row>
    <row r="2468" ht="22.5" customHeight="1">
      <c r="A2468" s="10">
        <v>46272.69437175926</v>
      </c>
      <c r="B2468" s="11" t="s">
        <v>13453</v>
      </c>
      <c r="C2468" s="11" t="s">
        <v>173</v>
      </c>
      <c r="D2468" s="11" t="s">
        <v>108</v>
      </c>
      <c r="E2468" s="12">
        <v>46185.0</v>
      </c>
      <c r="F2468" s="12">
        <v>46246.0</v>
      </c>
      <c r="G2468" s="11" t="s">
        <v>13454</v>
      </c>
      <c r="H2468" s="11">
        <v>9.102639308E9</v>
      </c>
      <c r="I2468" s="11" t="s">
        <v>70</v>
      </c>
      <c r="J2468" s="11" t="s">
        <v>71</v>
      </c>
      <c r="K2468" s="11" t="s">
        <v>72</v>
      </c>
      <c r="L2468" s="11" t="s">
        <v>84</v>
      </c>
      <c r="M2468" s="11" t="s">
        <v>5053</v>
      </c>
      <c r="N2468" s="11" t="s">
        <v>219</v>
      </c>
      <c r="O2468" s="11" t="s">
        <v>71</v>
      </c>
      <c r="P2468" s="11" t="s">
        <v>13455</v>
      </c>
      <c r="Q2468" s="13" t="s">
        <v>13456</v>
      </c>
      <c r="R2468" s="14" t="str">
        <f>HYPERLINK("https://drive.google.com/file/d/1YWaX-l-RgLMc2KhRSJpj-jN8L2BdCbl7/view?usp=drivesdk","OFFER LETTER")</f>
        <v>OFFER LETTER</v>
      </c>
      <c r="S2468" s="11" t="s">
        <v>13457</v>
      </c>
    </row>
    <row r="2469" ht="22.5" customHeight="1">
      <c r="A2469" s="10">
        <v>46272.69657755787</v>
      </c>
      <c r="B2469" s="11" t="s">
        <v>13458</v>
      </c>
      <c r="C2469" s="11" t="s">
        <v>128</v>
      </c>
      <c r="D2469" s="11" t="s">
        <v>68</v>
      </c>
      <c r="E2469" s="12">
        <v>46242.0</v>
      </c>
      <c r="F2469" s="12">
        <v>46272.0</v>
      </c>
      <c r="G2469" s="11" t="s">
        <v>13459</v>
      </c>
      <c r="H2469" s="11">
        <v>9.332313889E9</v>
      </c>
      <c r="I2469" s="11" t="s">
        <v>82</v>
      </c>
      <c r="J2469" s="11" t="s">
        <v>71</v>
      </c>
      <c r="K2469" s="11" t="s">
        <v>72</v>
      </c>
      <c r="L2469" s="11" t="s">
        <v>73</v>
      </c>
      <c r="M2469" s="11" t="s">
        <v>13460</v>
      </c>
      <c r="N2469" s="11" t="s">
        <v>655</v>
      </c>
      <c r="O2469" s="11" t="s">
        <v>71</v>
      </c>
      <c r="P2469" s="11" t="s">
        <v>13461</v>
      </c>
      <c r="Q2469" s="13" t="s">
        <v>13462</v>
      </c>
      <c r="R2469" s="14" t="str">
        <f>HYPERLINK("https://drive.google.com/file/d/1NAou-3GHHwM4pQsD2GU3-CngZ-KLAHer/view?usp=drivesdk","OFFER LETTER")</f>
        <v>OFFER LETTER</v>
      </c>
      <c r="S2469" s="11" t="s">
        <v>13463</v>
      </c>
    </row>
    <row r="2470" ht="22.5" customHeight="1">
      <c r="A2470" s="10">
        <v>46272.696819363424</v>
      </c>
      <c r="B2470" s="11" t="s">
        <v>13464</v>
      </c>
      <c r="C2470" s="11" t="s">
        <v>237</v>
      </c>
      <c r="D2470" s="11" t="s">
        <v>108</v>
      </c>
      <c r="E2470" s="12">
        <v>46263.0</v>
      </c>
      <c r="F2470" s="12">
        <v>46324.0</v>
      </c>
      <c r="G2470" s="11" t="s">
        <v>13465</v>
      </c>
      <c r="H2470" s="11">
        <v>7.371942021E9</v>
      </c>
      <c r="I2470" s="11" t="s">
        <v>82</v>
      </c>
      <c r="J2470" s="11" t="s">
        <v>71</v>
      </c>
      <c r="K2470" s="11" t="s">
        <v>72</v>
      </c>
      <c r="L2470" s="11" t="s">
        <v>131</v>
      </c>
      <c r="M2470" s="11" t="s">
        <v>13466</v>
      </c>
      <c r="N2470" s="11" t="s">
        <v>13467</v>
      </c>
      <c r="O2470" s="11" t="s">
        <v>71</v>
      </c>
      <c r="P2470" s="11" t="s">
        <v>13468</v>
      </c>
      <c r="Q2470" s="13" t="s">
        <v>13469</v>
      </c>
      <c r="R2470" s="14" t="str">
        <f>HYPERLINK("https://drive.google.com/file/d/1Nmx6WQnoBJoL9FXwxLHwm9WFy99t5uR1/view?usp=drivesdk","OFFER LETTER")</f>
        <v>OFFER LETTER</v>
      </c>
      <c r="S2470" s="11" t="s">
        <v>13463</v>
      </c>
    </row>
    <row r="2471" ht="22.5" customHeight="1">
      <c r="A2471" s="10">
        <v>46272.70581875</v>
      </c>
      <c r="B2471" s="11" t="s">
        <v>13470</v>
      </c>
      <c r="C2471" s="11" t="s">
        <v>195</v>
      </c>
      <c r="D2471" s="11" t="s">
        <v>68</v>
      </c>
      <c r="E2471" s="12">
        <v>46218.0</v>
      </c>
      <c r="F2471" s="12">
        <v>46249.0</v>
      </c>
      <c r="G2471" s="11" t="s">
        <v>13471</v>
      </c>
      <c r="H2471" s="11">
        <v>9.103324779E9</v>
      </c>
      <c r="I2471" s="11" t="s">
        <v>82</v>
      </c>
      <c r="J2471" s="11" t="s">
        <v>71</v>
      </c>
      <c r="K2471" s="11" t="s">
        <v>72</v>
      </c>
      <c r="L2471" s="11" t="s">
        <v>84</v>
      </c>
      <c r="M2471" s="11" t="s">
        <v>9064</v>
      </c>
      <c r="N2471" s="11" t="s">
        <v>155</v>
      </c>
      <c r="O2471" s="11" t="s">
        <v>71</v>
      </c>
      <c r="P2471" s="11" t="s">
        <v>13472</v>
      </c>
      <c r="Q2471" s="13" t="s">
        <v>13473</v>
      </c>
      <c r="R2471" s="14" t="str">
        <f>HYPERLINK("https://drive.google.com/file/d/1nvolYUjYeitEtEj8A6MjBkXzouw-m6Ll/view?usp=drivesdk","OFFER LETTER")</f>
        <v>OFFER LETTER</v>
      </c>
      <c r="S2471" s="11" t="s">
        <v>13474</v>
      </c>
    </row>
    <row r="2472" ht="22.5" customHeight="1">
      <c r="A2472" s="10">
        <v>46272.70894244213</v>
      </c>
      <c r="B2472" s="11" t="s">
        <v>13475</v>
      </c>
      <c r="C2472" s="11" t="s">
        <v>259</v>
      </c>
      <c r="D2472" s="11" t="s">
        <v>68</v>
      </c>
      <c r="E2472" s="12">
        <v>46272.0</v>
      </c>
      <c r="F2472" s="12">
        <v>46275.0</v>
      </c>
      <c r="G2472" s="11" t="s">
        <v>13442</v>
      </c>
      <c r="H2472" s="11">
        <v>8.710926644E9</v>
      </c>
      <c r="I2472" s="11" t="s">
        <v>82</v>
      </c>
      <c r="J2472" s="11" t="s">
        <v>71</v>
      </c>
      <c r="K2472" s="11" t="s">
        <v>110</v>
      </c>
      <c r="L2472" s="11" t="s">
        <v>247</v>
      </c>
      <c r="M2472" s="11" t="s">
        <v>13476</v>
      </c>
      <c r="N2472" s="11" t="s">
        <v>241</v>
      </c>
      <c r="O2472" s="11" t="s">
        <v>71</v>
      </c>
      <c r="P2472" s="11" t="s">
        <v>13477</v>
      </c>
      <c r="Q2472" s="13" t="s">
        <v>13478</v>
      </c>
      <c r="R2472" s="14" t="str">
        <f>HYPERLINK("https://drive.google.com/file/d/10RsxH3XNXLmLE-IRSnODzTdb6HFOU2cq/view?usp=drivesdk","OFFER LETTER")</f>
        <v>OFFER LETTER</v>
      </c>
      <c r="S2472" s="11" t="s">
        <v>13479</v>
      </c>
    </row>
    <row r="2473" ht="22.5" customHeight="1">
      <c r="A2473" s="10">
        <v>46272.70910112269</v>
      </c>
      <c r="B2473" s="11" t="s">
        <v>13480</v>
      </c>
      <c r="C2473" s="11" t="s">
        <v>80</v>
      </c>
      <c r="D2473" s="11" t="s">
        <v>68</v>
      </c>
      <c r="E2473" s="12">
        <v>46237.0</v>
      </c>
      <c r="F2473" s="12">
        <v>46279.0</v>
      </c>
      <c r="G2473" s="11" t="s">
        <v>13481</v>
      </c>
      <c r="H2473" s="11">
        <v>8.951731608E9</v>
      </c>
      <c r="I2473" s="11" t="s">
        <v>70</v>
      </c>
      <c r="J2473" s="11" t="s">
        <v>71</v>
      </c>
      <c r="K2473" s="11" t="s">
        <v>72</v>
      </c>
      <c r="L2473" s="11" t="s">
        <v>73</v>
      </c>
      <c r="M2473" s="11" t="s">
        <v>13482</v>
      </c>
      <c r="N2473" s="11" t="s">
        <v>86</v>
      </c>
      <c r="O2473" s="11" t="s">
        <v>71</v>
      </c>
      <c r="P2473" s="11" t="s">
        <v>13483</v>
      </c>
      <c r="Q2473" s="13" t="s">
        <v>13484</v>
      </c>
      <c r="R2473" s="14" t="str">
        <f>HYPERLINK("https://drive.google.com/file/d/1XIvjq9KpCup2ZIdhvW_cvadiGb4e_M0l/view?usp=drivesdk","OFFER LETTER")</f>
        <v>OFFER LETTER</v>
      </c>
      <c r="S2473" s="11" t="s">
        <v>13479</v>
      </c>
    </row>
    <row r="2474" ht="22.5" customHeight="1">
      <c r="A2474" s="10">
        <v>46272.714684756946</v>
      </c>
      <c r="B2474" s="11" t="s">
        <v>13485</v>
      </c>
      <c r="C2474" s="11" t="s">
        <v>128</v>
      </c>
      <c r="D2474" s="11" t="s">
        <v>68</v>
      </c>
      <c r="E2474" s="12">
        <v>46272.0</v>
      </c>
      <c r="F2474" s="12">
        <v>46272.0</v>
      </c>
      <c r="G2474" s="11" t="s">
        <v>13486</v>
      </c>
      <c r="H2474" s="11">
        <v>8.54581748E9</v>
      </c>
      <c r="I2474" s="11" t="s">
        <v>82</v>
      </c>
      <c r="J2474" s="11" t="s">
        <v>71</v>
      </c>
      <c r="K2474" s="11" t="s">
        <v>72</v>
      </c>
      <c r="L2474" s="11" t="s">
        <v>357</v>
      </c>
      <c r="M2474" s="11" t="s">
        <v>2754</v>
      </c>
      <c r="N2474" s="11" t="s">
        <v>241</v>
      </c>
      <c r="O2474" s="11" t="s">
        <v>71</v>
      </c>
      <c r="P2474" s="11" t="s">
        <v>13487</v>
      </c>
      <c r="Q2474" s="13" t="s">
        <v>13488</v>
      </c>
      <c r="R2474" s="14" t="str">
        <f>HYPERLINK("https://drive.google.com/file/d/1dWZy4Ew5PHdZkJiBfyepYIhveALjc3RR/view?usp=drivesdk","OFFER LETTER")</f>
        <v>OFFER LETTER</v>
      </c>
      <c r="S2474" s="11" t="s">
        <v>13489</v>
      </c>
    </row>
    <row r="2475" ht="22.5" customHeight="1">
      <c r="A2475" s="10">
        <v>46272.71714658565</v>
      </c>
      <c r="B2475" s="11" t="s">
        <v>13490</v>
      </c>
      <c r="C2475" s="11" t="s">
        <v>259</v>
      </c>
      <c r="D2475" s="11" t="s">
        <v>8221</v>
      </c>
      <c r="E2475" s="12">
        <v>46228.0</v>
      </c>
      <c r="F2475" s="12">
        <v>46272.0</v>
      </c>
      <c r="G2475" s="11" t="s">
        <v>13491</v>
      </c>
      <c r="H2475" s="11">
        <v>7.206609213E9</v>
      </c>
      <c r="I2475" s="11" t="s">
        <v>82</v>
      </c>
      <c r="J2475" s="11" t="s">
        <v>71</v>
      </c>
      <c r="K2475" s="11" t="s">
        <v>110</v>
      </c>
      <c r="L2475" s="11" t="s">
        <v>73</v>
      </c>
      <c r="M2475" s="11" t="s">
        <v>13492</v>
      </c>
      <c r="N2475" s="11" t="s">
        <v>86</v>
      </c>
      <c r="O2475" s="11" t="s">
        <v>71</v>
      </c>
      <c r="P2475" s="11" t="s">
        <v>13493</v>
      </c>
      <c r="Q2475" s="13" t="s">
        <v>13494</v>
      </c>
      <c r="R2475" s="14" t="str">
        <f>HYPERLINK("https://drive.google.com/file/d/11pzyb5sd6zlYnNCALfpQyNx4Is_TVT0P/view?usp=drivesdk","OFFER LETTER")</f>
        <v>OFFER LETTER</v>
      </c>
      <c r="S2475" s="11" t="s">
        <v>13495</v>
      </c>
    </row>
    <row r="2476" ht="22.5" customHeight="1">
      <c r="A2476" s="10">
        <v>46272.71720328704</v>
      </c>
      <c r="B2476" s="11" t="s">
        <v>13496</v>
      </c>
      <c r="C2476" s="11" t="s">
        <v>195</v>
      </c>
      <c r="D2476" s="11" t="s">
        <v>8221</v>
      </c>
      <c r="E2476" s="12">
        <v>46272.0</v>
      </c>
      <c r="F2476" s="12">
        <v>46316.0</v>
      </c>
      <c r="G2476" s="11" t="s">
        <v>13497</v>
      </c>
      <c r="H2476" s="11">
        <v>9.219331627E9</v>
      </c>
      <c r="I2476" s="11" t="s">
        <v>82</v>
      </c>
      <c r="J2476" s="11" t="s">
        <v>71</v>
      </c>
      <c r="K2476" s="11" t="s">
        <v>110</v>
      </c>
      <c r="L2476" s="11" t="s">
        <v>247</v>
      </c>
      <c r="M2476" s="11" t="s">
        <v>13498</v>
      </c>
      <c r="N2476" s="11" t="s">
        <v>241</v>
      </c>
      <c r="O2476" s="11" t="s">
        <v>71</v>
      </c>
      <c r="P2476" s="11" t="s">
        <v>13499</v>
      </c>
      <c r="Q2476" s="13" t="s">
        <v>13500</v>
      </c>
      <c r="R2476" s="14" t="str">
        <f>HYPERLINK("https://drive.google.com/file/d/1P3FPB8IBqTd8txHaYUagO9e0YJyrrJk1/view?usp=drivesdk","OFFER LETTER")</f>
        <v>OFFER LETTER</v>
      </c>
      <c r="S2476" s="11" t="s">
        <v>13501</v>
      </c>
    </row>
    <row r="2477" ht="22.5" customHeight="1">
      <c r="A2477" s="10">
        <v>46272.717632569445</v>
      </c>
      <c r="B2477" s="11" t="s">
        <v>13502</v>
      </c>
      <c r="C2477" s="11" t="s">
        <v>173</v>
      </c>
      <c r="D2477" s="11" t="s">
        <v>68</v>
      </c>
      <c r="E2477" s="12">
        <v>46275.0</v>
      </c>
      <c r="F2477" s="12">
        <v>46305.0</v>
      </c>
      <c r="G2477" s="11" t="s">
        <v>13503</v>
      </c>
      <c r="H2477" s="11">
        <v>9.067335043E9</v>
      </c>
      <c r="I2477" s="11" t="s">
        <v>70</v>
      </c>
      <c r="J2477" s="11" t="s">
        <v>71</v>
      </c>
      <c r="K2477" s="11" t="s">
        <v>72</v>
      </c>
      <c r="L2477" s="11" t="s">
        <v>131</v>
      </c>
      <c r="M2477" s="11" t="s">
        <v>13504</v>
      </c>
      <c r="N2477" s="11" t="s">
        <v>241</v>
      </c>
      <c r="O2477" s="11" t="s">
        <v>71</v>
      </c>
      <c r="P2477" s="11" t="s">
        <v>13505</v>
      </c>
      <c r="Q2477" s="13" t="s">
        <v>13506</v>
      </c>
      <c r="R2477" s="14" t="str">
        <f>HYPERLINK("https://drive.google.com/file/d/157Vwlyb13EBJSwWL9I0AcFN2dYz71kUE/view?usp=drivesdk","OFFER LETTER")</f>
        <v>OFFER LETTER</v>
      </c>
      <c r="S2477" s="11" t="s">
        <v>13495</v>
      </c>
    </row>
    <row r="2478" ht="22.5" customHeight="1">
      <c r="A2478" s="10">
        <v>46272.71783201389</v>
      </c>
      <c r="B2478" s="11" t="s">
        <v>13507</v>
      </c>
      <c r="C2478" s="11" t="s">
        <v>195</v>
      </c>
      <c r="D2478" s="11" t="s">
        <v>108</v>
      </c>
      <c r="E2478" s="12">
        <v>46272.0</v>
      </c>
      <c r="F2478" s="12">
        <v>46333.0</v>
      </c>
      <c r="G2478" s="11" t="s">
        <v>13508</v>
      </c>
      <c r="H2478" s="11">
        <v>8.919246886E9</v>
      </c>
      <c r="I2478" s="11" t="s">
        <v>82</v>
      </c>
      <c r="J2478" s="11" t="s">
        <v>71</v>
      </c>
      <c r="K2478" s="11" t="s">
        <v>72</v>
      </c>
      <c r="L2478" s="11" t="s">
        <v>131</v>
      </c>
      <c r="M2478" s="11" t="s">
        <v>13509</v>
      </c>
      <c r="N2478" s="11" t="s">
        <v>5462</v>
      </c>
      <c r="O2478" s="11" t="s">
        <v>71</v>
      </c>
      <c r="P2478" s="11" t="s">
        <v>13510</v>
      </c>
      <c r="Q2478" s="13" t="s">
        <v>13511</v>
      </c>
      <c r="R2478" s="14" t="str">
        <f>HYPERLINK("https://drive.google.com/file/d/1Q0kZUKMeTbBQ1jIqw3_FdxnPUHfE1d-d/view?usp=drivesdk","OFFER LETTER")</f>
        <v>OFFER LETTER</v>
      </c>
      <c r="S2478" s="11" t="s">
        <v>13512</v>
      </c>
    </row>
    <row r="2479" ht="22.5" customHeight="1">
      <c r="A2479" s="10">
        <v>46272.72232714121</v>
      </c>
      <c r="B2479" s="11" t="s">
        <v>13513</v>
      </c>
      <c r="C2479" s="11" t="s">
        <v>237</v>
      </c>
      <c r="D2479" s="11" t="s">
        <v>68</v>
      </c>
      <c r="E2479" s="12">
        <v>46241.0</v>
      </c>
      <c r="F2479" s="12">
        <v>46272.0</v>
      </c>
      <c r="G2479" s="11" t="s">
        <v>13514</v>
      </c>
      <c r="H2479" s="11">
        <v>6.262055238E9</v>
      </c>
      <c r="I2479" s="11" t="s">
        <v>82</v>
      </c>
      <c r="J2479" s="11" t="s">
        <v>71</v>
      </c>
      <c r="K2479" s="11" t="s">
        <v>72</v>
      </c>
      <c r="L2479" s="11" t="s">
        <v>247</v>
      </c>
      <c r="M2479" s="11" t="s">
        <v>13515</v>
      </c>
      <c r="N2479" s="11" t="s">
        <v>226</v>
      </c>
      <c r="O2479" s="11" t="s">
        <v>71</v>
      </c>
      <c r="P2479" s="11" t="s">
        <v>13516</v>
      </c>
      <c r="Q2479" s="13" t="s">
        <v>13517</v>
      </c>
      <c r="R2479" s="14" t="str">
        <f>HYPERLINK("https://drive.google.com/file/d/1vfY-MgX8uB_VZytRl4FP1MMzWSwDiTGf/view?usp=drivesdk","OFFER LETTER")</f>
        <v>OFFER LETTER</v>
      </c>
      <c r="S2479" s="11" t="s">
        <v>13518</v>
      </c>
    </row>
    <row r="2480" ht="22.5" customHeight="1">
      <c r="A2480" s="10">
        <v>46272.72396267361</v>
      </c>
      <c r="B2480" s="11" t="s">
        <v>13519</v>
      </c>
      <c r="C2480" s="11" t="s">
        <v>128</v>
      </c>
      <c r="D2480" s="11" t="s">
        <v>108</v>
      </c>
      <c r="E2480" s="12">
        <v>46277.0</v>
      </c>
      <c r="F2480" s="12">
        <v>46338.0</v>
      </c>
      <c r="G2480" s="11" t="s">
        <v>13520</v>
      </c>
      <c r="H2480" s="11">
        <v>8.341784799E9</v>
      </c>
      <c r="I2480" s="11" t="s">
        <v>82</v>
      </c>
      <c r="J2480" s="11" t="s">
        <v>71</v>
      </c>
      <c r="K2480" s="11" t="s">
        <v>72</v>
      </c>
      <c r="L2480" s="11" t="s">
        <v>73</v>
      </c>
      <c r="M2480" s="11" t="s">
        <v>13521</v>
      </c>
      <c r="N2480" s="11" t="s">
        <v>75</v>
      </c>
      <c r="O2480" s="11" t="s">
        <v>71</v>
      </c>
      <c r="P2480" s="11" t="s">
        <v>13522</v>
      </c>
      <c r="Q2480" s="13" t="s">
        <v>13523</v>
      </c>
      <c r="R2480" s="14" t="str">
        <f>HYPERLINK("https://drive.google.com/file/d/1fmJpyGMP-RQhX-3shaczKCNhcoL9jRpR/view?usp=drivesdk","OFFER LETTER")</f>
        <v>OFFER LETTER</v>
      </c>
      <c r="S2480" s="11" t="s">
        <v>13524</v>
      </c>
    </row>
    <row r="2481" ht="22.5" customHeight="1">
      <c r="A2481" s="10">
        <v>46272.73251803241</v>
      </c>
      <c r="B2481" s="11" t="s">
        <v>13525</v>
      </c>
      <c r="C2481" s="11" t="s">
        <v>195</v>
      </c>
      <c r="D2481" s="11" t="s">
        <v>238</v>
      </c>
      <c r="E2481" s="12">
        <v>46286.0</v>
      </c>
      <c r="F2481" s="12">
        <v>46347.0</v>
      </c>
      <c r="G2481" s="11" t="s">
        <v>13526</v>
      </c>
      <c r="H2481" s="11">
        <v>7.418239537E9</v>
      </c>
      <c r="I2481" s="11" t="s">
        <v>70</v>
      </c>
      <c r="J2481" s="11" t="s">
        <v>71</v>
      </c>
      <c r="K2481" s="11" t="s">
        <v>72</v>
      </c>
      <c r="L2481" s="11" t="s">
        <v>131</v>
      </c>
      <c r="M2481" s="11" t="s">
        <v>13527</v>
      </c>
      <c r="N2481" s="11" t="s">
        <v>75</v>
      </c>
      <c r="O2481" s="11" t="s">
        <v>263</v>
      </c>
      <c r="P2481" s="11" t="s">
        <v>13528</v>
      </c>
      <c r="Q2481" s="13" t="s">
        <v>13529</v>
      </c>
      <c r="R2481" s="14" t="str">
        <f>HYPERLINK("https://drive.google.com/file/d/1rUX3X-j6hMTePgM1S84AuHsshAuA3b2Y/view?usp=drivesdk","OFFER LETTER")</f>
        <v>OFFER LETTER</v>
      </c>
      <c r="S2481" s="11" t="s">
        <v>13530</v>
      </c>
    </row>
    <row r="2482" ht="22.5" customHeight="1">
      <c r="A2482" s="10">
        <v>46272.73324821759</v>
      </c>
      <c r="B2482" s="11" t="s">
        <v>13531</v>
      </c>
      <c r="C2482" s="11" t="s">
        <v>237</v>
      </c>
      <c r="D2482" s="11" t="s">
        <v>68</v>
      </c>
      <c r="E2482" s="12">
        <v>46272.0</v>
      </c>
      <c r="F2482" s="12">
        <v>46302.0</v>
      </c>
      <c r="G2482" s="11" t="s">
        <v>13328</v>
      </c>
      <c r="H2482" s="11">
        <v>7.842267278E9</v>
      </c>
      <c r="I2482" s="11" t="s">
        <v>82</v>
      </c>
      <c r="J2482" s="11" t="s">
        <v>71</v>
      </c>
      <c r="K2482" s="11" t="s">
        <v>72</v>
      </c>
      <c r="L2482" s="11" t="s">
        <v>84</v>
      </c>
      <c r="M2482" s="11" t="s">
        <v>13532</v>
      </c>
      <c r="N2482" s="11" t="s">
        <v>3148</v>
      </c>
      <c r="O2482" s="11" t="s">
        <v>71</v>
      </c>
      <c r="P2482" s="11" t="s">
        <v>13533</v>
      </c>
      <c r="Q2482" s="13" t="s">
        <v>13534</v>
      </c>
      <c r="R2482" s="14" t="str">
        <f>HYPERLINK("https://drive.google.com/file/d/1mmMBK-h2zHplIcTwGuz_36qf_TGkr1Uz/view?usp=drivesdk","OFFER LETTER")</f>
        <v>OFFER LETTER</v>
      </c>
      <c r="S2482" s="11" t="s">
        <v>13535</v>
      </c>
    </row>
    <row r="2483" ht="22.5" customHeight="1">
      <c r="A2483" s="10">
        <v>46272.737812141204</v>
      </c>
      <c r="B2483" s="11" t="s">
        <v>13536</v>
      </c>
      <c r="C2483" s="11" t="s">
        <v>195</v>
      </c>
      <c r="D2483" s="11" t="s">
        <v>108</v>
      </c>
      <c r="E2483" s="12">
        <v>46272.0</v>
      </c>
      <c r="F2483" s="12">
        <v>46333.0</v>
      </c>
      <c r="G2483" s="11" t="s">
        <v>13537</v>
      </c>
      <c r="H2483" s="11">
        <v>6.300413077E9</v>
      </c>
      <c r="I2483" s="11" t="s">
        <v>82</v>
      </c>
      <c r="J2483" s="11" t="s">
        <v>71</v>
      </c>
      <c r="K2483" s="11" t="s">
        <v>72</v>
      </c>
      <c r="L2483" s="11" t="s">
        <v>131</v>
      </c>
      <c r="M2483" s="11" t="s">
        <v>13509</v>
      </c>
      <c r="N2483" s="11" t="s">
        <v>198</v>
      </c>
      <c r="O2483" s="11" t="s">
        <v>71</v>
      </c>
      <c r="P2483" s="11" t="s">
        <v>13538</v>
      </c>
      <c r="Q2483" s="13" t="s">
        <v>13539</v>
      </c>
      <c r="R2483" s="14" t="str">
        <f>HYPERLINK("https://drive.google.com/file/d/16rFPW33_Y0hi8O2C1Kiy2wCWyNdw1fwr/view?usp=drivesdk","OFFER LETTER")</f>
        <v>OFFER LETTER</v>
      </c>
      <c r="S2483" s="11" t="s">
        <v>13540</v>
      </c>
    </row>
    <row r="2484" ht="22.5" customHeight="1">
      <c r="A2484" s="10">
        <v>46272.742078703704</v>
      </c>
      <c r="B2484" s="11" t="s">
        <v>13541</v>
      </c>
      <c r="C2484" s="11" t="s">
        <v>173</v>
      </c>
      <c r="D2484" s="11" t="s">
        <v>68</v>
      </c>
      <c r="E2484" s="12">
        <v>46273.0</v>
      </c>
      <c r="F2484" s="12">
        <v>46272.0</v>
      </c>
      <c r="G2484" s="11" t="s">
        <v>13542</v>
      </c>
      <c r="H2484" s="11">
        <v>9.392077284E9</v>
      </c>
      <c r="I2484" s="11" t="s">
        <v>70</v>
      </c>
      <c r="J2484" s="11" t="s">
        <v>71</v>
      </c>
      <c r="K2484" s="11" t="s">
        <v>72</v>
      </c>
      <c r="L2484" s="11" t="s">
        <v>73</v>
      </c>
      <c r="M2484" s="11" t="s">
        <v>13543</v>
      </c>
      <c r="N2484" s="11" t="s">
        <v>198</v>
      </c>
      <c r="O2484" s="11" t="s">
        <v>71</v>
      </c>
      <c r="P2484" s="11" t="s">
        <v>13544</v>
      </c>
      <c r="Q2484" s="13" t="s">
        <v>13545</v>
      </c>
      <c r="R2484" s="14" t="str">
        <f>HYPERLINK("https://drive.google.com/file/d/1KJtHHcYCQ4rHNwWtzONi2Y6B2kHENJ5G/view?usp=drivesdk","OFFER LETTER")</f>
        <v>OFFER LETTER</v>
      </c>
      <c r="S2484" s="11" t="s">
        <v>13546</v>
      </c>
    </row>
    <row r="2485" ht="22.5" customHeight="1">
      <c r="A2485" s="10">
        <v>46272.74301024305</v>
      </c>
      <c r="B2485" s="11" t="s">
        <v>13547</v>
      </c>
      <c r="C2485" s="11" t="s">
        <v>173</v>
      </c>
      <c r="D2485" s="11" t="s">
        <v>68</v>
      </c>
      <c r="E2485" s="12">
        <v>46280.0</v>
      </c>
      <c r="F2485" s="12">
        <v>46310.0</v>
      </c>
      <c r="G2485" s="11" t="s">
        <v>13548</v>
      </c>
      <c r="H2485" s="11">
        <v>7.98953095E9</v>
      </c>
      <c r="I2485" s="11" t="s">
        <v>70</v>
      </c>
      <c r="J2485" s="11" t="s">
        <v>71</v>
      </c>
      <c r="K2485" s="11" t="s">
        <v>72</v>
      </c>
      <c r="L2485" s="11" t="s">
        <v>131</v>
      </c>
      <c r="M2485" s="11" t="s">
        <v>13549</v>
      </c>
      <c r="N2485" s="11" t="s">
        <v>630</v>
      </c>
      <c r="O2485" s="11" t="s">
        <v>71</v>
      </c>
      <c r="P2485" s="11" t="s">
        <v>13550</v>
      </c>
      <c r="Q2485" s="13" t="s">
        <v>13551</v>
      </c>
      <c r="R2485" s="14" t="str">
        <f>HYPERLINK("https://drive.google.com/file/d/1a0KUA3NbUx3IHLnoJS4PNryEdbFkkieW/view?usp=drivesdk","OFFER LETTER")</f>
        <v>OFFER LETTER</v>
      </c>
      <c r="S2485" s="11" t="s">
        <v>13552</v>
      </c>
    </row>
    <row r="2486" ht="22.5" customHeight="1">
      <c r="A2486" s="10">
        <v>46272.74532714121</v>
      </c>
      <c r="B2486" s="11" t="s">
        <v>13525</v>
      </c>
      <c r="C2486" s="11" t="s">
        <v>195</v>
      </c>
      <c r="D2486" s="11" t="s">
        <v>68</v>
      </c>
      <c r="E2486" s="12">
        <v>46286.0</v>
      </c>
      <c r="F2486" s="12">
        <v>46316.0</v>
      </c>
      <c r="G2486" s="11" t="s">
        <v>13526</v>
      </c>
      <c r="H2486" s="11">
        <v>7.418239537E9</v>
      </c>
      <c r="I2486" s="11" t="s">
        <v>70</v>
      </c>
      <c r="J2486" s="11" t="s">
        <v>71</v>
      </c>
      <c r="K2486" s="11" t="s">
        <v>72</v>
      </c>
      <c r="L2486" s="11" t="s">
        <v>131</v>
      </c>
      <c r="M2486" s="11" t="s">
        <v>13527</v>
      </c>
      <c r="N2486" s="11" t="s">
        <v>75</v>
      </c>
      <c r="O2486" s="11" t="s">
        <v>263</v>
      </c>
      <c r="P2486" s="11" t="s">
        <v>13553</v>
      </c>
      <c r="Q2486" s="13" t="s">
        <v>13554</v>
      </c>
      <c r="R2486" s="14" t="str">
        <f>HYPERLINK("https://drive.google.com/file/d/1MNHHmYLaShXC0bn84zc2p33qqdUIuE-p/view?usp=drivesdk","OFFER LETTER")</f>
        <v>OFFER LETTER</v>
      </c>
      <c r="S2486" s="11" t="s">
        <v>13555</v>
      </c>
    </row>
    <row r="2487" ht="22.5" customHeight="1">
      <c r="A2487" s="10">
        <v>46272.74699168981</v>
      </c>
      <c r="B2487" s="11" t="s">
        <v>13556</v>
      </c>
      <c r="C2487" s="11" t="s">
        <v>195</v>
      </c>
      <c r="D2487" s="11" t="s">
        <v>238</v>
      </c>
      <c r="E2487" s="12">
        <v>46300.0</v>
      </c>
      <c r="F2487" s="12">
        <v>46361.0</v>
      </c>
      <c r="G2487" s="11" t="s">
        <v>13557</v>
      </c>
      <c r="H2487" s="11">
        <v>7.523910882E9</v>
      </c>
      <c r="I2487" s="11" t="s">
        <v>82</v>
      </c>
      <c r="J2487" s="11" t="s">
        <v>71</v>
      </c>
      <c r="K2487" s="11" t="s">
        <v>110</v>
      </c>
      <c r="L2487" s="11" t="s">
        <v>73</v>
      </c>
      <c r="M2487" s="11" t="s">
        <v>5158</v>
      </c>
      <c r="N2487" s="11" t="s">
        <v>75</v>
      </c>
      <c r="O2487" s="11" t="s">
        <v>71</v>
      </c>
      <c r="P2487" s="11" t="s">
        <v>13558</v>
      </c>
      <c r="Q2487" s="13" t="s">
        <v>13559</v>
      </c>
      <c r="R2487" s="14" t="str">
        <f>HYPERLINK("https://drive.google.com/file/d/1Pef1A31f3_YleKdQ2PMODRul_uAbEzQi/view?usp=drivesdk","OFFER LETTER")</f>
        <v>OFFER LETTER</v>
      </c>
      <c r="S2487" s="11" t="s">
        <v>13560</v>
      </c>
    </row>
    <row r="2488" ht="22.5" customHeight="1">
      <c r="A2488" s="10">
        <v>46272.747730312505</v>
      </c>
      <c r="B2488" s="11" t="s">
        <v>13561</v>
      </c>
      <c r="C2488" s="11" t="s">
        <v>195</v>
      </c>
      <c r="D2488" s="11" t="s">
        <v>68</v>
      </c>
      <c r="E2488" s="12">
        <v>46272.0</v>
      </c>
      <c r="F2488" s="12">
        <v>46302.0</v>
      </c>
      <c r="G2488" s="11" t="s">
        <v>13562</v>
      </c>
      <c r="H2488" s="11">
        <v>7.860210223E9</v>
      </c>
      <c r="I2488" s="11" t="s">
        <v>82</v>
      </c>
      <c r="J2488" s="11" t="s">
        <v>71</v>
      </c>
      <c r="K2488" s="11" t="s">
        <v>72</v>
      </c>
      <c r="L2488" s="11" t="s">
        <v>84</v>
      </c>
      <c r="M2488" s="11" t="s">
        <v>13563</v>
      </c>
      <c r="N2488" s="11" t="s">
        <v>75</v>
      </c>
      <c r="O2488" s="11" t="s">
        <v>71</v>
      </c>
      <c r="P2488" s="11" t="s">
        <v>13564</v>
      </c>
      <c r="Q2488" s="13" t="s">
        <v>13565</v>
      </c>
      <c r="R2488" s="14" t="str">
        <f>HYPERLINK("https://drive.google.com/file/d/1gtSELl-ax-cf2bifrcs3BU9OA3GGcAOQ/view?usp=drivesdk","OFFER LETTER")</f>
        <v>OFFER LETTER</v>
      </c>
      <c r="S2488" s="11" t="s">
        <v>13566</v>
      </c>
    </row>
    <row r="2489" ht="22.5" customHeight="1">
      <c r="A2489" s="10">
        <v>46272.74825525463</v>
      </c>
      <c r="B2489" s="11" t="s">
        <v>13485</v>
      </c>
      <c r="C2489" s="11" t="s">
        <v>173</v>
      </c>
      <c r="D2489" s="11" t="s">
        <v>68</v>
      </c>
      <c r="E2489" s="12">
        <v>46272.0</v>
      </c>
      <c r="F2489" s="12">
        <v>46272.0</v>
      </c>
      <c r="G2489" s="11" t="s">
        <v>13486</v>
      </c>
      <c r="H2489" s="11">
        <v>8.54581748E9</v>
      </c>
      <c r="I2489" s="11" t="s">
        <v>82</v>
      </c>
      <c r="J2489" s="11" t="s">
        <v>71</v>
      </c>
      <c r="K2489" s="11" t="s">
        <v>72</v>
      </c>
      <c r="L2489" s="11" t="s">
        <v>357</v>
      </c>
      <c r="M2489" s="11" t="s">
        <v>2754</v>
      </c>
      <c r="N2489" s="11" t="s">
        <v>241</v>
      </c>
      <c r="O2489" s="11" t="s">
        <v>71</v>
      </c>
      <c r="P2489" s="11" t="s">
        <v>13567</v>
      </c>
      <c r="Q2489" s="13" t="s">
        <v>13568</v>
      </c>
      <c r="R2489" s="14" t="str">
        <f>HYPERLINK("https://drive.google.com/file/d/1Ex-Su82t0HSa_FCcBwJz0378uD-Woq4M/view?usp=drivesdk","OFFER LETTER")</f>
        <v>OFFER LETTER</v>
      </c>
      <c r="S2489" s="11" t="s">
        <v>13569</v>
      </c>
    </row>
    <row r="2490" ht="22.5" customHeight="1">
      <c r="A2490" s="10">
        <v>46272.74854155093</v>
      </c>
      <c r="B2490" s="11" t="s">
        <v>13570</v>
      </c>
      <c r="C2490" s="11" t="s">
        <v>173</v>
      </c>
      <c r="D2490" s="11" t="s">
        <v>68</v>
      </c>
      <c r="E2490" s="12">
        <v>46272.0</v>
      </c>
      <c r="F2490" s="12">
        <v>46302.0</v>
      </c>
      <c r="G2490" s="11" t="s">
        <v>13571</v>
      </c>
      <c r="H2490" s="11">
        <v>7.908487091E9</v>
      </c>
      <c r="I2490" s="11" t="s">
        <v>82</v>
      </c>
      <c r="J2490" s="11" t="s">
        <v>71</v>
      </c>
      <c r="K2490" s="11" t="s">
        <v>72</v>
      </c>
      <c r="L2490" s="11" t="s">
        <v>131</v>
      </c>
      <c r="M2490" s="11" t="s">
        <v>13572</v>
      </c>
      <c r="N2490" s="11" t="s">
        <v>6822</v>
      </c>
      <c r="O2490" s="11" t="s">
        <v>71</v>
      </c>
      <c r="P2490" s="11" t="s">
        <v>13573</v>
      </c>
      <c r="Q2490" s="13" t="s">
        <v>13574</v>
      </c>
      <c r="R2490" s="14" t="str">
        <f>HYPERLINK("https://drive.google.com/file/d/1H_rHTAa72Pt4L__YPm7cY3YQY-QCKEMb/view?usp=drivesdk","OFFER LETTER")</f>
        <v>OFFER LETTER</v>
      </c>
      <c r="S2490" s="11" t="s">
        <v>13575</v>
      </c>
    </row>
    <row r="2491" ht="22.5" customHeight="1">
      <c r="A2491" s="10">
        <v>46272.74938173611</v>
      </c>
      <c r="B2491" s="11" t="s">
        <v>13576</v>
      </c>
      <c r="C2491" s="11" t="s">
        <v>107</v>
      </c>
      <c r="D2491" s="11" t="s">
        <v>68</v>
      </c>
      <c r="E2491" s="12">
        <v>46272.0</v>
      </c>
      <c r="F2491" s="12">
        <v>46302.0</v>
      </c>
      <c r="G2491" s="11" t="s">
        <v>13577</v>
      </c>
      <c r="H2491" s="11">
        <v>7.668847784E9</v>
      </c>
      <c r="I2491" s="11" t="s">
        <v>82</v>
      </c>
      <c r="J2491" s="11" t="s">
        <v>83</v>
      </c>
      <c r="K2491" s="11" t="s">
        <v>72</v>
      </c>
      <c r="L2491" s="11" t="s">
        <v>84</v>
      </c>
      <c r="M2491" s="11" t="s">
        <v>1532</v>
      </c>
      <c r="N2491" s="11" t="s">
        <v>75</v>
      </c>
      <c r="O2491" s="11" t="s">
        <v>71</v>
      </c>
      <c r="P2491" s="11" t="s">
        <v>13578</v>
      </c>
      <c r="Q2491" s="13" t="s">
        <v>13579</v>
      </c>
      <c r="R2491" s="14" t="str">
        <f>HYPERLINK("https://drive.google.com/file/d/1qnNV-fxBUiMsFxeZAVvhIHRAjiRGdgMC/view?usp=drivesdk","OFFER LETTER")</f>
        <v>OFFER LETTER</v>
      </c>
      <c r="S2491" s="11" t="s">
        <v>13580</v>
      </c>
    </row>
    <row r="2492" ht="22.5" customHeight="1">
      <c r="A2492" s="10">
        <v>46272.74975122685</v>
      </c>
      <c r="B2492" s="11" t="s">
        <v>13581</v>
      </c>
      <c r="C2492" s="11" t="s">
        <v>237</v>
      </c>
      <c r="D2492" s="11" t="s">
        <v>68</v>
      </c>
      <c r="E2492" s="12">
        <v>46240.0</v>
      </c>
      <c r="F2492" s="12">
        <v>46028.0</v>
      </c>
      <c r="G2492" s="11" t="s">
        <v>13328</v>
      </c>
      <c r="H2492" s="17" t="s">
        <v>13582</v>
      </c>
      <c r="I2492" s="11" t="s">
        <v>82</v>
      </c>
      <c r="J2492" s="11" t="s">
        <v>71</v>
      </c>
      <c r="K2492" s="11" t="s">
        <v>72</v>
      </c>
      <c r="L2492" s="11" t="s">
        <v>84</v>
      </c>
      <c r="M2492" s="11" t="s">
        <v>13583</v>
      </c>
      <c r="N2492" s="11" t="s">
        <v>4001</v>
      </c>
      <c r="O2492" s="11" t="s">
        <v>71</v>
      </c>
      <c r="P2492" s="11" t="s">
        <v>13584</v>
      </c>
      <c r="Q2492" s="13" t="s">
        <v>13585</v>
      </c>
      <c r="R2492" s="14" t="str">
        <f>HYPERLINK("https://drive.google.com/file/d/1c5rcQrcUXt7kWx5K3S0z1qWL0u05aXJe/view?usp=drivesdk","OFFER LETTER")</f>
        <v>OFFER LETTER</v>
      </c>
      <c r="S2492" s="11" t="s">
        <v>13580</v>
      </c>
    </row>
    <row r="2493" ht="22.5" customHeight="1">
      <c r="A2493" s="10">
        <v>46272.750745474536</v>
      </c>
      <c r="B2493" s="11" t="s">
        <v>13586</v>
      </c>
      <c r="C2493" s="11" t="s">
        <v>2591</v>
      </c>
      <c r="D2493" s="11" t="s">
        <v>68</v>
      </c>
      <c r="E2493" s="12">
        <v>46273.0</v>
      </c>
      <c r="F2493" s="12">
        <v>46304.0</v>
      </c>
      <c r="G2493" s="11" t="s">
        <v>13587</v>
      </c>
      <c r="H2493" s="11">
        <v>6.30380395E9</v>
      </c>
      <c r="I2493" s="11" t="s">
        <v>82</v>
      </c>
      <c r="J2493" s="11" t="s">
        <v>71</v>
      </c>
      <c r="K2493" s="11" t="s">
        <v>72</v>
      </c>
      <c r="L2493" s="11" t="s">
        <v>247</v>
      </c>
      <c r="M2493" s="11" t="s">
        <v>13588</v>
      </c>
      <c r="N2493" s="11" t="s">
        <v>241</v>
      </c>
      <c r="O2493" s="11" t="s">
        <v>71</v>
      </c>
      <c r="P2493" s="11" t="s">
        <v>13589</v>
      </c>
      <c r="Q2493" s="13" t="s">
        <v>13590</v>
      </c>
      <c r="R2493" s="14" t="str">
        <f>HYPERLINK("https://drive.google.com/file/d/1cJ0N0CtGcWC_NbUPVsPja61ojH9HiXRl/view?usp=drivesdk","OFFER LETTER")</f>
        <v>OFFER LETTER</v>
      </c>
      <c r="S2493" s="11" t="s">
        <v>13591</v>
      </c>
    </row>
    <row r="2494" ht="22.5" customHeight="1">
      <c r="A2494" s="10">
        <v>46272.75148091435</v>
      </c>
      <c r="B2494" s="11" t="s">
        <v>13592</v>
      </c>
      <c r="C2494" s="11" t="s">
        <v>128</v>
      </c>
      <c r="D2494" s="11" t="s">
        <v>68</v>
      </c>
      <c r="E2494" s="12">
        <v>46272.0</v>
      </c>
      <c r="F2494" s="12">
        <v>46302.0</v>
      </c>
      <c r="G2494" s="11" t="s">
        <v>13593</v>
      </c>
      <c r="H2494" s="11">
        <v>9.550140615E9</v>
      </c>
      <c r="I2494" s="11" t="s">
        <v>82</v>
      </c>
      <c r="J2494" s="11" t="s">
        <v>71</v>
      </c>
      <c r="K2494" s="11" t="s">
        <v>72</v>
      </c>
      <c r="L2494" s="11" t="s">
        <v>247</v>
      </c>
      <c r="M2494" s="11" t="s">
        <v>13594</v>
      </c>
      <c r="N2494" s="11" t="s">
        <v>2778</v>
      </c>
      <c r="O2494" s="11" t="s">
        <v>71</v>
      </c>
      <c r="P2494" s="11" t="s">
        <v>13595</v>
      </c>
      <c r="Q2494" s="13" t="s">
        <v>13596</v>
      </c>
      <c r="R2494" s="14" t="str">
        <f>HYPERLINK("https://drive.google.com/file/d/1ZR9N1MFQTMUcZtzr5YSFW9C0c7Q8XVYJ/view?usp=drivesdk","OFFER LETTER")</f>
        <v>OFFER LETTER</v>
      </c>
      <c r="S2494" s="11" t="s">
        <v>13597</v>
      </c>
    </row>
    <row r="2495" ht="22.5" customHeight="1">
      <c r="A2495" s="10">
        <v>46272.75281413195</v>
      </c>
      <c r="B2495" s="11" t="s">
        <v>13598</v>
      </c>
      <c r="C2495" s="11" t="s">
        <v>237</v>
      </c>
      <c r="D2495" s="11" t="s">
        <v>68</v>
      </c>
      <c r="E2495" s="12">
        <v>46240.0</v>
      </c>
      <c r="F2495" s="12">
        <v>46271.0</v>
      </c>
      <c r="G2495" s="11" t="s">
        <v>13328</v>
      </c>
      <c r="H2495" s="11">
        <v>7.842267278E9</v>
      </c>
      <c r="I2495" s="11" t="s">
        <v>82</v>
      </c>
      <c r="J2495" s="11" t="s">
        <v>71</v>
      </c>
      <c r="K2495" s="11" t="s">
        <v>72</v>
      </c>
      <c r="L2495" s="11" t="s">
        <v>84</v>
      </c>
      <c r="M2495" s="11" t="s">
        <v>13583</v>
      </c>
      <c r="N2495" s="11" t="s">
        <v>4721</v>
      </c>
      <c r="O2495" s="11" t="s">
        <v>71</v>
      </c>
      <c r="P2495" s="11" t="s">
        <v>13599</v>
      </c>
      <c r="Q2495" s="13" t="s">
        <v>13600</v>
      </c>
      <c r="R2495" s="14" t="str">
        <f>HYPERLINK("https://drive.google.com/file/d/1DA2DXQv0GKajwW6mTQpGqPOTltXZsYYF/view?usp=drivesdk","OFFER LETTER")</f>
        <v>OFFER LETTER</v>
      </c>
      <c r="S2495" s="11" t="s">
        <v>13601</v>
      </c>
    </row>
    <row r="2496" ht="22.5" customHeight="1">
      <c r="A2496" s="10">
        <v>46272.75342695602</v>
      </c>
      <c r="B2496" s="11" t="s">
        <v>13602</v>
      </c>
      <c r="C2496" s="11" t="s">
        <v>128</v>
      </c>
      <c r="D2496" s="11" t="s">
        <v>108</v>
      </c>
      <c r="E2496" s="12">
        <v>46275.0</v>
      </c>
      <c r="F2496" s="12">
        <v>46336.0</v>
      </c>
      <c r="G2496" s="11" t="s">
        <v>13603</v>
      </c>
      <c r="H2496" s="11">
        <v>9.263615531E9</v>
      </c>
      <c r="I2496" s="11" t="s">
        <v>82</v>
      </c>
      <c r="J2496" s="11" t="s">
        <v>71</v>
      </c>
      <c r="K2496" s="11" t="s">
        <v>110</v>
      </c>
      <c r="L2496" s="11" t="s">
        <v>73</v>
      </c>
      <c r="M2496" s="11" t="s">
        <v>8450</v>
      </c>
      <c r="N2496" s="11" t="s">
        <v>86</v>
      </c>
      <c r="O2496" s="11" t="s">
        <v>71</v>
      </c>
      <c r="P2496" s="11" t="s">
        <v>13604</v>
      </c>
      <c r="Q2496" s="13" t="s">
        <v>13605</v>
      </c>
      <c r="R2496" s="14" t="str">
        <f>HYPERLINK("https://drive.google.com/file/d/1Ouwktawa7wn6jqPifXKsPrJBZx_ljh5-/view?usp=drivesdk","OFFER LETTER")</f>
        <v>OFFER LETTER</v>
      </c>
      <c r="S2496" s="11" t="s">
        <v>13606</v>
      </c>
    </row>
    <row r="2497" ht="22.5" customHeight="1">
      <c r="A2497" s="10">
        <v>46272.75440326388</v>
      </c>
      <c r="B2497" s="11" t="s">
        <v>13607</v>
      </c>
      <c r="C2497" s="11" t="s">
        <v>195</v>
      </c>
      <c r="D2497" s="11" t="s">
        <v>68</v>
      </c>
      <c r="E2497" s="12">
        <v>46272.0</v>
      </c>
      <c r="F2497" s="12">
        <v>46302.0</v>
      </c>
      <c r="G2497" s="11" t="s">
        <v>13608</v>
      </c>
      <c r="H2497" s="11">
        <v>8.431955345E9</v>
      </c>
      <c r="I2497" s="11" t="s">
        <v>82</v>
      </c>
      <c r="J2497" s="11" t="s">
        <v>71</v>
      </c>
      <c r="K2497" s="11" t="s">
        <v>72</v>
      </c>
      <c r="L2497" s="11" t="s">
        <v>131</v>
      </c>
      <c r="M2497" s="11" t="s">
        <v>13609</v>
      </c>
      <c r="N2497" s="11" t="s">
        <v>241</v>
      </c>
      <c r="O2497" s="11" t="s">
        <v>71</v>
      </c>
      <c r="P2497" s="11" t="s">
        <v>13610</v>
      </c>
      <c r="Q2497" s="13" t="s">
        <v>13611</v>
      </c>
      <c r="R2497" s="14" t="str">
        <f>HYPERLINK("https://drive.google.com/file/d/1jrgGQ4_oB9Mq_0OhfeHJFopFxbgrJ-_U/view?usp=drivesdk","OFFER LETTER")</f>
        <v>OFFER LETTER</v>
      </c>
      <c r="S2497" s="11" t="s">
        <v>13612</v>
      </c>
    </row>
    <row r="2498" ht="22.5" customHeight="1">
      <c r="A2498" s="10">
        <v>46272.754559594905</v>
      </c>
      <c r="B2498" s="11" t="s">
        <v>13613</v>
      </c>
      <c r="C2498" s="11" t="s">
        <v>5430</v>
      </c>
      <c r="D2498" s="11" t="s">
        <v>68</v>
      </c>
      <c r="E2498" s="12">
        <v>46248.0</v>
      </c>
      <c r="F2498" s="12">
        <v>46279.0</v>
      </c>
      <c r="G2498" s="11" t="s">
        <v>13614</v>
      </c>
      <c r="H2498" s="11">
        <v>8.853128994E9</v>
      </c>
      <c r="I2498" s="11" t="s">
        <v>82</v>
      </c>
      <c r="J2498" s="11" t="s">
        <v>71</v>
      </c>
      <c r="K2498" s="11" t="s">
        <v>72</v>
      </c>
      <c r="L2498" s="11" t="s">
        <v>131</v>
      </c>
      <c r="M2498" s="11" t="s">
        <v>1756</v>
      </c>
      <c r="N2498" s="11" t="s">
        <v>8467</v>
      </c>
      <c r="O2498" s="11" t="s">
        <v>71</v>
      </c>
      <c r="P2498" s="11" t="s">
        <v>13615</v>
      </c>
      <c r="Q2498" s="13" t="s">
        <v>13616</v>
      </c>
      <c r="R2498" s="14" t="str">
        <f>HYPERLINK("https://drive.google.com/file/d/1yu2HembaeXDHQeAaRMORNxB54f7SqnD3/view?usp=drivesdk","OFFER LETTER")</f>
        <v>OFFER LETTER</v>
      </c>
      <c r="S2498" s="11" t="s">
        <v>13617</v>
      </c>
    </row>
    <row r="2499" ht="22.5" customHeight="1">
      <c r="A2499" s="10">
        <v>46272.75496653935</v>
      </c>
      <c r="B2499" s="11" t="s">
        <v>13618</v>
      </c>
      <c r="C2499" s="11" t="s">
        <v>173</v>
      </c>
      <c r="D2499" s="11" t="s">
        <v>68</v>
      </c>
      <c r="E2499" s="12">
        <v>46275.0</v>
      </c>
      <c r="F2499" s="12">
        <v>46305.0</v>
      </c>
      <c r="G2499" s="11" t="s">
        <v>13619</v>
      </c>
      <c r="H2499" s="11">
        <v>9.279248646E9</v>
      </c>
      <c r="I2499" s="11" t="s">
        <v>70</v>
      </c>
      <c r="J2499" s="11" t="s">
        <v>71</v>
      </c>
      <c r="K2499" s="11" t="s">
        <v>72</v>
      </c>
      <c r="L2499" s="11" t="s">
        <v>84</v>
      </c>
      <c r="M2499" s="11" t="s">
        <v>13620</v>
      </c>
      <c r="N2499" s="11" t="s">
        <v>1576</v>
      </c>
      <c r="O2499" s="11" t="s">
        <v>71</v>
      </c>
      <c r="P2499" s="11" t="s">
        <v>13621</v>
      </c>
      <c r="Q2499" s="13" t="s">
        <v>13622</v>
      </c>
      <c r="R2499" s="14" t="str">
        <f>HYPERLINK("https://drive.google.com/file/d/1qNUiq6-3lZNyrQ9uy2E8jtAU5rZP4rP-/view?usp=drivesdk","OFFER LETTER")</f>
        <v>OFFER LETTER</v>
      </c>
      <c r="S2499" s="11" t="s">
        <v>13623</v>
      </c>
    </row>
    <row r="2500" ht="22.5" customHeight="1">
      <c r="A2500" s="10">
        <v>46272.755897256946</v>
      </c>
      <c r="B2500" s="11" t="s">
        <v>13624</v>
      </c>
      <c r="C2500" s="11" t="s">
        <v>91</v>
      </c>
      <c r="D2500" s="11" t="s">
        <v>68</v>
      </c>
      <c r="E2500" s="12">
        <v>46272.0</v>
      </c>
      <c r="F2500" s="12">
        <v>46272.0</v>
      </c>
      <c r="G2500" s="11" t="s">
        <v>13625</v>
      </c>
      <c r="H2500" s="11">
        <v>8.617537724E9</v>
      </c>
      <c r="I2500" s="11" t="s">
        <v>82</v>
      </c>
      <c r="J2500" s="11" t="s">
        <v>71</v>
      </c>
      <c r="K2500" s="11" t="s">
        <v>110</v>
      </c>
      <c r="L2500" s="11" t="s">
        <v>73</v>
      </c>
      <c r="M2500" s="11" t="s">
        <v>13626</v>
      </c>
      <c r="N2500" s="11" t="s">
        <v>241</v>
      </c>
      <c r="O2500" s="11" t="s">
        <v>71</v>
      </c>
      <c r="P2500" s="11" t="s">
        <v>13627</v>
      </c>
      <c r="Q2500" s="13" t="s">
        <v>13628</v>
      </c>
      <c r="R2500" s="14" t="str">
        <f>HYPERLINK("https://drive.google.com/file/d/1jqNgV4SmPec0_aVT2okuIn-9McpqzoHg/view?usp=drivesdk","OFFER LETTER")</f>
        <v>OFFER LETTER</v>
      </c>
      <c r="S2500" s="11" t="s">
        <v>13629</v>
      </c>
    </row>
    <row r="2501" ht="22.5" customHeight="1">
      <c r="A2501" s="10">
        <v>46272.75597908565</v>
      </c>
      <c r="B2501" s="11" t="s">
        <v>13630</v>
      </c>
      <c r="C2501" s="11" t="s">
        <v>298</v>
      </c>
      <c r="D2501" s="11" t="s">
        <v>68</v>
      </c>
      <c r="E2501" s="12">
        <v>46272.0</v>
      </c>
      <c r="F2501" s="12">
        <v>46302.0</v>
      </c>
      <c r="G2501" s="11" t="s">
        <v>13631</v>
      </c>
      <c r="H2501" s="11">
        <v>9.370600231E9</v>
      </c>
      <c r="I2501" s="11" t="s">
        <v>70</v>
      </c>
      <c r="J2501" s="11" t="s">
        <v>71</v>
      </c>
      <c r="K2501" s="11" t="s">
        <v>72</v>
      </c>
      <c r="L2501" s="11" t="s">
        <v>84</v>
      </c>
      <c r="M2501" s="11" t="s">
        <v>13632</v>
      </c>
      <c r="N2501" s="11" t="s">
        <v>936</v>
      </c>
      <c r="O2501" s="11" t="s">
        <v>71</v>
      </c>
      <c r="P2501" s="11" t="s">
        <v>13633</v>
      </c>
      <c r="Q2501" s="13" t="s">
        <v>13634</v>
      </c>
      <c r="R2501" s="14" t="str">
        <f>HYPERLINK("https://drive.google.com/file/d/1W_O3086KmqGT6E3rYJurMAuX5qGCzFLW/view?usp=drivesdk","OFFER LETTER")</f>
        <v>OFFER LETTER</v>
      </c>
      <c r="S2501" s="11" t="s">
        <v>13629</v>
      </c>
    </row>
    <row r="2502" ht="22.5" customHeight="1">
      <c r="A2502" s="10">
        <v>46272.75612456018</v>
      </c>
      <c r="B2502" s="11" t="s">
        <v>13541</v>
      </c>
      <c r="C2502" s="11" t="s">
        <v>173</v>
      </c>
      <c r="D2502" s="11" t="s">
        <v>68</v>
      </c>
      <c r="E2502" s="12">
        <v>46272.0</v>
      </c>
      <c r="F2502" s="12">
        <v>46272.0</v>
      </c>
      <c r="G2502" s="11" t="s">
        <v>13542</v>
      </c>
      <c r="H2502" s="11">
        <v>9.392077284E9</v>
      </c>
      <c r="I2502" s="11" t="s">
        <v>70</v>
      </c>
      <c r="J2502" s="11" t="s">
        <v>71</v>
      </c>
      <c r="K2502" s="11" t="s">
        <v>72</v>
      </c>
      <c r="L2502" s="11" t="s">
        <v>73</v>
      </c>
      <c r="M2502" s="11" t="s">
        <v>13543</v>
      </c>
      <c r="N2502" s="11" t="s">
        <v>198</v>
      </c>
      <c r="O2502" s="11" t="s">
        <v>71</v>
      </c>
      <c r="P2502" s="11" t="s">
        <v>13635</v>
      </c>
      <c r="Q2502" s="13" t="s">
        <v>13636</v>
      </c>
      <c r="R2502" s="14" t="str">
        <f>HYPERLINK("https://drive.google.com/file/d/1PFBkwP4c_a6ztRjJ8UEqmbeSkEvCjDTk/view?usp=drivesdk","OFFER LETTER")</f>
        <v>OFFER LETTER</v>
      </c>
      <c r="S2502" s="11" t="s">
        <v>13637</v>
      </c>
    </row>
    <row r="2503" ht="22.5" customHeight="1">
      <c r="A2503" s="10">
        <v>46272.75670460648</v>
      </c>
      <c r="B2503" s="11" t="s">
        <v>13638</v>
      </c>
      <c r="C2503" s="11" t="s">
        <v>80</v>
      </c>
      <c r="D2503" s="11" t="s">
        <v>68</v>
      </c>
      <c r="E2503" s="12">
        <v>46276.0</v>
      </c>
      <c r="F2503" s="12">
        <v>46276.0</v>
      </c>
      <c r="G2503" s="11" t="s">
        <v>13323</v>
      </c>
      <c r="H2503" s="11">
        <v>9.61818151E9</v>
      </c>
      <c r="I2503" s="11" t="s">
        <v>82</v>
      </c>
      <c r="J2503" s="11" t="s">
        <v>83</v>
      </c>
      <c r="K2503" s="11" t="s">
        <v>72</v>
      </c>
      <c r="L2503" s="11" t="s">
        <v>84</v>
      </c>
      <c r="M2503" s="11" t="s">
        <v>13639</v>
      </c>
      <c r="N2503" s="11" t="s">
        <v>155</v>
      </c>
      <c r="O2503" s="11" t="s">
        <v>71</v>
      </c>
      <c r="P2503" s="11" t="s">
        <v>13640</v>
      </c>
      <c r="Q2503" s="13" t="s">
        <v>13641</v>
      </c>
      <c r="R2503" s="14" t="str">
        <f>HYPERLINK("https://drive.google.com/file/d/1jMdvVJpsjtgWq5BLJktKz_JJpVc6mDBJ/view?usp=drivesdk","OFFER LETTER")</f>
        <v>OFFER LETTER</v>
      </c>
      <c r="S2503" s="11" t="s">
        <v>13637</v>
      </c>
    </row>
    <row r="2504" ht="22.5" customHeight="1">
      <c r="A2504" s="10">
        <v>46272.75920172453</v>
      </c>
      <c r="B2504" s="11" t="s">
        <v>13642</v>
      </c>
      <c r="C2504" s="11" t="s">
        <v>91</v>
      </c>
      <c r="D2504" s="11" t="s">
        <v>108</v>
      </c>
      <c r="E2504" s="12">
        <v>46178.0</v>
      </c>
      <c r="F2504" s="12">
        <v>46236.0</v>
      </c>
      <c r="G2504" s="11" t="s">
        <v>13643</v>
      </c>
      <c r="H2504" s="11">
        <v>9.918496123E9</v>
      </c>
      <c r="I2504" s="11" t="s">
        <v>82</v>
      </c>
      <c r="J2504" s="11" t="s">
        <v>71</v>
      </c>
      <c r="K2504" s="11" t="s">
        <v>356</v>
      </c>
      <c r="L2504" s="11" t="s">
        <v>84</v>
      </c>
      <c r="M2504" s="11" t="s">
        <v>6934</v>
      </c>
      <c r="N2504" s="11" t="s">
        <v>75</v>
      </c>
      <c r="O2504" s="11" t="s">
        <v>71</v>
      </c>
      <c r="P2504" s="11" t="s">
        <v>13644</v>
      </c>
      <c r="Q2504" s="13" t="s">
        <v>13645</v>
      </c>
      <c r="R2504" s="14" t="str">
        <f>HYPERLINK("https://drive.google.com/file/d/14GwsJpOnrcne2DHRq5SlBd-b03cirDDy/view?usp=drivesdk","OFFER LETTER")</f>
        <v>OFFER LETTER</v>
      </c>
      <c r="S2504" s="11" t="s">
        <v>13646</v>
      </c>
    </row>
    <row r="2505" ht="22.5" customHeight="1">
      <c r="A2505" s="10">
        <v>46272.760593784726</v>
      </c>
      <c r="B2505" s="11" t="s">
        <v>13647</v>
      </c>
      <c r="C2505" s="11" t="s">
        <v>91</v>
      </c>
      <c r="D2505" s="11" t="s">
        <v>68</v>
      </c>
      <c r="E2505" s="12" t="s">
        <v>13648</v>
      </c>
      <c r="F2505" s="12" t="s">
        <v>13649</v>
      </c>
      <c r="G2505" s="11" t="s">
        <v>13650</v>
      </c>
      <c r="H2505" s="11">
        <v>8.179830423E9</v>
      </c>
      <c r="I2505" s="11" t="s">
        <v>70</v>
      </c>
      <c r="J2505" s="11" t="s">
        <v>130</v>
      </c>
      <c r="K2505" s="11" t="s">
        <v>72</v>
      </c>
      <c r="L2505" s="11" t="s">
        <v>84</v>
      </c>
      <c r="M2505" s="11" t="s">
        <v>13651</v>
      </c>
      <c r="N2505" s="11" t="s">
        <v>2778</v>
      </c>
      <c r="O2505" s="11" t="s">
        <v>71</v>
      </c>
      <c r="P2505" s="11" t="s">
        <v>13652</v>
      </c>
      <c r="Q2505" s="13" t="s">
        <v>13653</v>
      </c>
      <c r="R2505" s="14" t="str">
        <f>HYPERLINK("https://drive.google.com/file/d/1qgbGfoPe-ZUTq1QtslK8rIvlBkjHIXl8/view?usp=drivesdk","OFFER LETTER")</f>
        <v>OFFER LETTER</v>
      </c>
      <c r="S2505" s="11" t="s">
        <v>13654</v>
      </c>
    </row>
    <row r="2506" ht="22.5" customHeight="1">
      <c r="A2506" s="10">
        <v>46272.760699375</v>
      </c>
      <c r="B2506" s="11" t="s">
        <v>13655</v>
      </c>
      <c r="C2506" s="11" t="s">
        <v>128</v>
      </c>
      <c r="D2506" s="11" t="s">
        <v>68</v>
      </c>
      <c r="E2506" s="12">
        <v>46278.0</v>
      </c>
      <c r="F2506" s="12">
        <v>46308.0</v>
      </c>
      <c r="G2506" s="11" t="s">
        <v>13656</v>
      </c>
      <c r="H2506" s="11">
        <v>8.247067743E9</v>
      </c>
      <c r="I2506" s="11" t="s">
        <v>70</v>
      </c>
      <c r="J2506" s="11" t="s">
        <v>130</v>
      </c>
      <c r="K2506" s="11" t="s">
        <v>72</v>
      </c>
      <c r="L2506" s="11" t="s">
        <v>84</v>
      </c>
      <c r="M2506" s="11" t="s">
        <v>13657</v>
      </c>
      <c r="N2506" s="11" t="s">
        <v>75</v>
      </c>
      <c r="O2506" s="11" t="s">
        <v>71</v>
      </c>
      <c r="P2506" s="11" t="s">
        <v>13658</v>
      </c>
      <c r="Q2506" s="13" t="s">
        <v>13659</v>
      </c>
      <c r="R2506" s="14" t="str">
        <f>HYPERLINK("https://drive.google.com/file/d/1W6p_6i6i1U4l1Qwm_m9DvB7KdzVpa0ck/view?usp=drivesdk","OFFER LETTER")</f>
        <v>OFFER LETTER</v>
      </c>
      <c r="S2506" s="11" t="s">
        <v>13654</v>
      </c>
    </row>
    <row r="2507" ht="22.5" customHeight="1">
      <c r="A2507" s="10">
        <v>46272.76144657408</v>
      </c>
      <c r="B2507" s="11" t="s">
        <v>13660</v>
      </c>
      <c r="C2507" s="11" t="s">
        <v>195</v>
      </c>
      <c r="D2507" s="11" t="s">
        <v>68</v>
      </c>
      <c r="E2507" s="12">
        <v>46280.0</v>
      </c>
      <c r="F2507" s="12">
        <v>46311.0</v>
      </c>
      <c r="G2507" s="11" t="s">
        <v>13661</v>
      </c>
      <c r="H2507" s="11">
        <v>7.676772288E9</v>
      </c>
      <c r="I2507" s="11" t="s">
        <v>70</v>
      </c>
      <c r="J2507" s="11" t="s">
        <v>71</v>
      </c>
      <c r="K2507" s="11" t="s">
        <v>72</v>
      </c>
      <c r="L2507" s="11" t="s">
        <v>131</v>
      </c>
      <c r="M2507" s="11" t="s">
        <v>13662</v>
      </c>
      <c r="N2507" s="11" t="s">
        <v>936</v>
      </c>
      <c r="O2507" s="11" t="s">
        <v>71</v>
      </c>
      <c r="P2507" s="11" t="s">
        <v>13663</v>
      </c>
      <c r="Q2507" s="13" t="s">
        <v>13664</v>
      </c>
      <c r="R2507" s="14" t="str">
        <f>HYPERLINK("https://drive.google.com/file/d/1Q4vvBcqNYjkJESJmh2qABtA0mASE4XYX/view?usp=drivesdk","OFFER LETTER")</f>
        <v>OFFER LETTER</v>
      </c>
      <c r="S2507" s="11" t="s">
        <v>13665</v>
      </c>
    </row>
    <row r="2508" ht="22.5" customHeight="1">
      <c r="A2508" s="10">
        <v>46272.762013472224</v>
      </c>
      <c r="B2508" s="11" t="s">
        <v>13666</v>
      </c>
      <c r="C2508" s="11" t="s">
        <v>1200</v>
      </c>
      <c r="D2508" s="11" t="s">
        <v>108</v>
      </c>
      <c r="E2508" s="12">
        <v>46272.0</v>
      </c>
      <c r="F2508" s="12">
        <v>46333.0</v>
      </c>
      <c r="G2508" s="11" t="s">
        <v>13667</v>
      </c>
      <c r="H2508" s="11">
        <v>7.259942887E9</v>
      </c>
      <c r="I2508" s="11" t="s">
        <v>70</v>
      </c>
      <c r="J2508" s="11" t="s">
        <v>71</v>
      </c>
      <c r="K2508" s="11" t="s">
        <v>72</v>
      </c>
      <c r="L2508" s="11" t="s">
        <v>131</v>
      </c>
      <c r="M2508" s="11" t="s">
        <v>13668</v>
      </c>
      <c r="N2508" s="11" t="s">
        <v>75</v>
      </c>
      <c r="O2508" s="11" t="s">
        <v>71</v>
      </c>
      <c r="P2508" s="11" t="s">
        <v>13669</v>
      </c>
      <c r="Q2508" s="13" t="s">
        <v>13670</v>
      </c>
      <c r="R2508" s="14" t="str">
        <f>HYPERLINK("https://drive.google.com/file/d/1Jxkz6GXAMvYdSlobGgjWJLeWxIOZhQEP/view?usp=drivesdk","OFFER LETTER")</f>
        <v>OFFER LETTER</v>
      </c>
      <c r="S2508" s="11" t="s">
        <v>13671</v>
      </c>
    </row>
    <row r="2509" ht="22.5" customHeight="1">
      <c r="A2509" s="10">
        <v>46272.762223680555</v>
      </c>
      <c r="B2509" s="11" t="s">
        <v>13672</v>
      </c>
      <c r="C2509" s="11" t="s">
        <v>91</v>
      </c>
      <c r="D2509" s="11" t="s">
        <v>68</v>
      </c>
      <c r="E2509" s="12">
        <v>46272.0</v>
      </c>
      <c r="F2509" s="12">
        <v>46302.0</v>
      </c>
      <c r="G2509" s="11" t="s">
        <v>13673</v>
      </c>
      <c r="H2509" s="11">
        <v>9.838390799E9</v>
      </c>
      <c r="I2509" s="11" t="s">
        <v>82</v>
      </c>
      <c r="J2509" s="11" t="s">
        <v>71</v>
      </c>
      <c r="K2509" s="11" t="s">
        <v>72</v>
      </c>
      <c r="L2509" s="11" t="s">
        <v>84</v>
      </c>
      <c r="M2509" s="11" t="s">
        <v>13674</v>
      </c>
      <c r="N2509" s="11" t="s">
        <v>1641</v>
      </c>
      <c r="O2509" s="11" t="s">
        <v>71</v>
      </c>
      <c r="P2509" s="11" t="s">
        <v>13675</v>
      </c>
      <c r="Q2509" s="13" t="s">
        <v>13676</v>
      </c>
      <c r="R2509" s="14" t="str">
        <f>HYPERLINK("https://drive.google.com/file/d/1VT8qMH9VVrWAd1k6bfpWPe9HA_diZBMQ/view?usp=drivesdk","OFFER LETTER")</f>
        <v>OFFER LETTER</v>
      </c>
      <c r="S2509" s="11" t="s">
        <v>13677</v>
      </c>
    </row>
    <row r="2510" ht="22.5" customHeight="1">
      <c r="A2510" s="10">
        <v>46272.76297134259</v>
      </c>
      <c r="B2510" s="11" t="s">
        <v>13678</v>
      </c>
      <c r="C2510" s="11" t="s">
        <v>128</v>
      </c>
      <c r="D2510" s="11" t="s">
        <v>68</v>
      </c>
      <c r="E2510" s="12">
        <v>46282.0</v>
      </c>
      <c r="F2510" s="12">
        <v>46311.0</v>
      </c>
      <c r="G2510" s="11" t="s">
        <v>13679</v>
      </c>
      <c r="H2510" s="11">
        <v>6.38058772E9</v>
      </c>
      <c r="I2510" s="11" t="s">
        <v>82</v>
      </c>
      <c r="J2510" s="11" t="s">
        <v>71</v>
      </c>
      <c r="K2510" s="11" t="s">
        <v>72</v>
      </c>
      <c r="L2510" s="11" t="s">
        <v>73</v>
      </c>
      <c r="M2510" s="11" t="s">
        <v>13680</v>
      </c>
      <c r="N2510" s="11" t="s">
        <v>241</v>
      </c>
      <c r="O2510" s="11" t="s">
        <v>71</v>
      </c>
      <c r="P2510" s="11" t="s">
        <v>13681</v>
      </c>
      <c r="Q2510" s="13" t="s">
        <v>13682</v>
      </c>
      <c r="R2510" s="14" t="str">
        <f>HYPERLINK("https://drive.google.com/file/d/1uEq9iXJQJsrVHLKlDbE_kofmljz60OgF/view?usp=drivesdk","OFFER LETTER")</f>
        <v>OFFER LETTER</v>
      </c>
      <c r="S2510" s="11" t="s">
        <v>13683</v>
      </c>
    </row>
    <row r="2511" ht="22.5" customHeight="1">
      <c r="A2511" s="10">
        <v>46272.764398796295</v>
      </c>
      <c r="B2511" s="11" t="s">
        <v>13684</v>
      </c>
      <c r="C2511" s="11" t="s">
        <v>128</v>
      </c>
      <c r="D2511" s="11" t="s">
        <v>68</v>
      </c>
      <c r="E2511" s="12">
        <v>46272.0</v>
      </c>
      <c r="F2511" s="12">
        <v>46302.0</v>
      </c>
      <c r="G2511" s="11" t="s">
        <v>13685</v>
      </c>
      <c r="H2511" s="11">
        <v>9.325365253E9</v>
      </c>
      <c r="I2511" s="11" t="s">
        <v>70</v>
      </c>
      <c r="J2511" s="11" t="s">
        <v>71</v>
      </c>
      <c r="K2511" s="11" t="s">
        <v>72</v>
      </c>
      <c r="L2511" s="11" t="s">
        <v>73</v>
      </c>
      <c r="M2511" s="11" t="s">
        <v>13686</v>
      </c>
      <c r="N2511" s="11" t="s">
        <v>241</v>
      </c>
      <c r="O2511" s="11" t="s">
        <v>71</v>
      </c>
      <c r="P2511" s="11" t="s">
        <v>13687</v>
      </c>
      <c r="Q2511" s="13" t="s">
        <v>13688</v>
      </c>
      <c r="R2511" s="14" t="str">
        <f>HYPERLINK("https://drive.google.com/file/d/18ccLM6aXaPZnWIQ1MCoxb6tmXG06yclg/view?usp=drivesdk","OFFER LETTER")</f>
        <v>OFFER LETTER</v>
      </c>
      <c r="S2511" s="11" t="s">
        <v>13689</v>
      </c>
    </row>
    <row r="2512" ht="22.5" customHeight="1">
      <c r="A2512" s="10">
        <v>46272.76550474537</v>
      </c>
      <c r="B2512" s="11" t="s">
        <v>13690</v>
      </c>
      <c r="C2512" s="11" t="s">
        <v>107</v>
      </c>
      <c r="D2512" s="11" t="s">
        <v>68</v>
      </c>
      <c r="E2512" s="12">
        <v>46272.0</v>
      </c>
      <c r="F2512" s="12">
        <v>46303.0</v>
      </c>
      <c r="G2512" s="11" t="s">
        <v>13691</v>
      </c>
      <c r="H2512" s="11">
        <v>9.848211267E9</v>
      </c>
      <c r="I2512" s="11" t="s">
        <v>70</v>
      </c>
      <c r="J2512" s="11" t="s">
        <v>71</v>
      </c>
      <c r="K2512" s="11" t="s">
        <v>72</v>
      </c>
      <c r="L2512" s="11" t="s">
        <v>131</v>
      </c>
      <c r="M2512" s="11" t="s">
        <v>13692</v>
      </c>
      <c r="N2512" s="11" t="s">
        <v>198</v>
      </c>
      <c r="O2512" s="11" t="s">
        <v>71</v>
      </c>
      <c r="P2512" s="11" t="s">
        <v>13693</v>
      </c>
      <c r="Q2512" s="13" t="s">
        <v>13694</v>
      </c>
      <c r="R2512" s="14" t="str">
        <f>HYPERLINK("https://drive.google.com/file/d/1MIdxthX2Dizi5I_LrkNBAYdMoxFKLSZO/view?usp=drivesdk","OFFER LETTER")</f>
        <v>OFFER LETTER</v>
      </c>
      <c r="S2512" s="11" t="s">
        <v>13695</v>
      </c>
    </row>
    <row r="2513" ht="22.5" customHeight="1">
      <c r="A2513" s="10">
        <v>46272.765609050926</v>
      </c>
      <c r="B2513" s="11" t="s">
        <v>13696</v>
      </c>
      <c r="C2513" s="11" t="s">
        <v>298</v>
      </c>
      <c r="D2513" s="11" t="s">
        <v>68</v>
      </c>
      <c r="E2513" s="12">
        <v>46272.0</v>
      </c>
      <c r="F2513" s="12">
        <v>46300.0</v>
      </c>
      <c r="G2513" s="11" t="s">
        <v>13697</v>
      </c>
      <c r="H2513" s="11" t="s">
        <v>13698</v>
      </c>
      <c r="I2513" s="11" t="s">
        <v>82</v>
      </c>
      <c r="J2513" s="11" t="s">
        <v>71</v>
      </c>
      <c r="K2513" s="11" t="s">
        <v>72</v>
      </c>
      <c r="L2513" s="11" t="s">
        <v>131</v>
      </c>
      <c r="M2513" s="11" t="s">
        <v>13699</v>
      </c>
      <c r="N2513" s="11" t="s">
        <v>75</v>
      </c>
      <c r="O2513" s="11" t="s">
        <v>71</v>
      </c>
      <c r="P2513" s="11" t="s">
        <v>13700</v>
      </c>
      <c r="Q2513" s="13" t="s">
        <v>13701</v>
      </c>
      <c r="R2513" s="14" t="str">
        <f>HYPERLINK("https://drive.google.com/file/d/120AZR4dKX0TLqqcOt_yKcPtWBxpvCSPS/view?usp=drivesdk","OFFER LETTER")</f>
        <v>OFFER LETTER</v>
      </c>
      <c r="S2513" s="11" t="s">
        <v>13695</v>
      </c>
    </row>
    <row r="2514" ht="22.5" customHeight="1">
      <c r="A2514" s="10">
        <v>46272.767631932875</v>
      </c>
      <c r="B2514" s="11" t="s">
        <v>13672</v>
      </c>
      <c r="C2514" s="11" t="s">
        <v>91</v>
      </c>
      <c r="D2514" s="11" t="s">
        <v>68</v>
      </c>
      <c r="E2514" s="12">
        <v>46272.0</v>
      </c>
      <c r="F2514" s="12">
        <v>46302.0</v>
      </c>
      <c r="G2514" s="11" t="s">
        <v>13673</v>
      </c>
      <c r="H2514" s="11">
        <v>9.838390799E9</v>
      </c>
      <c r="I2514" s="11" t="s">
        <v>82</v>
      </c>
      <c r="J2514" s="11" t="s">
        <v>71</v>
      </c>
      <c r="K2514" s="11" t="s">
        <v>72</v>
      </c>
      <c r="L2514" s="11" t="s">
        <v>84</v>
      </c>
      <c r="M2514" s="11" t="s">
        <v>13674</v>
      </c>
      <c r="N2514" s="11" t="s">
        <v>1641</v>
      </c>
      <c r="O2514" s="11" t="s">
        <v>263</v>
      </c>
      <c r="P2514" s="11" t="s">
        <v>13702</v>
      </c>
      <c r="Q2514" s="13" t="s">
        <v>13703</v>
      </c>
      <c r="R2514" s="14" t="str">
        <f>HYPERLINK("https://drive.google.com/file/d/1bVKdRmLccSDPxyx5hHiIAWxKYlSomPS2/view?usp=drivesdk","OFFER LETTER")</f>
        <v>OFFER LETTER</v>
      </c>
      <c r="S2514" s="11" t="s">
        <v>13704</v>
      </c>
    </row>
    <row r="2515" ht="22.5" customHeight="1">
      <c r="A2515" s="10">
        <v>46272.768499328704</v>
      </c>
      <c r="B2515" s="11" t="s">
        <v>13705</v>
      </c>
      <c r="C2515" s="11" t="s">
        <v>1200</v>
      </c>
      <c r="D2515" s="11" t="s">
        <v>108</v>
      </c>
      <c r="E2515" s="12">
        <v>46273.0</v>
      </c>
      <c r="F2515" s="12">
        <v>46334.0</v>
      </c>
      <c r="G2515" s="11" t="s">
        <v>13706</v>
      </c>
      <c r="H2515" s="11">
        <v>9.236509084E9</v>
      </c>
      <c r="I2515" s="11" t="s">
        <v>70</v>
      </c>
      <c r="J2515" s="11" t="s">
        <v>71</v>
      </c>
      <c r="K2515" s="11" t="s">
        <v>110</v>
      </c>
      <c r="L2515" s="11" t="s">
        <v>73</v>
      </c>
      <c r="M2515" s="11" t="s">
        <v>13707</v>
      </c>
      <c r="N2515" s="11" t="s">
        <v>226</v>
      </c>
      <c r="O2515" s="11" t="s">
        <v>71</v>
      </c>
      <c r="P2515" s="11" t="s">
        <v>13708</v>
      </c>
      <c r="Q2515" s="13" t="s">
        <v>13709</v>
      </c>
      <c r="R2515" s="14" t="str">
        <f>HYPERLINK("https://drive.google.com/file/d/1lNb2a3L024eJtGo4fSWhom9BboRfwKYo/view?usp=drivesdk","OFFER LETTER")</f>
        <v>OFFER LETTER</v>
      </c>
      <c r="S2515" s="11" t="s">
        <v>13710</v>
      </c>
    </row>
    <row r="2516" ht="22.5" customHeight="1">
      <c r="A2516" s="10">
        <v>46272.775650104166</v>
      </c>
      <c r="B2516" s="11" t="s">
        <v>13711</v>
      </c>
      <c r="C2516" s="11" t="s">
        <v>91</v>
      </c>
      <c r="D2516" s="11" t="s">
        <v>68</v>
      </c>
      <c r="E2516" s="12">
        <v>46272.0</v>
      </c>
      <c r="F2516" s="12">
        <v>46302.0</v>
      </c>
      <c r="G2516" s="11" t="s">
        <v>13712</v>
      </c>
      <c r="H2516" s="11">
        <v>9.790259196E9</v>
      </c>
      <c r="I2516" s="11" t="s">
        <v>70</v>
      </c>
      <c r="J2516" s="11" t="s">
        <v>71</v>
      </c>
      <c r="K2516" s="11" t="s">
        <v>72</v>
      </c>
      <c r="L2516" s="11" t="s">
        <v>73</v>
      </c>
      <c r="M2516" s="11" t="s">
        <v>5239</v>
      </c>
      <c r="N2516" s="11" t="s">
        <v>86</v>
      </c>
      <c r="O2516" s="11" t="s">
        <v>71</v>
      </c>
      <c r="P2516" s="11" t="s">
        <v>13713</v>
      </c>
      <c r="Q2516" s="13" t="s">
        <v>13714</v>
      </c>
      <c r="R2516" s="14" t="str">
        <f>HYPERLINK("https://drive.google.com/file/d/1GbqxJTcRZmx1aBXlL1HH-xxdKncZ11i3/view?usp=drivesdk","OFFER LETTER")</f>
        <v>OFFER LETTER</v>
      </c>
      <c r="S2516" s="11" t="s">
        <v>13715</v>
      </c>
    </row>
    <row r="2517" ht="22.5" customHeight="1">
      <c r="A2517" s="10">
        <v>46272.77602875</v>
      </c>
      <c r="B2517" s="11" t="s">
        <v>13716</v>
      </c>
      <c r="C2517" s="11" t="s">
        <v>91</v>
      </c>
      <c r="D2517" s="11" t="s">
        <v>68</v>
      </c>
      <c r="E2517" s="12">
        <v>46272.0</v>
      </c>
      <c r="F2517" s="12">
        <v>46302.0</v>
      </c>
      <c r="G2517" s="11" t="s">
        <v>13717</v>
      </c>
      <c r="H2517" s="17" t="s">
        <v>13718</v>
      </c>
      <c r="I2517" s="11" t="s">
        <v>70</v>
      </c>
      <c r="J2517" s="11" t="s">
        <v>71</v>
      </c>
      <c r="K2517" s="11" t="s">
        <v>72</v>
      </c>
      <c r="L2517" s="11" t="s">
        <v>84</v>
      </c>
      <c r="M2517" s="11" t="s">
        <v>13719</v>
      </c>
      <c r="N2517" s="11" t="s">
        <v>75</v>
      </c>
      <c r="O2517" s="11" t="s">
        <v>71</v>
      </c>
      <c r="P2517" s="11" t="s">
        <v>13720</v>
      </c>
      <c r="Q2517" s="13" t="s">
        <v>13721</v>
      </c>
      <c r="R2517" s="14" t="str">
        <f>HYPERLINK("https://drive.google.com/file/d/1w40Jf5oDjixMh6ymB0eJZ6y0wFqHv-NN/view?usp=drivesdk","OFFER LETTER")</f>
        <v>OFFER LETTER</v>
      </c>
      <c r="S2517" s="11" t="s">
        <v>13715</v>
      </c>
    </row>
    <row r="2518" ht="22.5" customHeight="1">
      <c r="A2518" s="10">
        <v>46272.77756657408</v>
      </c>
      <c r="B2518" s="11" t="s">
        <v>13722</v>
      </c>
      <c r="C2518" s="11" t="s">
        <v>298</v>
      </c>
      <c r="D2518" s="11" t="s">
        <v>68</v>
      </c>
      <c r="E2518" s="12">
        <v>46272.0</v>
      </c>
      <c r="F2518" s="12">
        <v>46302.0</v>
      </c>
      <c r="G2518" s="11" t="s">
        <v>13723</v>
      </c>
      <c r="H2518" s="11">
        <v>6.281114074E9</v>
      </c>
      <c r="I2518" s="11" t="s">
        <v>70</v>
      </c>
      <c r="J2518" s="11" t="s">
        <v>71</v>
      </c>
      <c r="K2518" s="11" t="s">
        <v>72</v>
      </c>
      <c r="L2518" s="11" t="s">
        <v>131</v>
      </c>
      <c r="M2518" s="11" t="s">
        <v>13724</v>
      </c>
      <c r="N2518" s="11" t="s">
        <v>75</v>
      </c>
      <c r="O2518" s="11" t="s">
        <v>71</v>
      </c>
      <c r="P2518" s="11" t="s">
        <v>13725</v>
      </c>
      <c r="Q2518" s="13" t="s">
        <v>13726</v>
      </c>
      <c r="R2518" s="14" t="str">
        <f>HYPERLINK("https://drive.google.com/file/d/161t9COSRW54qTGVJlUkhbFoEojUXeDZj/view?usp=drivesdk","OFFER LETTER")</f>
        <v>OFFER LETTER</v>
      </c>
      <c r="S2518" s="11" t="s">
        <v>13727</v>
      </c>
    </row>
    <row r="2519" ht="22.5" customHeight="1">
      <c r="A2519" s="10">
        <v>46272.78238001157</v>
      </c>
      <c r="B2519" s="11" t="s">
        <v>13728</v>
      </c>
      <c r="C2519" s="11" t="s">
        <v>173</v>
      </c>
      <c r="D2519" s="11" t="s">
        <v>68</v>
      </c>
      <c r="E2519" s="12">
        <v>46272.0</v>
      </c>
      <c r="F2519" s="12">
        <v>46302.0</v>
      </c>
      <c r="G2519" s="11" t="s">
        <v>13729</v>
      </c>
      <c r="H2519" s="11">
        <v>8.468997417E9</v>
      </c>
      <c r="I2519" s="11" t="s">
        <v>70</v>
      </c>
      <c r="J2519" s="11" t="s">
        <v>71</v>
      </c>
      <c r="K2519" s="11" t="s">
        <v>72</v>
      </c>
      <c r="L2519" s="11" t="s">
        <v>73</v>
      </c>
      <c r="M2519" s="11" t="s">
        <v>13730</v>
      </c>
      <c r="N2519" s="11" t="s">
        <v>86</v>
      </c>
      <c r="O2519" s="11" t="s">
        <v>71</v>
      </c>
      <c r="P2519" s="11" t="s">
        <v>13731</v>
      </c>
      <c r="Q2519" s="13" t="s">
        <v>13732</v>
      </c>
      <c r="R2519" s="14" t="str">
        <f>HYPERLINK("https://drive.google.com/file/d/1D29tX7bT7bXYZn5HLrDq5qMtSNDKrq3s/view?usp=drivesdk","OFFER LETTER")</f>
        <v>OFFER LETTER</v>
      </c>
      <c r="S2519" s="11" t="s">
        <v>13733</v>
      </c>
    </row>
    <row r="2520" ht="22.5" customHeight="1">
      <c r="A2520" s="10">
        <v>46272.78658810185</v>
      </c>
      <c r="B2520" s="11" t="s">
        <v>13734</v>
      </c>
      <c r="C2520" s="11" t="s">
        <v>128</v>
      </c>
      <c r="D2520" s="11" t="s">
        <v>238</v>
      </c>
      <c r="E2520" s="12">
        <v>46272.0</v>
      </c>
      <c r="F2520" s="12">
        <v>46363.0</v>
      </c>
      <c r="G2520" s="11" t="s">
        <v>13735</v>
      </c>
      <c r="H2520" s="11">
        <v>9.281342074E9</v>
      </c>
      <c r="I2520" s="11" t="s">
        <v>82</v>
      </c>
      <c r="J2520" s="11" t="s">
        <v>71</v>
      </c>
      <c r="K2520" s="11" t="s">
        <v>167</v>
      </c>
      <c r="L2520" s="11" t="s">
        <v>247</v>
      </c>
      <c r="M2520" s="11" t="s">
        <v>13736</v>
      </c>
      <c r="N2520" s="11" t="s">
        <v>241</v>
      </c>
      <c r="O2520" s="11" t="s">
        <v>263</v>
      </c>
      <c r="P2520" s="11" t="s">
        <v>13737</v>
      </c>
      <c r="Q2520" s="13" t="s">
        <v>13738</v>
      </c>
      <c r="R2520" s="14" t="str">
        <f>HYPERLINK("https://drive.google.com/file/d/1NZc-ZnP24AZ8wDgJ6jGAa68t2bpaGjxX/view?usp=drivesdk","OFFER LETTER")</f>
        <v>OFFER LETTER</v>
      </c>
      <c r="S2520" s="11" t="s">
        <v>13739</v>
      </c>
    </row>
    <row r="2521" ht="22.5" customHeight="1">
      <c r="A2521" s="10">
        <v>46272.78954246528</v>
      </c>
      <c r="B2521" s="11" t="s">
        <v>13740</v>
      </c>
      <c r="C2521" s="11" t="s">
        <v>195</v>
      </c>
      <c r="D2521" s="11" t="s">
        <v>108</v>
      </c>
      <c r="E2521" s="12">
        <v>46272.0</v>
      </c>
      <c r="F2521" s="12">
        <v>46333.0</v>
      </c>
      <c r="G2521" s="11" t="s">
        <v>13741</v>
      </c>
      <c r="H2521" s="11">
        <v>9.699078545E9</v>
      </c>
      <c r="I2521" s="11" t="s">
        <v>82</v>
      </c>
      <c r="J2521" s="11" t="s">
        <v>71</v>
      </c>
      <c r="K2521" s="11" t="s">
        <v>72</v>
      </c>
      <c r="L2521" s="11" t="s">
        <v>84</v>
      </c>
      <c r="M2521" s="11" t="s">
        <v>13169</v>
      </c>
      <c r="N2521" s="11" t="s">
        <v>75</v>
      </c>
      <c r="O2521" s="11" t="s">
        <v>71</v>
      </c>
      <c r="P2521" s="11" t="s">
        <v>13742</v>
      </c>
      <c r="Q2521" s="13" t="s">
        <v>13743</v>
      </c>
      <c r="R2521" s="14" t="str">
        <f>HYPERLINK("https://drive.google.com/file/d/1fsvFh139u-CH-ilBH-U9nUDkHrD_D753/view?usp=drivesdk","OFFER LETTER")</f>
        <v>OFFER LETTER</v>
      </c>
      <c r="S2521" s="11" t="s">
        <v>13744</v>
      </c>
    </row>
    <row r="2522" ht="22.5" customHeight="1">
      <c r="A2522" s="10">
        <v>46272.79174912037</v>
      </c>
      <c r="B2522" s="11" t="s">
        <v>13745</v>
      </c>
      <c r="C2522" s="11" t="s">
        <v>91</v>
      </c>
      <c r="D2522" s="11" t="s">
        <v>68</v>
      </c>
      <c r="E2522" s="12">
        <v>46275.0</v>
      </c>
      <c r="F2522" s="12">
        <v>46305.0</v>
      </c>
      <c r="G2522" s="11" t="s">
        <v>13746</v>
      </c>
      <c r="H2522" s="11">
        <v>7.506234142E9</v>
      </c>
      <c r="I2522" s="11" t="s">
        <v>82</v>
      </c>
      <c r="J2522" s="11" t="s">
        <v>71</v>
      </c>
      <c r="K2522" s="11" t="s">
        <v>110</v>
      </c>
      <c r="L2522" s="11" t="s">
        <v>73</v>
      </c>
      <c r="M2522" s="11" t="s">
        <v>13747</v>
      </c>
      <c r="N2522" s="11" t="s">
        <v>13748</v>
      </c>
      <c r="O2522" s="11" t="s">
        <v>71</v>
      </c>
      <c r="P2522" s="11" t="s">
        <v>13749</v>
      </c>
      <c r="Q2522" s="13" t="s">
        <v>13750</v>
      </c>
      <c r="R2522" s="14" t="str">
        <f>HYPERLINK("https://drive.google.com/file/d/1T_AMxwoa93gU1vQThGkUqWtGmXvdm9wf/view?usp=drivesdk","OFFER LETTER")</f>
        <v>OFFER LETTER</v>
      </c>
      <c r="S2522" s="11" t="s">
        <v>13751</v>
      </c>
    </row>
    <row r="2523" ht="22.5" customHeight="1">
      <c r="A2523" s="10">
        <v>46272.79774436343</v>
      </c>
      <c r="B2523" s="11" t="s">
        <v>13752</v>
      </c>
      <c r="C2523" s="11" t="s">
        <v>128</v>
      </c>
      <c r="D2523" s="11" t="s">
        <v>68</v>
      </c>
      <c r="E2523" s="12">
        <v>46272.0</v>
      </c>
      <c r="F2523" s="12">
        <v>46302.0</v>
      </c>
      <c r="G2523" s="11" t="s">
        <v>13753</v>
      </c>
      <c r="H2523" s="11">
        <v>9.65204922E9</v>
      </c>
      <c r="I2523" s="11" t="s">
        <v>70</v>
      </c>
      <c r="J2523" s="11" t="s">
        <v>71</v>
      </c>
      <c r="K2523" s="11" t="s">
        <v>72</v>
      </c>
      <c r="L2523" s="11" t="s">
        <v>131</v>
      </c>
      <c r="M2523" s="11" t="s">
        <v>13754</v>
      </c>
      <c r="N2523" s="11" t="s">
        <v>2114</v>
      </c>
      <c r="O2523" s="11" t="s">
        <v>71</v>
      </c>
      <c r="P2523" s="11" t="s">
        <v>13755</v>
      </c>
      <c r="Q2523" s="13" t="s">
        <v>13756</v>
      </c>
      <c r="R2523" s="14" t="str">
        <f>HYPERLINK("https://drive.google.com/file/d/1WIPgANq72U3qDr0QEdPivkrwzzWPlkVe/view?usp=drivesdk","OFFER LETTER")</f>
        <v>OFFER LETTER</v>
      </c>
      <c r="S2523" s="11" t="s">
        <v>13757</v>
      </c>
    </row>
    <row r="2524" ht="22.5" customHeight="1">
      <c r="A2524" s="10">
        <v>46272.79983186343</v>
      </c>
      <c r="B2524" s="11" t="s">
        <v>13758</v>
      </c>
      <c r="C2524" s="11" t="s">
        <v>128</v>
      </c>
      <c r="D2524" s="11" t="s">
        <v>68</v>
      </c>
      <c r="E2524" s="12">
        <v>46275.0</v>
      </c>
      <c r="F2524" s="12" t="s">
        <v>13759</v>
      </c>
      <c r="G2524" s="11" t="s">
        <v>13760</v>
      </c>
      <c r="H2524" s="11">
        <v>8.89791152E9</v>
      </c>
      <c r="I2524" s="11" t="s">
        <v>82</v>
      </c>
      <c r="J2524" s="11" t="s">
        <v>71</v>
      </c>
      <c r="K2524" s="11" t="s">
        <v>72</v>
      </c>
      <c r="L2524" s="11" t="s">
        <v>131</v>
      </c>
      <c r="M2524" s="11" t="s">
        <v>13761</v>
      </c>
      <c r="N2524" s="11" t="s">
        <v>75</v>
      </c>
      <c r="O2524" s="11" t="s">
        <v>71</v>
      </c>
      <c r="P2524" s="11" t="s">
        <v>13762</v>
      </c>
      <c r="Q2524" s="13" t="s">
        <v>13763</v>
      </c>
      <c r="R2524" s="14" t="str">
        <f>HYPERLINK("https://drive.google.com/file/d/1RI1No1alXL9Gphg7USMgOhWckR56QpAo/view?usp=drivesdk","OFFER LETTER")</f>
        <v>OFFER LETTER</v>
      </c>
      <c r="S2524" s="11" t="s">
        <v>13764</v>
      </c>
    </row>
    <row r="2525" ht="22.5" customHeight="1">
      <c r="A2525" s="10">
        <v>46272.80092530092</v>
      </c>
      <c r="B2525" s="11" t="s">
        <v>13765</v>
      </c>
      <c r="C2525" s="11" t="s">
        <v>128</v>
      </c>
      <c r="D2525" s="11" t="s">
        <v>68</v>
      </c>
      <c r="E2525" s="12">
        <v>46272.0</v>
      </c>
      <c r="F2525" s="12">
        <v>46302.0</v>
      </c>
      <c r="G2525" s="11" t="s">
        <v>13766</v>
      </c>
      <c r="H2525" s="11">
        <v>8.770388817E9</v>
      </c>
      <c r="I2525" s="11" t="s">
        <v>70</v>
      </c>
      <c r="J2525" s="11" t="s">
        <v>71</v>
      </c>
      <c r="K2525" s="11" t="s">
        <v>72</v>
      </c>
      <c r="L2525" s="11" t="s">
        <v>131</v>
      </c>
      <c r="M2525" s="11" t="s">
        <v>13767</v>
      </c>
      <c r="N2525" s="11" t="s">
        <v>241</v>
      </c>
      <c r="O2525" s="11" t="s">
        <v>71</v>
      </c>
      <c r="P2525" s="11" t="s">
        <v>13768</v>
      </c>
      <c r="Q2525" s="13" t="s">
        <v>13769</v>
      </c>
      <c r="R2525" s="14" t="str">
        <f>HYPERLINK("https://drive.google.com/file/d/1X49M2BiIVPqhr5pjWMrNv2V5NtjqdY1R/view?usp=drivesdk","OFFER LETTER")</f>
        <v>OFFER LETTER</v>
      </c>
      <c r="S2525" s="11" t="s">
        <v>13770</v>
      </c>
    </row>
    <row r="2526" ht="22.5" customHeight="1">
      <c r="A2526" s="10">
        <v>46272.80121446759</v>
      </c>
      <c r="B2526" s="11" t="s">
        <v>4523</v>
      </c>
      <c r="C2526" s="11" t="s">
        <v>173</v>
      </c>
      <c r="D2526" s="11" t="s">
        <v>68</v>
      </c>
      <c r="E2526" s="12">
        <v>46272.0</v>
      </c>
      <c r="F2526" s="12">
        <v>46301.0</v>
      </c>
      <c r="G2526" s="11" t="s">
        <v>13771</v>
      </c>
      <c r="H2526" s="11">
        <v>9.050620305E9</v>
      </c>
      <c r="I2526" s="11" t="s">
        <v>82</v>
      </c>
      <c r="J2526" s="11" t="s">
        <v>71</v>
      </c>
      <c r="K2526" s="11" t="s">
        <v>72</v>
      </c>
      <c r="L2526" s="11" t="s">
        <v>73</v>
      </c>
      <c r="M2526" s="11" t="s">
        <v>13772</v>
      </c>
      <c r="N2526" s="11" t="s">
        <v>241</v>
      </c>
      <c r="O2526" s="11" t="s">
        <v>71</v>
      </c>
      <c r="P2526" s="11" t="s">
        <v>13773</v>
      </c>
      <c r="Q2526" s="13" t="s">
        <v>13774</v>
      </c>
      <c r="R2526" s="14" t="str">
        <f>HYPERLINK("https://drive.google.com/file/d/1KAnFmsOJe9Q8s4IQXUmNzwlhbetv89NV/view?usp=drivesdk","OFFER LETTER")</f>
        <v>OFFER LETTER</v>
      </c>
      <c r="S2526" s="11" t="s">
        <v>13775</v>
      </c>
    </row>
    <row r="2527" ht="22.5" customHeight="1">
      <c r="A2527" s="10">
        <v>46272.807196643524</v>
      </c>
      <c r="B2527" s="11" t="s">
        <v>13776</v>
      </c>
      <c r="C2527" s="11" t="s">
        <v>195</v>
      </c>
      <c r="D2527" s="11" t="s">
        <v>68</v>
      </c>
      <c r="E2527" s="12">
        <v>46272.0</v>
      </c>
      <c r="F2527" s="12">
        <v>46302.0</v>
      </c>
      <c r="G2527" s="11" t="s">
        <v>13777</v>
      </c>
      <c r="H2527" s="11">
        <v>8.856986885E9</v>
      </c>
      <c r="I2527" s="11" t="s">
        <v>82</v>
      </c>
      <c r="J2527" s="11" t="s">
        <v>71</v>
      </c>
      <c r="K2527" s="11" t="s">
        <v>72</v>
      </c>
      <c r="L2527" s="11" t="s">
        <v>73</v>
      </c>
      <c r="M2527" s="11" t="s">
        <v>13778</v>
      </c>
      <c r="N2527" s="11" t="s">
        <v>241</v>
      </c>
      <c r="O2527" s="11" t="s">
        <v>71</v>
      </c>
      <c r="P2527" s="11" t="s">
        <v>13779</v>
      </c>
      <c r="Q2527" s="13" t="s">
        <v>13780</v>
      </c>
      <c r="R2527" s="14" t="str">
        <f>HYPERLINK("https://drive.google.com/file/d/14f3Ng3JTz_JUlKcDrFLz3t6OutFjqV8_/view?usp=drivesdk","OFFER LETTER")</f>
        <v>OFFER LETTER</v>
      </c>
      <c r="S2527" s="11" t="s">
        <v>13781</v>
      </c>
    </row>
    <row r="2528" ht="22.5" customHeight="1">
      <c r="A2528" s="10">
        <v>46272.80801710648</v>
      </c>
      <c r="B2528" s="11" t="s">
        <v>13782</v>
      </c>
      <c r="C2528" s="11" t="s">
        <v>195</v>
      </c>
      <c r="D2528" s="11" t="s">
        <v>68</v>
      </c>
      <c r="E2528" s="12">
        <v>46272.0</v>
      </c>
      <c r="F2528" s="12">
        <v>46302.0</v>
      </c>
      <c r="G2528" s="11" t="s">
        <v>13783</v>
      </c>
      <c r="H2528" s="11">
        <v>6.302332275E9</v>
      </c>
      <c r="I2528" s="11" t="s">
        <v>82</v>
      </c>
      <c r="J2528" s="11" t="s">
        <v>71</v>
      </c>
      <c r="K2528" s="11" t="s">
        <v>72</v>
      </c>
      <c r="L2528" s="11" t="s">
        <v>73</v>
      </c>
      <c r="M2528" s="11" t="s">
        <v>10379</v>
      </c>
      <c r="N2528" s="11" t="s">
        <v>750</v>
      </c>
      <c r="O2528" s="11" t="s">
        <v>71</v>
      </c>
      <c r="P2528" s="11" t="s">
        <v>13784</v>
      </c>
      <c r="Q2528" s="13" t="s">
        <v>13785</v>
      </c>
      <c r="R2528" s="14" t="str">
        <f>HYPERLINK("https://drive.google.com/file/d/1u7R0kLnbVrIFrFAqbGT2GWNZ9OueVk_d/view?usp=drivesdk","OFFER LETTER")</f>
        <v>OFFER LETTER</v>
      </c>
      <c r="S2528" s="11" t="s">
        <v>13786</v>
      </c>
    </row>
    <row r="2529" ht="22.5" customHeight="1">
      <c r="A2529" s="10">
        <v>46272.81339167824</v>
      </c>
      <c r="B2529" s="11" t="s">
        <v>13787</v>
      </c>
      <c r="C2529" s="11" t="s">
        <v>80</v>
      </c>
      <c r="D2529" s="11" t="s">
        <v>68</v>
      </c>
      <c r="E2529" s="12">
        <v>46272.0</v>
      </c>
      <c r="F2529" s="12">
        <v>46302.0</v>
      </c>
      <c r="G2529" s="11" t="s">
        <v>13788</v>
      </c>
      <c r="H2529" s="11">
        <v>8.438076069E9</v>
      </c>
      <c r="I2529" s="11" t="s">
        <v>82</v>
      </c>
      <c r="J2529" s="11" t="s">
        <v>71</v>
      </c>
      <c r="K2529" s="11" t="s">
        <v>72</v>
      </c>
      <c r="L2529" s="11" t="s">
        <v>84</v>
      </c>
      <c r="M2529" s="11" t="s">
        <v>13789</v>
      </c>
      <c r="N2529" s="11" t="s">
        <v>241</v>
      </c>
      <c r="O2529" s="11" t="s">
        <v>71</v>
      </c>
      <c r="P2529" s="11" t="s">
        <v>13790</v>
      </c>
      <c r="Q2529" s="13" t="s">
        <v>13791</v>
      </c>
      <c r="R2529" s="14" t="str">
        <f>HYPERLINK("https://drive.google.com/file/d/1Lheo7MuT0_0bjgkbZx3qW-AIAlrrdXHm/view?usp=drivesdk","OFFER LETTER")</f>
        <v>OFFER LETTER</v>
      </c>
      <c r="S2529" s="11" t="s">
        <v>13792</v>
      </c>
    </row>
    <row r="2530" ht="22.5" customHeight="1">
      <c r="A2530" s="10">
        <v>46272.81538704861</v>
      </c>
      <c r="B2530" s="11" t="s">
        <v>11569</v>
      </c>
      <c r="C2530" s="11" t="s">
        <v>107</v>
      </c>
      <c r="D2530" s="11" t="s">
        <v>68</v>
      </c>
      <c r="E2530" s="12">
        <v>46272.0</v>
      </c>
      <c r="F2530" s="12">
        <v>46304.0</v>
      </c>
      <c r="G2530" s="11" t="s">
        <v>13793</v>
      </c>
      <c r="H2530" s="11">
        <v>9.52591572E9</v>
      </c>
      <c r="I2530" s="11" t="s">
        <v>82</v>
      </c>
      <c r="J2530" s="11" t="s">
        <v>71</v>
      </c>
      <c r="K2530" s="11" t="s">
        <v>72</v>
      </c>
      <c r="L2530" s="11" t="s">
        <v>131</v>
      </c>
      <c r="M2530" s="11" t="s">
        <v>13794</v>
      </c>
      <c r="N2530" s="11" t="s">
        <v>155</v>
      </c>
      <c r="O2530" s="11" t="s">
        <v>71</v>
      </c>
      <c r="P2530" s="11" t="s">
        <v>13795</v>
      </c>
      <c r="Q2530" s="13" t="s">
        <v>13796</v>
      </c>
      <c r="R2530" s="14" t="str">
        <f>HYPERLINK("https://drive.google.com/file/d/1shba9lToyd30r3zU1Xxq3YeIOwQZeLWM/view?usp=drivesdk","OFFER LETTER")</f>
        <v>OFFER LETTER</v>
      </c>
      <c r="S2530" s="11" t="s">
        <v>13797</v>
      </c>
    </row>
    <row r="2531" ht="22.5" customHeight="1">
      <c r="A2531" s="10">
        <v>46272.8157728125</v>
      </c>
      <c r="B2531" s="11" t="s">
        <v>13787</v>
      </c>
      <c r="C2531" s="11" t="s">
        <v>80</v>
      </c>
      <c r="D2531" s="11" t="s">
        <v>68</v>
      </c>
      <c r="E2531" s="12">
        <v>46272.0</v>
      </c>
      <c r="F2531" s="12">
        <v>46302.0</v>
      </c>
      <c r="G2531" s="11" t="s">
        <v>13788</v>
      </c>
      <c r="H2531" s="11">
        <v>8.438076069E9</v>
      </c>
      <c r="I2531" s="11" t="s">
        <v>82</v>
      </c>
      <c r="J2531" s="11" t="s">
        <v>71</v>
      </c>
      <c r="K2531" s="11" t="s">
        <v>72</v>
      </c>
      <c r="L2531" s="11" t="s">
        <v>84</v>
      </c>
      <c r="M2531" s="11" t="s">
        <v>13798</v>
      </c>
      <c r="N2531" s="11" t="s">
        <v>241</v>
      </c>
      <c r="O2531" s="11" t="s">
        <v>71</v>
      </c>
      <c r="P2531" s="11" t="s">
        <v>13799</v>
      </c>
      <c r="Q2531" s="13" t="s">
        <v>13800</v>
      </c>
      <c r="R2531" s="14" t="str">
        <f>HYPERLINK("https://drive.google.com/file/d/1DXVDpUTXMlpOfi7kgWTnk0LjeatmmYWW/view?usp=drivesdk","OFFER LETTER")</f>
        <v>OFFER LETTER</v>
      </c>
      <c r="S2531" s="11" t="s">
        <v>13801</v>
      </c>
    </row>
    <row r="2532" ht="22.5" customHeight="1">
      <c r="A2532" s="10">
        <v>46272.81586190972</v>
      </c>
      <c r="B2532" s="11" t="s">
        <v>13802</v>
      </c>
      <c r="C2532" s="11" t="s">
        <v>80</v>
      </c>
      <c r="D2532" s="11" t="s">
        <v>68</v>
      </c>
      <c r="E2532" s="12">
        <v>46274.0</v>
      </c>
      <c r="F2532" s="12">
        <v>46304.0</v>
      </c>
      <c r="G2532" s="11" t="s">
        <v>13803</v>
      </c>
      <c r="H2532" s="11">
        <v>8.885325961E9</v>
      </c>
      <c r="I2532" s="11" t="s">
        <v>82</v>
      </c>
      <c r="J2532" s="11" t="s">
        <v>71</v>
      </c>
      <c r="K2532" s="11" t="s">
        <v>72</v>
      </c>
      <c r="L2532" s="11" t="s">
        <v>84</v>
      </c>
      <c r="M2532" s="11" t="s">
        <v>13804</v>
      </c>
      <c r="N2532" s="11" t="s">
        <v>86</v>
      </c>
      <c r="O2532" s="11" t="s">
        <v>71</v>
      </c>
      <c r="P2532" s="11" t="s">
        <v>13805</v>
      </c>
      <c r="Q2532" s="13" t="s">
        <v>13806</v>
      </c>
      <c r="R2532" s="14" t="str">
        <f>HYPERLINK("https://drive.google.com/file/d/15cjnzZ6g3_NSwPKEZ-b9V2YdbFqPpxvY/view?usp=drivesdk","OFFER LETTER")</f>
        <v>OFFER LETTER</v>
      </c>
      <c r="S2532" s="11" t="s">
        <v>13807</v>
      </c>
    </row>
    <row r="2533" ht="22.5" customHeight="1">
      <c r="A2533" s="10">
        <v>46272.8178391088</v>
      </c>
      <c r="B2533" s="11" t="s">
        <v>13808</v>
      </c>
      <c r="C2533" s="11" t="s">
        <v>91</v>
      </c>
      <c r="D2533" s="11" t="s">
        <v>68</v>
      </c>
      <c r="E2533" s="12">
        <v>46174.0</v>
      </c>
      <c r="F2533" s="12">
        <v>46204.0</v>
      </c>
      <c r="G2533" s="11" t="s">
        <v>13809</v>
      </c>
      <c r="H2533" s="11">
        <v>8.962799436E9</v>
      </c>
      <c r="I2533" s="11" t="s">
        <v>70</v>
      </c>
      <c r="J2533" s="11" t="s">
        <v>71</v>
      </c>
      <c r="K2533" s="11" t="s">
        <v>72</v>
      </c>
      <c r="L2533" s="11" t="s">
        <v>73</v>
      </c>
      <c r="M2533" s="11" t="s">
        <v>13810</v>
      </c>
      <c r="N2533" s="11" t="s">
        <v>3387</v>
      </c>
      <c r="O2533" s="11" t="s">
        <v>71</v>
      </c>
      <c r="P2533" s="11" t="s">
        <v>13811</v>
      </c>
      <c r="Q2533" s="13" t="s">
        <v>13812</v>
      </c>
      <c r="R2533" s="14" t="str">
        <f>HYPERLINK("https://drive.google.com/file/d/1oCkx2r9J3HfNq8zEPj3clxtZhbKGMyEa/view?usp=drivesdk","OFFER LETTER")</f>
        <v>OFFER LETTER</v>
      </c>
      <c r="S2533" s="11" t="s">
        <v>13813</v>
      </c>
    </row>
    <row r="2534" ht="22.5" customHeight="1">
      <c r="A2534" s="10">
        <v>46272.82241958333</v>
      </c>
      <c r="B2534" s="11" t="s">
        <v>13814</v>
      </c>
      <c r="C2534" s="11" t="s">
        <v>195</v>
      </c>
      <c r="D2534" s="11" t="s">
        <v>68</v>
      </c>
      <c r="E2534" s="12">
        <v>46275.0</v>
      </c>
      <c r="F2534" s="12">
        <v>46305.0</v>
      </c>
      <c r="G2534" s="11" t="s">
        <v>13815</v>
      </c>
      <c r="H2534" s="11">
        <v>6.363291804E9</v>
      </c>
      <c r="I2534" s="11" t="s">
        <v>70</v>
      </c>
      <c r="J2534" s="11" t="s">
        <v>71</v>
      </c>
      <c r="K2534" s="11" t="s">
        <v>72</v>
      </c>
      <c r="L2534" s="11" t="s">
        <v>73</v>
      </c>
      <c r="M2534" s="11" t="s">
        <v>13816</v>
      </c>
      <c r="N2534" s="11" t="s">
        <v>241</v>
      </c>
      <c r="O2534" s="11" t="s">
        <v>71</v>
      </c>
      <c r="P2534" s="11" t="s">
        <v>13817</v>
      </c>
      <c r="Q2534" s="13" t="s">
        <v>13818</v>
      </c>
      <c r="R2534" s="14" t="str">
        <f>HYPERLINK("https://drive.google.com/file/d/1A3bR92yTWpSmdQ8j3WoPCWbL89ufOoEd/view?usp=drivesdk","OFFER LETTER")</f>
        <v>OFFER LETTER</v>
      </c>
      <c r="S2534" s="11" t="s">
        <v>13819</v>
      </c>
    </row>
    <row r="2535" ht="22.5" customHeight="1">
      <c r="A2535" s="10">
        <v>46272.82335387732</v>
      </c>
      <c r="B2535" s="11" t="s">
        <v>13820</v>
      </c>
      <c r="C2535" s="11" t="s">
        <v>107</v>
      </c>
      <c r="D2535" s="11" t="s">
        <v>68</v>
      </c>
      <c r="E2535" s="12">
        <v>46272.0</v>
      </c>
      <c r="F2535" s="12">
        <v>46302.0</v>
      </c>
      <c r="G2535" s="11" t="s">
        <v>13821</v>
      </c>
      <c r="H2535" s="11">
        <v>9.149226153E9</v>
      </c>
      <c r="I2535" s="11" t="s">
        <v>70</v>
      </c>
      <c r="J2535" s="11" t="s">
        <v>71</v>
      </c>
      <c r="K2535" s="11" t="s">
        <v>110</v>
      </c>
      <c r="L2535" s="11" t="s">
        <v>84</v>
      </c>
      <c r="M2535" s="11" t="s">
        <v>1532</v>
      </c>
      <c r="N2535" s="11" t="s">
        <v>75</v>
      </c>
      <c r="O2535" s="11" t="s">
        <v>71</v>
      </c>
      <c r="P2535" s="11" t="s">
        <v>13822</v>
      </c>
      <c r="Q2535" s="13" t="s">
        <v>13823</v>
      </c>
      <c r="R2535" s="14" t="str">
        <f>HYPERLINK("https://drive.google.com/file/d/18qJZ1YAOzwr5e4knP8cL5qaOEBLCvk98/view?usp=drivesdk","OFFER LETTER")</f>
        <v>OFFER LETTER</v>
      </c>
      <c r="S2535" s="11" t="s">
        <v>13824</v>
      </c>
    </row>
    <row r="2536" ht="22.5" customHeight="1">
      <c r="A2536" s="10">
        <v>46272.82343072917</v>
      </c>
      <c r="B2536" s="11" t="s">
        <v>13825</v>
      </c>
      <c r="C2536" s="11" t="s">
        <v>2591</v>
      </c>
      <c r="D2536" s="11" t="s">
        <v>68</v>
      </c>
      <c r="E2536" s="12">
        <v>46276.0</v>
      </c>
      <c r="F2536" s="12">
        <v>46306.0</v>
      </c>
      <c r="G2536" s="11" t="s">
        <v>13826</v>
      </c>
      <c r="H2536" s="11">
        <v>9.50067314E9</v>
      </c>
      <c r="I2536" s="11" t="s">
        <v>82</v>
      </c>
      <c r="J2536" s="11" t="s">
        <v>71</v>
      </c>
      <c r="K2536" s="11" t="s">
        <v>72</v>
      </c>
      <c r="L2536" s="11" t="s">
        <v>73</v>
      </c>
      <c r="M2536" s="11" t="s">
        <v>13827</v>
      </c>
      <c r="N2536" s="11" t="s">
        <v>75</v>
      </c>
      <c r="O2536" s="11" t="s">
        <v>71</v>
      </c>
      <c r="P2536" s="11" t="s">
        <v>13828</v>
      </c>
      <c r="Q2536" s="13" t="s">
        <v>13829</v>
      </c>
      <c r="R2536" s="14" t="str">
        <f>HYPERLINK("https://drive.google.com/file/d/1IJP0kbTr7_i0iVesiRokM2_hmcRVXZIw/view?usp=drivesdk","OFFER LETTER")</f>
        <v>OFFER LETTER</v>
      </c>
      <c r="S2536" s="11" t="s">
        <v>13824</v>
      </c>
    </row>
    <row r="2537" ht="22.5" customHeight="1">
      <c r="A2537" s="10">
        <v>46272.82368887731</v>
      </c>
      <c r="B2537" s="11" t="s">
        <v>13830</v>
      </c>
      <c r="C2537" s="11" t="s">
        <v>195</v>
      </c>
      <c r="D2537" s="11" t="s">
        <v>238</v>
      </c>
      <c r="E2537" s="12">
        <v>46272.0</v>
      </c>
      <c r="F2537" s="12">
        <v>46363.0</v>
      </c>
      <c r="G2537" s="11" t="s">
        <v>13831</v>
      </c>
      <c r="H2537" s="11">
        <v>7.093307596E9</v>
      </c>
      <c r="I2537" s="11" t="s">
        <v>70</v>
      </c>
      <c r="J2537" s="11" t="s">
        <v>71</v>
      </c>
      <c r="K2537" s="11" t="s">
        <v>72</v>
      </c>
      <c r="L2537" s="11" t="s">
        <v>84</v>
      </c>
      <c r="M2537" s="11" t="s">
        <v>13832</v>
      </c>
      <c r="N2537" s="11" t="s">
        <v>1576</v>
      </c>
      <c r="O2537" s="11" t="s">
        <v>71</v>
      </c>
      <c r="P2537" s="11" t="s">
        <v>13833</v>
      </c>
      <c r="Q2537" s="13" t="s">
        <v>13834</v>
      </c>
      <c r="R2537" s="14" t="str">
        <f>HYPERLINK("https://drive.google.com/file/d/1fkt3W_-cQL93-aLRN1HWW8QIo-l-6nlV/view?usp=drivesdk","OFFER LETTER")</f>
        <v>OFFER LETTER</v>
      </c>
      <c r="S2537" s="11" t="s">
        <v>13824</v>
      </c>
    </row>
    <row r="2538" ht="22.5" customHeight="1">
      <c r="A2538" s="10">
        <v>46272.82415541667</v>
      </c>
      <c r="B2538" s="11" t="s">
        <v>13835</v>
      </c>
      <c r="C2538" s="11" t="s">
        <v>107</v>
      </c>
      <c r="D2538" s="11" t="s">
        <v>68</v>
      </c>
      <c r="E2538" s="12">
        <v>46272.0</v>
      </c>
      <c r="F2538" s="12">
        <v>46272.0</v>
      </c>
      <c r="G2538" s="11" t="s">
        <v>13836</v>
      </c>
      <c r="H2538" s="17" t="s">
        <v>13837</v>
      </c>
      <c r="I2538" s="11" t="s">
        <v>82</v>
      </c>
      <c r="J2538" s="11" t="s">
        <v>71</v>
      </c>
      <c r="K2538" s="11" t="s">
        <v>72</v>
      </c>
      <c r="L2538" s="11" t="s">
        <v>73</v>
      </c>
      <c r="M2538" s="11" t="s">
        <v>13838</v>
      </c>
      <c r="N2538" s="11" t="s">
        <v>226</v>
      </c>
      <c r="O2538" s="11" t="s">
        <v>71</v>
      </c>
      <c r="P2538" s="11" t="s">
        <v>13839</v>
      </c>
      <c r="Q2538" s="13" t="s">
        <v>13840</v>
      </c>
      <c r="R2538" s="14" t="str">
        <f>HYPERLINK("https://drive.google.com/file/d/13JxSr8DhnUda36WKwHMFnfYco7oUlN-s/view?usp=drivesdk","OFFER LETTER")</f>
        <v>OFFER LETTER</v>
      </c>
      <c r="S2538" s="11" t="s">
        <v>13841</v>
      </c>
    </row>
    <row r="2539" ht="22.5" customHeight="1">
      <c r="A2539" s="10">
        <v>46272.825340462965</v>
      </c>
      <c r="B2539" s="11" t="s">
        <v>13576</v>
      </c>
      <c r="C2539" s="11" t="s">
        <v>107</v>
      </c>
      <c r="D2539" s="11" t="s">
        <v>68</v>
      </c>
      <c r="E2539" s="12">
        <v>46272.0</v>
      </c>
      <c r="F2539" s="12">
        <v>46302.0</v>
      </c>
      <c r="G2539" s="11" t="s">
        <v>13577</v>
      </c>
      <c r="H2539" s="11">
        <v>7.668847784E9</v>
      </c>
      <c r="I2539" s="11" t="s">
        <v>82</v>
      </c>
      <c r="J2539" s="11" t="s">
        <v>83</v>
      </c>
      <c r="K2539" s="11" t="s">
        <v>72</v>
      </c>
      <c r="L2539" s="11" t="s">
        <v>84</v>
      </c>
      <c r="M2539" s="11" t="s">
        <v>1532</v>
      </c>
      <c r="N2539" s="11" t="s">
        <v>75</v>
      </c>
      <c r="O2539" s="11" t="s">
        <v>71</v>
      </c>
      <c r="P2539" s="11" t="s">
        <v>13842</v>
      </c>
      <c r="Q2539" s="13" t="s">
        <v>13843</v>
      </c>
      <c r="R2539" s="14" t="str">
        <f>HYPERLINK("https://drive.google.com/file/d/1jNTCSISsU_c2G_gEhEAzzwivh7iEdolz/view?usp=drivesdk","OFFER LETTER")</f>
        <v>OFFER LETTER</v>
      </c>
      <c r="S2539" s="11" t="s">
        <v>13844</v>
      </c>
    </row>
    <row r="2540" ht="22.5" customHeight="1">
      <c r="A2540" s="10">
        <v>46272.82734158565</v>
      </c>
      <c r="B2540" s="11" t="s">
        <v>13787</v>
      </c>
      <c r="C2540" s="11" t="s">
        <v>80</v>
      </c>
      <c r="D2540" s="11" t="s">
        <v>68</v>
      </c>
      <c r="E2540" s="12">
        <v>46272.0</v>
      </c>
      <c r="F2540" s="12">
        <v>46302.0</v>
      </c>
      <c r="G2540" s="11" t="s">
        <v>13788</v>
      </c>
      <c r="H2540" s="11">
        <v>8.438076069E9</v>
      </c>
      <c r="I2540" s="11" t="s">
        <v>82</v>
      </c>
      <c r="J2540" s="11" t="s">
        <v>71</v>
      </c>
      <c r="K2540" s="11" t="s">
        <v>72</v>
      </c>
      <c r="L2540" s="11" t="s">
        <v>84</v>
      </c>
      <c r="M2540" s="11" t="s">
        <v>13845</v>
      </c>
      <c r="N2540" s="11" t="s">
        <v>241</v>
      </c>
      <c r="O2540" s="11" t="s">
        <v>71</v>
      </c>
      <c r="P2540" s="11" t="s">
        <v>13846</v>
      </c>
      <c r="Q2540" s="13" t="s">
        <v>13847</v>
      </c>
      <c r="R2540" s="14" t="str">
        <f>HYPERLINK("https://drive.google.com/file/d/1ylO62nEUGEkk4_P-yFFKvmjl1cGUfklv/view?usp=drivesdk","OFFER LETTER")</f>
        <v>OFFER LETTER</v>
      </c>
      <c r="S2540" s="11" t="s">
        <v>13848</v>
      </c>
    </row>
    <row r="2541" ht="22.5" customHeight="1">
      <c r="A2541" s="10">
        <v>46272.829121284725</v>
      </c>
      <c r="B2541" s="11" t="s">
        <v>13849</v>
      </c>
      <c r="C2541" s="11" t="s">
        <v>298</v>
      </c>
      <c r="D2541" s="11" t="s">
        <v>68</v>
      </c>
      <c r="E2541" s="12">
        <v>46273.0</v>
      </c>
      <c r="F2541" s="12">
        <v>46303.0</v>
      </c>
      <c r="G2541" s="11" t="s">
        <v>13850</v>
      </c>
      <c r="H2541" s="11">
        <v>9.944139823E9</v>
      </c>
      <c r="I2541" s="11" t="s">
        <v>70</v>
      </c>
      <c r="J2541" s="11" t="s">
        <v>71</v>
      </c>
      <c r="K2541" s="11" t="s">
        <v>72</v>
      </c>
      <c r="L2541" s="11" t="s">
        <v>73</v>
      </c>
      <c r="M2541" s="11" t="s">
        <v>13851</v>
      </c>
      <c r="N2541" s="11" t="s">
        <v>630</v>
      </c>
      <c r="O2541" s="11" t="s">
        <v>71</v>
      </c>
      <c r="P2541" s="11" t="s">
        <v>13852</v>
      </c>
      <c r="Q2541" s="13" t="s">
        <v>13853</v>
      </c>
      <c r="R2541" s="14" t="str">
        <f>HYPERLINK("https://drive.google.com/file/d/1HpHjMkE1GZilZJmWmOFjGgGfUvxlAJRd/view?usp=drivesdk","OFFER LETTER")</f>
        <v>OFFER LETTER</v>
      </c>
      <c r="S2541" s="11" t="s">
        <v>13854</v>
      </c>
    </row>
    <row r="2542" ht="22.5" customHeight="1">
      <c r="A2542" s="10">
        <v>46272.82913873842</v>
      </c>
      <c r="B2542" s="11" t="s">
        <v>13855</v>
      </c>
      <c r="C2542" s="11" t="s">
        <v>195</v>
      </c>
      <c r="D2542" s="11" t="s">
        <v>68</v>
      </c>
      <c r="E2542" s="12">
        <v>46233.0</v>
      </c>
      <c r="F2542" s="12">
        <v>46265.0</v>
      </c>
      <c r="G2542" s="11" t="s">
        <v>13856</v>
      </c>
      <c r="H2542" s="11">
        <v>6.377561355E9</v>
      </c>
      <c r="I2542" s="11" t="s">
        <v>82</v>
      </c>
      <c r="J2542" s="11" t="s">
        <v>83</v>
      </c>
      <c r="K2542" s="11" t="s">
        <v>72</v>
      </c>
      <c r="L2542" s="11" t="s">
        <v>84</v>
      </c>
      <c r="M2542" s="11" t="s">
        <v>2655</v>
      </c>
      <c r="N2542" s="11" t="s">
        <v>86</v>
      </c>
      <c r="O2542" s="11" t="s">
        <v>71</v>
      </c>
      <c r="P2542" s="11" t="s">
        <v>13857</v>
      </c>
      <c r="Q2542" s="13" t="s">
        <v>13858</v>
      </c>
      <c r="R2542" s="14" t="str">
        <f>HYPERLINK("https://drive.google.com/file/d/1rFYBwFAH-gIBgaBHktKSpCVt0k_Qs7xN/view?usp=drivesdk","OFFER LETTER")</f>
        <v>OFFER LETTER</v>
      </c>
      <c r="S2542" s="11" t="s">
        <v>13854</v>
      </c>
    </row>
    <row r="2543" ht="22.5" customHeight="1">
      <c r="A2543" s="10">
        <v>46272.83101695601</v>
      </c>
      <c r="B2543" s="11" t="s">
        <v>13859</v>
      </c>
      <c r="C2543" s="11" t="s">
        <v>195</v>
      </c>
      <c r="D2543" s="11" t="s">
        <v>68</v>
      </c>
      <c r="E2543" s="12">
        <v>46273.0</v>
      </c>
      <c r="F2543" s="12">
        <v>46302.0</v>
      </c>
      <c r="G2543" s="11" t="s">
        <v>13860</v>
      </c>
      <c r="H2543" s="11">
        <v>9.548348634E9</v>
      </c>
      <c r="I2543" s="11" t="s">
        <v>82</v>
      </c>
      <c r="J2543" s="11" t="s">
        <v>71</v>
      </c>
      <c r="K2543" s="11" t="s">
        <v>72</v>
      </c>
      <c r="L2543" s="11" t="s">
        <v>73</v>
      </c>
      <c r="M2543" s="11" t="s">
        <v>13861</v>
      </c>
      <c r="N2543" s="11" t="s">
        <v>241</v>
      </c>
      <c r="O2543" s="11" t="s">
        <v>71</v>
      </c>
      <c r="P2543" s="11" t="s">
        <v>13862</v>
      </c>
      <c r="Q2543" s="13" t="s">
        <v>13863</v>
      </c>
      <c r="R2543" s="14" t="str">
        <f>HYPERLINK("https://drive.google.com/file/d/1YHtvpXF9jLA3F9RLKYM87kYd87vJu02F/view?usp=drivesdk","OFFER LETTER")</f>
        <v>OFFER LETTER</v>
      </c>
      <c r="S2543" s="11" t="s">
        <v>13864</v>
      </c>
    </row>
    <row r="2544" ht="22.5" customHeight="1">
      <c r="A2544" s="10">
        <v>46272.83201059028</v>
      </c>
      <c r="B2544" s="11" t="s">
        <v>13865</v>
      </c>
      <c r="C2544" s="11" t="s">
        <v>80</v>
      </c>
      <c r="D2544" s="11" t="s">
        <v>68</v>
      </c>
      <c r="E2544" s="12">
        <v>46273.0</v>
      </c>
      <c r="F2544" s="12">
        <v>46303.0</v>
      </c>
      <c r="G2544" s="11" t="s">
        <v>13866</v>
      </c>
      <c r="H2544" s="11">
        <v>8.885634482E9</v>
      </c>
      <c r="I2544" s="11" t="s">
        <v>82</v>
      </c>
      <c r="J2544" s="11" t="s">
        <v>71</v>
      </c>
      <c r="K2544" s="11" t="s">
        <v>72</v>
      </c>
      <c r="L2544" s="11" t="s">
        <v>84</v>
      </c>
      <c r="M2544" s="11" t="s">
        <v>13867</v>
      </c>
      <c r="N2544" s="11" t="s">
        <v>1641</v>
      </c>
      <c r="O2544" s="11" t="s">
        <v>71</v>
      </c>
      <c r="P2544" s="11" t="s">
        <v>13868</v>
      </c>
      <c r="Q2544" s="13" t="s">
        <v>13869</v>
      </c>
      <c r="R2544" s="14" t="str">
        <f>HYPERLINK("https://drive.google.com/file/d/1mqVXF5gt9ggIThiReDW2cPtx76yc4PrM/view?usp=drivesdk","OFFER LETTER")</f>
        <v>OFFER LETTER</v>
      </c>
      <c r="S2544" s="11" t="s">
        <v>13870</v>
      </c>
    </row>
    <row r="2545" ht="22.5" customHeight="1">
      <c r="A2545" s="10">
        <v>46272.83274873842</v>
      </c>
      <c r="B2545" s="11" t="s">
        <v>13871</v>
      </c>
      <c r="C2545" s="11" t="s">
        <v>80</v>
      </c>
      <c r="D2545" s="11" t="s">
        <v>68</v>
      </c>
      <c r="E2545" s="12">
        <v>46273.0</v>
      </c>
      <c r="F2545" s="12">
        <v>46303.0</v>
      </c>
      <c r="G2545" s="11" t="s">
        <v>13872</v>
      </c>
      <c r="H2545" s="11">
        <v>9.346123276E9</v>
      </c>
      <c r="I2545" s="11" t="s">
        <v>82</v>
      </c>
      <c r="J2545" s="11" t="s">
        <v>71</v>
      </c>
      <c r="K2545" s="11" t="s">
        <v>72</v>
      </c>
      <c r="L2545" s="11" t="s">
        <v>84</v>
      </c>
      <c r="M2545" s="11" t="s">
        <v>13873</v>
      </c>
      <c r="N2545" s="11" t="s">
        <v>1641</v>
      </c>
      <c r="O2545" s="11" t="s">
        <v>71</v>
      </c>
      <c r="P2545" s="11" t="s">
        <v>13874</v>
      </c>
      <c r="Q2545" s="13" t="s">
        <v>13875</v>
      </c>
      <c r="R2545" s="14" t="str">
        <f>HYPERLINK("https://drive.google.com/file/d/1dJgjR3Wk7LL-SQmWcHlteHapCgIFOTMm/view?usp=drivesdk","OFFER LETTER")</f>
        <v>OFFER LETTER</v>
      </c>
      <c r="S2545" s="11" t="s">
        <v>13876</v>
      </c>
    </row>
    <row r="2546" ht="22.5" customHeight="1">
      <c r="A2546" s="10">
        <v>46272.83572834491</v>
      </c>
      <c r="B2546" s="11" t="s">
        <v>13877</v>
      </c>
      <c r="C2546" s="11" t="s">
        <v>173</v>
      </c>
      <c r="D2546" s="11" t="s">
        <v>68</v>
      </c>
      <c r="E2546" s="12">
        <v>46184.0</v>
      </c>
      <c r="F2546" s="12">
        <v>46214.0</v>
      </c>
      <c r="G2546" s="11" t="s">
        <v>13878</v>
      </c>
      <c r="H2546" s="11" t="s">
        <v>13879</v>
      </c>
      <c r="I2546" s="11" t="s">
        <v>82</v>
      </c>
      <c r="J2546" s="11" t="s">
        <v>71</v>
      </c>
      <c r="K2546" s="11" t="s">
        <v>72</v>
      </c>
      <c r="L2546" s="11" t="s">
        <v>84</v>
      </c>
      <c r="M2546" s="11" t="s">
        <v>1779</v>
      </c>
      <c r="N2546" s="11" t="s">
        <v>226</v>
      </c>
      <c r="O2546" s="11" t="s">
        <v>71</v>
      </c>
      <c r="P2546" s="11" t="s">
        <v>13880</v>
      </c>
      <c r="Q2546" s="13" t="s">
        <v>13881</v>
      </c>
      <c r="R2546" s="14" t="str">
        <f>HYPERLINK("https://drive.google.com/file/d/11J_7fgB-3xAPs2-v84GwiNEE1hgKgJy-/view?usp=drivesdk","OFFER LETTER")</f>
        <v>OFFER LETTER</v>
      </c>
      <c r="S2546" s="11" t="s">
        <v>13882</v>
      </c>
    </row>
    <row r="2547" ht="22.5" customHeight="1">
      <c r="A2547" s="10">
        <v>46272.83646877315</v>
      </c>
      <c r="B2547" s="11" t="s">
        <v>13883</v>
      </c>
      <c r="C2547" s="11" t="s">
        <v>259</v>
      </c>
      <c r="D2547" s="11" t="s">
        <v>108</v>
      </c>
      <c r="E2547" s="12">
        <v>46272.0</v>
      </c>
      <c r="F2547" s="12">
        <v>46333.0</v>
      </c>
      <c r="G2547" s="11" t="s">
        <v>13883</v>
      </c>
      <c r="H2547" s="11">
        <v>9.412664008E9</v>
      </c>
      <c r="I2547" s="11" t="s">
        <v>82</v>
      </c>
      <c r="J2547" s="11" t="s">
        <v>71</v>
      </c>
      <c r="K2547" s="11" t="s">
        <v>110</v>
      </c>
      <c r="L2547" s="11" t="s">
        <v>73</v>
      </c>
      <c r="M2547" s="11" t="s">
        <v>13884</v>
      </c>
      <c r="N2547" s="11" t="s">
        <v>86</v>
      </c>
      <c r="O2547" s="11" t="s">
        <v>71</v>
      </c>
      <c r="P2547" s="11" t="s">
        <v>13885</v>
      </c>
      <c r="Q2547" s="13" t="s">
        <v>13886</v>
      </c>
      <c r="R2547" s="14" t="str">
        <f>HYPERLINK("https://drive.google.com/file/d/1I5OoQ7Fvm6jtvN0gAclWCtEo8C2Wccpy/view?usp=drivesdk","OFFER LETTER")</f>
        <v>OFFER LETTER</v>
      </c>
      <c r="S2547" s="11" t="s">
        <v>13887</v>
      </c>
    </row>
    <row r="2548" ht="22.5" customHeight="1">
      <c r="A2548" s="10">
        <v>46272.83671069445</v>
      </c>
      <c r="B2548" s="11" t="s">
        <v>13888</v>
      </c>
      <c r="C2548" s="11" t="s">
        <v>259</v>
      </c>
      <c r="D2548" s="11" t="s">
        <v>108</v>
      </c>
      <c r="E2548" s="12">
        <v>46272.0</v>
      </c>
      <c r="F2548" s="12">
        <v>46333.0</v>
      </c>
      <c r="G2548" s="11" t="s">
        <v>13889</v>
      </c>
      <c r="H2548" s="11">
        <v>8.868954887E9</v>
      </c>
      <c r="I2548" s="11" t="s">
        <v>82</v>
      </c>
      <c r="J2548" s="11" t="s">
        <v>71</v>
      </c>
      <c r="K2548" s="11" t="s">
        <v>110</v>
      </c>
      <c r="L2548" s="11" t="s">
        <v>73</v>
      </c>
      <c r="M2548" s="11" t="s">
        <v>13890</v>
      </c>
      <c r="N2548" s="11" t="s">
        <v>420</v>
      </c>
      <c r="O2548" s="11" t="s">
        <v>71</v>
      </c>
      <c r="P2548" s="11" t="s">
        <v>13891</v>
      </c>
      <c r="Q2548" s="13" t="s">
        <v>13892</v>
      </c>
      <c r="R2548" s="14" t="str">
        <f>HYPERLINK("https://drive.google.com/file/d/1vahTrh0E7IgTTXLKE58-SVofBDy2YeN1/view?usp=drivesdk","OFFER LETTER")</f>
        <v>OFFER LETTER</v>
      </c>
      <c r="S2548" s="11" t="s">
        <v>13893</v>
      </c>
    </row>
    <row r="2549" ht="22.5" customHeight="1">
      <c r="A2549" s="10">
        <v>46272.836810821755</v>
      </c>
      <c r="B2549" s="11" t="s">
        <v>13894</v>
      </c>
      <c r="C2549" s="11" t="s">
        <v>128</v>
      </c>
      <c r="D2549" s="11" t="s">
        <v>68</v>
      </c>
      <c r="E2549" s="12">
        <v>46237.0</v>
      </c>
      <c r="F2549" s="12">
        <v>46268.0</v>
      </c>
      <c r="G2549" s="11" t="s">
        <v>13895</v>
      </c>
      <c r="H2549" s="11">
        <v>7.649000069E9</v>
      </c>
      <c r="I2549" s="11" t="s">
        <v>82</v>
      </c>
      <c r="J2549" s="11" t="s">
        <v>71</v>
      </c>
      <c r="K2549" s="11" t="s">
        <v>72</v>
      </c>
      <c r="L2549" s="11" t="s">
        <v>131</v>
      </c>
      <c r="M2549" s="11" t="s">
        <v>13896</v>
      </c>
      <c r="N2549" s="11" t="s">
        <v>75</v>
      </c>
      <c r="O2549" s="11" t="s">
        <v>71</v>
      </c>
      <c r="P2549" s="11" t="s">
        <v>13897</v>
      </c>
      <c r="Q2549" s="13" t="s">
        <v>13898</v>
      </c>
      <c r="R2549" s="14" t="str">
        <f>HYPERLINK("https://drive.google.com/file/d/1nmXSQ5s_HyAPaRS7OyRrT9rnhyE78kyk/view?usp=drivesdk","OFFER LETTER")</f>
        <v>OFFER LETTER</v>
      </c>
      <c r="S2549" s="11" t="s">
        <v>13893</v>
      </c>
    </row>
    <row r="2550" ht="22.5" customHeight="1">
      <c r="A2550" s="10">
        <v>46272.83704315972</v>
      </c>
      <c r="B2550" s="11" t="s">
        <v>13899</v>
      </c>
      <c r="C2550" s="11" t="s">
        <v>1320</v>
      </c>
      <c r="D2550" s="11" t="s">
        <v>68</v>
      </c>
      <c r="E2550" s="12">
        <v>46239.0</v>
      </c>
      <c r="F2550" s="12">
        <v>46270.0</v>
      </c>
      <c r="G2550" s="11" t="s">
        <v>13900</v>
      </c>
      <c r="H2550" s="11">
        <v>9.131915023E9</v>
      </c>
      <c r="I2550" s="11" t="s">
        <v>82</v>
      </c>
      <c r="J2550" s="11" t="s">
        <v>71</v>
      </c>
      <c r="K2550" s="11" t="s">
        <v>72</v>
      </c>
      <c r="L2550" s="11" t="s">
        <v>131</v>
      </c>
      <c r="M2550" s="11" t="s">
        <v>13896</v>
      </c>
      <c r="N2550" s="11" t="s">
        <v>75</v>
      </c>
      <c r="O2550" s="11" t="s">
        <v>71</v>
      </c>
      <c r="P2550" s="11" t="s">
        <v>13901</v>
      </c>
      <c r="Q2550" s="13" t="s">
        <v>13902</v>
      </c>
      <c r="R2550" s="14" t="str">
        <f>HYPERLINK("https://drive.google.com/file/d/1OeI5EH5PvvAPV_KlfmYI9IFpgys2H0ax/view?usp=drivesdk","OFFER LETTER")</f>
        <v>OFFER LETTER</v>
      </c>
      <c r="S2550" s="11" t="s">
        <v>13893</v>
      </c>
    </row>
    <row r="2551" ht="22.5" customHeight="1">
      <c r="A2551" s="10">
        <v>46272.84329253472</v>
      </c>
      <c r="B2551" s="11" t="s">
        <v>13903</v>
      </c>
      <c r="C2551" s="11" t="s">
        <v>298</v>
      </c>
      <c r="D2551" s="11" t="s">
        <v>68</v>
      </c>
      <c r="E2551" s="12">
        <v>46289.0</v>
      </c>
      <c r="F2551" s="12">
        <v>46320.0</v>
      </c>
      <c r="G2551" s="11" t="s">
        <v>13904</v>
      </c>
      <c r="H2551" s="11">
        <v>6.361393293E9</v>
      </c>
      <c r="I2551" s="11" t="s">
        <v>82</v>
      </c>
      <c r="J2551" s="11" t="s">
        <v>71</v>
      </c>
      <c r="K2551" s="11" t="s">
        <v>356</v>
      </c>
      <c r="L2551" s="11" t="s">
        <v>84</v>
      </c>
      <c r="M2551" s="11" t="s">
        <v>13905</v>
      </c>
      <c r="N2551" s="11" t="s">
        <v>2778</v>
      </c>
      <c r="O2551" s="11" t="s">
        <v>71</v>
      </c>
      <c r="P2551" s="11" t="s">
        <v>13906</v>
      </c>
      <c r="Q2551" s="13" t="s">
        <v>13907</v>
      </c>
      <c r="R2551" s="14" t="str">
        <f>HYPERLINK("https://drive.google.com/file/d/1tWE-gTAeijCesS4Vjo8xK2X19m-Iebll/view?usp=drivesdk","OFFER LETTER")</f>
        <v>OFFER LETTER</v>
      </c>
      <c r="S2551" s="11" t="s">
        <v>13908</v>
      </c>
    </row>
    <row r="2552" ht="22.5" customHeight="1">
      <c r="A2552" s="10">
        <v>46272.84468628472</v>
      </c>
      <c r="B2552" s="11" t="s">
        <v>13909</v>
      </c>
      <c r="C2552" s="11" t="s">
        <v>173</v>
      </c>
      <c r="D2552" s="11" t="s">
        <v>68</v>
      </c>
      <c r="E2552" s="12">
        <v>46272.0</v>
      </c>
      <c r="F2552" s="12">
        <v>46302.0</v>
      </c>
      <c r="G2552" s="11" t="s">
        <v>13910</v>
      </c>
      <c r="H2552" s="11">
        <v>7.019815097E9</v>
      </c>
      <c r="I2552" s="11" t="s">
        <v>82</v>
      </c>
      <c r="J2552" s="11" t="s">
        <v>71</v>
      </c>
      <c r="K2552" s="11" t="s">
        <v>72</v>
      </c>
      <c r="L2552" s="11" t="s">
        <v>84</v>
      </c>
      <c r="M2552" s="11" t="s">
        <v>13911</v>
      </c>
      <c r="N2552" s="11" t="s">
        <v>86</v>
      </c>
      <c r="O2552" s="11" t="s">
        <v>71</v>
      </c>
      <c r="P2552" s="11" t="s">
        <v>13912</v>
      </c>
      <c r="Q2552" s="13" t="s">
        <v>13913</v>
      </c>
      <c r="R2552" s="14" t="str">
        <f>HYPERLINK("https://drive.google.com/file/d/1RjlijtX-NZ99qqawTK2zsXZHPR5Y_bMq/view?usp=drivesdk","OFFER LETTER")</f>
        <v>OFFER LETTER</v>
      </c>
      <c r="S2552" s="11" t="s">
        <v>13914</v>
      </c>
    </row>
    <row r="2553" ht="22.5" customHeight="1">
      <c r="A2553" s="10">
        <v>46272.849164618056</v>
      </c>
      <c r="B2553" s="11" t="s">
        <v>13915</v>
      </c>
      <c r="C2553" s="11" t="s">
        <v>173</v>
      </c>
      <c r="D2553" s="11" t="s">
        <v>68</v>
      </c>
      <c r="E2553" s="12">
        <v>46228.0</v>
      </c>
      <c r="F2553" s="12">
        <v>46259.0</v>
      </c>
      <c r="G2553" s="11" t="s">
        <v>13916</v>
      </c>
      <c r="H2553" s="11">
        <v>7.004841708E9</v>
      </c>
      <c r="I2553" s="11" t="s">
        <v>82</v>
      </c>
      <c r="J2553" s="11" t="s">
        <v>71</v>
      </c>
      <c r="K2553" s="11" t="s">
        <v>72</v>
      </c>
      <c r="L2553" s="11" t="s">
        <v>84</v>
      </c>
      <c r="M2553" s="11" t="s">
        <v>560</v>
      </c>
      <c r="N2553" s="11" t="s">
        <v>86</v>
      </c>
      <c r="O2553" s="11" t="s">
        <v>71</v>
      </c>
      <c r="P2553" s="11" t="s">
        <v>13917</v>
      </c>
      <c r="Q2553" s="13" t="s">
        <v>13918</v>
      </c>
      <c r="R2553" s="14" t="str">
        <f>HYPERLINK("https://drive.google.com/file/d/12ZhO_se2h0Fh8FzEgVC0EQDsArGBL1pz/view?usp=drivesdk","OFFER LETTER")</f>
        <v>OFFER LETTER</v>
      </c>
      <c r="S2553" s="11" t="s">
        <v>13919</v>
      </c>
    </row>
    <row r="2554" ht="22.5" customHeight="1">
      <c r="A2554" s="10">
        <v>46272.849214594906</v>
      </c>
      <c r="B2554" s="11" t="s">
        <v>13765</v>
      </c>
      <c r="C2554" s="11" t="s">
        <v>128</v>
      </c>
      <c r="D2554" s="11" t="s">
        <v>68</v>
      </c>
      <c r="E2554" s="12">
        <v>46272.0</v>
      </c>
      <c r="F2554" s="12">
        <v>46302.0</v>
      </c>
      <c r="G2554" s="11" t="s">
        <v>13766</v>
      </c>
      <c r="H2554" s="11">
        <v>8.770388817E9</v>
      </c>
      <c r="I2554" s="11" t="s">
        <v>70</v>
      </c>
      <c r="J2554" s="11" t="s">
        <v>71</v>
      </c>
      <c r="K2554" s="11" t="s">
        <v>72</v>
      </c>
      <c r="L2554" s="11" t="s">
        <v>131</v>
      </c>
      <c r="M2554" s="11" t="s">
        <v>13767</v>
      </c>
      <c r="N2554" s="11" t="s">
        <v>241</v>
      </c>
      <c r="O2554" s="11" t="s">
        <v>71</v>
      </c>
      <c r="P2554" s="11" t="s">
        <v>13920</v>
      </c>
      <c r="Q2554" s="13" t="s">
        <v>13921</v>
      </c>
      <c r="R2554" s="14" t="str">
        <f>HYPERLINK("https://drive.google.com/file/d/1MUjy3lHLAsxPk0tyH4o5fs7zBsC7ZyGZ/view?usp=drivesdk","OFFER LETTER")</f>
        <v>OFFER LETTER</v>
      </c>
      <c r="S2554" s="11" t="s">
        <v>13922</v>
      </c>
    </row>
    <row r="2555" ht="22.5" customHeight="1">
      <c r="A2555" s="10">
        <v>46272.85040239584</v>
      </c>
      <c r="B2555" s="11" t="s">
        <v>13923</v>
      </c>
      <c r="C2555" s="11" t="s">
        <v>195</v>
      </c>
      <c r="D2555" s="11" t="s">
        <v>68</v>
      </c>
      <c r="E2555" s="12">
        <v>46282.0</v>
      </c>
      <c r="F2555" s="12">
        <v>46311.0</v>
      </c>
      <c r="G2555" s="11" t="s">
        <v>13924</v>
      </c>
      <c r="H2555" s="11">
        <v>9.363134091E9</v>
      </c>
      <c r="I2555" s="11" t="s">
        <v>82</v>
      </c>
      <c r="J2555" s="11" t="s">
        <v>71</v>
      </c>
      <c r="K2555" s="11" t="s">
        <v>72</v>
      </c>
      <c r="L2555" s="11" t="s">
        <v>73</v>
      </c>
      <c r="M2555" s="11" t="s">
        <v>13925</v>
      </c>
      <c r="N2555" s="11" t="s">
        <v>630</v>
      </c>
      <c r="O2555" s="11" t="s">
        <v>71</v>
      </c>
      <c r="P2555" s="11" t="s">
        <v>13926</v>
      </c>
      <c r="Q2555" s="13" t="s">
        <v>13927</v>
      </c>
      <c r="R2555" s="14" t="str">
        <f>HYPERLINK("https://drive.google.com/file/d/19SXVBgqqJN4ul3Nl1SCFoGQgqudJIDvR/view?usp=drivesdk","OFFER LETTER")</f>
        <v>OFFER LETTER</v>
      </c>
      <c r="S2555" s="11" t="s">
        <v>13928</v>
      </c>
    </row>
    <row r="2556" ht="22.5" customHeight="1">
      <c r="A2556" s="10">
        <v>46272.85119023148</v>
      </c>
      <c r="B2556" s="11" t="s">
        <v>13381</v>
      </c>
      <c r="C2556" s="11" t="s">
        <v>173</v>
      </c>
      <c r="D2556" s="11" t="s">
        <v>68</v>
      </c>
      <c r="E2556" s="12">
        <v>46277.0</v>
      </c>
      <c r="F2556" s="12">
        <v>46307.0</v>
      </c>
      <c r="G2556" s="11" t="s">
        <v>13382</v>
      </c>
      <c r="H2556" s="11">
        <v>9.310926105E9</v>
      </c>
      <c r="I2556" s="11" t="s">
        <v>82</v>
      </c>
      <c r="J2556" s="11" t="s">
        <v>71</v>
      </c>
      <c r="K2556" s="11" t="s">
        <v>72</v>
      </c>
      <c r="L2556" s="11" t="s">
        <v>84</v>
      </c>
      <c r="M2556" s="11" t="s">
        <v>13383</v>
      </c>
      <c r="N2556" s="11" t="s">
        <v>75</v>
      </c>
      <c r="O2556" s="11" t="s">
        <v>71</v>
      </c>
      <c r="P2556" s="11" t="s">
        <v>13929</v>
      </c>
      <c r="Q2556" s="13" t="s">
        <v>13930</v>
      </c>
      <c r="R2556" s="14" t="str">
        <f>HYPERLINK("https://drive.google.com/file/d/1WQDayBcZ38gL__EnajVLb-TVEXgS1bSW/view?usp=drivesdk","OFFER LETTER")</f>
        <v>OFFER LETTER</v>
      </c>
      <c r="S2556" s="11" t="s">
        <v>13931</v>
      </c>
    </row>
    <row r="2557" ht="22.5" customHeight="1">
      <c r="A2557" s="10">
        <v>46272.85195832176</v>
      </c>
      <c r="B2557" s="11" t="s">
        <v>13932</v>
      </c>
      <c r="C2557" s="11" t="s">
        <v>91</v>
      </c>
      <c r="D2557" s="11" t="s">
        <v>68</v>
      </c>
      <c r="E2557" s="12">
        <v>46240.0</v>
      </c>
      <c r="F2557" s="12">
        <v>46271.0</v>
      </c>
      <c r="G2557" s="11" t="s">
        <v>13933</v>
      </c>
      <c r="H2557" s="11">
        <v>9.369224884E9</v>
      </c>
      <c r="I2557" s="11" t="s">
        <v>82</v>
      </c>
      <c r="J2557" s="11" t="s">
        <v>71</v>
      </c>
      <c r="K2557" s="11" t="s">
        <v>72</v>
      </c>
      <c r="L2557" s="11" t="s">
        <v>73</v>
      </c>
      <c r="M2557" s="11" t="s">
        <v>2655</v>
      </c>
      <c r="N2557" s="11" t="s">
        <v>86</v>
      </c>
      <c r="O2557" s="11" t="s">
        <v>71</v>
      </c>
      <c r="P2557" s="11" t="s">
        <v>13934</v>
      </c>
      <c r="Q2557" s="13" t="s">
        <v>13935</v>
      </c>
      <c r="R2557" s="14" t="str">
        <f>HYPERLINK("https://drive.google.com/file/d/1ZbiysKDJGltbizADziFT8unMEeZAkKsL/view?usp=drivesdk","OFFER LETTER")</f>
        <v>OFFER LETTER</v>
      </c>
      <c r="S2557" s="11" t="s">
        <v>13936</v>
      </c>
    </row>
    <row r="2558" ht="22.5" customHeight="1">
      <c r="A2558" s="10">
        <v>46272.85212380787</v>
      </c>
      <c r="B2558" s="11" t="s">
        <v>13937</v>
      </c>
      <c r="C2558" s="11" t="s">
        <v>80</v>
      </c>
      <c r="D2558" s="11" t="s">
        <v>68</v>
      </c>
      <c r="E2558" s="12">
        <v>46272.0</v>
      </c>
      <c r="F2558" s="12">
        <v>46310.0</v>
      </c>
      <c r="G2558" s="11" t="s">
        <v>13938</v>
      </c>
      <c r="H2558" s="11">
        <v>9.019212007E9</v>
      </c>
      <c r="I2558" s="11" t="s">
        <v>70</v>
      </c>
      <c r="J2558" s="11" t="s">
        <v>71</v>
      </c>
      <c r="K2558" s="11" t="s">
        <v>72</v>
      </c>
      <c r="L2558" s="11" t="s">
        <v>131</v>
      </c>
      <c r="M2558" s="11" t="s">
        <v>13939</v>
      </c>
      <c r="N2558" s="11" t="s">
        <v>241</v>
      </c>
      <c r="O2558" s="11" t="s">
        <v>71</v>
      </c>
      <c r="P2558" s="11" t="s">
        <v>13940</v>
      </c>
      <c r="Q2558" s="13" t="s">
        <v>13941</v>
      </c>
      <c r="R2558" s="14" t="str">
        <f>HYPERLINK("https://drive.google.com/file/d/1xzkvDELFCUEcBkv3frz_LpwFejNAJc8K/view?usp=drivesdk","OFFER LETTER")</f>
        <v>OFFER LETTER</v>
      </c>
      <c r="S2558" s="11" t="s">
        <v>13942</v>
      </c>
    </row>
    <row r="2559" ht="22.5" customHeight="1">
      <c r="A2559" s="10">
        <v>46272.852400034724</v>
      </c>
      <c r="B2559" s="11" t="s">
        <v>13943</v>
      </c>
      <c r="C2559" s="11" t="s">
        <v>195</v>
      </c>
      <c r="D2559" s="11" t="s">
        <v>68</v>
      </c>
      <c r="E2559" s="12">
        <v>46277.0</v>
      </c>
      <c r="F2559" s="12">
        <v>46307.0</v>
      </c>
      <c r="G2559" s="11" t="s">
        <v>13944</v>
      </c>
      <c r="H2559" s="11">
        <v>9.527041508E9</v>
      </c>
      <c r="I2559" s="11" t="s">
        <v>70</v>
      </c>
      <c r="J2559" s="11" t="s">
        <v>71</v>
      </c>
      <c r="K2559" s="11" t="s">
        <v>167</v>
      </c>
      <c r="L2559" s="11" t="s">
        <v>357</v>
      </c>
      <c r="M2559" s="11" t="s">
        <v>13945</v>
      </c>
      <c r="N2559" s="11" t="s">
        <v>75</v>
      </c>
      <c r="O2559" s="11" t="s">
        <v>71</v>
      </c>
      <c r="P2559" s="11" t="s">
        <v>13946</v>
      </c>
      <c r="Q2559" s="13" t="s">
        <v>13947</v>
      </c>
      <c r="R2559" s="14" t="str">
        <f>HYPERLINK("https://drive.google.com/file/d/1P9epGFIKM2uEhUJL9AR2X9-onF0k1Qec/view?usp=drivesdk","OFFER LETTER")</f>
        <v>OFFER LETTER</v>
      </c>
      <c r="S2559" s="11" t="s">
        <v>13948</v>
      </c>
    </row>
    <row r="2560" ht="22.5" customHeight="1">
      <c r="A2560" s="10">
        <v>46272.853468761576</v>
      </c>
      <c r="B2560" s="11" t="s">
        <v>13949</v>
      </c>
      <c r="C2560" s="11" t="s">
        <v>173</v>
      </c>
      <c r="D2560" s="11" t="s">
        <v>68</v>
      </c>
      <c r="E2560" s="12">
        <v>46272.0</v>
      </c>
      <c r="F2560" s="12">
        <v>46302.0</v>
      </c>
      <c r="G2560" s="11" t="s">
        <v>13950</v>
      </c>
      <c r="H2560" s="11">
        <v>9.663761192E9</v>
      </c>
      <c r="I2560" s="11" t="s">
        <v>82</v>
      </c>
      <c r="J2560" s="11" t="s">
        <v>71</v>
      </c>
      <c r="K2560" s="11" t="s">
        <v>72</v>
      </c>
      <c r="L2560" s="11" t="s">
        <v>73</v>
      </c>
      <c r="M2560" s="11" t="s">
        <v>13951</v>
      </c>
      <c r="N2560" s="11" t="s">
        <v>75</v>
      </c>
      <c r="O2560" s="11" t="s">
        <v>71</v>
      </c>
      <c r="P2560" s="11" t="s">
        <v>13952</v>
      </c>
      <c r="Q2560" s="13" t="s">
        <v>13953</v>
      </c>
      <c r="R2560" s="14" t="str">
        <f>HYPERLINK("https://drive.google.com/file/d/1SdxNevDkyaCCikLjyx6NfNagMDHwjxBi/view?usp=drivesdk","OFFER LETTER")</f>
        <v>OFFER LETTER</v>
      </c>
      <c r="S2560" s="11" t="s">
        <v>13954</v>
      </c>
    </row>
    <row r="2561" ht="22.5" customHeight="1">
      <c r="A2561" s="10">
        <v>46272.85436943287</v>
      </c>
      <c r="B2561" s="11" t="s">
        <v>13955</v>
      </c>
      <c r="C2561" s="11" t="s">
        <v>195</v>
      </c>
      <c r="D2561" s="11" t="s">
        <v>108</v>
      </c>
      <c r="E2561" s="12">
        <v>46273.0</v>
      </c>
      <c r="F2561" s="12">
        <v>46334.0</v>
      </c>
      <c r="G2561" s="11" t="s">
        <v>13956</v>
      </c>
      <c r="H2561" s="11">
        <v>7.877419167E9</v>
      </c>
      <c r="I2561" s="11" t="s">
        <v>70</v>
      </c>
      <c r="J2561" s="11" t="s">
        <v>71</v>
      </c>
      <c r="K2561" s="11" t="s">
        <v>72</v>
      </c>
      <c r="L2561" s="11" t="s">
        <v>131</v>
      </c>
      <c r="M2561" s="11" t="s">
        <v>13957</v>
      </c>
      <c r="N2561" s="11" t="s">
        <v>241</v>
      </c>
      <c r="O2561" s="11" t="s">
        <v>71</v>
      </c>
      <c r="P2561" s="11" t="s">
        <v>13958</v>
      </c>
      <c r="Q2561" s="13" t="s">
        <v>13959</v>
      </c>
      <c r="R2561" s="14" t="str">
        <f>HYPERLINK("https://drive.google.com/file/d/1wriH3p8FsGOpP2s2unefaIk4m30_trZ9/view?usp=drivesdk","OFFER LETTER")</f>
        <v>OFFER LETTER</v>
      </c>
      <c r="S2561" s="11" t="s">
        <v>13960</v>
      </c>
    </row>
    <row r="2562" ht="22.5" customHeight="1">
      <c r="A2562" s="10">
        <v>46272.85823065972</v>
      </c>
      <c r="B2562" s="11" t="s">
        <v>13961</v>
      </c>
      <c r="C2562" s="11" t="s">
        <v>80</v>
      </c>
      <c r="D2562" s="11" t="s">
        <v>68</v>
      </c>
      <c r="E2562" s="12">
        <v>45536.0</v>
      </c>
      <c r="F2562" s="12">
        <v>45565.0</v>
      </c>
      <c r="G2562" s="11" t="s">
        <v>13962</v>
      </c>
      <c r="H2562" s="11">
        <v>8.690030116E9</v>
      </c>
      <c r="I2562" s="11" t="s">
        <v>82</v>
      </c>
      <c r="J2562" s="11" t="s">
        <v>71</v>
      </c>
      <c r="K2562" s="11" t="s">
        <v>167</v>
      </c>
      <c r="L2562" s="11" t="s">
        <v>247</v>
      </c>
      <c r="M2562" s="11" t="s">
        <v>13963</v>
      </c>
      <c r="N2562" s="11" t="s">
        <v>75</v>
      </c>
      <c r="O2562" s="11" t="s">
        <v>71</v>
      </c>
      <c r="P2562" s="11" t="s">
        <v>13964</v>
      </c>
      <c r="Q2562" s="13" t="s">
        <v>13965</v>
      </c>
      <c r="R2562" s="14" t="str">
        <f>HYPERLINK("https://drive.google.com/file/d/1MZt5feSkGO81WwPWFF7oLdUeF2Q1XKED/view?usp=drivesdk","OFFER LETTER")</f>
        <v>OFFER LETTER</v>
      </c>
      <c r="S2562" s="11" t="s">
        <v>13966</v>
      </c>
    </row>
    <row r="2563" ht="22.5" customHeight="1">
      <c r="A2563" s="10">
        <v>46272.85988375</v>
      </c>
      <c r="B2563" s="11" t="s">
        <v>13967</v>
      </c>
      <c r="C2563" s="11" t="s">
        <v>173</v>
      </c>
      <c r="D2563" s="11" t="s">
        <v>68</v>
      </c>
      <c r="E2563" s="12">
        <v>46272.0</v>
      </c>
      <c r="F2563" s="12">
        <v>46302.0</v>
      </c>
      <c r="G2563" s="11" t="s">
        <v>13968</v>
      </c>
      <c r="H2563" s="11">
        <v>7.651851543E9</v>
      </c>
      <c r="I2563" s="11" t="s">
        <v>82</v>
      </c>
      <c r="J2563" s="11" t="s">
        <v>71</v>
      </c>
      <c r="K2563" s="11" t="s">
        <v>72</v>
      </c>
      <c r="L2563" s="11" t="s">
        <v>73</v>
      </c>
      <c r="M2563" s="11" t="s">
        <v>13969</v>
      </c>
      <c r="N2563" s="11" t="s">
        <v>241</v>
      </c>
      <c r="O2563" s="11" t="s">
        <v>71</v>
      </c>
      <c r="P2563" s="11" t="s">
        <v>13970</v>
      </c>
      <c r="Q2563" s="13" t="s">
        <v>13971</v>
      </c>
      <c r="R2563" s="14" t="str">
        <f>HYPERLINK("https://drive.google.com/file/d/1Nni6RRQZwuXl2_QOsBOFnP0RF4rR1FfH/view?usp=drivesdk","OFFER LETTER")</f>
        <v>OFFER LETTER</v>
      </c>
      <c r="S2563" s="11" t="s">
        <v>13972</v>
      </c>
    </row>
    <row r="2564" ht="22.5" customHeight="1">
      <c r="A2564" s="10">
        <v>46272.86035545139</v>
      </c>
      <c r="B2564" s="11" t="s">
        <v>13973</v>
      </c>
      <c r="C2564" s="11" t="s">
        <v>195</v>
      </c>
      <c r="D2564" s="11" t="s">
        <v>68</v>
      </c>
      <c r="E2564" s="12">
        <v>46272.0</v>
      </c>
      <c r="F2564" s="12">
        <v>46272.0</v>
      </c>
      <c r="G2564" s="11" t="s">
        <v>13974</v>
      </c>
      <c r="H2564" s="11">
        <v>7.607842288E9</v>
      </c>
      <c r="I2564" s="11" t="s">
        <v>70</v>
      </c>
      <c r="J2564" s="11" t="s">
        <v>71</v>
      </c>
      <c r="K2564" s="11" t="s">
        <v>72</v>
      </c>
      <c r="L2564" s="11" t="s">
        <v>73</v>
      </c>
      <c r="M2564" s="11" t="s">
        <v>13975</v>
      </c>
      <c r="N2564" s="11" t="s">
        <v>75</v>
      </c>
      <c r="O2564" s="11" t="s">
        <v>71</v>
      </c>
      <c r="P2564" s="11" t="s">
        <v>13976</v>
      </c>
      <c r="Q2564" s="13" t="s">
        <v>13977</v>
      </c>
      <c r="R2564" s="14" t="str">
        <f>HYPERLINK("https://drive.google.com/file/d/1te9a2WKd5X1vZuHKDwY4MVB8T0s43zyY/view?usp=drivesdk","OFFER LETTER")</f>
        <v>OFFER LETTER</v>
      </c>
      <c r="S2564" s="11" t="s">
        <v>13978</v>
      </c>
    </row>
    <row r="2565" ht="22.5" customHeight="1">
      <c r="A2565" s="10">
        <v>46272.86228621528</v>
      </c>
      <c r="B2565" s="11" t="s">
        <v>13979</v>
      </c>
      <c r="C2565" s="11" t="s">
        <v>195</v>
      </c>
      <c r="D2565" s="11" t="s">
        <v>68</v>
      </c>
      <c r="E2565" s="12">
        <v>46210.0</v>
      </c>
      <c r="F2565" s="12">
        <v>46241.0</v>
      </c>
      <c r="G2565" s="11" t="s">
        <v>13980</v>
      </c>
      <c r="H2565" s="11">
        <v>9.109451923E9</v>
      </c>
      <c r="I2565" s="11" t="s">
        <v>82</v>
      </c>
      <c r="J2565" s="11" t="s">
        <v>71</v>
      </c>
      <c r="K2565" s="11" t="s">
        <v>72</v>
      </c>
      <c r="L2565" s="11" t="s">
        <v>73</v>
      </c>
      <c r="M2565" s="11" t="s">
        <v>10490</v>
      </c>
      <c r="N2565" s="11" t="s">
        <v>86</v>
      </c>
      <c r="O2565" s="11" t="s">
        <v>71</v>
      </c>
      <c r="P2565" s="11" t="s">
        <v>13981</v>
      </c>
      <c r="Q2565" s="13" t="s">
        <v>13982</v>
      </c>
      <c r="R2565" s="14" t="str">
        <f>HYPERLINK("https://drive.google.com/file/d/1sqf55YG7L2JVuDhPQDvtpR3lct9B8ybI/view?usp=drivesdk","OFFER LETTER")</f>
        <v>OFFER LETTER</v>
      </c>
      <c r="S2565" s="11" t="s">
        <v>13983</v>
      </c>
    </row>
    <row r="2566" ht="22.5" customHeight="1">
      <c r="A2566" s="10">
        <v>46272.8646330787</v>
      </c>
      <c r="B2566" s="11" t="s">
        <v>13345</v>
      </c>
      <c r="C2566" s="11" t="s">
        <v>195</v>
      </c>
      <c r="D2566" s="11" t="s">
        <v>68</v>
      </c>
      <c r="E2566" s="12">
        <v>46266.0</v>
      </c>
      <c r="F2566" s="12">
        <v>46295.0</v>
      </c>
      <c r="G2566" s="11" t="s">
        <v>13346</v>
      </c>
      <c r="H2566" s="11">
        <v>9.70973686E9</v>
      </c>
      <c r="I2566" s="11" t="s">
        <v>82</v>
      </c>
      <c r="J2566" s="11" t="s">
        <v>71</v>
      </c>
      <c r="K2566" s="11" t="s">
        <v>72</v>
      </c>
      <c r="L2566" s="11" t="s">
        <v>84</v>
      </c>
      <c r="M2566" s="11" t="s">
        <v>13347</v>
      </c>
      <c r="N2566" s="11" t="s">
        <v>241</v>
      </c>
      <c r="O2566" s="11" t="s">
        <v>71</v>
      </c>
      <c r="P2566" s="11" t="s">
        <v>13984</v>
      </c>
      <c r="Q2566" s="13" t="s">
        <v>13985</v>
      </c>
      <c r="R2566" s="14" t="str">
        <f>HYPERLINK("https://drive.google.com/file/d/18q4YWkvPO5PiXbOgEingnmVZe4-iwVFN/view?usp=drivesdk","OFFER LETTER")</f>
        <v>OFFER LETTER</v>
      </c>
      <c r="S2566" s="11" t="s">
        <v>13986</v>
      </c>
    </row>
    <row r="2567" ht="22.5" customHeight="1">
      <c r="A2567" s="10">
        <v>46272.87020443287</v>
      </c>
      <c r="B2567" s="11" t="s">
        <v>13955</v>
      </c>
      <c r="C2567" s="11" t="s">
        <v>195</v>
      </c>
      <c r="D2567" s="11" t="s">
        <v>108</v>
      </c>
      <c r="E2567" s="12">
        <v>46272.0</v>
      </c>
      <c r="F2567" s="12">
        <v>46334.0</v>
      </c>
      <c r="G2567" s="11" t="s">
        <v>13956</v>
      </c>
      <c r="H2567" s="11">
        <v>7.877419167E9</v>
      </c>
      <c r="I2567" s="11" t="s">
        <v>70</v>
      </c>
      <c r="J2567" s="11" t="s">
        <v>71</v>
      </c>
      <c r="K2567" s="11" t="s">
        <v>72</v>
      </c>
      <c r="L2567" s="11" t="s">
        <v>131</v>
      </c>
      <c r="M2567" s="11" t="s">
        <v>13957</v>
      </c>
      <c r="N2567" s="11" t="s">
        <v>241</v>
      </c>
      <c r="O2567" s="11" t="s">
        <v>71</v>
      </c>
      <c r="P2567" s="11" t="s">
        <v>13987</v>
      </c>
      <c r="Q2567" s="13" t="s">
        <v>13988</v>
      </c>
      <c r="R2567" s="14" t="str">
        <f>HYPERLINK("https://drive.google.com/file/d/1rudh87R2d9XFDC3C3YahcWSKTXvn3PMR/view?usp=drivesdk","OFFER LETTER")</f>
        <v>OFFER LETTER</v>
      </c>
      <c r="S2567" s="11" t="s">
        <v>13989</v>
      </c>
    </row>
    <row r="2568" ht="22.5" customHeight="1">
      <c r="A2568" s="10">
        <v>46272.87144342593</v>
      </c>
      <c r="B2568" s="11" t="s">
        <v>13990</v>
      </c>
      <c r="C2568" s="11" t="s">
        <v>107</v>
      </c>
      <c r="D2568" s="11" t="s">
        <v>108</v>
      </c>
      <c r="E2568" s="12">
        <v>46166.0</v>
      </c>
      <c r="F2568" s="12">
        <v>46226.0</v>
      </c>
      <c r="G2568" s="11" t="s">
        <v>13991</v>
      </c>
      <c r="H2568" s="11">
        <v>6.205558458E9</v>
      </c>
      <c r="I2568" s="11" t="s">
        <v>82</v>
      </c>
      <c r="J2568" s="11" t="s">
        <v>71</v>
      </c>
      <c r="K2568" s="11" t="s">
        <v>72</v>
      </c>
      <c r="L2568" s="11" t="s">
        <v>73</v>
      </c>
      <c r="M2568" s="11" t="s">
        <v>13992</v>
      </c>
      <c r="N2568" s="11" t="s">
        <v>241</v>
      </c>
      <c r="O2568" s="11" t="s">
        <v>71</v>
      </c>
      <c r="P2568" s="11" t="s">
        <v>13993</v>
      </c>
      <c r="Q2568" s="13" t="s">
        <v>13994</v>
      </c>
      <c r="R2568" s="14" t="str">
        <f>HYPERLINK("https://drive.google.com/file/d/1YlQBT5wuPPXRALWG9H0kjaIds1kbMAA7/view?usp=drivesdk","OFFER LETTER")</f>
        <v>OFFER LETTER</v>
      </c>
      <c r="S2568" s="11" t="s">
        <v>13995</v>
      </c>
    </row>
    <row r="2569" ht="22.5" customHeight="1">
      <c r="A2569" s="10">
        <v>46272.87489601852</v>
      </c>
      <c r="B2569" s="11" t="s">
        <v>13996</v>
      </c>
      <c r="C2569" s="11" t="s">
        <v>237</v>
      </c>
      <c r="D2569" s="11" t="s">
        <v>68</v>
      </c>
      <c r="E2569" s="12">
        <v>46204.0</v>
      </c>
      <c r="F2569" s="12">
        <v>46235.0</v>
      </c>
      <c r="G2569" s="11" t="s">
        <v>13997</v>
      </c>
      <c r="H2569" s="11">
        <v>8.249979468E9</v>
      </c>
      <c r="I2569" s="11" t="s">
        <v>82</v>
      </c>
      <c r="J2569" s="11" t="s">
        <v>71</v>
      </c>
      <c r="K2569" s="11" t="s">
        <v>72</v>
      </c>
      <c r="L2569" s="11" t="s">
        <v>73</v>
      </c>
      <c r="M2569" s="11" t="s">
        <v>13998</v>
      </c>
      <c r="N2569" s="11" t="s">
        <v>155</v>
      </c>
      <c r="O2569" s="11" t="s">
        <v>71</v>
      </c>
      <c r="P2569" s="11" t="s">
        <v>13999</v>
      </c>
      <c r="Q2569" s="13" t="s">
        <v>14000</v>
      </c>
      <c r="R2569" s="14" t="str">
        <f>HYPERLINK("https://drive.google.com/file/d/1c_J5BOOL-nz5nohEdHjE_YAq-YYKrk2C/view?usp=drivesdk","OFFER LETTER")</f>
        <v>OFFER LETTER</v>
      </c>
      <c r="S2569" s="11" t="s">
        <v>14001</v>
      </c>
    </row>
    <row r="2570" ht="22.5" customHeight="1">
      <c r="A2570" s="10">
        <v>46272.883995254626</v>
      </c>
      <c r="B2570" s="11" t="s">
        <v>5255</v>
      </c>
      <c r="C2570" s="11" t="s">
        <v>67</v>
      </c>
      <c r="D2570" s="11" t="s">
        <v>68</v>
      </c>
      <c r="E2570" s="12">
        <v>46241.0</v>
      </c>
      <c r="F2570" s="12">
        <v>46272.0</v>
      </c>
      <c r="G2570" s="11" t="s">
        <v>1216</v>
      </c>
      <c r="H2570" s="11">
        <v>9.630070066E9</v>
      </c>
      <c r="I2570" s="11" t="s">
        <v>82</v>
      </c>
      <c r="J2570" s="11" t="s">
        <v>71</v>
      </c>
      <c r="K2570" s="11" t="s">
        <v>72</v>
      </c>
      <c r="L2570" s="11" t="s">
        <v>84</v>
      </c>
      <c r="M2570" s="11" t="s">
        <v>886</v>
      </c>
      <c r="N2570" s="11" t="s">
        <v>155</v>
      </c>
      <c r="O2570" s="11" t="s">
        <v>71</v>
      </c>
      <c r="P2570" s="11" t="s">
        <v>14002</v>
      </c>
      <c r="Q2570" s="13" t="s">
        <v>14003</v>
      </c>
      <c r="R2570" s="14" t="str">
        <f>HYPERLINK("https://drive.google.com/file/d/1uDVgLg3v97beKsc21HHaXSpxu9fL-5XQ/view?usp=drivesdk","OFFER LETTER")</f>
        <v>OFFER LETTER</v>
      </c>
      <c r="S2570" s="11" t="s">
        <v>14004</v>
      </c>
    </row>
    <row r="2571" ht="22.5" customHeight="1">
      <c r="A2571" s="10">
        <v>46272.88810415509</v>
      </c>
      <c r="B2571" s="11" t="s">
        <v>14005</v>
      </c>
      <c r="C2571" s="11" t="s">
        <v>91</v>
      </c>
      <c r="D2571" s="11" t="s">
        <v>929</v>
      </c>
      <c r="E2571" s="12">
        <v>46266.0</v>
      </c>
      <c r="F2571" s="12">
        <v>46446.0</v>
      </c>
      <c r="G2571" s="11" t="s">
        <v>14006</v>
      </c>
      <c r="H2571" s="11">
        <v>9.131089318E9</v>
      </c>
      <c r="I2571" s="11" t="s">
        <v>82</v>
      </c>
      <c r="J2571" s="11" t="s">
        <v>71</v>
      </c>
      <c r="K2571" s="11" t="s">
        <v>72</v>
      </c>
      <c r="L2571" s="11" t="s">
        <v>131</v>
      </c>
      <c r="M2571" s="11" t="s">
        <v>14007</v>
      </c>
      <c r="N2571" s="11" t="s">
        <v>155</v>
      </c>
      <c r="O2571" s="11" t="s">
        <v>71</v>
      </c>
      <c r="P2571" s="11" t="s">
        <v>14008</v>
      </c>
      <c r="Q2571" s="13" t="s">
        <v>14009</v>
      </c>
      <c r="R2571" s="14" t="str">
        <f>HYPERLINK("https://drive.google.com/file/d/1xZgew0ZhNyqEJlhvh22qM6qvwOSKWctW/view?usp=drivesdk","OFFER LETTER")</f>
        <v>OFFER LETTER</v>
      </c>
      <c r="S2571" s="11" t="s">
        <v>14010</v>
      </c>
    </row>
    <row r="2572" ht="22.5" customHeight="1">
      <c r="A2572" s="10">
        <v>46272.88953194444</v>
      </c>
      <c r="B2572" s="11" t="s">
        <v>14011</v>
      </c>
      <c r="C2572" s="11" t="s">
        <v>128</v>
      </c>
      <c r="D2572" s="11" t="s">
        <v>68</v>
      </c>
      <c r="E2572" s="12">
        <v>46279.0</v>
      </c>
      <c r="F2572" s="12">
        <v>46309.0</v>
      </c>
      <c r="G2572" s="11" t="s">
        <v>14012</v>
      </c>
      <c r="H2572" s="11">
        <v>9.948556605E9</v>
      </c>
      <c r="I2572" s="11" t="s">
        <v>70</v>
      </c>
      <c r="J2572" s="11" t="s">
        <v>71</v>
      </c>
      <c r="K2572" s="11" t="s">
        <v>72</v>
      </c>
      <c r="L2572" s="11" t="s">
        <v>73</v>
      </c>
      <c r="M2572" s="11" t="s">
        <v>14013</v>
      </c>
      <c r="N2572" s="11" t="s">
        <v>241</v>
      </c>
      <c r="O2572" s="11" t="s">
        <v>71</v>
      </c>
      <c r="P2572" s="11" t="s">
        <v>14014</v>
      </c>
      <c r="Q2572" s="13" t="s">
        <v>14015</v>
      </c>
      <c r="R2572" s="14" t="str">
        <f>HYPERLINK("https://drive.google.com/file/d/1anLKulS4TLjIIBMR-qmRK1uW-KTHb_5B/view?usp=drivesdk","OFFER LETTER")</f>
        <v>OFFER LETTER</v>
      </c>
      <c r="S2572" s="11" t="s">
        <v>14016</v>
      </c>
    </row>
    <row r="2573" ht="22.5" customHeight="1">
      <c r="A2573" s="10">
        <v>46272.890728715276</v>
      </c>
      <c r="B2573" s="11" t="s">
        <v>14017</v>
      </c>
      <c r="C2573" s="11" t="s">
        <v>91</v>
      </c>
      <c r="D2573" s="11" t="s">
        <v>68</v>
      </c>
      <c r="E2573" s="12">
        <v>46272.0</v>
      </c>
      <c r="F2573" s="12">
        <v>46302.0</v>
      </c>
      <c r="G2573" s="11" t="s">
        <v>14018</v>
      </c>
      <c r="H2573" s="11">
        <v>8.296986949E9</v>
      </c>
      <c r="I2573" s="11" t="s">
        <v>70</v>
      </c>
      <c r="J2573" s="11" t="s">
        <v>71</v>
      </c>
      <c r="K2573" s="11" t="s">
        <v>72</v>
      </c>
      <c r="L2573" s="11" t="s">
        <v>131</v>
      </c>
      <c r="M2573" s="11" t="s">
        <v>14019</v>
      </c>
      <c r="N2573" s="11" t="s">
        <v>198</v>
      </c>
      <c r="O2573" s="11" t="s">
        <v>71</v>
      </c>
      <c r="P2573" s="11" t="s">
        <v>14020</v>
      </c>
      <c r="Q2573" s="13" t="s">
        <v>14021</v>
      </c>
      <c r="R2573" s="14" t="str">
        <f>HYPERLINK("https://drive.google.com/file/d/1uquulGY3Ope9E5z8k4vFgDdzszR12Te2/view?usp=drivesdk","OFFER LETTER")</f>
        <v>OFFER LETTER</v>
      </c>
      <c r="S2573" s="11" t="s">
        <v>14022</v>
      </c>
    </row>
    <row r="2574" ht="22.5" customHeight="1">
      <c r="A2574" s="10">
        <v>46272.898346435184</v>
      </c>
      <c r="B2574" s="11" t="s">
        <v>12732</v>
      </c>
      <c r="C2574" s="11" t="s">
        <v>67</v>
      </c>
      <c r="D2574" s="11" t="s">
        <v>108</v>
      </c>
      <c r="E2574" s="12">
        <v>46166.0</v>
      </c>
      <c r="F2574" s="12">
        <v>46225.0</v>
      </c>
      <c r="G2574" s="11" t="s">
        <v>14023</v>
      </c>
      <c r="H2574" s="11">
        <v>8.86303026E9</v>
      </c>
      <c r="I2574" s="11" t="s">
        <v>82</v>
      </c>
      <c r="J2574" s="11" t="s">
        <v>71</v>
      </c>
      <c r="K2574" s="11" t="s">
        <v>72</v>
      </c>
      <c r="L2574" s="11" t="s">
        <v>73</v>
      </c>
      <c r="M2574" s="11" t="s">
        <v>12344</v>
      </c>
      <c r="N2574" s="11" t="s">
        <v>198</v>
      </c>
      <c r="O2574" s="11" t="s">
        <v>71</v>
      </c>
      <c r="P2574" s="11" t="s">
        <v>14024</v>
      </c>
      <c r="Q2574" s="13" t="s">
        <v>14025</v>
      </c>
      <c r="R2574" s="14" t="str">
        <f>HYPERLINK("https://drive.google.com/file/d/1yEcT9OdHOTog4-qQ-BJQknoW8P_412V7/view?usp=drivesdk","OFFER LETTER")</f>
        <v>OFFER LETTER</v>
      </c>
      <c r="S2574" s="11" t="s">
        <v>14026</v>
      </c>
    </row>
    <row r="2575" ht="22.5" customHeight="1">
      <c r="A2575" s="10">
        <v>46272.90530532408</v>
      </c>
      <c r="B2575" s="11" t="s">
        <v>14027</v>
      </c>
      <c r="C2575" s="11" t="s">
        <v>173</v>
      </c>
      <c r="D2575" s="11" t="s">
        <v>68</v>
      </c>
      <c r="E2575" s="12">
        <v>46272.0</v>
      </c>
      <c r="F2575" s="12">
        <v>46302.0</v>
      </c>
      <c r="G2575" s="11" t="s">
        <v>14028</v>
      </c>
      <c r="H2575" s="11">
        <v>8.80845114E9</v>
      </c>
      <c r="I2575" s="11" t="s">
        <v>82</v>
      </c>
      <c r="J2575" s="11" t="s">
        <v>71</v>
      </c>
      <c r="K2575" s="11" t="s">
        <v>72</v>
      </c>
      <c r="L2575" s="11" t="s">
        <v>84</v>
      </c>
      <c r="M2575" s="11" t="s">
        <v>14029</v>
      </c>
      <c r="N2575" s="11" t="s">
        <v>86</v>
      </c>
      <c r="O2575" s="11" t="s">
        <v>71</v>
      </c>
      <c r="P2575" s="11" t="s">
        <v>14030</v>
      </c>
      <c r="Q2575" s="13" t="s">
        <v>14031</v>
      </c>
      <c r="R2575" s="14" t="str">
        <f>HYPERLINK("https://drive.google.com/file/d/17y0M3yGVDvrQ_3keCVI-wA5YaIcA7BFp/view?usp=drivesdk","OFFER LETTER")</f>
        <v>OFFER LETTER</v>
      </c>
      <c r="S2575" s="11" t="s">
        <v>14032</v>
      </c>
    </row>
    <row r="2576" ht="22.5" customHeight="1">
      <c r="A2576" s="10">
        <v>46272.906182569444</v>
      </c>
      <c r="B2576" s="11" t="s">
        <v>14033</v>
      </c>
      <c r="C2576" s="11" t="s">
        <v>67</v>
      </c>
      <c r="D2576" s="11" t="s">
        <v>68</v>
      </c>
      <c r="E2576" s="12">
        <v>46241.0</v>
      </c>
      <c r="F2576" s="12">
        <v>46272.0</v>
      </c>
      <c r="G2576" s="11" t="s">
        <v>1216</v>
      </c>
      <c r="H2576" s="11">
        <v>9.630070066E9</v>
      </c>
      <c r="I2576" s="11" t="s">
        <v>82</v>
      </c>
      <c r="J2576" s="11" t="s">
        <v>71</v>
      </c>
      <c r="K2576" s="11" t="s">
        <v>72</v>
      </c>
      <c r="L2576" s="11" t="s">
        <v>84</v>
      </c>
      <c r="M2576" s="11" t="s">
        <v>886</v>
      </c>
      <c r="N2576" s="11" t="s">
        <v>75</v>
      </c>
      <c r="O2576" s="11" t="s">
        <v>71</v>
      </c>
      <c r="P2576" s="11" t="s">
        <v>14034</v>
      </c>
      <c r="Q2576" s="13" t="s">
        <v>14035</v>
      </c>
      <c r="R2576" s="14" t="str">
        <f>HYPERLINK("https://drive.google.com/file/d/18QrZXjMFWGTkPOkQ8BpXkMoiMXX-mZUV/view?usp=drivesdk","OFFER LETTER")</f>
        <v>OFFER LETTER</v>
      </c>
      <c r="S2576" s="11" t="s">
        <v>14036</v>
      </c>
    </row>
    <row r="2577" ht="22.5" customHeight="1">
      <c r="A2577" s="10">
        <v>46272.90739065972</v>
      </c>
      <c r="B2577" s="11" t="s">
        <v>12649</v>
      </c>
      <c r="C2577" s="11" t="s">
        <v>67</v>
      </c>
      <c r="D2577" s="11" t="s">
        <v>108</v>
      </c>
      <c r="E2577" s="12">
        <v>46166.0</v>
      </c>
      <c r="F2577" s="12">
        <v>46225.0</v>
      </c>
      <c r="G2577" s="11" t="s">
        <v>14037</v>
      </c>
      <c r="H2577" s="11">
        <v>7.488397007E9</v>
      </c>
      <c r="I2577" s="11" t="s">
        <v>82</v>
      </c>
      <c r="J2577" s="11" t="s">
        <v>71</v>
      </c>
      <c r="K2577" s="11" t="s">
        <v>72</v>
      </c>
      <c r="L2577" s="11" t="s">
        <v>73</v>
      </c>
      <c r="M2577" s="11" t="s">
        <v>12344</v>
      </c>
      <c r="N2577" s="11" t="s">
        <v>198</v>
      </c>
      <c r="O2577" s="11" t="s">
        <v>71</v>
      </c>
      <c r="P2577" s="11" t="s">
        <v>14038</v>
      </c>
      <c r="Q2577" s="13" t="s">
        <v>14039</v>
      </c>
      <c r="R2577" s="14" t="str">
        <f>HYPERLINK("https://drive.google.com/file/d/1ttiyMPZkxVo4Uq70dJlLBdAFT4CEkqVa/view?usp=drivesdk","OFFER LETTER")</f>
        <v>OFFER LETTER</v>
      </c>
      <c r="S2577" s="11" t="s">
        <v>14040</v>
      </c>
    </row>
    <row r="2578" ht="22.5" customHeight="1">
      <c r="A2578" s="10">
        <v>46272.90918349537</v>
      </c>
      <c r="B2578" s="11" t="s">
        <v>969</v>
      </c>
      <c r="C2578" s="11" t="s">
        <v>173</v>
      </c>
      <c r="D2578" s="11" t="s">
        <v>108</v>
      </c>
      <c r="E2578" s="12">
        <v>46157.0</v>
      </c>
      <c r="F2578" s="12">
        <v>46210.0</v>
      </c>
      <c r="G2578" s="11" t="s">
        <v>14041</v>
      </c>
      <c r="H2578" s="11">
        <v>8.825125593E9</v>
      </c>
      <c r="I2578" s="11" t="s">
        <v>82</v>
      </c>
      <c r="J2578" s="11" t="s">
        <v>71</v>
      </c>
      <c r="K2578" s="11" t="s">
        <v>72</v>
      </c>
      <c r="L2578" s="11" t="s">
        <v>131</v>
      </c>
      <c r="M2578" s="11" t="s">
        <v>14042</v>
      </c>
      <c r="N2578" s="11" t="s">
        <v>198</v>
      </c>
      <c r="O2578" s="11" t="s">
        <v>71</v>
      </c>
      <c r="P2578" s="11" t="s">
        <v>14043</v>
      </c>
      <c r="Q2578" s="13" t="s">
        <v>14044</v>
      </c>
      <c r="R2578" s="14" t="str">
        <f>HYPERLINK("https://drive.google.com/file/d/1ZkR5eiW1RaBiGXD4dBvXfHyJb3yzd96o/view?usp=drivesdk","OFFER LETTER")</f>
        <v>OFFER LETTER</v>
      </c>
      <c r="S2578" s="11" t="s">
        <v>14045</v>
      </c>
    </row>
    <row r="2579" ht="22.5" customHeight="1">
      <c r="A2579" s="10">
        <v>46272.91093405093</v>
      </c>
      <c r="B2579" s="11" t="s">
        <v>14046</v>
      </c>
      <c r="C2579" s="11" t="s">
        <v>107</v>
      </c>
      <c r="D2579" s="11" t="s">
        <v>68</v>
      </c>
      <c r="E2579" s="12">
        <v>46235.0</v>
      </c>
      <c r="F2579" s="12">
        <v>46266.0</v>
      </c>
      <c r="G2579" s="11" t="s">
        <v>14047</v>
      </c>
      <c r="H2579" s="11">
        <v>9.798570114E9</v>
      </c>
      <c r="I2579" s="11" t="s">
        <v>82</v>
      </c>
      <c r="J2579" s="11" t="s">
        <v>71</v>
      </c>
      <c r="K2579" s="11" t="s">
        <v>72</v>
      </c>
      <c r="L2579" s="11" t="s">
        <v>73</v>
      </c>
      <c r="M2579" s="11" t="s">
        <v>10973</v>
      </c>
      <c r="N2579" s="11" t="s">
        <v>86</v>
      </c>
      <c r="O2579" s="11" t="s">
        <v>71</v>
      </c>
      <c r="P2579" s="11" t="s">
        <v>14048</v>
      </c>
      <c r="Q2579" s="13" t="s">
        <v>14049</v>
      </c>
      <c r="R2579" s="14" t="str">
        <f>HYPERLINK("https://drive.google.com/file/d/1yCy4YGzbRB1-bOHy8m_dMN1V0toaWZ94/view?usp=drivesdk","OFFER LETTER")</f>
        <v>OFFER LETTER</v>
      </c>
      <c r="S2579" s="11" t="s">
        <v>14050</v>
      </c>
    </row>
    <row r="2580" ht="22.5" customHeight="1">
      <c r="A2580" s="10">
        <v>46272.912191446754</v>
      </c>
      <c r="B2580" s="11" t="s">
        <v>14051</v>
      </c>
      <c r="C2580" s="11" t="s">
        <v>67</v>
      </c>
      <c r="D2580" s="11" t="s">
        <v>108</v>
      </c>
      <c r="E2580" s="12">
        <v>46166.0</v>
      </c>
      <c r="F2580" s="12">
        <v>46225.0</v>
      </c>
      <c r="G2580" s="11" t="s">
        <v>14052</v>
      </c>
      <c r="H2580" s="11">
        <v>8.709097279E9</v>
      </c>
      <c r="I2580" s="11" t="s">
        <v>82</v>
      </c>
      <c r="J2580" s="11" t="s">
        <v>71</v>
      </c>
      <c r="K2580" s="11" t="s">
        <v>72</v>
      </c>
      <c r="L2580" s="11" t="s">
        <v>73</v>
      </c>
      <c r="M2580" s="11" t="s">
        <v>12344</v>
      </c>
      <c r="N2580" s="11" t="s">
        <v>198</v>
      </c>
      <c r="O2580" s="11" t="s">
        <v>71</v>
      </c>
      <c r="P2580" s="11" t="s">
        <v>14053</v>
      </c>
      <c r="Q2580" s="13" t="s">
        <v>14054</v>
      </c>
      <c r="R2580" s="14" t="str">
        <f>HYPERLINK("https://drive.google.com/file/d/1CT2D0JmbMsknNC1wo-LP7eyVbEDUNyn4/view?usp=drivesdk","OFFER LETTER")</f>
        <v>OFFER LETTER</v>
      </c>
      <c r="S2580" s="11" t="s">
        <v>14055</v>
      </c>
    </row>
    <row r="2581" ht="22.5" customHeight="1">
      <c r="A2581" s="10">
        <v>46272.91245618055</v>
      </c>
      <c r="B2581" s="11" t="s">
        <v>14056</v>
      </c>
      <c r="C2581" s="11" t="s">
        <v>298</v>
      </c>
      <c r="D2581" s="11" t="s">
        <v>68</v>
      </c>
      <c r="E2581" s="12">
        <v>46272.0</v>
      </c>
      <c r="F2581" s="12">
        <v>46274.0</v>
      </c>
      <c r="G2581" s="11" t="s">
        <v>14057</v>
      </c>
      <c r="H2581" s="11">
        <v>9.153748073E9</v>
      </c>
      <c r="I2581" s="11" t="s">
        <v>82</v>
      </c>
      <c r="J2581" s="11" t="s">
        <v>71</v>
      </c>
      <c r="K2581" s="11" t="s">
        <v>72</v>
      </c>
      <c r="L2581" s="11" t="s">
        <v>84</v>
      </c>
      <c r="M2581" s="11" t="s">
        <v>5124</v>
      </c>
      <c r="N2581" s="11" t="s">
        <v>75</v>
      </c>
      <c r="O2581" s="11" t="s">
        <v>71</v>
      </c>
      <c r="P2581" s="11" t="s">
        <v>14058</v>
      </c>
      <c r="Q2581" s="13" t="s">
        <v>14059</v>
      </c>
      <c r="R2581" s="14" t="str">
        <f>HYPERLINK("https://drive.google.com/file/d/1qBzC3MjH1-BmrwVTEAwNk7sdRt8qze3O/view?usp=drivesdk","OFFER LETTER")</f>
        <v>OFFER LETTER</v>
      </c>
      <c r="S2581" s="11" t="s">
        <v>14060</v>
      </c>
    </row>
    <row r="2582" ht="22.5" customHeight="1">
      <c r="A2582" s="10">
        <v>46272.91468596065</v>
      </c>
      <c r="B2582" s="11" t="s">
        <v>14061</v>
      </c>
      <c r="C2582" s="11" t="s">
        <v>195</v>
      </c>
      <c r="D2582" s="11" t="s">
        <v>68</v>
      </c>
      <c r="E2582" s="12">
        <v>46174.0</v>
      </c>
      <c r="F2582" s="12">
        <v>46204.0</v>
      </c>
      <c r="G2582" s="11" t="s">
        <v>14062</v>
      </c>
      <c r="H2582" s="11">
        <v>8.920317144E9</v>
      </c>
      <c r="I2582" s="11" t="s">
        <v>82</v>
      </c>
      <c r="J2582" s="11" t="s">
        <v>71</v>
      </c>
      <c r="K2582" s="11" t="s">
        <v>72</v>
      </c>
      <c r="L2582" s="11" t="s">
        <v>84</v>
      </c>
      <c r="M2582" s="11" t="s">
        <v>560</v>
      </c>
      <c r="N2582" s="11" t="s">
        <v>86</v>
      </c>
      <c r="O2582" s="11" t="s">
        <v>71</v>
      </c>
      <c r="P2582" s="11" t="s">
        <v>14063</v>
      </c>
      <c r="Q2582" s="13" t="s">
        <v>14064</v>
      </c>
      <c r="R2582" s="14" t="str">
        <f>HYPERLINK("https://drive.google.com/file/d/1e_EsE8NvwAVgmravWU0l7DmN18XmqVx0/view?usp=drivesdk","OFFER LETTER")</f>
        <v>OFFER LETTER</v>
      </c>
      <c r="S2582" s="11" t="s">
        <v>14065</v>
      </c>
    </row>
    <row r="2583" ht="22.5" customHeight="1">
      <c r="A2583" s="10">
        <v>46272.91619590278</v>
      </c>
      <c r="B2583" s="11" t="s">
        <v>14066</v>
      </c>
      <c r="C2583" s="11" t="s">
        <v>417</v>
      </c>
      <c r="D2583" s="11" t="s">
        <v>68</v>
      </c>
      <c r="E2583" s="12">
        <v>46174.0</v>
      </c>
      <c r="F2583" s="12">
        <v>46204.0</v>
      </c>
      <c r="G2583" s="11" t="s">
        <v>14067</v>
      </c>
      <c r="H2583" s="11">
        <v>7.010144191E9</v>
      </c>
      <c r="I2583" s="11" t="s">
        <v>82</v>
      </c>
      <c r="J2583" s="11" t="s">
        <v>71</v>
      </c>
      <c r="K2583" s="11" t="s">
        <v>72</v>
      </c>
      <c r="L2583" s="11" t="s">
        <v>73</v>
      </c>
      <c r="M2583" s="11" t="s">
        <v>6592</v>
      </c>
      <c r="N2583" s="11" t="s">
        <v>86</v>
      </c>
      <c r="O2583" s="11" t="s">
        <v>71</v>
      </c>
      <c r="P2583" s="11" t="s">
        <v>14068</v>
      </c>
      <c r="Q2583" s="13" t="s">
        <v>14069</v>
      </c>
      <c r="R2583" s="14" t="str">
        <f>HYPERLINK("https://drive.google.com/file/d/1_eKWBU1avuaY57bGWTe5yJnGuUQBTfBU/view?usp=drivesdk","OFFER LETTER")</f>
        <v>OFFER LETTER</v>
      </c>
      <c r="S2583" s="11" t="s">
        <v>14070</v>
      </c>
    </row>
    <row r="2584" ht="22.5" customHeight="1">
      <c r="A2584" s="10">
        <v>46272.91679405092</v>
      </c>
      <c r="B2584" s="11" t="s">
        <v>14071</v>
      </c>
      <c r="C2584" s="11" t="s">
        <v>195</v>
      </c>
      <c r="D2584" s="11" t="s">
        <v>108</v>
      </c>
      <c r="E2584" s="12">
        <v>46272.0</v>
      </c>
      <c r="F2584" s="12">
        <v>46333.0</v>
      </c>
      <c r="G2584" s="11" t="s">
        <v>14072</v>
      </c>
      <c r="H2584" s="11">
        <v>6.301072971E9</v>
      </c>
      <c r="I2584" s="11" t="s">
        <v>82</v>
      </c>
      <c r="J2584" s="11" t="s">
        <v>71</v>
      </c>
      <c r="K2584" s="11" t="s">
        <v>72</v>
      </c>
      <c r="L2584" s="11" t="s">
        <v>357</v>
      </c>
      <c r="M2584" s="11" t="s">
        <v>14073</v>
      </c>
      <c r="N2584" s="11" t="s">
        <v>219</v>
      </c>
      <c r="O2584" s="11" t="s">
        <v>71</v>
      </c>
      <c r="P2584" s="11" t="s">
        <v>14074</v>
      </c>
      <c r="Q2584" s="13" t="s">
        <v>14075</v>
      </c>
      <c r="R2584" s="14" t="str">
        <f>HYPERLINK("https://drive.google.com/file/d/1I9F4NaeVuZP7I7BfSBNt13H6hwA7Ydy1/view?usp=drivesdk","OFFER LETTER")</f>
        <v>OFFER LETTER</v>
      </c>
      <c r="S2584" s="11" t="s">
        <v>14076</v>
      </c>
    </row>
    <row r="2585" ht="22.5" customHeight="1">
      <c r="A2585" s="10">
        <v>46272.922306875</v>
      </c>
      <c r="B2585" s="11" t="s">
        <v>14077</v>
      </c>
      <c r="C2585" s="11" t="s">
        <v>173</v>
      </c>
      <c r="D2585" s="11" t="s">
        <v>68</v>
      </c>
      <c r="E2585" s="12">
        <v>46233.0</v>
      </c>
      <c r="F2585" s="12">
        <v>46295.0</v>
      </c>
      <c r="G2585" s="11" t="s">
        <v>14078</v>
      </c>
      <c r="H2585" s="11">
        <v>7.209036954E9</v>
      </c>
      <c r="I2585" s="11" t="s">
        <v>82</v>
      </c>
      <c r="J2585" s="11" t="s">
        <v>130</v>
      </c>
      <c r="K2585" s="11" t="s">
        <v>72</v>
      </c>
      <c r="L2585" s="11" t="s">
        <v>84</v>
      </c>
      <c r="M2585" s="11" t="s">
        <v>14079</v>
      </c>
      <c r="N2585" s="11" t="s">
        <v>86</v>
      </c>
      <c r="O2585" s="11" t="s">
        <v>71</v>
      </c>
      <c r="P2585" s="11" t="s">
        <v>14080</v>
      </c>
      <c r="Q2585" s="13" t="s">
        <v>14081</v>
      </c>
      <c r="R2585" s="14" t="str">
        <f>HYPERLINK("https://drive.google.com/file/d/1n5qYmrc9K0kPrH-dFr2G7EyjQys251ak/view?usp=drivesdk","OFFER LETTER")</f>
        <v>OFFER LETTER</v>
      </c>
      <c r="S2585" s="11" t="s">
        <v>14082</v>
      </c>
    </row>
    <row r="2586" ht="22.5" customHeight="1">
      <c r="A2586" s="10">
        <v>46272.92338262731</v>
      </c>
      <c r="B2586" s="11" t="s">
        <v>14083</v>
      </c>
      <c r="C2586" s="11" t="s">
        <v>173</v>
      </c>
      <c r="D2586" s="11" t="s">
        <v>8221</v>
      </c>
      <c r="E2586" s="12">
        <v>46174.0</v>
      </c>
      <c r="F2586" s="12">
        <v>46218.0</v>
      </c>
      <c r="G2586" s="11" t="s">
        <v>14084</v>
      </c>
      <c r="H2586" s="11">
        <v>7.702710247E9</v>
      </c>
      <c r="I2586" s="11" t="s">
        <v>82</v>
      </c>
      <c r="J2586" s="11" t="s">
        <v>71</v>
      </c>
      <c r="K2586" s="11" t="s">
        <v>356</v>
      </c>
      <c r="L2586" s="11" t="s">
        <v>84</v>
      </c>
      <c r="M2586" s="11" t="s">
        <v>14085</v>
      </c>
      <c r="N2586" s="11" t="s">
        <v>307</v>
      </c>
      <c r="O2586" s="11" t="s">
        <v>71</v>
      </c>
      <c r="P2586" s="11" t="s">
        <v>14086</v>
      </c>
      <c r="Q2586" s="13" t="s">
        <v>14087</v>
      </c>
      <c r="R2586" s="14" t="str">
        <f>HYPERLINK("https://drive.google.com/file/d/1hL-WSWqbljGBrAZZM2omXV8g789m1c2Q/view?usp=drivesdk","OFFER LETTER")</f>
        <v>OFFER LETTER</v>
      </c>
      <c r="S2586" s="11" t="s">
        <v>14088</v>
      </c>
    </row>
    <row r="2587" ht="22.5" customHeight="1">
      <c r="A2587" s="10">
        <v>46272.925594444445</v>
      </c>
      <c r="B2587" s="11" t="s">
        <v>14089</v>
      </c>
      <c r="C2587" s="11" t="s">
        <v>259</v>
      </c>
      <c r="D2587" s="11" t="s">
        <v>68</v>
      </c>
      <c r="E2587" s="12">
        <v>46272.0</v>
      </c>
      <c r="F2587" s="12">
        <v>46302.0</v>
      </c>
      <c r="G2587" s="11" t="s">
        <v>14090</v>
      </c>
      <c r="H2587" s="11">
        <v>7.676513301E9</v>
      </c>
      <c r="I2587" s="11" t="s">
        <v>70</v>
      </c>
      <c r="J2587" s="11" t="s">
        <v>71</v>
      </c>
      <c r="K2587" s="11" t="s">
        <v>72</v>
      </c>
      <c r="L2587" s="11" t="s">
        <v>247</v>
      </c>
      <c r="M2587" s="11" t="s">
        <v>14091</v>
      </c>
      <c r="N2587" s="11" t="s">
        <v>75</v>
      </c>
      <c r="O2587" s="11" t="s">
        <v>71</v>
      </c>
      <c r="P2587" s="11" t="s">
        <v>14092</v>
      </c>
      <c r="Q2587" s="13" t="s">
        <v>14093</v>
      </c>
      <c r="R2587" s="14" t="str">
        <f>HYPERLINK("https://drive.google.com/file/d/1hsjvhLlp-eoR15x7QwzJs4v9xNIRnpvx/view?usp=drivesdk","OFFER LETTER")</f>
        <v>OFFER LETTER</v>
      </c>
      <c r="S2587" s="11" t="s">
        <v>14094</v>
      </c>
    </row>
    <row r="2588" ht="22.5" customHeight="1">
      <c r="A2588" s="10">
        <v>46272.928166446756</v>
      </c>
      <c r="B2588" s="11" t="s">
        <v>14056</v>
      </c>
      <c r="C2588" s="11" t="s">
        <v>298</v>
      </c>
      <c r="D2588" s="11" t="s">
        <v>68</v>
      </c>
      <c r="E2588" s="12">
        <v>46241.0</v>
      </c>
      <c r="F2588" s="12">
        <v>46272.0</v>
      </c>
      <c r="G2588" s="11" t="s">
        <v>14057</v>
      </c>
      <c r="H2588" s="11">
        <v>9.153748073E9</v>
      </c>
      <c r="I2588" s="11" t="s">
        <v>82</v>
      </c>
      <c r="J2588" s="11" t="s">
        <v>71</v>
      </c>
      <c r="K2588" s="11" t="s">
        <v>72</v>
      </c>
      <c r="L2588" s="11" t="s">
        <v>84</v>
      </c>
      <c r="M2588" s="11" t="s">
        <v>5124</v>
      </c>
      <c r="N2588" s="11" t="s">
        <v>75</v>
      </c>
      <c r="O2588" s="11" t="s">
        <v>71</v>
      </c>
      <c r="P2588" s="11" t="s">
        <v>14095</v>
      </c>
      <c r="Q2588" s="13" t="s">
        <v>14096</v>
      </c>
      <c r="R2588" s="14" t="str">
        <f>HYPERLINK("https://drive.google.com/file/d/1vTA9d1RuR0hYK2lt6UuHxcxleedtlp8n/view?usp=drivesdk","OFFER LETTER")</f>
        <v>OFFER LETTER</v>
      </c>
      <c r="S2588" s="11" t="s">
        <v>14097</v>
      </c>
    </row>
    <row r="2589" ht="22.5" customHeight="1">
      <c r="A2589" s="10">
        <v>46272.92850001158</v>
      </c>
      <c r="B2589" s="11" t="s">
        <v>14098</v>
      </c>
      <c r="C2589" s="11" t="s">
        <v>195</v>
      </c>
      <c r="D2589" s="11" t="s">
        <v>68</v>
      </c>
      <c r="E2589" s="12">
        <v>46241.0</v>
      </c>
      <c r="F2589" s="12">
        <v>46272.0</v>
      </c>
      <c r="G2589" s="11" t="s">
        <v>14099</v>
      </c>
      <c r="H2589" s="11">
        <v>9.699147803E9</v>
      </c>
      <c r="I2589" s="11" t="s">
        <v>70</v>
      </c>
      <c r="J2589" s="11" t="s">
        <v>71</v>
      </c>
      <c r="K2589" s="11" t="s">
        <v>72</v>
      </c>
      <c r="L2589" s="11" t="s">
        <v>131</v>
      </c>
      <c r="M2589" s="11" t="s">
        <v>14100</v>
      </c>
      <c r="N2589" s="11" t="s">
        <v>75</v>
      </c>
      <c r="O2589" s="11" t="s">
        <v>71</v>
      </c>
      <c r="P2589" s="11" t="s">
        <v>14101</v>
      </c>
      <c r="Q2589" s="13" t="s">
        <v>14102</v>
      </c>
      <c r="R2589" s="14" t="str">
        <f>HYPERLINK("https://drive.google.com/file/d/11ehgDjQ0nBCUb09goUbAiK8xtVVQMtzT/view?usp=drivesdk","OFFER LETTER")</f>
        <v>OFFER LETTER</v>
      </c>
      <c r="S2589" s="11" t="s">
        <v>14103</v>
      </c>
    </row>
    <row r="2590" ht="22.5" customHeight="1">
      <c r="A2590" s="10">
        <v>46272.929783009255</v>
      </c>
      <c r="B2590" s="11" t="s">
        <v>14104</v>
      </c>
      <c r="C2590" s="11" t="s">
        <v>417</v>
      </c>
      <c r="D2590" s="11" t="s">
        <v>68</v>
      </c>
      <c r="E2590" s="12">
        <v>46174.0</v>
      </c>
      <c r="F2590" s="12">
        <v>46204.0</v>
      </c>
      <c r="G2590" s="11" t="s">
        <v>14067</v>
      </c>
      <c r="H2590" s="11">
        <v>7.010144191E9</v>
      </c>
      <c r="I2590" s="11" t="s">
        <v>82</v>
      </c>
      <c r="J2590" s="11" t="s">
        <v>71</v>
      </c>
      <c r="K2590" s="11" t="s">
        <v>72</v>
      </c>
      <c r="L2590" s="11" t="s">
        <v>73</v>
      </c>
      <c r="M2590" s="11" t="s">
        <v>6592</v>
      </c>
      <c r="N2590" s="11" t="s">
        <v>86</v>
      </c>
      <c r="O2590" s="11" t="s">
        <v>71</v>
      </c>
      <c r="P2590" s="11" t="s">
        <v>14105</v>
      </c>
      <c r="Q2590" s="13" t="s">
        <v>14106</v>
      </c>
      <c r="R2590" s="14" t="str">
        <f>HYPERLINK("https://drive.google.com/file/d/15fYT8UBEwMTlyygA70SMgvVbvEEucPee/view?usp=drivesdk","OFFER LETTER")</f>
        <v>OFFER LETTER</v>
      </c>
      <c r="S2590" s="11" t="s">
        <v>14107</v>
      </c>
    </row>
    <row r="2591" ht="22.5" customHeight="1">
      <c r="A2591" s="10">
        <v>46272.93118138889</v>
      </c>
      <c r="B2591" s="11" t="s">
        <v>14108</v>
      </c>
      <c r="C2591" s="11" t="s">
        <v>128</v>
      </c>
      <c r="D2591" s="11" t="s">
        <v>68</v>
      </c>
      <c r="E2591" s="12">
        <v>46178.0</v>
      </c>
      <c r="F2591" s="12">
        <v>46208.0</v>
      </c>
      <c r="G2591" s="11" t="s">
        <v>14109</v>
      </c>
      <c r="H2591" s="11">
        <v>9.470027629E9</v>
      </c>
      <c r="I2591" s="11" t="s">
        <v>82</v>
      </c>
      <c r="J2591" s="11" t="s">
        <v>71</v>
      </c>
      <c r="K2591" s="11" t="s">
        <v>72</v>
      </c>
      <c r="L2591" s="11" t="s">
        <v>84</v>
      </c>
      <c r="M2591" s="11" t="s">
        <v>14110</v>
      </c>
      <c r="N2591" s="11" t="s">
        <v>75</v>
      </c>
      <c r="O2591" s="11" t="s">
        <v>71</v>
      </c>
      <c r="P2591" s="11" t="s">
        <v>14111</v>
      </c>
      <c r="Q2591" s="13" t="s">
        <v>14112</v>
      </c>
      <c r="R2591" s="14" t="str">
        <f>HYPERLINK("https://drive.google.com/file/d/1dgM-xhVU1RTQYXCOcAihTmhlUBdZcDlx/view?usp=drivesdk","OFFER LETTER")</f>
        <v>OFFER LETTER</v>
      </c>
      <c r="S2591" s="11" t="s">
        <v>14113</v>
      </c>
    </row>
    <row r="2592" ht="22.5" customHeight="1">
      <c r="A2592" s="10">
        <v>46272.93275641203</v>
      </c>
      <c r="B2592" s="11" t="s">
        <v>14114</v>
      </c>
      <c r="C2592" s="11" t="s">
        <v>80</v>
      </c>
      <c r="D2592" s="11" t="s">
        <v>68</v>
      </c>
      <c r="E2592" s="12">
        <v>46211.0</v>
      </c>
      <c r="F2592" s="12">
        <v>46254.0</v>
      </c>
      <c r="G2592" s="11" t="s">
        <v>14115</v>
      </c>
      <c r="H2592" s="11">
        <v>9.588158403E9</v>
      </c>
      <c r="I2592" s="11" t="s">
        <v>82</v>
      </c>
      <c r="J2592" s="11" t="s">
        <v>71</v>
      </c>
      <c r="K2592" s="11" t="s">
        <v>72</v>
      </c>
      <c r="L2592" s="11" t="s">
        <v>73</v>
      </c>
      <c r="M2592" s="11" t="s">
        <v>14116</v>
      </c>
      <c r="N2592" s="11" t="s">
        <v>75</v>
      </c>
      <c r="O2592" s="11" t="s">
        <v>71</v>
      </c>
      <c r="P2592" s="11" t="s">
        <v>14117</v>
      </c>
      <c r="Q2592" s="13" t="s">
        <v>14118</v>
      </c>
      <c r="R2592" s="14" t="str">
        <f>HYPERLINK("https://drive.google.com/file/d/1ozHlaZEScBrBQg5P3tG2SRXIMHNEBrF6/view?usp=drivesdk","OFFER LETTER")</f>
        <v>OFFER LETTER</v>
      </c>
      <c r="S2592" s="11" t="s">
        <v>14119</v>
      </c>
    </row>
    <row r="2593" ht="22.5" customHeight="1">
      <c r="A2593" s="10">
        <v>46272.93388539352</v>
      </c>
      <c r="B2593" s="11" t="s">
        <v>14120</v>
      </c>
      <c r="C2593" s="11" t="s">
        <v>1320</v>
      </c>
      <c r="D2593" s="11" t="s">
        <v>68</v>
      </c>
      <c r="E2593" s="12">
        <v>46275.0</v>
      </c>
      <c r="F2593" s="12">
        <v>46305.0</v>
      </c>
      <c r="G2593" s="11" t="s">
        <v>14121</v>
      </c>
      <c r="H2593" s="11">
        <v>9.019427998E9</v>
      </c>
      <c r="I2593" s="11" t="s">
        <v>70</v>
      </c>
      <c r="J2593" s="11" t="s">
        <v>71</v>
      </c>
      <c r="K2593" s="11" t="s">
        <v>72</v>
      </c>
      <c r="L2593" s="11" t="s">
        <v>73</v>
      </c>
      <c r="M2593" s="11" t="s">
        <v>14122</v>
      </c>
      <c r="N2593" s="11" t="s">
        <v>241</v>
      </c>
      <c r="O2593" s="11" t="s">
        <v>71</v>
      </c>
      <c r="P2593" s="11" t="s">
        <v>14123</v>
      </c>
      <c r="Q2593" s="13" t="s">
        <v>14124</v>
      </c>
      <c r="R2593" s="14" t="str">
        <f>HYPERLINK("https://drive.google.com/file/d/1rQI5zto07dXZAzVG1cH6XAewr1jiFm7u/view?usp=drivesdk","OFFER LETTER")</f>
        <v>OFFER LETTER</v>
      </c>
      <c r="S2593" s="11" t="s">
        <v>14125</v>
      </c>
    </row>
    <row r="2594" ht="22.5" customHeight="1">
      <c r="A2594" s="10">
        <v>46272.93484400463</v>
      </c>
      <c r="B2594" s="11" t="s">
        <v>14126</v>
      </c>
      <c r="C2594" s="11" t="s">
        <v>173</v>
      </c>
      <c r="D2594" s="11" t="s">
        <v>68</v>
      </c>
      <c r="E2594" s="12">
        <v>46272.0</v>
      </c>
      <c r="F2594" s="12">
        <v>46302.0</v>
      </c>
      <c r="G2594" s="11" t="s">
        <v>14127</v>
      </c>
      <c r="H2594" s="11">
        <v>7.973728232E9</v>
      </c>
      <c r="I2594" s="11" t="s">
        <v>70</v>
      </c>
      <c r="J2594" s="11" t="s">
        <v>71</v>
      </c>
      <c r="K2594" s="11" t="s">
        <v>110</v>
      </c>
      <c r="L2594" s="11" t="s">
        <v>73</v>
      </c>
      <c r="M2594" s="11" t="s">
        <v>14128</v>
      </c>
      <c r="N2594" s="11" t="s">
        <v>86</v>
      </c>
      <c r="O2594" s="11" t="s">
        <v>263</v>
      </c>
      <c r="P2594" s="11" t="s">
        <v>14129</v>
      </c>
      <c r="Q2594" s="13" t="s">
        <v>14130</v>
      </c>
      <c r="R2594" s="14" t="str">
        <f>HYPERLINK("https://drive.google.com/file/d/1slN-4beQ5NktRd0RgqEXPNBdXjfyGA3T/view?usp=drivesdk","OFFER LETTER")</f>
        <v>OFFER LETTER</v>
      </c>
      <c r="S2594" s="11" t="s">
        <v>14131</v>
      </c>
    </row>
    <row r="2595" ht="22.5" customHeight="1">
      <c r="A2595" s="10">
        <v>46272.93619896991</v>
      </c>
      <c r="B2595" s="11" t="s">
        <v>14132</v>
      </c>
      <c r="C2595" s="11" t="s">
        <v>417</v>
      </c>
      <c r="D2595" s="11" t="s">
        <v>68</v>
      </c>
      <c r="E2595" s="12">
        <v>46174.0</v>
      </c>
      <c r="F2595" s="12">
        <v>46204.0</v>
      </c>
      <c r="G2595" s="11" t="s">
        <v>14133</v>
      </c>
      <c r="H2595" s="11">
        <v>7.010144191E9</v>
      </c>
      <c r="I2595" s="11" t="s">
        <v>82</v>
      </c>
      <c r="J2595" s="11" t="s">
        <v>71</v>
      </c>
      <c r="K2595" s="11" t="s">
        <v>72</v>
      </c>
      <c r="L2595" s="11" t="s">
        <v>73</v>
      </c>
      <c r="M2595" s="11" t="s">
        <v>6592</v>
      </c>
      <c r="N2595" s="11" t="s">
        <v>86</v>
      </c>
      <c r="O2595" s="11" t="s">
        <v>71</v>
      </c>
      <c r="P2595" s="11" t="s">
        <v>14134</v>
      </c>
      <c r="Q2595" s="13" t="s">
        <v>14135</v>
      </c>
      <c r="R2595" s="14" t="str">
        <f>HYPERLINK("https://drive.google.com/file/d/1ACjVDYxGX_a_fQoJQyoCLkiUOloflW3d/view?usp=drivesdk","OFFER LETTER")</f>
        <v>OFFER LETTER</v>
      </c>
      <c r="S2595" s="11" t="s">
        <v>14136</v>
      </c>
    </row>
    <row r="2596" ht="22.5" customHeight="1">
      <c r="A2596" s="10">
        <v>46272.94156755787</v>
      </c>
      <c r="B2596" s="11" t="s">
        <v>14137</v>
      </c>
      <c r="C2596" s="11" t="s">
        <v>259</v>
      </c>
      <c r="D2596" s="11" t="s">
        <v>68</v>
      </c>
      <c r="E2596" s="12">
        <v>46183.0</v>
      </c>
      <c r="F2596" s="12">
        <v>46213.0</v>
      </c>
      <c r="G2596" s="11" t="s">
        <v>14138</v>
      </c>
      <c r="H2596" s="11">
        <v>9.899094487E9</v>
      </c>
      <c r="I2596" s="11" t="s">
        <v>82</v>
      </c>
      <c r="J2596" s="11" t="s">
        <v>71</v>
      </c>
      <c r="K2596" s="11" t="s">
        <v>72</v>
      </c>
      <c r="L2596" s="11" t="s">
        <v>84</v>
      </c>
      <c r="M2596" s="11" t="s">
        <v>560</v>
      </c>
      <c r="N2596" s="11" t="s">
        <v>86</v>
      </c>
      <c r="O2596" s="11" t="s">
        <v>71</v>
      </c>
      <c r="P2596" s="11" t="s">
        <v>14139</v>
      </c>
      <c r="Q2596" s="13" t="s">
        <v>14140</v>
      </c>
      <c r="R2596" s="14" t="str">
        <f>HYPERLINK("https://drive.google.com/file/d/172EJ-REyhkaxHl3jJcC_EUQRuHQ3t0xA/view?usp=drivesdk","OFFER LETTER")</f>
        <v>OFFER LETTER</v>
      </c>
      <c r="S2596" s="11" t="s">
        <v>14141</v>
      </c>
    </row>
    <row r="2597" ht="22.5" customHeight="1">
      <c r="A2597" s="10">
        <v>46272.94532539352</v>
      </c>
      <c r="B2597" s="11" t="s">
        <v>14142</v>
      </c>
      <c r="C2597" s="11" t="s">
        <v>107</v>
      </c>
      <c r="D2597" s="11" t="s">
        <v>68</v>
      </c>
      <c r="E2597" s="12">
        <v>46273.0</v>
      </c>
      <c r="F2597" s="12">
        <v>46303.0</v>
      </c>
      <c r="G2597" s="11" t="s">
        <v>14143</v>
      </c>
      <c r="H2597" s="11">
        <v>9.342069652E9</v>
      </c>
      <c r="I2597" s="11" t="s">
        <v>82</v>
      </c>
      <c r="J2597" s="11" t="s">
        <v>71</v>
      </c>
      <c r="K2597" s="11" t="s">
        <v>72</v>
      </c>
      <c r="L2597" s="11" t="s">
        <v>131</v>
      </c>
      <c r="M2597" s="11" t="s">
        <v>14144</v>
      </c>
      <c r="N2597" s="11" t="s">
        <v>86</v>
      </c>
      <c r="O2597" s="11" t="s">
        <v>71</v>
      </c>
      <c r="P2597" s="11" t="s">
        <v>14145</v>
      </c>
      <c r="Q2597" s="13" t="s">
        <v>14146</v>
      </c>
      <c r="R2597" s="14" t="str">
        <f>HYPERLINK("https://drive.google.com/file/d/174IIocGfirwhprApyjEyy-Y9hCfBlD4j/view?usp=drivesdk","OFFER LETTER")</f>
        <v>OFFER LETTER</v>
      </c>
      <c r="S2597" s="11" t="s">
        <v>14147</v>
      </c>
    </row>
    <row r="2598" ht="22.5" customHeight="1">
      <c r="A2598" s="10">
        <v>46272.94861777777</v>
      </c>
      <c r="B2598" s="11" t="s">
        <v>14148</v>
      </c>
      <c r="C2598" s="11" t="s">
        <v>195</v>
      </c>
      <c r="D2598" s="11" t="s">
        <v>68</v>
      </c>
      <c r="E2598" s="12">
        <v>46272.0</v>
      </c>
      <c r="F2598" s="12">
        <v>46302.0</v>
      </c>
      <c r="G2598" s="11" t="s">
        <v>14149</v>
      </c>
      <c r="H2598" s="11">
        <v>7.093231658E9</v>
      </c>
      <c r="I2598" s="11" t="s">
        <v>82</v>
      </c>
      <c r="J2598" s="11" t="s">
        <v>71</v>
      </c>
      <c r="K2598" s="11" t="s">
        <v>72</v>
      </c>
      <c r="L2598" s="11" t="s">
        <v>247</v>
      </c>
      <c r="M2598" s="11" t="s">
        <v>14150</v>
      </c>
      <c r="N2598" s="11" t="s">
        <v>241</v>
      </c>
      <c r="O2598" s="11" t="s">
        <v>71</v>
      </c>
      <c r="P2598" s="11" t="s">
        <v>14151</v>
      </c>
      <c r="Q2598" s="13" t="s">
        <v>14152</v>
      </c>
      <c r="R2598" s="14" t="str">
        <f>HYPERLINK("https://drive.google.com/file/d/1aZo4pPJbkYdSZxceB_qcIUILzSSvTQ39/view?usp=drivesdk","OFFER LETTER")</f>
        <v>OFFER LETTER</v>
      </c>
      <c r="S2598" s="11" t="s">
        <v>14153</v>
      </c>
    </row>
    <row r="2599" ht="22.5" customHeight="1">
      <c r="A2599" s="10">
        <v>46272.954133946754</v>
      </c>
      <c r="B2599" s="11" t="s">
        <v>14154</v>
      </c>
      <c r="C2599" s="11" t="s">
        <v>173</v>
      </c>
      <c r="D2599" s="11" t="s">
        <v>108</v>
      </c>
      <c r="E2599" s="12">
        <v>46157.0</v>
      </c>
      <c r="F2599" s="12">
        <v>46218.0</v>
      </c>
      <c r="G2599" s="11" t="s">
        <v>14155</v>
      </c>
      <c r="H2599" s="11">
        <v>6.304545754E9</v>
      </c>
      <c r="I2599" s="11" t="s">
        <v>82</v>
      </c>
      <c r="J2599" s="11" t="s">
        <v>71</v>
      </c>
      <c r="K2599" s="11" t="s">
        <v>356</v>
      </c>
      <c r="L2599" s="11" t="s">
        <v>84</v>
      </c>
      <c r="M2599" s="11" t="s">
        <v>14156</v>
      </c>
      <c r="N2599" s="11" t="s">
        <v>86</v>
      </c>
      <c r="O2599" s="11" t="s">
        <v>71</v>
      </c>
      <c r="P2599" s="11" t="s">
        <v>14157</v>
      </c>
      <c r="Q2599" s="13" t="s">
        <v>14158</v>
      </c>
      <c r="R2599" s="14" t="str">
        <f>HYPERLINK("https://drive.google.com/file/d/1PiIULGAAC6H_rdpbMUpWqbf-dpAkhJCh/view?usp=drivesdk","OFFER LETTER")</f>
        <v>OFFER LETTER</v>
      </c>
      <c r="S2599" s="11" t="s">
        <v>14159</v>
      </c>
    </row>
    <row r="2600" ht="22.5" customHeight="1">
      <c r="A2600" s="10">
        <v>46272.962278217594</v>
      </c>
      <c r="B2600" s="11" t="s">
        <v>14160</v>
      </c>
      <c r="C2600" s="11" t="s">
        <v>128</v>
      </c>
      <c r="D2600" s="11" t="s">
        <v>68</v>
      </c>
      <c r="E2600" s="12">
        <v>46241.0</v>
      </c>
      <c r="F2600" s="12">
        <v>46271.0</v>
      </c>
      <c r="G2600" s="11" t="s">
        <v>14161</v>
      </c>
      <c r="H2600" s="11">
        <v>9.259602207E9</v>
      </c>
      <c r="I2600" s="11" t="s">
        <v>82</v>
      </c>
      <c r="J2600" s="11" t="s">
        <v>71</v>
      </c>
      <c r="K2600" s="11" t="s">
        <v>110</v>
      </c>
      <c r="L2600" s="11" t="s">
        <v>84</v>
      </c>
      <c r="M2600" s="11" t="s">
        <v>3857</v>
      </c>
      <c r="N2600" s="11" t="s">
        <v>86</v>
      </c>
      <c r="O2600" s="11" t="s">
        <v>71</v>
      </c>
      <c r="P2600" s="11" t="s">
        <v>14162</v>
      </c>
      <c r="Q2600" s="13" t="s">
        <v>14163</v>
      </c>
      <c r="R2600" s="14" t="str">
        <f>HYPERLINK("https://drive.google.com/file/d/1gvEjeKPN4MWpuWAhZ0TkaRB59xD-if57/view?usp=drivesdk","OFFER LETTER")</f>
        <v>OFFER LETTER</v>
      </c>
      <c r="S2600" s="11" t="s">
        <v>14164</v>
      </c>
    </row>
    <row r="2601" ht="22.5" customHeight="1">
      <c r="A2601" s="10">
        <v>46272.962711678236</v>
      </c>
      <c r="B2601" s="11" t="s">
        <v>14165</v>
      </c>
      <c r="C2601" s="11" t="s">
        <v>195</v>
      </c>
      <c r="D2601" s="11" t="s">
        <v>68</v>
      </c>
      <c r="E2601" s="12">
        <v>46272.0</v>
      </c>
      <c r="F2601" s="12">
        <v>46302.0</v>
      </c>
      <c r="G2601" s="11" t="s">
        <v>14166</v>
      </c>
      <c r="H2601" s="11">
        <v>9.239220848E9</v>
      </c>
      <c r="I2601" s="11" t="s">
        <v>82</v>
      </c>
      <c r="J2601" s="11" t="s">
        <v>71</v>
      </c>
      <c r="K2601" s="11" t="s">
        <v>72</v>
      </c>
      <c r="L2601" s="11" t="s">
        <v>84</v>
      </c>
      <c r="M2601" s="11" t="s">
        <v>14167</v>
      </c>
      <c r="N2601" s="11" t="s">
        <v>75</v>
      </c>
      <c r="O2601" s="11" t="s">
        <v>71</v>
      </c>
      <c r="P2601" s="11" t="s">
        <v>14168</v>
      </c>
      <c r="Q2601" s="13" t="s">
        <v>14169</v>
      </c>
      <c r="R2601" s="14" t="str">
        <f>HYPERLINK("https://drive.google.com/file/d/1GI6_gwStWipmEqKLhUQZNMksx6ojJvKX/view?usp=drivesdk","OFFER LETTER")</f>
        <v>OFFER LETTER</v>
      </c>
      <c r="S2601" s="11" t="s">
        <v>14170</v>
      </c>
    </row>
    <row r="2602" ht="22.5" customHeight="1">
      <c r="A2602" s="10">
        <v>46272.96579996528</v>
      </c>
      <c r="B2602" s="11" t="s">
        <v>14171</v>
      </c>
      <c r="C2602" s="11" t="s">
        <v>195</v>
      </c>
      <c r="D2602" s="11" t="s">
        <v>68</v>
      </c>
      <c r="E2602" s="12">
        <v>46223.0</v>
      </c>
      <c r="F2602" s="12">
        <v>46254.0</v>
      </c>
      <c r="G2602" s="11" t="s">
        <v>14172</v>
      </c>
      <c r="H2602" s="11" t="s">
        <v>14173</v>
      </c>
      <c r="I2602" s="11" t="s">
        <v>82</v>
      </c>
      <c r="J2602" s="11" t="s">
        <v>71</v>
      </c>
      <c r="K2602" s="11" t="s">
        <v>72</v>
      </c>
      <c r="L2602" s="11" t="s">
        <v>84</v>
      </c>
      <c r="M2602" s="11" t="s">
        <v>560</v>
      </c>
      <c r="N2602" s="11" t="s">
        <v>155</v>
      </c>
      <c r="O2602" s="11" t="s">
        <v>71</v>
      </c>
      <c r="P2602" s="11" t="s">
        <v>14174</v>
      </c>
      <c r="Q2602" s="13" t="s">
        <v>14175</v>
      </c>
      <c r="R2602" s="14" t="str">
        <f>HYPERLINK("https://drive.google.com/file/d/1OcV99fUyPMuKOfw2yo-QF2FXu314HC23/view?usp=drivesdk","OFFER LETTER")</f>
        <v>OFFER LETTER</v>
      </c>
      <c r="S2602" s="11" t="s">
        <v>14176</v>
      </c>
    </row>
    <row r="2603" ht="22.5" customHeight="1">
      <c r="A2603" s="10">
        <v>46272.96594342592</v>
      </c>
      <c r="B2603" s="11" t="s">
        <v>14177</v>
      </c>
      <c r="C2603" s="11" t="s">
        <v>107</v>
      </c>
      <c r="D2603" s="11" t="s">
        <v>68</v>
      </c>
      <c r="E2603" s="12">
        <v>46271.0</v>
      </c>
      <c r="F2603" s="12">
        <v>46271.0</v>
      </c>
      <c r="G2603" s="11" t="s">
        <v>14178</v>
      </c>
      <c r="H2603" s="11">
        <v>9.902677291E9</v>
      </c>
      <c r="I2603" s="11" t="s">
        <v>70</v>
      </c>
      <c r="J2603" s="11" t="s">
        <v>71</v>
      </c>
      <c r="K2603" s="11" t="s">
        <v>72</v>
      </c>
      <c r="L2603" s="11" t="s">
        <v>73</v>
      </c>
      <c r="M2603" s="11" t="s">
        <v>14179</v>
      </c>
      <c r="N2603" s="11" t="s">
        <v>75</v>
      </c>
      <c r="O2603" s="11" t="s">
        <v>71</v>
      </c>
      <c r="P2603" s="11" t="s">
        <v>14180</v>
      </c>
      <c r="Q2603" s="13" t="s">
        <v>14181</v>
      </c>
      <c r="R2603" s="14" t="str">
        <f>HYPERLINK("https://drive.google.com/file/d/1vWIzcXRcykmgQUH84d7B887GCapULRAd/view?usp=drivesdk","OFFER LETTER")</f>
        <v>OFFER LETTER</v>
      </c>
      <c r="S2603" s="11" t="s">
        <v>14182</v>
      </c>
    </row>
    <row r="2604" ht="22.5" customHeight="1">
      <c r="A2604" s="10">
        <v>46272.97114214121</v>
      </c>
      <c r="B2604" s="11" t="s">
        <v>2806</v>
      </c>
      <c r="C2604" s="11" t="s">
        <v>128</v>
      </c>
      <c r="D2604" s="11" t="s">
        <v>68</v>
      </c>
      <c r="E2604" s="12">
        <v>46272.0</v>
      </c>
      <c r="F2604" s="12">
        <v>46302.0</v>
      </c>
      <c r="G2604" s="11" t="s">
        <v>14183</v>
      </c>
      <c r="H2604" s="11">
        <v>9.661238861E9</v>
      </c>
      <c r="I2604" s="11" t="s">
        <v>82</v>
      </c>
      <c r="J2604" s="11" t="s">
        <v>71</v>
      </c>
      <c r="K2604" s="11" t="s">
        <v>72</v>
      </c>
      <c r="L2604" s="11" t="s">
        <v>84</v>
      </c>
      <c r="M2604" s="11" t="s">
        <v>1135</v>
      </c>
      <c r="N2604" s="11" t="s">
        <v>630</v>
      </c>
      <c r="O2604" s="11" t="s">
        <v>71</v>
      </c>
      <c r="P2604" s="11" t="s">
        <v>14184</v>
      </c>
      <c r="Q2604" s="13" t="s">
        <v>14185</v>
      </c>
      <c r="R2604" s="14" t="str">
        <f>HYPERLINK("https://drive.google.com/file/d/1WLye-b-PbJcBIxpnxLN4fm2wtpsFwtZK/view?usp=drivesdk","OFFER LETTER")</f>
        <v>OFFER LETTER</v>
      </c>
      <c r="S2604" s="11" t="s">
        <v>14186</v>
      </c>
    </row>
    <row r="2605" ht="22.5" customHeight="1">
      <c r="A2605" s="10">
        <v>46272.97285056713</v>
      </c>
      <c r="B2605" s="11" t="s">
        <v>14187</v>
      </c>
      <c r="C2605" s="11" t="s">
        <v>354</v>
      </c>
      <c r="D2605" s="11" t="s">
        <v>108</v>
      </c>
      <c r="E2605" s="12">
        <v>46272.0</v>
      </c>
      <c r="F2605" s="12">
        <v>46335.0</v>
      </c>
      <c r="G2605" s="11" t="s">
        <v>14188</v>
      </c>
      <c r="H2605" s="11">
        <v>9.309057994E9</v>
      </c>
      <c r="I2605" s="11" t="s">
        <v>70</v>
      </c>
      <c r="J2605" s="11" t="s">
        <v>71</v>
      </c>
      <c r="K2605" s="11" t="s">
        <v>356</v>
      </c>
      <c r="L2605" s="11" t="s">
        <v>84</v>
      </c>
      <c r="M2605" s="11" t="s">
        <v>14189</v>
      </c>
      <c r="N2605" s="11" t="s">
        <v>1641</v>
      </c>
      <c r="O2605" s="11" t="s">
        <v>71</v>
      </c>
      <c r="P2605" s="11" t="s">
        <v>14190</v>
      </c>
      <c r="Q2605" s="13" t="s">
        <v>14191</v>
      </c>
      <c r="R2605" s="14" t="str">
        <f>HYPERLINK("https://drive.google.com/file/d/1ZHpCNlAilsAuraaCHdhNzD4OHkDkng7p/view?usp=drivesdk","OFFER LETTER")</f>
        <v>OFFER LETTER</v>
      </c>
      <c r="S2605" s="11" t="s">
        <v>14192</v>
      </c>
    </row>
    <row r="2606" ht="22.5" customHeight="1">
      <c r="A2606" s="10">
        <v>46272.9729925</v>
      </c>
      <c r="B2606" s="11" t="s">
        <v>14193</v>
      </c>
      <c r="C2606" s="11" t="s">
        <v>173</v>
      </c>
      <c r="D2606" s="11" t="s">
        <v>68</v>
      </c>
      <c r="E2606" s="12">
        <v>46273.0</v>
      </c>
      <c r="F2606" s="12">
        <v>46303.0</v>
      </c>
      <c r="G2606" s="11" t="s">
        <v>14194</v>
      </c>
      <c r="H2606" s="11">
        <v>9.341009846E9</v>
      </c>
      <c r="I2606" s="11" t="s">
        <v>82</v>
      </c>
      <c r="J2606" s="11" t="s">
        <v>71</v>
      </c>
      <c r="K2606" s="11" t="s">
        <v>110</v>
      </c>
      <c r="L2606" s="11" t="s">
        <v>84</v>
      </c>
      <c r="M2606" s="11" t="s">
        <v>14195</v>
      </c>
      <c r="N2606" s="11" t="s">
        <v>75</v>
      </c>
      <c r="O2606" s="11" t="s">
        <v>71</v>
      </c>
      <c r="P2606" s="11" t="s">
        <v>14196</v>
      </c>
      <c r="Q2606" s="13" t="s">
        <v>14197</v>
      </c>
      <c r="R2606" s="14" t="str">
        <f>HYPERLINK("https://drive.google.com/file/d/1XFgRDWsbYakMJTAi2LcuZvTgIfu94eOS/view?usp=drivesdk","OFFER LETTER")</f>
        <v>OFFER LETTER</v>
      </c>
      <c r="S2606" s="11" t="s">
        <v>14198</v>
      </c>
    </row>
    <row r="2607" ht="22.5" customHeight="1">
      <c r="A2607" s="10">
        <v>46272.974717060184</v>
      </c>
      <c r="B2607" s="11" t="s">
        <v>14199</v>
      </c>
      <c r="C2607" s="11" t="s">
        <v>173</v>
      </c>
      <c r="D2607" s="11" t="s">
        <v>68</v>
      </c>
      <c r="E2607" s="12">
        <v>46272.0</v>
      </c>
      <c r="F2607" s="12">
        <v>46303.0</v>
      </c>
      <c r="G2607" s="11" t="s">
        <v>14194</v>
      </c>
      <c r="H2607" s="11">
        <v>9.341009846E9</v>
      </c>
      <c r="I2607" s="11" t="s">
        <v>82</v>
      </c>
      <c r="J2607" s="11" t="s">
        <v>71</v>
      </c>
      <c r="K2607" s="11" t="s">
        <v>110</v>
      </c>
      <c r="L2607" s="11" t="s">
        <v>84</v>
      </c>
      <c r="M2607" s="11" t="s">
        <v>14200</v>
      </c>
      <c r="N2607" s="11" t="s">
        <v>75</v>
      </c>
      <c r="O2607" s="11" t="s">
        <v>71</v>
      </c>
      <c r="P2607" s="11" t="s">
        <v>14201</v>
      </c>
      <c r="Q2607" s="13" t="s">
        <v>14202</v>
      </c>
      <c r="R2607" s="14" t="str">
        <f>HYPERLINK("https://drive.google.com/file/d/1FnhpTsYRiS0ju4EmBp5tSgkCtgy7xLFF/view?usp=drivesdk","OFFER LETTER")</f>
        <v>OFFER LETTER</v>
      </c>
      <c r="S2607" s="11" t="s">
        <v>14203</v>
      </c>
    </row>
    <row r="2608" ht="22.5" customHeight="1">
      <c r="A2608" s="10">
        <v>46272.97758938657</v>
      </c>
      <c r="B2608" s="11" t="s">
        <v>14204</v>
      </c>
      <c r="C2608" s="11" t="s">
        <v>128</v>
      </c>
      <c r="D2608" s="11" t="s">
        <v>68</v>
      </c>
      <c r="E2608" s="12">
        <v>46198.0</v>
      </c>
      <c r="F2608" s="12">
        <v>46228.0</v>
      </c>
      <c r="G2608" s="11" t="s">
        <v>14205</v>
      </c>
      <c r="H2608" s="11" t="s">
        <v>14206</v>
      </c>
      <c r="I2608" s="11" t="s">
        <v>70</v>
      </c>
      <c r="J2608" s="11" t="s">
        <v>71</v>
      </c>
      <c r="K2608" s="11" t="s">
        <v>72</v>
      </c>
      <c r="L2608" s="11" t="s">
        <v>84</v>
      </c>
      <c r="M2608" s="11" t="s">
        <v>437</v>
      </c>
      <c r="N2608" s="11" t="s">
        <v>198</v>
      </c>
      <c r="O2608" s="11" t="s">
        <v>71</v>
      </c>
      <c r="P2608" s="11" t="s">
        <v>14207</v>
      </c>
      <c r="Q2608" s="13" t="s">
        <v>14208</v>
      </c>
      <c r="R2608" s="14" t="str">
        <f>HYPERLINK("https://drive.google.com/file/d/1Ce-EVPFXAswptjmri-jjbx4v-sUu2VO3/view?usp=drivesdk","OFFER LETTER")</f>
        <v>OFFER LETTER</v>
      </c>
      <c r="S2608" s="11" t="s">
        <v>14209</v>
      </c>
    </row>
    <row r="2609" ht="22.5" customHeight="1">
      <c r="A2609" s="10">
        <v>46272.98429148148</v>
      </c>
      <c r="B2609" s="11" t="s">
        <v>13955</v>
      </c>
      <c r="C2609" s="11" t="s">
        <v>173</v>
      </c>
      <c r="D2609" s="11" t="s">
        <v>929</v>
      </c>
      <c r="E2609" s="12">
        <v>45536.0</v>
      </c>
      <c r="F2609" s="12">
        <v>45712.0</v>
      </c>
      <c r="G2609" s="11" t="s">
        <v>13956</v>
      </c>
      <c r="H2609" s="11">
        <v>7.877419167E9</v>
      </c>
      <c r="I2609" s="11" t="s">
        <v>70</v>
      </c>
      <c r="J2609" s="11" t="s">
        <v>71</v>
      </c>
      <c r="K2609" s="11" t="s">
        <v>72</v>
      </c>
      <c r="L2609" s="11" t="s">
        <v>84</v>
      </c>
      <c r="M2609" s="11" t="s">
        <v>13957</v>
      </c>
      <c r="N2609" s="11" t="s">
        <v>241</v>
      </c>
      <c r="O2609" s="11" t="s">
        <v>71</v>
      </c>
      <c r="P2609" s="11" t="s">
        <v>14210</v>
      </c>
      <c r="Q2609" s="13" t="s">
        <v>14211</v>
      </c>
      <c r="R2609" s="14" t="str">
        <f>HYPERLINK("https://drive.google.com/file/d/1LNJNFuNUx4WVG9K4p6wX815W40F63LB2/view?usp=drivesdk","OFFER LETTER")</f>
        <v>OFFER LETTER</v>
      </c>
      <c r="S2609" s="11" t="s">
        <v>14212</v>
      </c>
    </row>
    <row r="2610" ht="22.5" customHeight="1">
      <c r="A2610" s="10">
        <v>46272.98771274305</v>
      </c>
      <c r="B2610" s="11" t="s">
        <v>13955</v>
      </c>
      <c r="C2610" s="11" t="s">
        <v>354</v>
      </c>
      <c r="D2610" s="11" t="s">
        <v>1507</v>
      </c>
      <c r="E2610" s="12">
        <v>45048.0</v>
      </c>
      <c r="F2610" s="12">
        <v>45140.0</v>
      </c>
      <c r="G2610" s="11" t="s">
        <v>13956</v>
      </c>
      <c r="H2610" s="11">
        <v>7.877419167E9</v>
      </c>
      <c r="I2610" s="11" t="s">
        <v>70</v>
      </c>
      <c r="J2610" s="11" t="s">
        <v>71</v>
      </c>
      <c r="K2610" s="11" t="s">
        <v>1028</v>
      </c>
      <c r="L2610" s="11" t="s">
        <v>73</v>
      </c>
      <c r="M2610" s="11" t="s">
        <v>14213</v>
      </c>
      <c r="N2610" s="11" t="s">
        <v>241</v>
      </c>
      <c r="O2610" s="11" t="s">
        <v>71</v>
      </c>
      <c r="P2610" s="11" t="s">
        <v>14214</v>
      </c>
      <c r="Q2610" s="13" t="s">
        <v>14215</v>
      </c>
      <c r="R2610" s="14" t="str">
        <f>HYPERLINK("https://drive.google.com/file/d/1s4JG5eASxBJA5cazcwoWKBHespICowIn/view?usp=drivesdk","OFFER LETTER")</f>
        <v>OFFER LETTER</v>
      </c>
      <c r="S2610" s="11" t="s">
        <v>14216</v>
      </c>
    </row>
    <row r="2611" ht="22.5" customHeight="1">
      <c r="A2611" s="10">
        <v>46272.9903627662</v>
      </c>
      <c r="B2611" s="11" t="s">
        <v>14217</v>
      </c>
      <c r="C2611" s="11" t="s">
        <v>128</v>
      </c>
      <c r="D2611" s="11" t="s">
        <v>108</v>
      </c>
      <c r="E2611" s="12">
        <v>46205.0</v>
      </c>
      <c r="F2611" s="12">
        <v>46267.0</v>
      </c>
      <c r="G2611" s="11" t="s">
        <v>14218</v>
      </c>
      <c r="H2611" s="11">
        <v>7.080555285E9</v>
      </c>
      <c r="I2611" s="11" t="s">
        <v>82</v>
      </c>
      <c r="J2611" s="11" t="s">
        <v>71</v>
      </c>
      <c r="K2611" s="11" t="s">
        <v>72</v>
      </c>
      <c r="L2611" s="11" t="s">
        <v>84</v>
      </c>
      <c r="M2611" s="11" t="s">
        <v>886</v>
      </c>
      <c r="N2611" s="11" t="s">
        <v>86</v>
      </c>
      <c r="O2611" s="11" t="s">
        <v>71</v>
      </c>
      <c r="P2611" s="11" t="s">
        <v>14219</v>
      </c>
      <c r="Q2611" s="13" t="s">
        <v>14220</v>
      </c>
      <c r="R2611" s="14" t="str">
        <f>HYPERLINK("https://drive.google.com/file/d/1-3D_DOCf5Cvh08P5UKNfVASObRQDf3l9/view?usp=drivesdk","OFFER LETTER")</f>
        <v>OFFER LETTER</v>
      </c>
      <c r="S2611" s="11" t="s">
        <v>14221</v>
      </c>
    </row>
    <row r="2612" ht="22.5" customHeight="1">
      <c r="A2612" s="10">
        <v>46272.99170751157</v>
      </c>
      <c r="B2612" s="11" t="s">
        <v>14222</v>
      </c>
      <c r="C2612" s="11" t="s">
        <v>128</v>
      </c>
      <c r="D2612" s="11" t="s">
        <v>108</v>
      </c>
      <c r="E2612" s="12">
        <v>46205.0</v>
      </c>
      <c r="F2612" s="12">
        <v>46267.0</v>
      </c>
      <c r="G2612" s="11" t="s">
        <v>14223</v>
      </c>
      <c r="H2612" s="11">
        <v>9.451390917E9</v>
      </c>
      <c r="I2612" s="11" t="s">
        <v>82</v>
      </c>
      <c r="J2612" s="11" t="s">
        <v>71</v>
      </c>
      <c r="K2612" s="11" t="s">
        <v>72</v>
      </c>
      <c r="L2612" s="11" t="s">
        <v>84</v>
      </c>
      <c r="M2612" s="11" t="s">
        <v>886</v>
      </c>
      <c r="N2612" s="11" t="s">
        <v>86</v>
      </c>
      <c r="O2612" s="11" t="s">
        <v>71</v>
      </c>
      <c r="P2612" s="11" t="s">
        <v>14224</v>
      </c>
      <c r="Q2612" s="13" t="s">
        <v>14225</v>
      </c>
      <c r="R2612" s="14" t="str">
        <f>HYPERLINK("https://drive.google.com/file/d/1PrRoXD1QqeUjsXpTV5DS6x2La4u78j94/view?usp=drivesdk","OFFER LETTER")</f>
        <v>OFFER LETTER</v>
      </c>
      <c r="S2612" s="11" t="s">
        <v>14226</v>
      </c>
    </row>
    <row r="2613" ht="22.5" customHeight="1">
      <c r="A2613" s="10">
        <v>46272.99218350694</v>
      </c>
      <c r="B2613" s="11" t="s">
        <v>14227</v>
      </c>
      <c r="C2613" s="11" t="s">
        <v>195</v>
      </c>
      <c r="D2613" s="11" t="s">
        <v>68</v>
      </c>
      <c r="E2613" s="12">
        <v>46223.0</v>
      </c>
      <c r="F2613" s="12">
        <v>46254.0</v>
      </c>
      <c r="G2613" s="11" t="s">
        <v>14228</v>
      </c>
      <c r="H2613" s="11">
        <v>8.534901146E9</v>
      </c>
      <c r="I2613" s="11" t="s">
        <v>82</v>
      </c>
      <c r="J2613" s="11" t="s">
        <v>71</v>
      </c>
      <c r="K2613" s="11" t="s">
        <v>72</v>
      </c>
      <c r="L2613" s="11" t="s">
        <v>84</v>
      </c>
      <c r="M2613" s="11" t="s">
        <v>886</v>
      </c>
      <c r="N2613" s="11" t="s">
        <v>155</v>
      </c>
      <c r="O2613" s="11" t="s">
        <v>71</v>
      </c>
      <c r="P2613" s="11" t="s">
        <v>14229</v>
      </c>
      <c r="Q2613" s="13" t="s">
        <v>14230</v>
      </c>
      <c r="R2613" s="14" t="str">
        <f>HYPERLINK("https://drive.google.com/file/d/1YFVZWzGhU366njPaldFb3qFgJDwIkw2_/view?usp=drivesdk","OFFER LETTER")</f>
        <v>OFFER LETTER</v>
      </c>
      <c r="S2613" s="11" t="s">
        <v>14231</v>
      </c>
    </row>
    <row r="2614" ht="22.5" customHeight="1">
      <c r="A2614" s="10">
        <v>46272.992548483795</v>
      </c>
      <c r="B2614" s="11" t="s">
        <v>2149</v>
      </c>
      <c r="C2614" s="11" t="s">
        <v>128</v>
      </c>
      <c r="D2614" s="11" t="s">
        <v>68</v>
      </c>
      <c r="E2614" s="12">
        <v>46182.0</v>
      </c>
      <c r="F2614" s="12">
        <v>46212.0</v>
      </c>
      <c r="G2614" s="11" t="s">
        <v>14232</v>
      </c>
      <c r="H2614" s="11">
        <v>9.279226794E9</v>
      </c>
      <c r="I2614" s="11" t="s">
        <v>82</v>
      </c>
      <c r="J2614" s="11" t="s">
        <v>71</v>
      </c>
      <c r="K2614" s="11" t="s">
        <v>72</v>
      </c>
      <c r="L2614" s="11" t="s">
        <v>357</v>
      </c>
      <c r="M2614" s="11" t="s">
        <v>8316</v>
      </c>
      <c r="N2614" s="11" t="s">
        <v>655</v>
      </c>
      <c r="O2614" s="11" t="s">
        <v>71</v>
      </c>
      <c r="P2614" s="11" t="s">
        <v>14233</v>
      </c>
      <c r="Q2614" s="13" t="s">
        <v>14234</v>
      </c>
      <c r="R2614" s="14" t="str">
        <f>HYPERLINK("https://drive.google.com/file/d/1fxzvWni9uSjZeSOCz1CV0XT8e0cuMJ-9/view?usp=drivesdk","OFFER LETTER")</f>
        <v>OFFER LETTER</v>
      </c>
      <c r="S2614" s="11" t="s">
        <v>14235</v>
      </c>
    </row>
    <row r="2615" ht="22.5" customHeight="1">
      <c r="A2615" s="10">
        <v>46272.99342416666</v>
      </c>
      <c r="B2615" s="11" t="s">
        <v>13955</v>
      </c>
      <c r="C2615" s="11" t="s">
        <v>596</v>
      </c>
      <c r="D2615" s="11" t="s">
        <v>1507</v>
      </c>
      <c r="E2615" s="12">
        <v>46023.0</v>
      </c>
      <c r="F2615" s="12">
        <v>46119.0</v>
      </c>
      <c r="G2615" s="11" t="s">
        <v>13956</v>
      </c>
      <c r="H2615" s="11">
        <v>7.877419167E9</v>
      </c>
      <c r="I2615" s="11" t="s">
        <v>70</v>
      </c>
      <c r="J2615" s="11" t="s">
        <v>71</v>
      </c>
      <c r="K2615" s="11" t="s">
        <v>72</v>
      </c>
      <c r="L2615" s="11" t="s">
        <v>73</v>
      </c>
      <c r="M2615" s="11" t="s">
        <v>13957</v>
      </c>
      <c r="N2615" s="11" t="s">
        <v>8637</v>
      </c>
      <c r="O2615" s="11" t="s">
        <v>71</v>
      </c>
      <c r="P2615" s="11" t="s">
        <v>14236</v>
      </c>
      <c r="Q2615" s="13" t="s">
        <v>14237</v>
      </c>
      <c r="R2615" s="14" t="str">
        <f>HYPERLINK("https://drive.google.com/file/d/17PUkrXKnuCPSQnCob6WQfJVubZVpVBSL/view?usp=drivesdk","OFFER LETTER")</f>
        <v>OFFER LETTER</v>
      </c>
      <c r="S2615" s="11" t="s">
        <v>14238</v>
      </c>
    </row>
    <row r="2616" ht="22.5" customHeight="1">
      <c r="A2616" s="10">
        <v>46273.01074576389</v>
      </c>
      <c r="B2616" s="11" t="s">
        <v>14239</v>
      </c>
      <c r="C2616" s="11" t="s">
        <v>195</v>
      </c>
      <c r="D2616" s="11" t="s">
        <v>68</v>
      </c>
      <c r="E2616" s="12">
        <v>46233.0</v>
      </c>
      <c r="F2616" s="12">
        <v>46265.0</v>
      </c>
      <c r="G2616" s="11" t="s">
        <v>14240</v>
      </c>
      <c r="H2616" s="11">
        <v>7.973689879E9</v>
      </c>
      <c r="I2616" s="11" t="s">
        <v>82</v>
      </c>
      <c r="J2616" s="11" t="s">
        <v>130</v>
      </c>
      <c r="K2616" s="11" t="s">
        <v>72</v>
      </c>
      <c r="L2616" s="11" t="s">
        <v>357</v>
      </c>
      <c r="M2616" s="11" t="s">
        <v>14079</v>
      </c>
      <c r="N2616" s="11" t="s">
        <v>86</v>
      </c>
      <c r="O2616" s="11" t="s">
        <v>71</v>
      </c>
      <c r="P2616" s="11" t="s">
        <v>14241</v>
      </c>
      <c r="Q2616" s="13" t="s">
        <v>14242</v>
      </c>
      <c r="R2616" s="14" t="str">
        <f>HYPERLINK("https://drive.google.com/file/d/1L6OWjyKXoNGBFcS0aBIXMJpQfqsxOFbx/view?usp=drivesdk","OFFER LETTER")</f>
        <v>OFFER LETTER</v>
      </c>
      <c r="S2616" s="11" t="s">
        <v>14243</v>
      </c>
    </row>
    <row r="2617" ht="22.5" customHeight="1">
      <c r="A2617" s="10">
        <v>46273.010813368055</v>
      </c>
      <c r="B2617" s="11" t="s">
        <v>14244</v>
      </c>
      <c r="C2617" s="11" t="s">
        <v>80</v>
      </c>
      <c r="D2617" s="11" t="s">
        <v>68</v>
      </c>
      <c r="E2617" s="12">
        <v>46238.0</v>
      </c>
      <c r="F2617" s="12">
        <v>46268.0</v>
      </c>
      <c r="G2617" s="11" t="s">
        <v>14245</v>
      </c>
      <c r="H2617" s="11">
        <v>9.555163854E9</v>
      </c>
      <c r="I2617" s="11" t="s">
        <v>82</v>
      </c>
      <c r="J2617" s="11" t="s">
        <v>71</v>
      </c>
      <c r="K2617" s="11" t="s">
        <v>72</v>
      </c>
      <c r="L2617" s="11" t="s">
        <v>131</v>
      </c>
      <c r="M2617" s="11" t="s">
        <v>14246</v>
      </c>
      <c r="N2617" s="11" t="s">
        <v>86</v>
      </c>
      <c r="O2617" s="11" t="s">
        <v>71</v>
      </c>
      <c r="P2617" s="11" t="s">
        <v>14247</v>
      </c>
      <c r="Q2617" s="13" t="s">
        <v>14248</v>
      </c>
      <c r="R2617" s="14" t="str">
        <f>HYPERLINK("https://drive.google.com/file/d/1xFArVIreaUakhYyWD23XVHsAfzRbckqC/view?usp=drivesdk","OFFER LETTER")</f>
        <v>OFFER LETTER</v>
      </c>
      <c r="S2617" s="11" t="s">
        <v>14249</v>
      </c>
    </row>
    <row r="2618" ht="22.5" customHeight="1">
      <c r="A2618" s="10">
        <v>46273.012759641206</v>
      </c>
      <c r="B2618" s="11" t="s">
        <v>14250</v>
      </c>
      <c r="C2618" s="11" t="s">
        <v>173</v>
      </c>
      <c r="D2618" s="11" t="s">
        <v>68</v>
      </c>
      <c r="E2618" s="12">
        <v>46273.0</v>
      </c>
      <c r="F2618" s="12">
        <v>46304.0</v>
      </c>
      <c r="G2618" s="11" t="s">
        <v>14251</v>
      </c>
      <c r="H2618" s="11">
        <v>9.023825394E9</v>
      </c>
      <c r="I2618" s="11" t="s">
        <v>82</v>
      </c>
      <c r="J2618" s="11" t="s">
        <v>71</v>
      </c>
      <c r="K2618" s="11" t="s">
        <v>72</v>
      </c>
      <c r="L2618" s="11" t="s">
        <v>73</v>
      </c>
      <c r="M2618" s="11" t="s">
        <v>14252</v>
      </c>
      <c r="N2618" s="11" t="s">
        <v>868</v>
      </c>
      <c r="O2618" s="11" t="s">
        <v>71</v>
      </c>
      <c r="P2618" s="11" t="s">
        <v>14253</v>
      </c>
      <c r="Q2618" s="13" t="s">
        <v>14254</v>
      </c>
      <c r="R2618" s="14" t="str">
        <f>HYPERLINK("https://drive.google.com/file/d/1Iuf0yae-AP_Se5OQfAPK3qSgSk7BiNlw/view?usp=drivesdk","OFFER LETTER")</f>
        <v>OFFER LETTER</v>
      </c>
      <c r="S2618" s="11" t="s">
        <v>14255</v>
      </c>
    </row>
    <row r="2619" ht="22.5" customHeight="1">
      <c r="A2619" s="10">
        <v>46273.03004975694</v>
      </c>
      <c r="B2619" s="11" t="s">
        <v>14256</v>
      </c>
      <c r="C2619" s="11" t="s">
        <v>128</v>
      </c>
      <c r="D2619" s="11" t="s">
        <v>68</v>
      </c>
      <c r="E2619" s="12">
        <v>46233.0</v>
      </c>
      <c r="F2619" s="12">
        <v>46265.0</v>
      </c>
      <c r="G2619" s="11" t="s">
        <v>14257</v>
      </c>
      <c r="H2619" s="11">
        <v>8.100451626E9</v>
      </c>
      <c r="I2619" s="11" t="s">
        <v>82</v>
      </c>
      <c r="J2619" s="11" t="s">
        <v>130</v>
      </c>
      <c r="K2619" s="11" t="s">
        <v>72</v>
      </c>
      <c r="L2619" s="11" t="s">
        <v>84</v>
      </c>
      <c r="M2619" s="11" t="s">
        <v>14079</v>
      </c>
      <c r="N2619" s="11" t="s">
        <v>86</v>
      </c>
      <c r="O2619" s="11" t="s">
        <v>71</v>
      </c>
      <c r="P2619" s="11" t="s">
        <v>14258</v>
      </c>
      <c r="Q2619" s="13" t="s">
        <v>14259</v>
      </c>
      <c r="R2619" s="14" t="str">
        <f>HYPERLINK("https://drive.google.com/file/d/1-QRbUhYInekm4EgUvV1gsYQ-AJwNV0v9/view?usp=drivesdk","OFFER LETTER")</f>
        <v>OFFER LETTER</v>
      </c>
      <c r="S2619" s="11" t="s">
        <v>14260</v>
      </c>
    </row>
    <row r="2620" ht="22.5" customHeight="1">
      <c r="A2620" s="10">
        <v>46273.0405021412</v>
      </c>
      <c r="B2620" s="11" t="s">
        <v>14261</v>
      </c>
      <c r="C2620" s="11" t="s">
        <v>80</v>
      </c>
      <c r="D2620" s="11" t="s">
        <v>68</v>
      </c>
      <c r="E2620" s="12">
        <v>46225.0</v>
      </c>
      <c r="F2620" s="12">
        <v>46256.0</v>
      </c>
      <c r="G2620" s="11" t="s">
        <v>14262</v>
      </c>
      <c r="H2620" s="11">
        <v>9.905450907E9</v>
      </c>
      <c r="I2620" s="11" t="s">
        <v>82</v>
      </c>
      <c r="J2620" s="11" t="s">
        <v>71</v>
      </c>
      <c r="K2620" s="11" t="s">
        <v>72</v>
      </c>
      <c r="L2620" s="11" t="s">
        <v>131</v>
      </c>
      <c r="M2620" s="11" t="s">
        <v>14263</v>
      </c>
      <c r="N2620" s="11" t="s">
        <v>155</v>
      </c>
      <c r="O2620" s="11" t="s">
        <v>71</v>
      </c>
      <c r="P2620" s="11" t="s">
        <v>14264</v>
      </c>
      <c r="Q2620" s="13" t="s">
        <v>14265</v>
      </c>
      <c r="R2620" s="14" t="str">
        <f>HYPERLINK("https://drive.google.com/file/d/1sw0njREOqHBPjO6L6Jy5V9CbRmtdS2dW/view?usp=drivesdk","OFFER LETTER")</f>
        <v>OFFER LETTER</v>
      </c>
      <c r="S2620" s="11" t="s">
        <v>14266</v>
      </c>
    </row>
    <row r="2621" ht="22.5" customHeight="1">
      <c r="A2621" s="10">
        <v>46273.05443001157</v>
      </c>
      <c r="B2621" s="11" t="s">
        <v>14267</v>
      </c>
      <c r="C2621" s="11" t="s">
        <v>173</v>
      </c>
      <c r="D2621" s="11" t="s">
        <v>68</v>
      </c>
      <c r="E2621" s="12">
        <v>46233.0</v>
      </c>
      <c r="F2621" s="12">
        <v>46265.0</v>
      </c>
      <c r="G2621" s="11" t="s">
        <v>14268</v>
      </c>
      <c r="H2621" s="11">
        <v>9.832381878E9</v>
      </c>
      <c r="I2621" s="11" t="s">
        <v>82</v>
      </c>
      <c r="J2621" s="11" t="s">
        <v>130</v>
      </c>
      <c r="K2621" s="11" t="s">
        <v>72</v>
      </c>
      <c r="L2621" s="11" t="s">
        <v>84</v>
      </c>
      <c r="M2621" s="11" t="s">
        <v>886</v>
      </c>
      <c r="N2621" s="11" t="s">
        <v>86</v>
      </c>
      <c r="O2621" s="11" t="s">
        <v>71</v>
      </c>
      <c r="P2621" s="11" t="s">
        <v>14269</v>
      </c>
      <c r="Q2621" s="13" t="s">
        <v>14270</v>
      </c>
      <c r="R2621" s="14" t="str">
        <f>HYPERLINK("https://drive.google.com/file/d/1PQ1S-bQMEJdYr1Qgt8sqGZbGQeLtH4K4/view?usp=drivesdk","OFFER LETTER")</f>
        <v>OFFER LETTER</v>
      </c>
      <c r="S2621" s="11" t="s">
        <v>14271</v>
      </c>
    </row>
    <row r="2622" ht="22.5" customHeight="1">
      <c r="A2622" s="10">
        <v>46273.12241564815</v>
      </c>
      <c r="B2622" s="11" t="s">
        <v>14272</v>
      </c>
      <c r="C2622" s="11" t="s">
        <v>354</v>
      </c>
      <c r="D2622" s="11" t="s">
        <v>108</v>
      </c>
      <c r="E2622" s="12">
        <v>46273.0</v>
      </c>
      <c r="F2622" s="12">
        <v>46332.0</v>
      </c>
      <c r="G2622" s="11" t="s">
        <v>14273</v>
      </c>
      <c r="H2622" s="11">
        <v>7.822087634E9</v>
      </c>
      <c r="I2622" s="11" t="s">
        <v>82</v>
      </c>
      <c r="J2622" s="11" t="s">
        <v>130</v>
      </c>
      <c r="K2622" s="11" t="s">
        <v>356</v>
      </c>
      <c r="L2622" s="11" t="s">
        <v>84</v>
      </c>
      <c r="M2622" s="11" t="s">
        <v>14274</v>
      </c>
      <c r="N2622" s="11" t="s">
        <v>86</v>
      </c>
      <c r="O2622" s="11" t="s">
        <v>71</v>
      </c>
      <c r="P2622" s="11" t="s">
        <v>14275</v>
      </c>
      <c r="Q2622" s="13" t="s">
        <v>14276</v>
      </c>
      <c r="R2622" s="14" t="str">
        <f>HYPERLINK("https://drive.google.com/file/d/1o_hhbhvj68xJhpN0BSBsWsEgF59vpOUn/view?usp=drivesdk","OFFER LETTER")</f>
        <v>OFFER LETTER</v>
      </c>
      <c r="S2622" s="11" t="s">
        <v>14277</v>
      </c>
    </row>
    <row r="2623" ht="22.5" customHeight="1">
      <c r="A2623" s="10">
        <v>46273.13372222222</v>
      </c>
      <c r="B2623" s="11" t="s">
        <v>14278</v>
      </c>
      <c r="C2623" s="11" t="s">
        <v>80</v>
      </c>
      <c r="D2623" s="11" t="s">
        <v>68</v>
      </c>
      <c r="E2623" s="12">
        <v>46273.0</v>
      </c>
      <c r="F2623" s="12">
        <v>46303.0</v>
      </c>
      <c r="G2623" s="11" t="s">
        <v>14279</v>
      </c>
      <c r="H2623" s="11">
        <v>6.202687994E9</v>
      </c>
      <c r="I2623" s="11" t="s">
        <v>82</v>
      </c>
      <c r="K2623" s="11" t="s">
        <v>72</v>
      </c>
      <c r="L2623" s="11" t="s">
        <v>73</v>
      </c>
      <c r="M2623" s="11" t="s">
        <v>14280</v>
      </c>
      <c r="N2623" s="11" t="s">
        <v>86</v>
      </c>
      <c r="O2623" s="11" t="s">
        <v>71</v>
      </c>
      <c r="P2623" s="11" t="s">
        <v>14281</v>
      </c>
      <c r="Q2623" s="13" t="s">
        <v>14282</v>
      </c>
      <c r="R2623" s="14" t="str">
        <f>HYPERLINK("https://drive.google.com/file/d/19VeP13bvdnkhpDBH8kTV54qyk2LYNtTG/view?usp=drivesdk","OFFER LETTER")</f>
        <v>OFFER LETTER</v>
      </c>
      <c r="S2623" s="11" t="s">
        <v>14283</v>
      </c>
    </row>
    <row r="2624" ht="22.5" customHeight="1">
      <c r="A2624" s="10">
        <v>46273.16599436343</v>
      </c>
      <c r="B2624" s="11" t="s">
        <v>14284</v>
      </c>
      <c r="C2624" s="11" t="s">
        <v>128</v>
      </c>
      <c r="D2624" s="11" t="s">
        <v>68</v>
      </c>
      <c r="E2624" s="12">
        <v>46266.0</v>
      </c>
      <c r="F2624" s="12">
        <v>46295.0</v>
      </c>
      <c r="G2624" s="11" t="s">
        <v>14285</v>
      </c>
      <c r="H2624" s="11">
        <v>8.30583383E9</v>
      </c>
      <c r="I2624" s="11" t="s">
        <v>70</v>
      </c>
      <c r="J2624" s="11" t="s">
        <v>71</v>
      </c>
      <c r="K2624" s="11" t="s">
        <v>72</v>
      </c>
      <c r="L2624" s="11" t="s">
        <v>73</v>
      </c>
      <c r="M2624" s="11" t="s">
        <v>14286</v>
      </c>
      <c r="N2624" s="11" t="s">
        <v>241</v>
      </c>
      <c r="O2624" s="11" t="s">
        <v>71</v>
      </c>
      <c r="P2624" s="11" t="s">
        <v>14287</v>
      </c>
      <c r="Q2624" s="13" t="s">
        <v>14288</v>
      </c>
      <c r="R2624" s="14" t="str">
        <f>HYPERLINK("https://drive.google.com/file/d/1pevJnC1Pqku9lSwlCmxomqtOZFuqnkkr/view?usp=drivesdk","OFFER LETTER")</f>
        <v>OFFER LETTER</v>
      </c>
      <c r="S2624" s="11" t="s">
        <v>14289</v>
      </c>
    </row>
    <row r="2625" ht="22.5" customHeight="1">
      <c r="A2625" s="10">
        <v>46273.23633876158</v>
      </c>
      <c r="B2625" s="11" t="s">
        <v>14290</v>
      </c>
      <c r="C2625" s="11" t="s">
        <v>67</v>
      </c>
      <c r="D2625" s="11" t="s">
        <v>1507</v>
      </c>
      <c r="E2625" s="12">
        <v>46145.0</v>
      </c>
      <c r="F2625" s="12">
        <v>46269.0</v>
      </c>
      <c r="G2625" s="11" t="s">
        <v>14291</v>
      </c>
      <c r="H2625" s="11">
        <v>9.997413808E9</v>
      </c>
      <c r="I2625" s="11" t="s">
        <v>82</v>
      </c>
      <c r="J2625" s="11" t="s">
        <v>83</v>
      </c>
      <c r="K2625" s="11" t="s">
        <v>72</v>
      </c>
      <c r="L2625" s="11" t="s">
        <v>247</v>
      </c>
      <c r="M2625" s="11" t="s">
        <v>14292</v>
      </c>
      <c r="N2625" s="11" t="s">
        <v>47</v>
      </c>
      <c r="O2625" s="11" t="s">
        <v>130</v>
      </c>
      <c r="P2625" s="11" t="s">
        <v>14293</v>
      </c>
      <c r="Q2625" s="13" t="s">
        <v>14294</v>
      </c>
      <c r="R2625" s="14" t="str">
        <f>HYPERLINK("https://drive.google.com/file/d/1rZxsXn7wtvHZ8RaF8ifJH-GVb7CGlp95/view?usp=drivesdk","OFFER LETTER")</f>
        <v>OFFER LETTER</v>
      </c>
      <c r="S2625" s="11" t="s">
        <v>14295</v>
      </c>
    </row>
    <row r="2626" ht="22.5" customHeight="1">
      <c r="A2626" s="10">
        <v>46273.27799905093</v>
      </c>
      <c r="B2626" s="11" t="s">
        <v>14296</v>
      </c>
      <c r="C2626" s="11" t="s">
        <v>107</v>
      </c>
      <c r="D2626" s="11" t="s">
        <v>68</v>
      </c>
      <c r="E2626" s="12">
        <v>46273.0</v>
      </c>
      <c r="F2626" s="12">
        <v>46303.0</v>
      </c>
      <c r="G2626" s="11" t="s">
        <v>14297</v>
      </c>
      <c r="H2626" s="11">
        <v>9.035217638E9</v>
      </c>
      <c r="I2626" s="11" t="s">
        <v>82</v>
      </c>
      <c r="J2626" s="11" t="s">
        <v>71</v>
      </c>
      <c r="K2626" s="11" t="s">
        <v>72</v>
      </c>
      <c r="L2626" s="11" t="s">
        <v>73</v>
      </c>
      <c r="M2626" s="11" t="s">
        <v>14298</v>
      </c>
      <c r="N2626" s="11" t="s">
        <v>75</v>
      </c>
      <c r="O2626" s="11" t="s">
        <v>71</v>
      </c>
      <c r="P2626" s="11" t="s">
        <v>14299</v>
      </c>
      <c r="Q2626" s="13" t="s">
        <v>14300</v>
      </c>
      <c r="R2626" s="14" t="str">
        <f>HYPERLINK("https://drive.google.com/file/d/1ahDYVIUnElJXxlsTp9cyGRJnshyJIQo2/view?usp=drivesdk","OFFER LETTER")</f>
        <v>OFFER LETTER</v>
      </c>
      <c r="S2626" s="11" t="s">
        <v>14301</v>
      </c>
    </row>
    <row r="2627" ht="22.5" customHeight="1">
      <c r="A2627" s="10">
        <v>46273.287516111115</v>
      </c>
      <c r="B2627" s="11" t="s">
        <v>14302</v>
      </c>
      <c r="C2627" s="11" t="s">
        <v>1320</v>
      </c>
      <c r="D2627" s="11" t="s">
        <v>238</v>
      </c>
      <c r="E2627" s="12">
        <v>46239.0</v>
      </c>
      <c r="F2627" s="12">
        <v>46330.0</v>
      </c>
      <c r="G2627" s="11" t="s">
        <v>14303</v>
      </c>
      <c r="H2627" s="11">
        <v>8.42960117E9</v>
      </c>
      <c r="I2627" s="11" t="s">
        <v>82</v>
      </c>
      <c r="J2627" s="11" t="s">
        <v>71</v>
      </c>
      <c r="K2627" s="11" t="s">
        <v>72</v>
      </c>
      <c r="L2627" s="11" t="s">
        <v>131</v>
      </c>
      <c r="M2627" s="11" t="s">
        <v>14304</v>
      </c>
      <c r="N2627" s="11" t="s">
        <v>655</v>
      </c>
      <c r="O2627" s="11" t="s">
        <v>71</v>
      </c>
      <c r="P2627" s="11" t="s">
        <v>14305</v>
      </c>
      <c r="Q2627" s="13" t="s">
        <v>14306</v>
      </c>
      <c r="R2627" s="14" t="str">
        <f>HYPERLINK("https://drive.google.com/file/d/13JfaX5R27ae-vR6l92qflEsQg_zNqa46/view?usp=drivesdk","OFFER LETTER")</f>
        <v>OFFER LETTER</v>
      </c>
      <c r="S2627" s="11" t="s">
        <v>14307</v>
      </c>
    </row>
    <row r="2628" ht="22.5" customHeight="1">
      <c r="A2628" s="10">
        <v>46273.290687280096</v>
      </c>
      <c r="B2628" s="11" t="s">
        <v>14302</v>
      </c>
      <c r="C2628" s="11" t="s">
        <v>1320</v>
      </c>
      <c r="D2628" s="11" t="s">
        <v>238</v>
      </c>
      <c r="E2628" s="12">
        <v>46239.0</v>
      </c>
      <c r="F2628" s="12">
        <v>46330.0</v>
      </c>
      <c r="G2628" s="11" t="s">
        <v>14303</v>
      </c>
      <c r="H2628" s="11">
        <v>8.42960117E9</v>
      </c>
      <c r="I2628" s="11" t="s">
        <v>82</v>
      </c>
      <c r="J2628" s="11" t="s">
        <v>71</v>
      </c>
      <c r="K2628" s="11" t="s">
        <v>72</v>
      </c>
      <c r="L2628" s="11" t="s">
        <v>131</v>
      </c>
      <c r="M2628" s="11" t="s">
        <v>14304</v>
      </c>
      <c r="N2628" s="11" t="s">
        <v>655</v>
      </c>
      <c r="O2628" s="11" t="s">
        <v>71</v>
      </c>
      <c r="P2628" s="11" t="s">
        <v>14308</v>
      </c>
      <c r="Q2628" s="13" t="s">
        <v>14309</v>
      </c>
      <c r="R2628" s="14" t="str">
        <f>HYPERLINK("https://drive.google.com/file/d/1pIDPUSkAJVDy8RxEbIBenhFRvIPM7709/view?usp=drivesdk","OFFER LETTER")</f>
        <v>OFFER LETTER</v>
      </c>
      <c r="S2628" s="11" t="s">
        <v>14310</v>
      </c>
    </row>
    <row r="2629" ht="22.5" customHeight="1">
      <c r="A2629" s="10">
        <v>46273.29289247685</v>
      </c>
      <c r="B2629" s="11" t="s">
        <v>14302</v>
      </c>
      <c r="C2629" s="11" t="s">
        <v>1320</v>
      </c>
      <c r="D2629" s="11" t="s">
        <v>238</v>
      </c>
      <c r="E2629" s="12">
        <v>46273.0</v>
      </c>
      <c r="F2629" s="12">
        <v>46364.0</v>
      </c>
      <c r="G2629" s="11" t="s">
        <v>14303</v>
      </c>
      <c r="H2629" s="11">
        <v>8.42960117E9</v>
      </c>
      <c r="I2629" s="11" t="s">
        <v>82</v>
      </c>
      <c r="J2629" s="11" t="s">
        <v>71</v>
      </c>
      <c r="K2629" s="11" t="s">
        <v>72</v>
      </c>
      <c r="L2629" s="11" t="s">
        <v>131</v>
      </c>
      <c r="M2629" s="11" t="s">
        <v>14304</v>
      </c>
      <c r="N2629" s="11" t="s">
        <v>655</v>
      </c>
      <c r="O2629" s="11" t="s">
        <v>71</v>
      </c>
      <c r="P2629" s="11" t="s">
        <v>14311</v>
      </c>
      <c r="Q2629" s="13" t="s">
        <v>14312</v>
      </c>
      <c r="R2629" s="14" t="str">
        <f>HYPERLINK("https://drive.google.com/file/d/1E2oatSGHtKMaanT63Q_UYp3aWsq-E94m/view?usp=drivesdk","OFFER LETTER")</f>
        <v>OFFER LETTER</v>
      </c>
      <c r="S2629" s="11" t="s">
        <v>14313</v>
      </c>
    </row>
    <row r="2630" ht="22.5" customHeight="1">
      <c r="A2630" s="10">
        <v>46273.29754630787</v>
      </c>
      <c r="B2630" s="11" t="s">
        <v>14302</v>
      </c>
      <c r="C2630" s="11" t="s">
        <v>1320</v>
      </c>
      <c r="D2630" s="11" t="s">
        <v>238</v>
      </c>
      <c r="E2630" s="12">
        <v>46239.0</v>
      </c>
      <c r="F2630" s="12">
        <v>46331.0</v>
      </c>
      <c r="G2630" s="11" t="s">
        <v>14303</v>
      </c>
      <c r="H2630" s="11">
        <v>8.42960117E9</v>
      </c>
      <c r="I2630" s="11" t="s">
        <v>82</v>
      </c>
      <c r="J2630" s="11" t="s">
        <v>71</v>
      </c>
      <c r="K2630" s="11" t="s">
        <v>72</v>
      </c>
      <c r="L2630" s="11" t="s">
        <v>131</v>
      </c>
      <c r="M2630" s="11" t="s">
        <v>14304</v>
      </c>
      <c r="N2630" s="11" t="s">
        <v>655</v>
      </c>
      <c r="O2630" s="11" t="s">
        <v>71</v>
      </c>
      <c r="P2630" s="11" t="s">
        <v>14314</v>
      </c>
      <c r="Q2630" s="13" t="s">
        <v>14315</v>
      </c>
      <c r="R2630" s="14" t="str">
        <f>HYPERLINK("https://drive.google.com/file/d/1N_3sfmHk0GPQh8-IGJgdpT7xETGhYypR/view?usp=drivesdk","OFFER LETTER")</f>
        <v>OFFER LETTER</v>
      </c>
      <c r="S2630" s="11" t="s">
        <v>14316</v>
      </c>
    </row>
    <row r="2631" ht="22.5" customHeight="1">
      <c r="A2631" s="10">
        <v>46273.33120123843</v>
      </c>
      <c r="B2631" s="11" t="s">
        <v>14317</v>
      </c>
      <c r="C2631" s="11" t="s">
        <v>128</v>
      </c>
      <c r="D2631" s="11" t="s">
        <v>68</v>
      </c>
      <c r="E2631" s="12">
        <v>46273.0</v>
      </c>
      <c r="F2631" s="12">
        <v>46304.0</v>
      </c>
      <c r="G2631" s="11" t="s">
        <v>14318</v>
      </c>
      <c r="H2631" s="11">
        <v>9.005353262E9</v>
      </c>
      <c r="I2631" s="11" t="s">
        <v>82</v>
      </c>
      <c r="J2631" s="11" t="s">
        <v>71</v>
      </c>
      <c r="K2631" s="11" t="s">
        <v>72</v>
      </c>
      <c r="L2631" s="11" t="s">
        <v>84</v>
      </c>
      <c r="M2631" s="11" t="s">
        <v>4915</v>
      </c>
      <c r="N2631" s="11" t="s">
        <v>86</v>
      </c>
      <c r="O2631" s="11" t="s">
        <v>71</v>
      </c>
      <c r="P2631" s="11" t="s">
        <v>14319</v>
      </c>
      <c r="Q2631" s="13" t="s">
        <v>14320</v>
      </c>
      <c r="R2631" s="14" t="str">
        <f>HYPERLINK("https://drive.google.com/file/d/1-ieXsXpfYg3aT-U83iPiP5k5HfmGlTQ4/view?usp=drivesdk","OFFER LETTER")</f>
        <v>OFFER LETTER</v>
      </c>
      <c r="S2631" s="11" t="s">
        <v>14321</v>
      </c>
    </row>
    <row r="2632" ht="22.5" customHeight="1">
      <c r="A2632" s="10">
        <v>46273.370287638885</v>
      </c>
      <c r="B2632" s="11" t="s">
        <v>14322</v>
      </c>
      <c r="C2632" s="11" t="s">
        <v>354</v>
      </c>
      <c r="D2632" s="11" t="s">
        <v>68</v>
      </c>
      <c r="E2632" s="12">
        <v>46193.0</v>
      </c>
      <c r="F2632" s="12">
        <v>46223.0</v>
      </c>
      <c r="G2632" s="11" t="s">
        <v>14323</v>
      </c>
      <c r="H2632" s="11">
        <v>7.678350352E9</v>
      </c>
      <c r="I2632" s="11" t="s">
        <v>82</v>
      </c>
      <c r="J2632" s="11" t="s">
        <v>71</v>
      </c>
      <c r="K2632" s="11" t="s">
        <v>72</v>
      </c>
      <c r="L2632" s="11" t="s">
        <v>131</v>
      </c>
      <c r="M2632" s="11" t="s">
        <v>4007</v>
      </c>
      <c r="N2632" s="11" t="s">
        <v>198</v>
      </c>
      <c r="O2632" s="11" t="s">
        <v>71</v>
      </c>
      <c r="P2632" s="11" t="s">
        <v>14324</v>
      </c>
      <c r="Q2632" s="13" t="s">
        <v>14325</v>
      </c>
      <c r="R2632" s="14" t="str">
        <f>HYPERLINK("https://drive.google.com/file/d/1lTdOb3HnaSow4q4qujaTwpPqAgM_ZLiw/view?usp=drivesdk","OFFER LETTER")</f>
        <v>OFFER LETTER</v>
      </c>
      <c r="S2632" s="11" t="s">
        <v>14326</v>
      </c>
    </row>
    <row r="2633" ht="22.5" customHeight="1">
      <c r="A2633" s="10">
        <v>46273.381345671296</v>
      </c>
      <c r="B2633" s="11" t="s">
        <v>14327</v>
      </c>
      <c r="C2633" s="11" t="s">
        <v>107</v>
      </c>
      <c r="D2633" s="11" t="s">
        <v>68</v>
      </c>
      <c r="E2633" s="12">
        <v>46240.0</v>
      </c>
      <c r="F2633" s="12">
        <v>46273.0</v>
      </c>
      <c r="G2633" s="11" t="s">
        <v>14328</v>
      </c>
      <c r="H2633" s="17" t="s">
        <v>14329</v>
      </c>
      <c r="I2633" s="11" t="s">
        <v>82</v>
      </c>
      <c r="J2633" s="11" t="s">
        <v>71</v>
      </c>
      <c r="K2633" s="11" t="s">
        <v>72</v>
      </c>
      <c r="L2633" s="11" t="s">
        <v>73</v>
      </c>
      <c r="M2633" s="11" t="s">
        <v>14330</v>
      </c>
      <c r="N2633" s="11" t="s">
        <v>86</v>
      </c>
      <c r="O2633" s="11" t="s">
        <v>71</v>
      </c>
      <c r="P2633" s="11" t="s">
        <v>14331</v>
      </c>
      <c r="Q2633" s="13" t="s">
        <v>14332</v>
      </c>
      <c r="R2633" s="14" t="str">
        <f>HYPERLINK("https://drive.google.com/file/d/15dyl6BVziB429M43FqhXEb2hBMM0Ylxk/view?usp=drivesdk","OFFER LETTER")</f>
        <v>OFFER LETTER</v>
      </c>
      <c r="S2633" s="11" t="s">
        <v>14333</v>
      </c>
    </row>
    <row r="2634" ht="22.5" customHeight="1">
      <c r="A2634" s="10">
        <v>46273.38650219908</v>
      </c>
      <c r="B2634" s="11" t="s">
        <v>14334</v>
      </c>
      <c r="C2634" s="11" t="s">
        <v>195</v>
      </c>
      <c r="D2634" s="11" t="s">
        <v>108</v>
      </c>
      <c r="E2634" s="12">
        <v>46209.0</v>
      </c>
      <c r="F2634" s="12">
        <v>46271.0</v>
      </c>
      <c r="G2634" s="11" t="s">
        <v>14335</v>
      </c>
      <c r="H2634" s="11">
        <v>9.347970352E9</v>
      </c>
      <c r="I2634" s="11" t="s">
        <v>82</v>
      </c>
      <c r="J2634" s="11" t="s">
        <v>71</v>
      </c>
      <c r="K2634" s="11" t="s">
        <v>72</v>
      </c>
      <c r="L2634" s="11" t="s">
        <v>73</v>
      </c>
      <c r="M2634" s="11" t="s">
        <v>4795</v>
      </c>
      <c r="N2634" s="11" t="s">
        <v>86</v>
      </c>
      <c r="O2634" s="11" t="s">
        <v>71</v>
      </c>
      <c r="P2634" s="11" t="s">
        <v>14336</v>
      </c>
      <c r="Q2634" s="13" t="s">
        <v>14337</v>
      </c>
      <c r="R2634" s="14" t="str">
        <f>HYPERLINK("https://drive.google.com/file/d/1zbUfrM-k8CQzvDXq228RjC5C6yQRxMUv/view?usp=drivesdk","OFFER LETTER")</f>
        <v>OFFER LETTER</v>
      </c>
      <c r="S2634" s="11" t="s">
        <v>14338</v>
      </c>
    </row>
    <row r="2635" ht="22.5" customHeight="1">
      <c r="A2635" s="10">
        <v>46273.399123483796</v>
      </c>
      <c r="B2635" s="11" t="s">
        <v>14339</v>
      </c>
      <c r="C2635" s="11" t="s">
        <v>128</v>
      </c>
      <c r="D2635" s="11" t="s">
        <v>108</v>
      </c>
      <c r="E2635" s="12">
        <v>46174.0</v>
      </c>
      <c r="F2635" s="12">
        <v>46235.0</v>
      </c>
      <c r="G2635" s="11" t="s">
        <v>14340</v>
      </c>
      <c r="H2635" s="11">
        <v>8.467905515E9</v>
      </c>
      <c r="I2635" s="11" t="s">
        <v>82</v>
      </c>
      <c r="J2635" s="11" t="s">
        <v>71</v>
      </c>
      <c r="K2635" s="11" t="s">
        <v>1028</v>
      </c>
      <c r="L2635" s="11" t="s">
        <v>73</v>
      </c>
      <c r="M2635" s="11" t="s">
        <v>14341</v>
      </c>
      <c r="N2635" s="11" t="s">
        <v>226</v>
      </c>
      <c r="O2635" s="11" t="s">
        <v>71</v>
      </c>
      <c r="P2635" s="11" t="s">
        <v>14342</v>
      </c>
      <c r="Q2635" s="13" t="s">
        <v>14343</v>
      </c>
      <c r="R2635" s="14" t="str">
        <f>HYPERLINK("https://drive.google.com/file/d/1W6VV1HC0neiHQGJVvYwBAYmmvBek6m06/view?usp=drivesdk","OFFER LETTER")</f>
        <v>OFFER LETTER</v>
      </c>
      <c r="S2635" s="11" t="s">
        <v>14344</v>
      </c>
    </row>
    <row r="2636" ht="22.5" customHeight="1">
      <c r="A2636" s="10">
        <v>46273.401251041665</v>
      </c>
      <c r="B2636" s="11" t="s">
        <v>14345</v>
      </c>
      <c r="C2636" s="11" t="s">
        <v>259</v>
      </c>
      <c r="D2636" s="11" t="s">
        <v>68</v>
      </c>
      <c r="E2636" s="12">
        <v>46273.0</v>
      </c>
      <c r="F2636" s="12">
        <v>46303.0</v>
      </c>
      <c r="G2636" s="11" t="s">
        <v>14346</v>
      </c>
      <c r="H2636" s="11">
        <v>9.166244703E9</v>
      </c>
      <c r="I2636" s="11" t="s">
        <v>70</v>
      </c>
      <c r="J2636" s="11" t="s">
        <v>71</v>
      </c>
      <c r="K2636" s="11" t="s">
        <v>110</v>
      </c>
      <c r="L2636" s="11" t="s">
        <v>73</v>
      </c>
      <c r="M2636" s="11" t="s">
        <v>14347</v>
      </c>
      <c r="N2636" s="11" t="s">
        <v>11932</v>
      </c>
      <c r="O2636" s="11" t="s">
        <v>71</v>
      </c>
      <c r="P2636" s="11" t="s">
        <v>14348</v>
      </c>
      <c r="Q2636" s="13" t="s">
        <v>14349</v>
      </c>
      <c r="R2636" s="14" t="str">
        <f>HYPERLINK("https://drive.google.com/file/d/1hSQz8bMJfeMjlIuqKKFeMoQ_NnBoDTa-/view?usp=drivesdk","OFFER LETTER")</f>
        <v>OFFER LETTER</v>
      </c>
      <c r="S2636" s="11" t="s">
        <v>14350</v>
      </c>
    </row>
    <row r="2637" ht="22.5" customHeight="1">
      <c r="A2637" s="10">
        <v>46273.40788349537</v>
      </c>
      <c r="B2637" s="11" t="s">
        <v>14351</v>
      </c>
      <c r="C2637" s="11" t="s">
        <v>195</v>
      </c>
      <c r="D2637" s="11" t="s">
        <v>68</v>
      </c>
      <c r="E2637" s="12">
        <v>46281.0</v>
      </c>
      <c r="F2637" s="12">
        <v>46311.0</v>
      </c>
      <c r="G2637" s="11" t="s">
        <v>14352</v>
      </c>
      <c r="H2637" s="11">
        <v>9.581396301E9</v>
      </c>
      <c r="I2637" s="11" t="s">
        <v>70</v>
      </c>
      <c r="J2637" s="11" t="s">
        <v>71</v>
      </c>
      <c r="K2637" s="11" t="s">
        <v>72</v>
      </c>
      <c r="L2637" s="11" t="s">
        <v>73</v>
      </c>
      <c r="M2637" s="11" t="s">
        <v>14353</v>
      </c>
      <c r="N2637" s="11" t="s">
        <v>219</v>
      </c>
      <c r="O2637" s="11" t="s">
        <v>71</v>
      </c>
      <c r="P2637" s="11" t="s">
        <v>14354</v>
      </c>
      <c r="Q2637" s="13" t="s">
        <v>14355</v>
      </c>
      <c r="R2637" s="14" t="str">
        <f>HYPERLINK("https://drive.google.com/file/d/1VfRDq8ix5TLEA_0fFfELmZBCKl0GtFPj/view?usp=drivesdk","OFFER LETTER")</f>
        <v>OFFER LETTER</v>
      </c>
      <c r="S2637" s="11" t="s">
        <v>14356</v>
      </c>
    </row>
    <row r="2638" ht="22.5" customHeight="1">
      <c r="A2638" s="10">
        <v>46273.40807611111</v>
      </c>
      <c r="B2638" s="11" t="s">
        <v>14357</v>
      </c>
      <c r="C2638" s="11" t="s">
        <v>195</v>
      </c>
      <c r="D2638" s="11" t="s">
        <v>68</v>
      </c>
      <c r="E2638" s="12">
        <v>46281.0</v>
      </c>
      <c r="F2638" s="12">
        <v>46311.0</v>
      </c>
      <c r="G2638" s="11" t="s">
        <v>14358</v>
      </c>
      <c r="H2638" s="11">
        <v>8.984134999E9</v>
      </c>
      <c r="I2638" s="11" t="s">
        <v>70</v>
      </c>
      <c r="J2638" s="11" t="s">
        <v>71</v>
      </c>
      <c r="K2638" s="11" t="s">
        <v>72</v>
      </c>
      <c r="L2638" s="11" t="s">
        <v>73</v>
      </c>
      <c r="M2638" s="11" t="s">
        <v>14359</v>
      </c>
      <c r="N2638" s="11" t="s">
        <v>219</v>
      </c>
      <c r="O2638" s="11" t="s">
        <v>71</v>
      </c>
      <c r="P2638" s="11" t="s">
        <v>14360</v>
      </c>
      <c r="Q2638" s="13" t="s">
        <v>14361</v>
      </c>
      <c r="R2638" s="14" t="str">
        <f>HYPERLINK("https://drive.google.com/file/d/14K0rDrkF15LFtEGhPgi_8AbdWDM7Ty7v/view?usp=drivesdk","OFFER LETTER")</f>
        <v>OFFER LETTER</v>
      </c>
      <c r="S2638" s="11" t="s">
        <v>14362</v>
      </c>
    </row>
    <row r="2639" ht="22.5" customHeight="1">
      <c r="A2639" s="10">
        <v>46273.419858124995</v>
      </c>
      <c r="B2639" s="11" t="s">
        <v>14363</v>
      </c>
      <c r="C2639" s="11" t="s">
        <v>173</v>
      </c>
      <c r="D2639" s="11" t="s">
        <v>68</v>
      </c>
      <c r="E2639" s="12">
        <v>46165.0</v>
      </c>
      <c r="F2639" s="12">
        <v>46196.0</v>
      </c>
      <c r="G2639" s="11" t="s">
        <v>14364</v>
      </c>
      <c r="H2639" s="17" t="s">
        <v>14365</v>
      </c>
      <c r="I2639" s="11" t="s">
        <v>82</v>
      </c>
      <c r="J2639" s="11" t="s">
        <v>71</v>
      </c>
      <c r="K2639" s="11" t="s">
        <v>72</v>
      </c>
      <c r="L2639" s="11" t="s">
        <v>131</v>
      </c>
      <c r="M2639" s="11" t="s">
        <v>14366</v>
      </c>
      <c r="N2639" s="11" t="s">
        <v>86</v>
      </c>
      <c r="O2639" s="11" t="s">
        <v>71</v>
      </c>
      <c r="P2639" s="11" t="s">
        <v>14367</v>
      </c>
      <c r="Q2639" s="13" t="s">
        <v>14368</v>
      </c>
      <c r="R2639" s="14" t="str">
        <f>HYPERLINK("https://drive.google.com/file/d/1oAl7rC3JFwzu5ibHPh1eOv6AvopABle-/view?usp=drivesdk","OFFER LETTER")</f>
        <v>OFFER LETTER</v>
      </c>
      <c r="S2639" s="11" t="s">
        <v>14369</v>
      </c>
    </row>
    <row r="2640" ht="22.5" customHeight="1">
      <c r="A2640" s="10">
        <v>46273.42299799768</v>
      </c>
      <c r="B2640" s="11" t="s">
        <v>14363</v>
      </c>
      <c r="C2640" s="11" t="s">
        <v>173</v>
      </c>
      <c r="D2640" s="11" t="s">
        <v>68</v>
      </c>
      <c r="E2640" s="12">
        <v>46174.0</v>
      </c>
      <c r="F2640" s="12">
        <v>46205.0</v>
      </c>
      <c r="G2640" s="11" t="s">
        <v>14370</v>
      </c>
      <c r="H2640" s="11">
        <v>9.546180726E9</v>
      </c>
      <c r="I2640" s="11" t="s">
        <v>82</v>
      </c>
      <c r="J2640" s="11" t="s">
        <v>71</v>
      </c>
      <c r="K2640" s="11" t="s">
        <v>72</v>
      </c>
      <c r="L2640" s="11" t="s">
        <v>84</v>
      </c>
      <c r="M2640" s="11" t="s">
        <v>9205</v>
      </c>
      <c r="N2640" s="11" t="s">
        <v>86</v>
      </c>
      <c r="O2640" s="11" t="s">
        <v>71</v>
      </c>
      <c r="P2640" s="11" t="s">
        <v>14371</v>
      </c>
      <c r="Q2640" s="13" t="s">
        <v>14372</v>
      </c>
      <c r="R2640" s="14" t="str">
        <f>HYPERLINK("https://drive.google.com/file/d/1ga5HP_cWLENbKOjKn7B6kGtASrjsq72E/view?usp=drivesdk","OFFER LETTER")</f>
        <v>OFFER LETTER</v>
      </c>
      <c r="S2640" s="11" t="s">
        <v>14373</v>
      </c>
    </row>
    <row r="2641" ht="22.5" customHeight="1">
      <c r="A2641" s="10">
        <v>46273.424499988425</v>
      </c>
      <c r="B2641" s="11" t="s">
        <v>14374</v>
      </c>
      <c r="C2641" s="11" t="s">
        <v>195</v>
      </c>
      <c r="D2641" s="11" t="s">
        <v>68</v>
      </c>
      <c r="E2641" s="12">
        <v>46275.0</v>
      </c>
      <c r="F2641" s="12">
        <v>46305.0</v>
      </c>
      <c r="G2641" s="11" t="s">
        <v>14375</v>
      </c>
      <c r="H2641" s="11">
        <v>6.28147707E9</v>
      </c>
      <c r="I2641" s="11" t="s">
        <v>70</v>
      </c>
      <c r="J2641" s="11" t="s">
        <v>83</v>
      </c>
      <c r="K2641" s="11" t="s">
        <v>72</v>
      </c>
      <c r="L2641" s="11" t="s">
        <v>131</v>
      </c>
      <c r="M2641" s="11" t="s">
        <v>2369</v>
      </c>
      <c r="N2641" s="11" t="s">
        <v>155</v>
      </c>
      <c r="O2641" s="11" t="s">
        <v>71</v>
      </c>
      <c r="P2641" s="11" t="s">
        <v>14376</v>
      </c>
      <c r="Q2641" s="13" t="s">
        <v>14377</v>
      </c>
      <c r="R2641" s="14" t="str">
        <f>HYPERLINK("https://drive.google.com/file/d/1PlRuT2-ZBXLFTAwSfAdDTMa_nAAOFZ_e/view?usp=drivesdk","OFFER LETTER")</f>
        <v>OFFER LETTER</v>
      </c>
      <c r="S2641" s="11" t="s">
        <v>14378</v>
      </c>
    </row>
    <row r="2642" ht="22.5" customHeight="1">
      <c r="A2642" s="10">
        <v>46273.42854732639</v>
      </c>
      <c r="B2642" s="11" t="s">
        <v>14363</v>
      </c>
      <c r="C2642" s="11" t="s">
        <v>173</v>
      </c>
      <c r="D2642" s="11" t="s">
        <v>68</v>
      </c>
      <c r="E2642" s="12">
        <v>46174.0</v>
      </c>
      <c r="F2642" s="12">
        <v>46205.0</v>
      </c>
      <c r="G2642" s="11" t="s">
        <v>14370</v>
      </c>
      <c r="H2642" s="11">
        <v>9.546180726E9</v>
      </c>
      <c r="I2642" s="11" t="s">
        <v>82</v>
      </c>
      <c r="J2642" s="11" t="s">
        <v>71</v>
      </c>
      <c r="K2642" s="11" t="s">
        <v>72</v>
      </c>
      <c r="L2642" s="11" t="s">
        <v>84</v>
      </c>
      <c r="M2642" s="11" t="s">
        <v>9205</v>
      </c>
      <c r="N2642" s="11" t="s">
        <v>86</v>
      </c>
      <c r="O2642" s="11" t="s">
        <v>71</v>
      </c>
      <c r="P2642" s="11" t="s">
        <v>14379</v>
      </c>
      <c r="Q2642" s="13" t="s">
        <v>14380</v>
      </c>
      <c r="R2642" s="14" t="str">
        <f>HYPERLINK("https://drive.google.com/file/d/1G0_3Q3GqauhHDqKk-y0EkTl9UjDFqs7F/view?usp=drivesdk","OFFER LETTER")</f>
        <v>OFFER LETTER</v>
      </c>
      <c r="S2642" s="11" t="s">
        <v>14381</v>
      </c>
    </row>
    <row r="2643" ht="22.5" customHeight="1">
      <c r="A2643" s="10">
        <v>46273.43039520833</v>
      </c>
      <c r="B2643" s="11" t="s">
        <v>14382</v>
      </c>
      <c r="C2643" s="11" t="s">
        <v>107</v>
      </c>
      <c r="D2643" s="11" t="s">
        <v>68</v>
      </c>
      <c r="E2643" s="12">
        <v>46275.0</v>
      </c>
      <c r="F2643" s="12">
        <v>46305.0</v>
      </c>
      <c r="G2643" s="11" t="s">
        <v>14383</v>
      </c>
      <c r="H2643" s="11">
        <v>8.01006435E9</v>
      </c>
      <c r="I2643" s="11" t="s">
        <v>82</v>
      </c>
      <c r="J2643" s="11" t="s">
        <v>71</v>
      </c>
      <c r="K2643" s="13" t="s">
        <v>443</v>
      </c>
      <c r="L2643" s="11" t="s">
        <v>247</v>
      </c>
      <c r="M2643" s="11" t="s">
        <v>14384</v>
      </c>
      <c r="N2643" s="11" t="s">
        <v>241</v>
      </c>
      <c r="O2643" s="11" t="s">
        <v>71</v>
      </c>
      <c r="P2643" s="11" t="s">
        <v>14385</v>
      </c>
      <c r="Q2643" s="13" t="s">
        <v>14386</v>
      </c>
      <c r="R2643" s="14" t="str">
        <f>HYPERLINK("https://drive.google.com/file/d/17o1Snjn0xY9Dl7VtSfJpfdpTxcrl9aFc/view?usp=drivesdk","OFFER LETTER")</f>
        <v>OFFER LETTER</v>
      </c>
      <c r="S2643" s="11" t="s">
        <v>14387</v>
      </c>
    </row>
    <row r="2644" ht="22.5" customHeight="1">
      <c r="A2644" s="10">
        <v>46273.43557425926</v>
      </c>
      <c r="B2644" s="11" t="s">
        <v>14388</v>
      </c>
      <c r="C2644" s="11" t="s">
        <v>128</v>
      </c>
      <c r="D2644" s="11" t="s">
        <v>108</v>
      </c>
      <c r="E2644" s="12">
        <v>46244.0</v>
      </c>
      <c r="F2644" s="12">
        <v>46305.0</v>
      </c>
      <c r="G2644" s="11" t="s">
        <v>14389</v>
      </c>
      <c r="H2644" s="11">
        <v>9.027173485E9</v>
      </c>
      <c r="I2644" s="11" t="s">
        <v>82</v>
      </c>
      <c r="J2644" s="11" t="s">
        <v>71</v>
      </c>
      <c r="K2644" s="11" t="s">
        <v>110</v>
      </c>
      <c r="L2644" s="11" t="s">
        <v>73</v>
      </c>
      <c r="M2644" s="11" t="s">
        <v>14390</v>
      </c>
      <c r="N2644" s="11" t="s">
        <v>86</v>
      </c>
      <c r="O2644" s="11" t="s">
        <v>71</v>
      </c>
      <c r="P2644" s="11" t="s">
        <v>14391</v>
      </c>
      <c r="Q2644" s="13" t="s">
        <v>14392</v>
      </c>
      <c r="R2644" s="14" t="str">
        <f>HYPERLINK("https://drive.google.com/file/d/1xMFBN2cuhayCKA3EHaW8ILOKVsmkFZ1R/view?usp=drivesdk","OFFER LETTER")</f>
        <v>OFFER LETTER</v>
      </c>
      <c r="S2644" s="11" t="s">
        <v>14393</v>
      </c>
    </row>
    <row r="2645" ht="22.5" customHeight="1">
      <c r="A2645" s="10">
        <v>46273.43602784722</v>
      </c>
      <c r="B2645" s="11" t="s">
        <v>14394</v>
      </c>
      <c r="C2645" s="11" t="s">
        <v>128</v>
      </c>
      <c r="D2645" s="11" t="s">
        <v>68</v>
      </c>
      <c r="E2645" s="12">
        <v>46273.0</v>
      </c>
      <c r="F2645" s="12">
        <v>46303.0</v>
      </c>
      <c r="G2645" s="11" t="s">
        <v>14395</v>
      </c>
      <c r="H2645" s="11">
        <v>7.061763324E9</v>
      </c>
      <c r="I2645" s="11" t="s">
        <v>70</v>
      </c>
      <c r="J2645" s="11" t="s">
        <v>71</v>
      </c>
      <c r="K2645" s="11" t="s">
        <v>72</v>
      </c>
      <c r="L2645" s="11" t="s">
        <v>84</v>
      </c>
      <c r="M2645" s="11" t="s">
        <v>9205</v>
      </c>
      <c r="N2645" s="11" t="s">
        <v>47</v>
      </c>
      <c r="O2645" s="11" t="s">
        <v>71</v>
      </c>
      <c r="P2645" s="11" t="s">
        <v>14396</v>
      </c>
      <c r="Q2645" s="13" t="s">
        <v>14397</v>
      </c>
      <c r="R2645" s="14" t="str">
        <f>HYPERLINK("https://drive.google.com/file/d/1ni28tGgGur4RsFrbOJDLDUYhtgxRa8i5/view?usp=drivesdk","OFFER LETTER")</f>
        <v>OFFER LETTER</v>
      </c>
      <c r="S2645" s="11" t="s">
        <v>14398</v>
      </c>
    </row>
    <row r="2646" ht="22.5" customHeight="1">
      <c r="A2646" s="10">
        <v>46273.441768680554</v>
      </c>
      <c r="B2646" s="11" t="s">
        <v>14399</v>
      </c>
      <c r="C2646" s="11" t="s">
        <v>128</v>
      </c>
      <c r="D2646" s="11" t="s">
        <v>68</v>
      </c>
      <c r="E2646" s="12">
        <v>46177.0</v>
      </c>
      <c r="F2646" s="12">
        <v>46207.0</v>
      </c>
      <c r="G2646" s="11" t="s">
        <v>14400</v>
      </c>
      <c r="H2646" s="17" t="s">
        <v>14401</v>
      </c>
      <c r="I2646" s="11" t="s">
        <v>82</v>
      </c>
      <c r="J2646" s="11" t="s">
        <v>130</v>
      </c>
      <c r="K2646" s="11" t="s">
        <v>72</v>
      </c>
      <c r="L2646" s="11" t="s">
        <v>84</v>
      </c>
      <c r="M2646" s="11" t="s">
        <v>14402</v>
      </c>
      <c r="N2646" s="11" t="s">
        <v>75</v>
      </c>
      <c r="O2646" s="11" t="s">
        <v>71</v>
      </c>
      <c r="P2646" s="11" t="s">
        <v>14403</v>
      </c>
      <c r="Q2646" s="13" t="s">
        <v>14404</v>
      </c>
      <c r="R2646" s="14" t="str">
        <f>HYPERLINK("https://drive.google.com/file/d/1Q213-u9fv0lvNn07HHZ5FTQtWJgXvEiD/view?usp=drivesdk","OFFER LETTER")</f>
        <v>OFFER LETTER</v>
      </c>
      <c r="S2646" s="11" t="s">
        <v>14405</v>
      </c>
    </row>
    <row r="2647" ht="22.5" customHeight="1">
      <c r="A2647" s="10">
        <v>46273.44217811343</v>
      </c>
      <c r="B2647" s="11" t="s">
        <v>14406</v>
      </c>
      <c r="C2647" s="11" t="s">
        <v>107</v>
      </c>
      <c r="D2647" s="11" t="s">
        <v>68</v>
      </c>
      <c r="E2647" s="12">
        <v>46273.0</v>
      </c>
      <c r="F2647" s="12">
        <v>46303.0</v>
      </c>
      <c r="G2647" s="11" t="s">
        <v>14407</v>
      </c>
      <c r="H2647" s="11">
        <v>9.938540758E9</v>
      </c>
      <c r="I2647" s="11" t="s">
        <v>82</v>
      </c>
      <c r="J2647" s="11" t="s">
        <v>71</v>
      </c>
      <c r="K2647" s="11" t="s">
        <v>72</v>
      </c>
      <c r="L2647" s="11" t="s">
        <v>247</v>
      </c>
      <c r="M2647" s="11" t="s">
        <v>14408</v>
      </c>
      <c r="N2647" s="11" t="s">
        <v>241</v>
      </c>
      <c r="O2647" s="11" t="s">
        <v>71</v>
      </c>
      <c r="P2647" s="11" t="s">
        <v>14409</v>
      </c>
      <c r="Q2647" s="13" t="s">
        <v>14410</v>
      </c>
      <c r="R2647" s="14" t="str">
        <f>HYPERLINK("https://drive.google.com/file/d/1Btjmgxu3wDKX7FtNXzEbbRhozEvQPnOC/view?usp=drivesdk","OFFER LETTER")</f>
        <v>OFFER LETTER</v>
      </c>
      <c r="S2647" s="11" t="s">
        <v>14411</v>
      </c>
    </row>
    <row r="2648" ht="22.5" customHeight="1">
      <c r="A2648" s="10">
        <v>46273.45301172454</v>
      </c>
      <c r="B2648" s="11" t="s">
        <v>14412</v>
      </c>
      <c r="C2648" s="11" t="s">
        <v>128</v>
      </c>
      <c r="D2648" s="11" t="s">
        <v>108</v>
      </c>
      <c r="E2648" s="12">
        <v>46275.0</v>
      </c>
      <c r="F2648" s="12">
        <v>46336.0</v>
      </c>
      <c r="G2648" s="11" t="s">
        <v>13603</v>
      </c>
      <c r="H2648" s="11">
        <v>9.263615531E9</v>
      </c>
      <c r="I2648" s="11" t="s">
        <v>82</v>
      </c>
      <c r="J2648" s="11" t="s">
        <v>71</v>
      </c>
      <c r="K2648" s="11" t="s">
        <v>110</v>
      </c>
      <c r="L2648" s="11" t="s">
        <v>73</v>
      </c>
      <c r="M2648" s="11" t="s">
        <v>5158</v>
      </c>
      <c r="N2648" s="11" t="s">
        <v>219</v>
      </c>
      <c r="O2648" s="11" t="s">
        <v>71</v>
      </c>
      <c r="P2648" s="11" t="s">
        <v>14413</v>
      </c>
      <c r="Q2648" s="13" t="s">
        <v>14414</v>
      </c>
      <c r="R2648" s="14" t="str">
        <f>HYPERLINK("https://drive.google.com/file/d/1MgeRku2ORW7LnsJ_OK6mWoKww2MDPNkS/view?usp=drivesdk","OFFER LETTER")</f>
        <v>OFFER LETTER</v>
      </c>
      <c r="S2648" s="11" t="s">
        <v>14415</v>
      </c>
    </row>
    <row r="2649" ht="22.5" customHeight="1">
      <c r="A2649" s="10">
        <v>46273.45404473379</v>
      </c>
      <c r="B2649" s="11" t="s">
        <v>14416</v>
      </c>
      <c r="C2649" s="11" t="s">
        <v>173</v>
      </c>
      <c r="D2649" s="11" t="s">
        <v>68</v>
      </c>
      <c r="E2649" s="12">
        <v>46273.0</v>
      </c>
      <c r="F2649" s="12">
        <v>46303.0</v>
      </c>
      <c r="G2649" s="11" t="s">
        <v>14417</v>
      </c>
      <c r="H2649" s="11">
        <v>9.795563015E9</v>
      </c>
      <c r="I2649" s="11" t="s">
        <v>82</v>
      </c>
      <c r="J2649" s="11" t="s">
        <v>71</v>
      </c>
      <c r="K2649" s="11" t="s">
        <v>72</v>
      </c>
      <c r="L2649" s="11" t="s">
        <v>84</v>
      </c>
      <c r="M2649" s="11" t="s">
        <v>14418</v>
      </c>
      <c r="N2649" s="11" t="s">
        <v>86</v>
      </c>
      <c r="O2649" s="11" t="s">
        <v>71</v>
      </c>
      <c r="P2649" s="11" t="s">
        <v>14419</v>
      </c>
      <c r="Q2649" s="13" t="s">
        <v>14420</v>
      </c>
      <c r="R2649" s="14" t="str">
        <f>HYPERLINK("https://drive.google.com/file/d/1bsIbr6A6FF3I5QqGOpXLGpOQiH4YuyfB/view?usp=drivesdk","OFFER LETTER")</f>
        <v>OFFER LETTER</v>
      </c>
      <c r="S2649" s="11" t="s">
        <v>14421</v>
      </c>
    </row>
    <row r="2650" ht="22.5" customHeight="1">
      <c r="A2650" s="10">
        <v>46273.45771614583</v>
      </c>
      <c r="B2650" s="11" t="s">
        <v>14422</v>
      </c>
      <c r="C2650" s="11" t="s">
        <v>173</v>
      </c>
      <c r="D2650" s="11" t="s">
        <v>68</v>
      </c>
      <c r="E2650" s="12">
        <v>46273.0</v>
      </c>
      <c r="F2650" s="12">
        <v>46303.0</v>
      </c>
      <c r="G2650" s="11" t="s">
        <v>14423</v>
      </c>
      <c r="H2650" s="11">
        <v>9.548259037E9</v>
      </c>
      <c r="I2650" s="11" t="s">
        <v>70</v>
      </c>
      <c r="J2650" s="11" t="s">
        <v>71</v>
      </c>
      <c r="K2650" s="11" t="s">
        <v>110</v>
      </c>
      <c r="L2650" s="11" t="s">
        <v>73</v>
      </c>
      <c r="M2650" s="11" t="s">
        <v>14424</v>
      </c>
      <c r="N2650" s="11" t="s">
        <v>86</v>
      </c>
      <c r="O2650" s="11" t="s">
        <v>71</v>
      </c>
      <c r="P2650" s="11" t="s">
        <v>14425</v>
      </c>
      <c r="Q2650" s="13" t="s">
        <v>14426</v>
      </c>
      <c r="R2650" s="14" t="str">
        <f>HYPERLINK("https://drive.google.com/file/d/1uTaRK-Rcq2bikEf_Z3bNz9ZhH3BcLU9v/view?usp=drivesdk","OFFER LETTER")</f>
        <v>OFFER LETTER</v>
      </c>
      <c r="S2650" s="11" t="s">
        <v>14427</v>
      </c>
    </row>
    <row r="2651" ht="22.5" customHeight="1">
      <c r="A2651" s="10">
        <v>46273.46006171296</v>
      </c>
      <c r="B2651" s="11" t="s">
        <v>14428</v>
      </c>
      <c r="C2651" s="11" t="s">
        <v>173</v>
      </c>
      <c r="D2651" s="11" t="s">
        <v>68</v>
      </c>
      <c r="E2651" s="12">
        <v>46203.0</v>
      </c>
      <c r="F2651" s="12">
        <v>46234.0</v>
      </c>
      <c r="G2651" s="11" t="s">
        <v>14429</v>
      </c>
      <c r="H2651" s="11">
        <v>9.241931435E9</v>
      </c>
      <c r="I2651" s="11" t="s">
        <v>82</v>
      </c>
      <c r="J2651" s="11" t="s">
        <v>71</v>
      </c>
      <c r="K2651" s="11" t="s">
        <v>72</v>
      </c>
      <c r="L2651" s="11" t="s">
        <v>84</v>
      </c>
      <c r="M2651" s="11" t="s">
        <v>6238</v>
      </c>
      <c r="N2651" s="11" t="s">
        <v>86</v>
      </c>
      <c r="O2651" s="11" t="s">
        <v>71</v>
      </c>
      <c r="P2651" s="11" t="s">
        <v>14430</v>
      </c>
      <c r="Q2651" s="13" t="s">
        <v>14431</v>
      </c>
      <c r="R2651" s="14" t="str">
        <f>HYPERLINK("https://drive.google.com/file/d/1ShjqEqjSAriZqHB_FtJiHGyDwaKqYj_X/view?usp=drivesdk","OFFER LETTER")</f>
        <v>OFFER LETTER</v>
      </c>
      <c r="S2651" s="11" t="s">
        <v>14432</v>
      </c>
    </row>
    <row r="2652" ht="22.5" customHeight="1">
      <c r="A2652" s="10">
        <v>46273.46363539352</v>
      </c>
      <c r="B2652" s="11" t="s">
        <v>3429</v>
      </c>
      <c r="C2652" s="11" t="s">
        <v>107</v>
      </c>
      <c r="D2652" s="11" t="s">
        <v>68</v>
      </c>
      <c r="E2652" s="12">
        <v>46178.0</v>
      </c>
      <c r="F2652" s="12">
        <v>46208.0</v>
      </c>
      <c r="G2652" s="11" t="s">
        <v>14433</v>
      </c>
      <c r="H2652" s="11">
        <v>9.376281924E9</v>
      </c>
      <c r="I2652" s="11" t="s">
        <v>82</v>
      </c>
      <c r="J2652" s="11" t="s">
        <v>71</v>
      </c>
      <c r="K2652" s="11" t="s">
        <v>72</v>
      </c>
      <c r="L2652" s="11" t="s">
        <v>84</v>
      </c>
      <c r="M2652" s="11" t="s">
        <v>8796</v>
      </c>
      <c r="N2652" s="11" t="s">
        <v>241</v>
      </c>
      <c r="O2652" s="11" t="s">
        <v>71</v>
      </c>
      <c r="P2652" s="11" t="s">
        <v>14434</v>
      </c>
      <c r="Q2652" s="13" t="s">
        <v>14435</v>
      </c>
      <c r="R2652" s="14" t="str">
        <f>HYPERLINK("https://drive.google.com/file/d/1HqjtG5sAd2ypR5n7f4BbER-F0PDq8A3z/view?usp=drivesdk","OFFER LETTER")</f>
        <v>OFFER LETTER</v>
      </c>
      <c r="S2652" s="11" t="s">
        <v>14436</v>
      </c>
    </row>
    <row r="2653" ht="22.5" customHeight="1">
      <c r="A2653" s="10">
        <v>46273.46555465278</v>
      </c>
      <c r="B2653" s="11" t="s">
        <v>14428</v>
      </c>
      <c r="C2653" s="11" t="s">
        <v>173</v>
      </c>
      <c r="D2653" s="11" t="s">
        <v>68</v>
      </c>
      <c r="E2653" s="12">
        <v>46203.0</v>
      </c>
      <c r="F2653" s="12">
        <v>46234.0</v>
      </c>
      <c r="G2653" s="11" t="s">
        <v>14429</v>
      </c>
      <c r="H2653" s="11">
        <v>9.241931435E9</v>
      </c>
      <c r="I2653" s="11" t="s">
        <v>82</v>
      </c>
      <c r="J2653" s="11" t="s">
        <v>71</v>
      </c>
      <c r="K2653" s="11" t="s">
        <v>72</v>
      </c>
      <c r="L2653" s="11" t="s">
        <v>84</v>
      </c>
      <c r="M2653" s="11" t="s">
        <v>6238</v>
      </c>
      <c r="N2653" s="11" t="s">
        <v>86</v>
      </c>
      <c r="O2653" s="11" t="s">
        <v>71</v>
      </c>
      <c r="P2653" s="11" t="s">
        <v>14437</v>
      </c>
      <c r="Q2653" s="13" t="s">
        <v>14438</v>
      </c>
      <c r="R2653" s="14" t="str">
        <f>HYPERLINK("https://drive.google.com/file/d/1GBvdIsEl8X0dWfanmZN02oDx9wxrmmRp/view?usp=drivesdk","OFFER LETTER")</f>
        <v>OFFER LETTER</v>
      </c>
      <c r="S2653" s="11" t="s">
        <v>14439</v>
      </c>
    </row>
    <row r="2654" ht="22.5" customHeight="1">
      <c r="A2654" s="10">
        <v>46273.47382971065</v>
      </c>
      <c r="B2654" s="11" t="s">
        <v>14440</v>
      </c>
      <c r="C2654" s="11" t="s">
        <v>107</v>
      </c>
      <c r="D2654" s="11" t="s">
        <v>68</v>
      </c>
      <c r="E2654" s="12">
        <v>46204.0</v>
      </c>
      <c r="F2654" s="12">
        <v>46234.0</v>
      </c>
      <c r="G2654" s="11" t="s">
        <v>14441</v>
      </c>
      <c r="H2654" s="11">
        <v>6.201630676E9</v>
      </c>
      <c r="I2654" s="11" t="s">
        <v>82</v>
      </c>
      <c r="J2654" s="11" t="s">
        <v>71</v>
      </c>
      <c r="K2654" s="11" t="s">
        <v>72</v>
      </c>
      <c r="L2654" s="11" t="s">
        <v>131</v>
      </c>
      <c r="M2654" s="11" t="s">
        <v>14442</v>
      </c>
      <c r="N2654" s="11" t="s">
        <v>86</v>
      </c>
      <c r="O2654" s="11" t="s">
        <v>71</v>
      </c>
      <c r="P2654" s="11" t="s">
        <v>14443</v>
      </c>
      <c r="Q2654" s="13" t="s">
        <v>14444</v>
      </c>
      <c r="R2654" s="14" t="str">
        <f>HYPERLINK("https://drive.google.com/file/d/1Tcs-ykKCC2vPWEcBp4Q7MB3IEQYEw4Pn/view?usp=drivesdk","OFFER LETTER")</f>
        <v>OFFER LETTER</v>
      </c>
      <c r="S2654" s="11" t="s">
        <v>14445</v>
      </c>
    </row>
    <row r="2655" ht="22.5" customHeight="1">
      <c r="A2655" s="10">
        <v>46273.47822402778</v>
      </c>
      <c r="B2655" s="11" t="s">
        <v>14446</v>
      </c>
      <c r="C2655" s="11" t="s">
        <v>128</v>
      </c>
      <c r="D2655" s="11" t="s">
        <v>68</v>
      </c>
      <c r="E2655" s="12">
        <v>46274.0</v>
      </c>
      <c r="F2655" s="12">
        <v>46304.0</v>
      </c>
      <c r="G2655" s="11" t="s">
        <v>14447</v>
      </c>
      <c r="H2655" s="11">
        <v>9.883870936E9</v>
      </c>
      <c r="I2655" s="11" t="s">
        <v>82</v>
      </c>
      <c r="J2655" s="11" t="s">
        <v>71</v>
      </c>
      <c r="K2655" s="11" t="s">
        <v>72</v>
      </c>
      <c r="L2655" s="11" t="s">
        <v>73</v>
      </c>
      <c r="M2655" s="11" t="s">
        <v>14448</v>
      </c>
      <c r="N2655" s="11" t="s">
        <v>75</v>
      </c>
      <c r="O2655" s="11" t="s">
        <v>71</v>
      </c>
      <c r="P2655" s="11" t="s">
        <v>14449</v>
      </c>
      <c r="Q2655" s="13" t="s">
        <v>14450</v>
      </c>
      <c r="R2655" s="14" t="str">
        <f>HYPERLINK("https://drive.google.com/file/d/1X8IZXZpB1chmDhnAiHyvs9ntHOFm6V94/view?usp=drivesdk","OFFER LETTER")</f>
        <v>OFFER LETTER</v>
      </c>
      <c r="S2655" s="11" t="s">
        <v>14451</v>
      </c>
    </row>
    <row r="2656" ht="22.5" customHeight="1">
      <c r="A2656" s="10">
        <v>46273.48636944444</v>
      </c>
      <c r="B2656" s="11" t="s">
        <v>14446</v>
      </c>
      <c r="C2656" s="11" t="s">
        <v>128</v>
      </c>
      <c r="D2656" s="11" t="s">
        <v>68</v>
      </c>
      <c r="E2656" s="12">
        <v>46274.0</v>
      </c>
      <c r="F2656" s="12">
        <v>46304.0</v>
      </c>
      <c r="G2656" s="11" t="s">
        <v>14447</v>
      </c>
      <c r="H2656" s="17" t="s">
        <v>14452</v>
      </c>
      <c r="I2656" s="11" t="s">
        <v>82</v>
      </c>
      <c r="J2656" s="11" t="s">
        <v>71</v>
      </c>
      <c r="K2656" s="11" t="s">
        <v>72</v>
      </c>
      <c r="L2656" s="11" t="s">
        <v>73</v>
      </c>
      <c r="M2656" s="11" t="s">
        <v>14448</v>
      </c>
      <c r="N2656" s="11" t="s">
        <v>75</v>
      </c>
      <c r="O2656" s="11" t="s">
        <v>71</v>
      </c>
      <c r="P2656" s="11" t="s">
        <v>14453</v>
      </c>
      <c r="Q2656" s="13" t="s">
        <v>14454</v>
      </c>
      <c r="R2656" s="14" t="str">
        <f>HYPERLINK("https://drive.google.com/file/d/1mW0tJ2ZpKuq7YlsRNb8YVVIyWCvdNpVl/view?usp=drivesdk","OFFER LETTER")</f>
        <v>OFFER LETTER</v>
      </c>
      <c r="S2656" s="11" t="s">
        <v>14455</v>
      </c>
    </row>
    <row r="2657" ht="22.5" customHeight="1">
      <c r="A2657" s="10">
        <v>46273.48802846065</v>
      </c>
      <c r="B2657" s="11" t="s">
        <v>14456</v>
      </c>
      <c r="C2657" s="11" t="s">
        <v>596</v>
      </c>
      <c r="D2657" s="11" t="s">
        <v>68</v>
      </c>
      <c r="E2657" s="12">
        <v>46224.0</v>
      </c>
      <c r="F2657" s="12">
        <v>46255.0</v>
      </c>
      <c r="G2657" s="11" t="s">
        <v>14457</v>
      </c>
      <c r="H2657" s="17" t="s">
        <v>14458</v>
      </c>
      <c r="I2657" s="11" t="s">
        <v>82</v>
      </c>
      <c r="J2657" s="11" t="s">
        <v>71</v>
      </c>
      <c r="K2657" s="11" t="s">
        <v>72</v>
      </c>
      <c r="L2657" s="11" t="s">
        <v>131</v>
      </c>
      <c r="M2657" s="11" t="s">
        <v>14459</v>
      </c>
      <c r="N2657" s="11" t="s">
        <v>47</v>
      </c>
      <c r="O2657" s="11" t="s">
        <v>71</v>
      </c>
      <c r="P2657" s="11" t="s">
        <v>14460</v>
      </c>
      <c r="Q2657" s="13" t="s">
        <v>14461</v>
      </c>
      <c r="R2657" s="14" t="str">
        <f>HYPERLINK("https://drive.google.com/file/d/1NaFaPkFxb1G7WrVzN2Bvu_Wf8j2VWyKg/view?usp=drivesdk","OFFER LETTER")</f>
        <v>OFFER LETTER</v>
      </c>
      <c r="S2657" s="11" t="s">
        <v>14462</v>
      </c>
    </row>
    <row r="2658" ht="22.5" customHeight="1">
      <c r="A2658" s="10">
        <v>46273.49286456019</v>
      </c>
      <c r="B2658" s="11" t="s">
        <v>14463</v>
      </c>
      <c r="C2658" s="11" t="s">
        <v>195</v>
      </c>
      <c r="D2658" s="11" t="s">
        <v>68</v>
      </c>
      <c r="E2658" s="12">
        <v>46273.0</v>
      </c>
      <c r="F2658" s="12">
        <v>46303.0</v>
      </c>
      <c r="G2658" s="11" t="s">
        <v>14464</v>
      </c>
      <c r="H2658" s="11">
        <v>8.920935938E9</v>
      </c>
      <c r="I2658" s="11" t="s">
        <v>82</v>
      </c>
      <c r="J2658" s="11" t="s">
        <v>71</v>
      </c>
      <c r="K2658" s="11" t="s">
        <v>110</v>
      </c>
      <c r="L2658" s="11" t="s">
        <v>73</v>
      </c>
      <c r="M2658" s="11" t="s">
        <v>14465</v>
      </c>
      <c r="N2658" s="11" t="s">
        <v>86</v>
      </c>
      <c r="O2658" s="11" t="s">
        <v>71</v>
      </c>
      <c r="P2658" s="11" t="s">
        <v>14466</v>
      </c>
      <c r="Q2658" s="13" t="s">
        <v>14467</v>
      </c>
      <c r="R2658" s="14" t="str">
        <f>HYPERLINK("https://drive.google.com/file/d/1uEB6b8WtKbbSa-L1TZwVyhTdpsrY2Qzk/view?usp=drivesdk","OFFER LETTER")</f>
        <v>OFFER LETTER</v>
      </c>
      <c r="S2658" s="11" t="s">
        <v>14468</v>
      </c>
    </row>
    <row r="2659" ht="22.5" customHeight="1">
      <c r="A2659" s="10">
        <v>46273.49482578704</v>
      </c>
      <c r="B2659" s="11" t="s">
        <v>14469</v>
      </c>
      <c r="C2659" s="11" t="s">
        <v>173</v>
      </c>
      <c r="D2659" s="11" t="s">
        <v>68</v>
      </c>
      <c r="E2659" s="12">
        <v>46203.0</v>
      </c>
      <c r="F2659" s="12">
        <v>46234.0</v>
      </c>
      <c r="G2659" s="11" t="s">
        <v>14470</v>
      </c>
      <c r="H2659" s="11">
        <v>7.31996552E9</v>
      </c>
      <c r="I2659" s="11" t="s">
        <v>82</v>
      </c>
      <c r="J2659" s="11" t="s">
        <v>71</v>
      </c>
      <c r="K2659" s="11" t="s">
        <v>72</v>
      </c>
      <c r="L2659" s="11" t="s">
        <v>84</v>
      </c>
      <c r="M2659" s="11" t="s">
        <v>9509</v>
      </c>
      <c r="N2659" s="11" t="s">
        <v>86</v>
      </c>
      <c r="O2659" s="11" t="s">
        <v>71</v>
      </c>
      <c r="P2659" s="11" t="s">
        <v>14471</v>
      </c>
      <c r="Q2659" s="13" t="s">
        <v>14472</v>
      </c>
      <c r="R2659" s="14" t="str">
        <f>HYPERLINK("https://drive.google.com/file/d/1wFBF26SYENIiOihN5Fu-xIJNbgtKfqm8/view?usp=drivesdk","OFFER LETTER")</f>
        <v>OFFER LETTER</v>
      </c>
      <c r="S2659" s="11" t="s">
        <v>14473</v>
      </c>
    </row>
    <row r="2660" ht="22.5" customHeight="1">
      <c r="A2660" s="10">
        <v>46273.49757747685</v>
      </c>
      <c r="B2660" s="11" t="s">
        <v>14469</v>
      </c>
      <c r="C2660" s="11" t="s">
        <v>173</v>
      </c>
      <c r="D2660" s="11" t="s">
        <v>68</v>
      </c>
      <c r="E2660" s="12">
        <v>46203.0</v>
      </c>
      <c r="F2660" s="12">
        <v>46234.0</v>
      </c>
      <c r="G2660" s="11" t="s">
        <v>14470</v>
      </c>
      <c r="H2660" s="11">
        <v>7.31996552E9</v>
      </c>
      <c r="I2660" s="11" t="s">
        <v>82</v>
      </c>
      <c r="J2660" s="11" t="s">
        <v>71</v>
      </c>
      <c r="K2660" s="11" t="s">
        <v>72</v>
      </c>
      <c r="L2660" s="11" t="s">
        <v>84</v>
      </c>
      <c r="M2660" s="11" t="s">
        <v>9509</v>
      </c>
      <c r="N2660" s="11" t="s">
        <v>86</v>
      </c>
      <c r="O2660" s="11" t="s">
        <v>71</v>
      </c>
      <c r="P2660" s="11" t="s">
        <v>14474</v>
      </c>
      <c r="Q2660" s="13" t="s">
        <v>14475</v>
      </c>
      <c r="R2660" s="14" t="str">
        <f>HYPERLINK("https://drive.google.com/file/d/1VENm5dv3BQ2hmUhntiBJnlW0nsqPAqQg/view?usp=drivesdk","OFFER LETTER")</f>
        <v>OFFER LETTER</v>
      </c>
      <c r="S2660" s="11" t="s">
        <v>14476</v>
      </c>
    </row>
    <row r="2661" ht="22.5" customHeight="1">
      <c r="A2661" s="10">
        <v>46273.49970738426</v>
      </c>
      <c r="B2661" s="11" t="s">
        <v>14477</v>
      </c>
      <c r="C2661" s="11" t="s">
        <v>173</v>
      </c>
      <c r="D2661" s="11" t="s">
        <v>68</v>
      </c>
      <c r="E2661" s="12">
        <v>46174.0</v>
      </c>
      <c r="F2661" s="12">
        <v>46205.0</v>
      </c>
      <c r="G2661" s="11" t="s">
        <v>14470</v>
      </c>
      <c r="H2661" s="11">
        <v>7.31996552E9</v>
      </c>
      <c r="I2661" s="11" t="s">
        <v>82</v>
      </c>
      <c r="J2661" s="11" t="s">
        <v>71</v>
      </c>
      <c r="K2661" s="11" t="s">
        <v>72</v>
      </c>
      <c r="L2661" s="11" t="s">
        <v>84</v>
      </c>
      <c r="M2661" s="11" t="s">
        <v>9509</v>
      </c>
      <c r="N2661" s="11" t="s">
        <v>86</v>
      </c>
      <c r="O2661" s="11" t="s">
        <v>71</v>
      </c>
      <c r="P2661" s="11" t="s">
        <v>14478</v>
      </c>
      <c r="Q2661" s="13" t="s">
        <v>14479</v>
      </c>
      <c r="R2661" s="14" t="str">
        <f>HYPERLINK("https://drive.google.com/file/d/1S4HV7_qtlcyqV0sddg5ebzKyowUrakpk/view?usp=drivesdk","OFFER LETTER")</f>
        <v>OFFER LETTER</v>
      </c>
      <c r="S2661" s="11" t="s">
        <v>14480</v>
      </c>
    </row>
    <row r="2662" ht="22.5" customHeight="1">
      <c r="A2662" s="10">
        <v>46273.501063379634</v>
      </c>
      <c r="B2662" s="11" t="s">
        <v>14469</v>
      </c>
      <c r="C2662" s="11" t="s">
        <v>173</v>
      </c>
      <c r="D2662" s="11" t="s">
        <v>68</v>
      </c>
      <c r="E2662" s="12">
        <v>46174.0</v>
      </c>
      <c r="F2662" s="12">
        <v>46204.0</v>
      </c>
      <c r="G2662" s="11" t="s">
        <v>14470</v>
      </c>
      <c r="H2662" s="11">
        <v>7.31996552E9</v>
      </c>
      <c r="I2662" s="11" t="s">
        <v>82</v>
      </c>
      <c r="J2662" s="11" t="s">
        <v>71</v>
      </c>
      <c r="K2662" s="11" t="s">
        <v>72</v>
      </c>
      <c r="L2662" s="11" t="s">
        <v>84</v>
      </c>
      <c r="M2662" s="11" t="s">
        <v>9509</v>
      </c>
      <c r="N2662" s="11" t="s">
        <v>86</v>
      </c>
      <c r="O2662" s="11" t="s">
        <v>71</v>
      </c>
      <c r="P2662" s="11" t="s">
        <v>14481</v>
      </c>
      <c r="Q2662" s="13" t="s">
        <v>14482</v>
      </c>
      <c r="R2662" s="14" t="str">
        <f>HYPERLINK("https://drive.google.com/file/d/1Oc8UyTopirmKMgM00AA68-8dshwJ12Xt/view?usp=drivesdk","OFFER LETTER")</f>
        <v>OFFER LETTER</v>
      </c>
      <c r="S2662" s="11" t="s">
        <v>14483</v>
      </c>
    </row>
    <row r="2663" ht="22.5" customHeight="1">
      <c r="A2663" s="10">
        <v>46273.50860480324</v>
      </c>
      <c r="B2663" s="11" t="s">
        <v>14484</v>
      </c>
      <c r="C2663" s="11" t="s">
        <v>173</v>
      </c>
      <c r="D2663" s="11" t="s">
        <v>68</v>
      </c>
      <c r="E2663" s="12">
        <v>46174.0</v>
      </c>
      <c r="F2663" s="12">
        <v>46204.0</v>
      </c>
      <c r="G2663" s="11" t="s">
        <v>14485</v>
      </c>
      <c r="H2663" s="11">
        <v>9.508668836E9</v>
      </c>
      <c r="I2663" s="11" t="s">
        <v>82</v>
      </c>
      <c r="J2663" s="11" t="s">
        <v>71</v>
      </c>
      <c r="K2663" s="11" t="s">
        <v>72</v>
      </c>
      <c r="L2663" s="11" t="s">
        <v>84</v>
      </c>
      <c r="M2663" s="11" t="s">
        <v>9205</v>
      </c>
      <c r="N2663" s="11" t="s">
        <v>86</v>
      </c>
      <c r="O2663" s="11" t="s">
        <v>71</v>
      </c>
      <c r="P2663" s="11" t="s">
        <v>14486</v>
      </c>
      <c r="Q2663" s="13" t="s">
        <v>14487</v>
      </c>
      <c r="R2663" s="14" t="str">
        <f>HYPERLINK("https://drive.google.com/file/d/1YiA_H-6XEep7SUeMGQxSHjuIHkLMqaU0/view?usp=drivesdk","OFFER LETTER")</f>
        <v>OFFER LETTER</v>
      </c>
      <c r="S2663" s="11" t="s">
        <v>14488</v>
      </c>
    </row>
    <row r="2664" ht="22.5" customHeight="1">
      <c r="A2664" s="10">
        <v>46273.51391501157</v>
      </c>
      <c r="B2664" s="11" t="s">
        <v>14489</v>
      </c>
      <c r="C2664" s="11" t="s">
        <v>195</v>
      </c>
      <c r="D2664" s="11" t="s">
        <v>68</v>
      </c>
      <c r="E2664" s="12">
        <v>46187.0</v>
      </c>
      <c r="F2664" s="12">
        <v>46217.0</v>
      </c>
      <c r="G2664" s="11" t="s">
        <v>14490</v>
      </c>
      <c r="H2664" s="11" t="s">
        <v>14491</v>
      </c>
      <c r="I2664" s="11" t="s">
        <v>82</v>
      </c>
      <c r="J2664" s="11" t="s">
        <v>71</v>
      </c>
      <c r="K2664" s="11" t="s">
        <v>72</v>
      </c>
      <c r="L2664" s="11" t="s">
        <v>84</v>
      </c>
      <c r="M2664" s="11" t="s">
        <v>1779</v>
      </c>
      <c r="N2664" s="11" t="s">
        <v>226</v>
      </c>
      <c r="O2664" s="11" t="s">
        <v>71</v>
      </c>
      <c r="P2664" s="11" t="s">
        <v>14492</v>
      </c>
      <c r="Q2664" s="13" t="s">
        <v>14493</v>
      </c>
      <c r="R2664" s="14" t="str">
        <f>HYPERLINK("https://drive.google.com/file/d/1mrfXDGZ0o30xtwxbCUHyEUXVRkov1tb4/view?usp=drivesdk","OFFER LETTER")</f>
        <v>OFFER LETTER</v>
      </c>
      <c r="S2664" s="11" t="s">
        <v>14494</v>
      </c>
    </row>
    <row r="2665" ht="22.5" customHeight="1">
      <c r="A2665" s="10">
        <v>46273.51936049768</v>
      </c>
      <c r="B2665" s="11" t="s">
        <v>14495</v>
      </c>
      <c r="C2665" s="11" t="s">
        <v>1320</v>
      </c>
      <c r="D2665" s="11" t="s">
        <v>68</v>
      </c>
      <c r="E2665" s="12">
        <v>46273.0</v>
      </c>
      <c r="F2665" s="12">
        <v>46304.0</v>
      </c>
      <c r="G2665" s="11" t="s">
        <v>14496</v>
      </c>
      <c r="H2665" s="11">
        <v>9.881783869E9</v>
      </c>
      <c r="I2665" s="11" t="s">
        <v>82</v>
      </c>
      <c r="J2665" s="11" t="s">
        <v>71</v>
      </c>
      <c r="K2665" s="11" t="s">
        <v>110</v>
      </c>
      <c r="L2665" s="11" t="s">
        <v>73</v>
      </c>
      <c r="M2665" s="11" t="s">
        <v>14497</v>
      </c>
      <c r="N2665" s="11" t="s">
        <v>241</v>
      </c>
      <c r="O2665" s="11" t="s">
        <v>71</v>
      </c>
      <c r="P2665" s="11" t="s">
        <v>14498</v>
      </c>
      <c r="Q2665" s="13" t="s">
        <v>14499</v>
      </c>
      <c r="R2665" s="14" t="str">
        <f>HYPERLINK("https://drive.google.com/file/d/1DQCKrvWpXTZ2MqH2_FG8hObWzNX6z75n/view?usp=drivesdk","OFFER LETTER")</f>
        <v>OFFER LETTER</v>
      </c>
      <c r="S2665" s="11" t="s">
        <v>14500</v>
      </c>
    </row>
    <row r="2666" ht="22.5" customHeight="1">
      <c r="A2666" s="10">
        <v>46273.535869872685</v>
      </c>
      <c r="B2666" s="11" t="s">
        <v>14501</v>
      </c>
      <c r="C2666" s="11" t="s">
        <v>128</v>
      </c>
      <c r="D2666" s="11" t="s">
        <v>68</v>
      </c>
      <c r="E2666" s="12">
        <v>46205.0</v>
      </c>
      <c r="F2666" s="12">
        <v>46235.0</v>
      </c>
      <c r="G2666" s="11" t="s">
        <v>14502</v>
      </c>
      <c r="H2666" s="11">
        <v>9.910024215E10</v>
      </c>
      <c r="I2666" s="11" t="s">
        <v>82</v>
      </c>
      <c r="J2666" s="11" t="s">
        <v>71</v>
      </c>
      <c r="K2666" s="11" t="s">
        <v>72</v>
      </c>
      <c r="L2666" s="11" t="s">
        <v>73</v>
      </c>
      <c r="M2666" s="11" t="s">
        <v>5893</v>
      </c>
      <c r="N2666" s="11" t="s">
        <v>86</v>
      </c>
      <c r="O2666" s="11" t="s">
        <v>71</v>
      </c>
      <c r="P2666" s="11" t="s">
        <v>14503</v>
      </c>
      <c r="Q2666" s="13" t="s">
        <v>14504</v>
      </c>
      <c r="R2666" s="14" t="str">
        <f>HYPERLINK("https://drive.google.com/file/d/1j43u4ex-GAQwy85KWKL8ubWZVkHlgWCp/view?usp=drivesdk","OFFER LETTER")</f>
        <v>OFFER LETTER</v>
      </c>
      <c r="S2666" s="11" t="s">
        <v>14505</v>
      </c>
    </row>
    <row r="2667" ht="22.5" customHeight="1">
      <c r="A2667" s="10">
        <v>46273.53790783565</v>
      </c>
      <c r="B2667" s="11" t="s">
        <v>14506</v>
      </c>
      <c r="C2667" s="11" t="s">
        <v>91</v>
      </c>
      <c r="D2667" s="11" t="s">
        <v>68</v>
      </c>
      <c r="E2667" s="12">
        <v>46176.0</v>
      </c>
      <c r="F2667" s="12">
        <v>46205.0</v>
      </c>
      <c r="G2667" s="11" t="s">
        <v>14507</v>
      </c>
      <c r="H2667" s="11">
        <v>9.047743382E9</v>
      </c>
      <c r="I2667" s="11" t="s">
        <v>82</v>
      </c>
      <c r="J2667" s="11" t="s">
        <v>71</v>
      </c>
      <c r="K2667" s="11" t="s">
        <v>72</v>
      </c>
      <c r="L2667" s="11" t="s">
        <v>131</v>
      </c>
      <c r="M2667" s="11" t="s">
        <v>14508</v>
      </c>
      <c r="N2667" s="11" t="s">
        <v>7046</v>
      </c>
      <c r="O2667" s="11" t="s">
        <v>71</v>
      </c>
      <c r="P2667" s="11" t="s">
        <v>14509</v>
      </c>
      <c r="Q2667" s="13" t="s">
        <v>14510</v>
      </c>
      <c r="R2667" s="14" t="str">
        <f>HYPERLINK("https://drive.google.com/file/d/1q9s2ZIlKuaAriQeYe33JjlStUSTH8_xg/view?usp=drivesdk","OFFER LETTER")</f>
        <v>OFFER LETTER</v>
      </c>
      <c r="S2667" s="11" t="s">
        <v>14511</v>
      </c>
    </row>
    <row r="2668" ht="22.5" customHeight="1">
      <c r="A2668" s="10">
        <v>46273.53947103009</v>
      </c>
      <c r="B2668" s="11" t="s">
        <v>14512</v>
      </c>
      <c r="C2668" s="11" t="s">
        <v>67</v>
      </c>
      <c r="D2668" s="11" t="s">
        <v>108</v>
      </c>
      <c r="E2668" s="12">
        <v>46275.0</v>
      </c>
      <c r="F2668" s="12">
        <v>46336.0</v>
      </c>
      <c r="G2668" s="13" t="s">
        <v>14513</v>
      </c>
      <c r="H2668" s="11">
        <v>7.276527877E9</v>
      </c>
      <c r="I2668" s="11" t="s">
        <v>82</v>
      </c>
      <c r="J2668" s="11" t="s">
        <v>71</v>
      </c>
      <c r="K2668" s="11" t="s">
        <v>72</v>
      </c>
      <c r="L2668" s="11" t="s">
        <v>84</v>
      </c>
      <c r="M2668" s="11" t="s">
        <v>13169</v>
      </c>
      <c r="N2668" s="11" t="s">
        <v>75</v>
      </c>
      <c r="O2668" s="11" t="s">
        <v>71</v>
      </c>
      <c r="P2668" s="11" t="s">
        <v>14514</v>
      </c>
      <c r="Q2668" s="13" t="s">
        <v>14515</v>
      </c>
      <c r="R2668" s="14" t="str">
        <f>HYPERLINK("https://drive.google.com/file/d/1bLGOQSlfAo34TM0BDeUiXsYc01AyJwkc/view?usp=drivesdk","OFFER LETTER")</f>
        <v>OFFER LETTER</v>
      </c>
      <c r="S2668" s="11" t="s">
        <v>14516</v>
      </c>
    </row>
    <row r="2669" ht="22.5" customHeight="1">
      <c r="A2669" s="10">
        <v>46273.542424328705</v>
      </c>
      <c r="B2669" s="11" t="s">
        <v>14517</v>
      </c>
      <c r="C2669" s="11" t="s">
        <v>259</v>
      </c>
      <c r="D2669" s="11" t="s">
        <v>68</v>
      </c>
      <c r="E2669" s="12">
        <v>46296.0</v>
      </c>
      <c r="F2669" s="12">
        <v>46326.0</v>
      </c>
      <c r="G2669" s="11" t="s">
        <v>14518</v>
      </c>
      <c r="H2669" s="11">
        <v>8.411971197E9</v>
      </c>
      <c r="I2669" s="11" t="s">
        <v>82</v>
      </c>
      <c r="J2669" s="11" t="s">
        <v>71</v>
      </c>
      <c r="K2669" s="11" t="s">
        <v>167</v>
      </c>
      <c r="L2669" s="11" t="s">
        <v>84</v>
      </c>
      <c r="M2669" s="11" t="s">
        <v>14519</v>
      </c>
      <c r="N2669" s="11" t="s">
        <v>241</v>
      </c>
      <c r="O2669" s="11" t="s">
        <v>71</v>
      </c>
      <c r="P2669" s="11" t="s">
        <v>14520</v>
      </c>
      <c r="Q2669" s="13" t="s">
        <v>14521</v>
      </c>
      <c r="R2669" s="14" t="str">
        <f>HYPERLINK("https://drive.google.com/file/d/1Y_iN-NvJaCPHTN9p54Dmx8jDRDHThBOt/view?usp=drivesdk","OFFER LETTER")</f>
        <v>OFFER LETTER</v>
      </c>
      <c r="S2669" s="11" t="s">
        <v>14522</v>
      </c>
    </row>
    <row r="2670" ht="22.5" customHeight="1">
      <c r="A2670" s="10">
        <v>46273.54245111111</v>
      </c>
      <c r="B2670" s="11" t="s">
        <v>14523</v>
      </c>
      <c r="C2670" s="11" t="s">
        <v>195</v>
      </c>
      <c r="D2670" s="11" t="s">
        <v>68</v>
      </c>
      <c r="E2670" s="12">
        <v>46273.0</v>
      </c>
      <c r="F2670" s="12">
        <v>46303.0</v>
      </c>
      <c r="G2670" s="11" t="s">
        <v>14524</v>
      </c>
      <c r="H2670" s="11">
        <v>8.738068568E9</v>
      </c>
      <c r="I2670" s="11" t="s">
        <v>82</v>
      </c>
      <c r="J2670" s="11" t="s">
        <v>71</v>
      </c>
      <c r="K2670" s="11" t="s">
        <v>72</v>
      </c>
      <c r="L2670" s="11" t="s">
        <v>73</v>
      </c>
      <c r="M2670" s="11" t="s">
        <v>197</v>
      </c>
      <c r="N2670" s="11" t="s">
        <v>198</v>
      </c>
      <c r="O2670" s="11" t="s">
        <v>71</v>
      </c>
      <c r="P2670" s="11" t="s">
        <v>14525</v>
      </c>
      <c r="Q2670" s="13" t="s">
        <v>14526</v>
      </c>
      <c r="R2670" s="14" t="str">
        <f>HYPERLINK("https://drive.google.com/file/d/1uksuw3asTVoIKauxHm-iNaT4fltoDqPp/view?usp=drivesdk","OFFER LETTER")</f>
        <v>OFFER LETTER</v>
      </c>
      <c r="S2670" s="11" t="s">
        <v>14527</v>
      </c>
    </row>
    <row r="2671" ht="22.5" customHeight="1">
      <c r="A2671" s="10">
        <v>46273.544132696756</v>
      </c>
      <c r="B2671" s="11" t="s">
        <v>14528</v>
      </c>
      <c r="C2671" s="11" t="s">
        <v>195</v>
      </c>
      <c r="D2671" s="11" t="s">
        <v>68</v>
      </c>
      <c r="E2671" s="12">
        <v>46273.0</v>
      </c>
      <c r="F2671" s="12">
        <v>46303.0</v>
      </c>
      <c r="G2671" s="11" t="s">
        <v>14529</v>
      </c>
      <c r="H2671" s="11">
        <v>7.898785654E9</v>
      </c>
      <c r="I2671" s="11" t="s">
        <v>82</v>
      </c>
      <c r="J2671" s="11" t="s">
        <v>71</v>
      </c>
      <c r="K2671" s="11" t="s">
        <v>72</v>
      </c>
      <c r="L2671" s="11" t="s">
        <v>73</v>
      </c>
      <c r="M2671" s="11" t="s">
        <v>197</v>
      </c>
      <c r="N2671" s="11" t="s">
        <v>198</v>
      </c>
      <c r="O2671" s="11" t="s">
        <v>71</v>
      </c>
      <c r="P2671" s="11" t="s">
        <v>14530</v>
      </c>
      <c r="Q2671" s="13" t="s">
        <v>14531</v>
      </c>
      <c r="R2671" s="14" t="str">
        <f>HYPERLINK("https://drive.google.com/file/d/1-BB5Vwlnu_5N8R42G1SlMe-C_8GzvO7E/view?usp=drivesdk","OFFER LETTER")</f>
        <v>OFFER LETTER</v>
      </c>
      <c r="S2671" s="11" t="s">
        <v>14532</v>
      </c>
    </row>
    <row r="2672" ht="22.5" customHeight="1">
      <c r="A2672" s="10">
        <v>46273.54511045139</v>
      </c>
      <c r="B2672" s="11" t="s">
        <v>14533</v>
      </c>
      <c r="C2672" s="11" t="s">
        <v>195</v>
      </c>
      <c r="D2672" s="11" t="s">
        <v>68</v>
      </c>
      <c r="E2672" s="12">
        <v>46296.0</v>
      </c>
      <c r="F2672" s="12">
        <v>46327.0</v>
      </c>
      <c r="G2672" s="11" t="s">
        <v>14534</v>
      </c>
      <c r="H2672" s="11">
        <v>9.40488026E9</v>
      </c>
      <c r="I2672" s="11" t="s">
        <v>70</v>
      </c>
      <c r="J2672" s="11" t="s">
        <v>71</v>
      </c>
      <c r="K2672" s="11" t="s">
        <v>72</v>
      </c>
      <c r="L2672" s="11" t="s">
        <v>73</v>
      </c>
      <c r="M2672" s="11" t="s">
        <v>14535</v>
      </c>
      <c r="N2672" s="11" t="s">
        <v>86</v>
      </c>
      <c r="O2672" s="11" t="s">
        <v>71</v>
      </c>
      <c r="P2672" s="11" t="s">
        <v>14536</v>
      </c>
      <c r="Q2672" s="13" t="s">
        <v>14537</v>
      </c>
      <c r="R2672" s="14" t="str">
        <f>HYPERLINK("https://drive.google.com/file/d/1XCP5L7XcFFtM4o-Ls5c8VqTzewUbLzeZ/view?usp=drivesdk","OFFER LETTER")</f>
        <v>OFFER LETTER</v>
      </c>
      <c r="S2672" s="11" t="s">
        <v>14538</v>
      </c>
    </row>
    <row r="2673" ht="22.5" customHeight="1">
      <c r="A2673" s="10">
        <v>46273.54541409722</v>
      </c>
      <c r="B2673" s="11" t="s">
        <v>14539</v>
      </c>
      <c r="C2673" s="11" t="s">
        <v>128</v>
      </c>
      <c r="D2673" s="11" t="s">
        <v>68</v>
      </c>
      <c r="E2673" s="12">
        <v>46273.0</v>
      </c>
      <c r="F2673" s="12">
        <v>46303.0</v>
      </c>
      <c r="G2673" s="11" t="s">
        <v>14540</v>
      </c>
      <c r="H2673" s="11">
        <v>7.977270944E9</v>
      </c>
      <c r="I2673" s="11" t="s">
        <v>82</v>
      </c>
      <c r="J2673" s="11" t="s">
        <v>71</v>
      </c>
      <c r="K2673" s="11" t="s">
        <v>72</v>
      </c>
      <c r="L2673" s="11" t="s">
        <v>73</v>
      </c>
      <c r="M2673" s="11" t="s">
        <v>14541</v>
      </c>
      <c r="N2673" s="11" t="s">
        <v>241</v>
      </c>
      <c r="O2673" s="11" t="s">
        <v>71</v>
      </c>
      <c r="P2673" s="11" t="s">
        <v>14542</v>
      </c>
      <c r="Q2673" s="13" t="s">
        <v>14543</v>
      </c>
      <c r="R2673" s="14" t="str">
        <f>HYPERLINK("https://drive.google.com/file/d/1ZUTSmFG5DICPyCjRKDXc0tHp2oL2V9PH/view?usp=drivesdk","OFFER LETTER")</f>
        <v>OFFER LETTER</v>
      </c>
      <c r="S2673" s="11" t="s">
        <v>14544</v>
      </c>
    </row>
    <row r="2674" ht="22.5" customHeight="1">
      <c r="A2674" s="10">
        <v>46273.546491851856</v>
      </c>
      <c r="B2674" s="11" t="s">
        <v>14545</v>
      </c>
      <c r="C2674" s="11" t="s">
        <v>259</v>
      </c>
      <c r="D2674" s="11" t="s">
        <v>68</v>
      </c>
      <c r="E2674" s="12">
        <v>46296.0</v>
      </c>
      <c r="F2674" s="12">
        <v>46326.0</v>
      </c>
      <c r="G2674" s="11" t="s">
        <v>14546</v>
      </c>
      <c r="H2674" s="11">
        <v>7.020535339E9</v>
      </c>
      <c r="I2674" s="11" t="s">
        <v>70</v>
      </c>
      <c r="J2674" s="11" t="s">
        <v>71</v>
      </c>
      <c r="K2674" s="13" t="s">
        <v>443</v>
      </c>
      <c r="L2674" s="11" t="s">
        <v>84</v>
      </c>
      <c r="M2674" s="11" t="s">
        <v>14547</v>
      </c>
      <c r="N2674" s="11" t="s">
        <v>3833</v>
      </c>
      <c r="O2674" s="11" t="s">
        <v>71</v>
      </c>
      <c r="P2674" s="11" t="s">
        <v>14548</v>
      </c>
      <c r="Q2674" s="13" t="s">
        <v>14549</v>
      </c>
      <c r="R2674" s="14" t="str">
        <f>HYPERLINK("https://drive.google.com/file/d/1toOUdGRC5M6ZXJj-AO15-3bkxMBLrqZk/view?usp=drivesdk","OFFER LETTER")</f>
        <v>OFFER LETTER</v>
      </c>
      <c r="S2674" s="11" t="s">
        <v>14550</v>
      </c>
    </row>
    <row r="2675" ht="22.5" customHeight="1">
      <c r="A2675" s="10">
        <v>46273.54684565972</v>
      </c>
      <c r="B2675" s="11" t="s">
        <v>14551</v>
      </c>
      <c r="C2675" s="11" t="s">
        <v>173</v>
      </c>
      <c r="D2675" s="11" t="s">
        <v>68</v>
      </c>
      <c r="E2675" s="12">
        <v>46273.0</v>
      </c>
      <c r="F2675" s="12">
        <v>46303.0</v>
      </c>
      <c r="G2675" s="11" t="s">
        <v>14552</v>
      </c>
      <c r="H2675" s="11">
        <v>7.892587521E9</v>
      </c>
      <c r="I2675" s="11" t="s">
        <v>82</v>
      </c>
      <c r="J2675" s="11" t="s">
        <v>71</v>
      </c>
      <c r="K2675" s="11" t="s">
        <v>72</v>
      </c>
      <c r="L2675" s="11" t="s">
        <v>131</v>
      </c>
      <c r="M2675" s="11" t="s">
        <v>14553</v>
      </c>
      <c r="N2675" s="11" t="s">
        <v>86</v>
      </c>
      <c r="O2675" s="11" t="s">
        <v>71</v>
      </c>
      <c r="P2675" s="11" t="s">
        <v>14554</v>
      </c>
      <c r="Q2675" s="13" t="s">
        <v>14555</v>
      </c>
      <c r="R2675" s="14" t="str">
        <f>HYPERLINK("https://drive.google.com/file/d/1DNAftmZ32MB6ezdcMaw1pW_syZhQw2lM/view?usp=drivesdk","OFFER LETTER")</f>
        <v>OFFER LETTER</v>
      </c>
      <c r="S2675" s="11" t="s">
        <v>14550</v>
      </c>
    </row>
    <row r="2676" ht="22.5" customHeight="1">
      <c r="A2676" s="10">
        <v>46273.547668865736</v>
      </c>
      <c r="B2676" s="11" t="s">
        <v>14556</v>
      </c>
      <c r="C2676" s="11" t="s">
        <v>259</v>
      </c>
      <c r="D2676" s="11" t="s">
        <v>68</v>
      </c>
      <c r="E2676" s="12">
        <v>46296.0</v>
      </c>
      <c r="F2676" s="12">
        <v>46326.0</v>
      </c>
      <c r="G2676" s="11" t="s">
        <v>14557</v>
      </c>
      <c r="H2676" s="11">
        <v>7.887525847E9</v>
      </c>
      <c r="I2676" s="11" t="s">
        <v>82</v>
      </c>
      <c r="J2676" s="11" t="s">
        <v>71</v>
      </c>
      <c r="K2676" s="13" t="s">
        <v>443</v>
      </c>
      <c r="L2676" s="11" t="s">
        <v>84</v>
      </c>
      <c r="M2676" s="11" t="s">
        <v>14558</v>
      </c>
      <c r="N2676" s="11" t="s">
        <v>3833</v>
      </c>
      <c r="O2676" s="11" t="s">
        <v>71</v>
      </c>
      <c r="P2676" s="11" t="s">
        <v>14559</v>
      </c>
      <c r="Q2676" s="13" t="s">
        <v>14560</v>
      </c>
      <c r="R2676" s="14" t="str">
        <f>HYPERLINK("https://drive.google.com/file/d/1RIaj-QwyG6ILxB41DB0e07zkTYityHwV/view?usp=drivesdk","OFFER LETTER")</f>
        <v>OFFER LETTER</v>
      </c>
      <c r="S2676" s="11" t="s">
        <v>14561</v>
      </c>
    </row>
    <row r="2677" ht="22.5" customHeight="1">
      <c r="A2677" s="10">
        <v>46273.55019180555</v>
      </c>
      <c r="B2677" s="11" t="s">
        <v>14562</v>
      </c>
      <c r="C2677" s="11" t="s">
        <v>173</v>
      </c>
      <c r="D2677" s="11" t="s">
        <v>68</v>
      </c>
      <c r="E2677" s="12">
        <v>46273.0</v>
      </c>
      <c r="F2677" s="12">
        <v>46303.0</v>
      </c>
      <c r="G2677" s="11" t="s">
        <v>14563</v>
      </c>
      <c r="H2677" s="11">
        <v>9.665997194E9</v>
      </c>
      <c r="I2677" s="11" t="s">
        <v>82</v>
      </c>
      <c r="J2677" s="11" t="s">
        <v>71</v>
      </c>
      <c r="K2677" s="11" t="s">
        <v>110</v>
      </c>
      <c r="L2677" s="11" t="s">
        <v>84</v>
      </c>
      <c r="M2677" s="11" t="s">
        <v>14564</v>
      </c>
      <c r="N2677" s="11" t="s">
        <v>75</v>
      </c>
      <c r="O2677" s="11" t="s">
        <v>71</v>
      </c>
      <c r="P2677" s="11" t="s">
        <v>14565</v>
      </c>
      <c r="Q2677" s="13" t="s">
        <v>14566</v>
      </c>
      <c r="R2677" s="14" t="str">
        <f>HYPERLINK("https://drive.google.com/file/d/1WW6pd2MkFlURXQEeBQfeHh8PNFfO-6th/view?usp=drivesdk","OFFER LETTER")</f>
        <v>OFFER LETTER</v>
      </c>
      <c r="S2677" s="11" t="s">
        <v>14567</v>
      </c>
    </row>
    <row r="2678" ht="22.5" customHeight="1">
      <c r="A2678" s="10">
        <v>46273.55169619213</v>
      </c>
      <c r="B2678" s="11" t="s">
        <v>14469</v>
      </c>
      <c r="C2678" s="11" t="s">
        <v>173</v>
      </c>
      <c r="D2678" s="11" t="s">
        <v>68</v>
      </c>
      <c r="E2678" s="12">
        <v>46174.0</v>
      </c>
      <c r="F2678" s="12">
        <v>46204.0</v>
      </c>
      <c r="G2678" s="11" t="s">
        <v>14568</v>
      </c>
      <c r="H2678" s="11">
        <v>7.091299545E9</v>
      </c>
      <c r="I2678" s="11" t="s">
        <v>82</v>
      </c>
      <c r="J2678" s="11" t="s">
        <v>71</v>
      </c>
      <c r="K2678" s="11" t="s">
        <v>72</v>
      </c>
      <c r="L2678" s="11" t="s">
        <v>84</v>
      </c>
      <c r="M2678" s="11" t="s">
        <v>9509</v>
      </c>
      <c r="N2678" s="11" t="s">
        <v>86</v>
      </c>
      <c r="O2678" s="11" t="s">
        <v>71</v>
      </c>
      <c r="P2678" s="11" t="s">
        <v>14569</v>
      </c>
      <c r="Q2678" s="13" t="s">
        <v>14570</v>
      </c>
      <c r="R2678" s="14" t="str">
        <f>HYPERLINK("https://drive.google.com/file/d/1CpVBE3N0lztFAdWAU8zPNo1av-KvlWs3/view?usp=drivesdk","OFFER LETTER")</f>
        <v>OFFER LETTER</v>
      </c>
      <c r="S2678" s="11" t="s">
        <v>14571</v>
      </c>
    </row>
    <row r="2679" ht="22.5" customHeight="1">
      <c r="A2679" s="10">
        <v>46273.5518177662</v>
      </c>
      <c r="B2679" s="11" t="s">
        <v>14572</v>
      </c>
      <c r="C2679" s="11" t="s">
        <v>259</v>
      </c>
      <c r="D2679" s="11" t="s">
        <v>68</v>
      </c>
      <c r="E2679" s="12">
        <v>46273.0</v>
      </c>
      <c r="F2679" s="12">
        <v>46303.0</v>
      </c>
      <c r="G2679" s="11" t="s">
        <v>14573</v>
      </c>
      <c r="H2679" s="11">
        <v>9.241939128E9</v>
      </c>
      <c r="I2679" s="11" t="s">
        <v>82</v>
      </c>
      <c r="J2679" s="11" t="s">
        <v>83</v>
      </c>
      <c r="K2679" s="11" t="s">
        <v>72</v>
      </c>
      <c r="L2679" s="11" t="s">
        <v>247</v>
      </c>
      <c r="M2679" s="11" t="s">
        <v>14574</v>
      </c>
      <c r="N2679" s="11" t="s">
        <v>226</v>
      </c>
      <c r="O2679" s="11" t="s">
        <v>71</v>
      </c>
      <c r="P2679" s="11" t="s">
        <v>14575</v>
      </c>
      <c r="Q2679" s="13" t="s">
        <v>14576</v>
      </c>
      <c r="R2679" s="14" t="str">
        <f>HYPERLINK("https://drive.google.com/file/d/1KRZKQ0I1zmQS3B9v-zST782WsgFzMbll/view?usp=drivesdk","OFFER LETTER")</f>
        <v>OFFER LETTER</v>
      </c>
      <c r="S2679" s="11" t="s">
        <v>14571</v>
      </c>
    </row>
    <row r="2680" ht="22.5" customHeight="1">
      <c r="A2680" s="10">
        <v>46273.553594745375</v>
      </c>
      <c r="B2680" s="11" t="s">
        <v>14577</v>
      </c>
      <c r="C2680" s="11" t="s">
        <v>91</v>
      </c>
      <c r="D2680" s="11" t="s">
        <v>68</v>
      </c>
      <c r="E2680" s="12">
        <v>46245.0</v>
      </c>
      <c r="F2680" s="12">
        <v>46276.0</v>
      </c>
      <c r="G2680" s="11" t="s">
        <v>14578</v>
      </c>
      <c r="H2680" s="11">
        <v>8.799876823E9</v>
      </c>
      <c r="I2680" s="11" t="s">
        <v>70</v>
      </c>
      <c r="J2680" s="11" t="s">
        <v>71</v>
      </c>
      <c r="K2680" s="11" t="s">
        <v>72</v>
      </c>
      <c r="L2680" s="11" t="s">
        <v>131</v>
      </c>
      <c r="M2680" s="11" t="s">
        <v>14579</v>
      </c>
      <c r="N2680" s="11" t="s">
        <v>75</v>
      </c>
      <c r="O2680" s="11" t="s">
        <v>71</v>
      </c>
      <c r="P2680" s="11" t="s">
        <v>14580</v>
      </c>
      <c r="Q2680" s="13" t="s">
        <v>14581</v>
      </c>
      <c r="R2680" s="14" t="str">
        <f>HYPERLINK("https://drive.google.com/file/d/1FsWV4RxMx7KnRC83t58fo3hRcWcpix4c/view?usp=drivesdk","OFFER LETTER")</f>
        <v>OFFER LETTER</v>
      </c>
      <c r="S2680" s="11" t="s">
        <v>14582</v>
      </c>
    </row>
    <row r="2681" ht="22.5" customHeight="1">
      <c r="A2681" s="10">
        <v>46273.553781828705</v>
      </c>
      <c r="B2681" s="11" t="s">
        <v>14583</v>
      </c>
      <c r="C2681" s="11" t="s">
        <v>195</v>
      </c>
      <c r="D2681" s="11" t="s">
        <v>108</v>
      </c>
      <c r="E2681" s="12">
        <v>46174.0</v>
      </c>
      <c r="F2681" s="12">
        <v>46235.0</v>
      </c>
      <c r="G2681" s="11" t="s">
        <v>14584</v>
      </c>
      <c r="H2681" s="11">
        <v>9.758650207E9</v>
      </c>
      <c r="I2681" s="11" t="s">
        <v>82</v>
      </c>
      <c r="J2681" s="11" t="s">
        <v>71</v>
      </c>
      <c r="K2681" s="11" t="s">
        <v>72</v>
      </c>
      <c r="L2681" s="11" t="s">
        <v>131</v>
      </c>
      <c r="M2681" s="11" t="s">
        <v>7370</v>
      </c>
      <c r="N2681" s="11" t="s">
        <v>198</v>
      </c>
      <c r="O2681" s="11" t="s">
        <v>71</v>
      </c>
      <c r="P2681" s="11" t="s">
        <v>14585</v>
      </c>
      <c r="Q2681" s="13" t="s">
        <v>14586</v>
      </c>
      <c r="R2681" s="14" t="str">
        <f>HYPERLINK("https://drive.google.com/file/d/1zG0KXtZgQxstU3ri3Burii8YBybCC4WW/view?usp=drivesdk","OFFER LETTER")</f>
        <v>OFFER LETTER</v>
      </c>
      <c r="S2681" s="11" t="s">
        <v>14587</v>
      </c>
    </row>
    <row r="2682" ht="22.5" customHeight="1">
      <c r="A2682" s="10">
        <v>46273.55492664352</v>
      </c>
      <c r="B2682" s="11" t="s">
        <v>14588</v>
      </c>
      <c r="C2682" s="11" t="s">
        <v>1320</v>
      </c>
      <c r="D2682" s="11" t="s">
        <v>108</v>
      </c>
      <c r="E2682" s="12">
        <v>46237.0</v>
      </c>
      <c r="F2682" s="12">
        <v>46298.0</v>
      </c>
      <c r="G2682" s="11" t="s">
        <v>14589</v>
      </c>
      <c r="H2682" s="11">
        <v>7.974587445E9</v>
      </c>
      <c r="I2682" s="11" t="s">
        <v>82</v>
      </c>
      <c r="J2682" s="11" t="s">
        <v>71</v>
      </c>
      <c r="K2682" s="11" t="s">
        <v>72</v>
      </c>
      <c r="L2682" s="11" t="s">
        <v>131</v>
      </c>
      <c r="M2682" s="11" t="s">
        <v>14590</v>
      </c>
      <c r="N2682" s="11" t="s">
        <v>14591</v>
      </c>
      <c r="O2682" s="11" t="s">
        <v>71</v>
      </c>
      <c r="P2682" s="11" t="s">
        <v>14592</v>
      </c>
      <c r="Q2682" s="13" t="s">
        <v>14593</v>
      </c>
      <c r="R2682" s="14" t="str">
        <f>HYPERLINK("https://drive.google.com/file/d/1TKvgu-mH1_2p-cj7OAUo0VMB6twxg61g/view?usp=drivesdk","OFFER LETTER")</f>
        <v>OFFER LETTER</v>
      </c>
      <c r="S2682" s="11" t="s">
        <v>14594</v>
      </c>
    </row>
    <row r="2683" ht="22.5" customHeight="1">
      <c r="A2683" s="10">
        <v>46273.56099381944</v>
      </c>
      <c r="B2683" s="11" t="s">
        <v>14595</v>
      </c>
      <c r="C2683" s="11" t="s">
        <v>128</v>
      </c>
      <c r="D2683" s="11" t="s">
        <v>68</v>
      </c>
      <c r="E2683" s="12">
        <v>46274.0</v>
      </c>
      <c r="F2683" s="12">
        <v>46302.0</v>
      </c>
      <c r="G2683" s="11" t="s">
        <v>14596</v>
      </c>
      <c r="H2683" s="11">
        <v>8.610469883E9</v>
      </c>
      <c r="I2683" s="11" t="s">
        <v>82</v>
      </c>
      <c r="J2683" s="11" t="s">
        <v>71</v>
      </c>
      <c r="K2683" s="11" t="s">
        <v>72</v>
      </c>
      <c r="L2683" s="11" t="s">
        <v>73</v>
      </c>
      <c r="M2683" s="11" t="s">
        <v>14597</v>
      </c>
      <c r="N2683" s="11" t="s">
        <v>1576</v>
      </c>
      <c r="O2683" s="11" t="s">
        <v>71</v>
      </c>
      <c r="P2683" s="11" t="s">
        <v>14598</v>
      </c>
      <c r="Q2683" s="13" t="s">
        <v>14599</v>
      </c>
      <c r="R2683" s="14" t="str">
        <f>HYPERLINK("https://drive.google.com/file/d/1QX8iNfEG0orF7_tQEYDJ4IuY59Ym288A/view?usp=drivesdk","OFFER LETTER")</f>
        <v>OFFER LETTER</v>
      </c>
      <c r="S2683" s="11" t="s">
        <v>14600</v>
      </c>
    </row>
    <row r="2684" ht="22.5" customHeight="1">
      <c r="A2684" s="10">
        <v>46273.562160636575</v>
      </c>
      <c r="B2684" s="11" t="s">
        <v>14601</v>
      </c>
      <c r="C2684" s="11" t="s">
        <v>173</v>
      </c>
      <c r="D2684" s="11" t="s">
        <v>108</v>
      </c>
      <c r="E2684" s="12">
        <v>46168.0</v>
      </c>
      <c r="F2684" s="12">
        <v>46214.0</v>
      </c>
      <c r="G2684" s="11" t="s">
        <v>14602</v>
      </c>
      <c r="H2684" s="11">
        <v>7.726947871E9</v>
      </c>
      <c r="I2684" s="11" t="s">
        <v>82</v>
      </c>
      <c r="J2684" s="11" t="s">
        <v>71</v>
      </c>
      <c r="K2684" s="11" t="s">
        <v>72</v>
      </c>
      <c r="L2684" s="11" t="s">
        <v>73</v>
      </c>
      <c r="M2684" s="11" t="s">
        <v>14603</v>
      </c>
      <c r="N2684" s="11" t="s">
        <v>86</v>
      </c>
      <c r="O2684" s="11" t="s">
        <v>130</v>
      </c>
      <c r="P2684" s="11" t="s">
        <v>14604</v>
      </c>
      <c r="Q2684" s="13" t="s">
        <v>14605</v>
      </c>
      <c r="R2684" s="14" t="str">
        <f>HYPERLINK("https://drive.google.com/file/d/1_uHFvoTVO4K0j2JPbd5gwmKixq4MQUur/view?usp=drivesdk","OFFER LETTER")</f>
        <v>OFFER LETTER</v>
      </c>
      <c r="S2684" s="11" t="s">
        <v>14606</v>
      </c>
    </row>
    <row r="2685" ht="22.5" customHeight="1">
      <c r="A2685" s="10">
        <v>46273.562953009256</v>
      </c>
      <c r="B2685" s="11" t="s">
        <v>14607</v>
      </c>
      <c r="C2685" s="11" t="s">
        <v>128</v>
      </c>
      <c r="D2685" s="11" t="s">
        <v>68</v>
      </c>
      <c r="E2685" s="12">
        <v>46273.0</v>
      </c>
      <c r="F2685" s="12">
        <v>46303.0</v>
      </c>
      <c r="G2685" s="11" t="s">
        <v>14608</v>
      </c>
      <c r="H2685" s="11">
        <v>9.091323334E9</v>
      </c>
      <c r="I2685" s="11" t="s">
        <v>82</v>
      </c>
      <c r="J2685" s="11" t="s">
        <v>71</v>
      </c>
      <c r="K2685" s="11" t="s">
        <v>72</v>
      </c>
      <c r="L2685" s="11" t="s">
        <v>131</v>
      </c>
      <c r="M2685" s="11" t="s">
        <v>5158</v>
      </c>
      <c r="N2685" s="11" t="s">
        <v>241</v>
      </c>
      <c r="O2685" s="11" t="s">
        <v>71</v>
      </c>
      <c r="P2685" s="11" t="s">
        <v>14609</v>
      </c>
      <c r="Q2685" s="13" t="s">
        <v>14610</v>
      </c>
      <c r="R2685" s="14" t="str">
        <f>HYPERLINK("https://drive.google.com/file/d/1tRBw3LmVpjDatpiur1xnBG0Dj2Q7fagA/view?usp=drivesdk","OFFER LETTER")</f>
        <v>OFFER LETTER</v>
      </c>
      <c r="S2685" s="11" t="s">
        <v>14611</v>
      </c>
    </row>
    <row r="2686" ht="22.5" customHeight="1">
      <c r="A2686" s="10">
        <v>46273.56370511574</v>
      </c>
      <c r="B2686" s="11" t="s">
        <v>14612</v>
      </c>
      <c r="C2686" s="11" t="s">
        <v>91</v>
      </c>
      <c r="D2686" s="11" t="s">
        <v>68</v>
      </c>
      <c r="E2686" s="12">
        <v>46273.0</v>
      </c>
      <c r="F2686" s="12">
        <v>46303.0</v>
      </c>
      <c r="G2686" s="11" t="s">
        <v>14613</v>
      </c>
      <c r="H2686" s="11">
        <v>9.981971548E9</v>
      </c>
      <c r="I2686" s="11" t="s">
        <v>70</v>
      </c>
      <c r="J2686" s="11" t="s">
        <v>71</v>
      </c>
      <c r="K2686" s="11" t="s">
        <v>72</v>
      </c>
      <c r="L2686" s="11" t="s">
        <v>73</v>
      </c>
      <c r="M2686" s="11" t="s">
        <v>14614</v>
      </c>
      <c r="N2686" s="11" t="s">
        <v>133</v>
      </c>
      <c r="O2686" s="11" t="s">
        <v>71</v>
      </c>
      <c r="P2686" s="11" t="s">
        <v>14615</v>
      </c>
      <c r="Q2686" s="13" t="s">
        <v>14616</v>
      </c>
      <c r="R2686" s="14" t="str">
        <f>HYPERLINK("https://drive.google.com/file/d/1UAr77iwZcR-3vPTfhsg5pQYG0Ej40tlQ/view?usp=drivesdk","OFFER LETTER")</f>
        <v>OFFER LETTER</v>
      </c>
      <c r="S2686" s="11" t="s">
        <v>14617</v>
      </c>
    </row>
    <row r="2687" ht="22.5" customHeight="1">
      <c r="A2687" s="10">
        <v>46273.56395576389</v>
      </c>
      <c r="B2687" s="11" t="s">
        <v>14618</v>
      </c>
      <c r="C2687" s="11" t="s">
        <v>128</v>
      </c>
      <c r="D2687" s="11" t="s">
        <v>108</v>
      </c>
      <c r="E2687" s="12">
        <v>46237.0</v>
      </c>
      <c r="F2687" s="12">
        <v>46298.0</v>
      </c>
      <c r="G2687" s="11" t="s">
        <v>14619</v>
      </c>
      <c r="H2687" s="11">
        <v>9.300320677E9</v>
      </c>
      <c r="I2687" s="11" t="s">
        <v>82</v>
      </c>
      <c r="J2687" s="11" t="s">
        <v>71</v>
      </c>
      <c r="K2687" s="11" t="s">
        <v>72</v>
      </c>
      <c r="L2687" s="11" t="s">
        <v>131</v>
      </c>
      <c r="M2687" s="11" t="s">
        <v>14620</v>
      </c>
      <c r="N2687" s="11" t="s">
        <v>86</v>
      </c>
      <c r="O2687" s="11" t="s">
        <v>71</v>
      </c>
      <c r="P2687" s="11" t="s">
        <v>14621</v>
      </c>
      <c r="Q2687" s="13" t="s">
        <v>14622</v>
      </c>
      <c r="R2687" s="14" t="str">
        <f>HYPERLINK("https://drive.google.com/file/d/1sGwjugpA2ftpsbWuyY_rd9dqyL9Xftj-/view?usp=drivesdk","OFFER LETTER")</f>
        <v>OFFER LETTER</v>
      </c>
      <c r="S2687" s="11" t="s">
        <v>14617</v>
      </c>
    </row>
    <row r="2688" ht="22.5" customHeight="1">
      <c r="A2688" s="10">
        <v>46273.56748921296</v>
      </c>
      <c r="B2688" s="11" t="s">
        <v>14612</v>
      </c>
      <c r="C2688" s="11" t="s">
        <v>91</v>
      </c>
      <c r="D2688" s="11" t="s">
        <v>68</v>
      </c>
      <c r="E2688" s="12">
        <v>46273.0</v>
      </c>
      <c r="F2688" s="12">
        <v>46303.0</v>
      </c>
      <c r="G2688" s="11" t="s">
        <v>14613</v>
      </c>
      <c r="H2688" s="11">
        <v>9.981971548E9</v>
      </c>
      <c r="I2688" s="11" t="s">
        <v>70</v>
      </c>
      <c r="J2688" s="11" t="s">
        <v>71</v>
      </c>
      <c r="K2688" s="11" t="s">
        <v>72</v>
      </c>
      <c r="L2688" s="11" t="s">
        <v>73</v>
      </c>
      <c r="M2688" s="11" t="s">
        <v>14614</v>
      </c>
      <c r="N2688" s="11" t="s">
        <v>420</v>
      </c>
      <c r="O2688" s="11" t="s">
        <v>71</v>
      </c>
      <c r="P2688" s="11" t="s">
        <v>14623</v>
      </c>
      <c r="Q2688" s="13" t="s">
        <v>14624</v>
      </c>
      <c r="R2688" s="14" t="str">
        <f>HYPERLINK("https://drive.google.com/file/d/1RNb5nv4TDytM5hiXOWvYdhmCAMhaiCIa/view?usp=drivesdk","OFFER LETTER")</f>
        <v>OFFER LETTER</v>
      </c>
      <c r="S2688" s="11" t="s">
        <v>14625</v>
      </c>
    </row>
    <row r="2689" ht="22.5" customHeight="1">
      <c r="A2689" s="10">
        <v>46273.575712488426</v>
      </c>
      <c r="B2689" s="11" t="s">
        <v>14626</v>
      </c>
      <c r="C2689" s="11" t="s">
        <v>128</v>
      </c>
      <c r="D2689" s="11" t="s">
        <v>68</v>
      </c>
      <c r="E2689" s="12">
        <v>46259.0</v>
      </c>
      <c r="F2689" s="12">
        <v>46290.0</v>
      </c>
      <c r="G2689" s="11" t="s">
        <v>14627</v>
      </c>
      <c r="H2689" s="11">
        <v>7.999348884E9</v>
      </c>
      <c r="I2689" s="11" t="s">
        <v>82</v>
      </c>
      <c r="J2689" s="11" t="s">
        <v>71</v>
      </c>
      <c r="K2689" s="11" t="s">
        <v>72</v>
      </c>
      <c r="L2689" s="11" t="s">
        <v>131</v>
      </c>
      <c r="M2689" s="11" t="s">
        <v>14628</v>
      </c>
      <c r="N2689" s="11" t="s">
        <v>241</v>
      </c>
      <c r="O2689" s="11" t="s">
        <v>71</v>
      </c>
      <c r="P2689" s="11" t="s">
        <v>14629</v>
      </c>
      <c r="Q2689" s="13" t="s">
        <v>14630</v>
      </c>
      <c r="R2689" s="14" t="str">
        <f>HYPERLINK("https://drive.google.com/file/d/1W8Sw-2bHg1tNmiFKqbeZk7AyDduOg63_/view?usp=drivesdk","OFFER LETTER")</f>
        <v>OFFER LETTER</v>
      </c>
      <c r="S2689" s="11" t="s">
        <v>14631</v>
      </c>
    </row>
    <row r="2690" ht="22.5" customHeight="1">
      <c r="A2690" s="10">
        <v>46273.5771432176</v>
      </c>
      <c r="B2690" s="11" t="s">
        <v>14632</v>
      </c>
      <c r="C2690" s="11" t="s">
        <v>91</v>
      </c>
      <c r="D2690" s="11" t="s">
        <v>68</v>
      </c>
      <c r="E2690" s="12">
        <v>46273.0</v>
      </c>
      <c r="F2690" s="12">
        <v>46303.0</v>
      </c>
      <c r="G2690" s="11" t="s">
        <v>14633</v>
      </c>
      <c r="H2690" s="11">
        <v>8.309715596E9</v>
      </c>
      <c r="I2690" s="11" t="s">
        <v>82</v>
      </c>
      <c r="J2690" s="11" t="s">
        <v>71</v>
      </c>
      <c r="K2690" s="11" t="s">
        <v>72</v>
      </c>
      <c r="L2690" s="11" t="s">
        <v>73</v>
      </c>
      <c r="M2690" s="11" t="s">
        <v>14634</v>
      </c>
      <c r="N2690" s="11" t="s">
        <v>14635</v>
      </c>
      <c r="O2690" s="11" t="s">
        <v>71</v>
      </c>
      <c r="P2690" s="11" t="s">
        <v>14636</v>
      </c>
      <c r="Q2690" s="13" t="s">
        <v>14637</v>
      </c>
      <c r="R2690" s="14" t="str">
        <f>HYPERLINK("https://drive.google.com/file/d/1IbS9BF8ygtdBTpOzcdxzsBqwyEqoBOaJ/view?usp=drivesdk","OFFER LETTER")</f>
        <v>OFFER LETTER</v>
      </c>
      <c r="S2690" s="11" t="s">
        <v>14638</v>
      </c>
    </row>
    <row r="2691" ht="22.5" customHeight="1">
      <c r="A2691" s="10">
        <v>46273.57767777778</v>
      </c>
      <c r="B2691" s="11" t="s">
        <v>14639</v>
      </c>
      <c r="C2691" s="11" t="s">
        <v>195</v>
      </c>
      <c r="D2691" s="11" t="s">
        <v>68</v>
      </c>
      <c r="E2691" s="12">
        <v>46273.0</v>
      </c>
      <c r="F2691" s="12">
        <v>46303.0</v>
      </c>
      <c r="G2691" s="11" t="s">
        <v>14640</v>
      </c>
      <c r="H2691" s="11">
        <v>9.569935739E9</v>
      </c>
      <c r="I2691" s="11" t="s">
        <v>82</v>
      </c>
      <c r="J2691" s="11" t="s">
        <v>71</v>
      </c>
      <c r="K2691" s="11" t="s">
        <v>72</v>
      </c>
      <c r="L2691" s="11" t="s">
        <v>73</v>
      </c>
      <c r="M2691" s="11" t="s">
        <v>14641</v>
      </c>
      <c r="N2691" s="11" t="s">
        <v>75</v>
      </c>
      <c r="O2691" s="11" t="s">
        <v>71</v>
      </c>
      <c r="P2691" s="11" t="s">
        <v>14642</v>
      </c>
      <c r="Q2691" s="13" t="s">
        <v>14643</v>
      </c>
      <c r="R2691" s="14" t="str">
        <f>HYPERLINK("https://drive.google.com/file/d/1M8voMT_SHA2dfpkLeCJ2SvTLBNfUcb3p/view?usp=drivesdk","OFFER LETTER")</f>
        <v>OFFER LETTER</v>
      </c>
      <c r="S2691" s="11" t="s">
        <v>14644</v>
      </c>
    </row>
    <row r="2692" ht="22.5" customHeight="1">
      <c r="A2692" s="10">
        <v>46273.581314027775</v>
      </c>
      <c r="B2692" s="11" t="s">
        <v>14645</v>
      </c>
      <c r="C2692" s="11" t="s">
        <v>91</v>
      </c>
      <c r="D2692" s="11" t="s">
        <v>108</v>
      </c>
      <c r="E2692" s="12">
        <v>46239.0</v>
      </c>
      <c r="F2692" s="12">
        <v>46300.0</v>
      </c>
      <c r="G2692" s="11" t="s">
        <v>14646</v>
      </c>
      <c r="H2692" s="11">
        <v>8.839577017E9</v>
      </c>
      <c r="I2692" s="11" t="s">
        <v>82</v>
      </c>
      <c r="J2692" s="11" t="s">
        <v>71</v>
      </c>
      <c r="K2692" s="11" t="s">
        <v>72</v>
      </c>
      <c r="L2692" s="11" t="s">
        <v>131</v>
      </c>
      <c r="M2692" s="11" t="s">
        <v>14647</v>
      </c>
      <c r="N2692" s="11" t="s">
        <v>86</v>
      </c>
      <c r="O2692" s="11" t="s">
        <v>71</v>
      </c>
      <c r="P2692" s="11" t="s">
        <v>14648</v>
      </c>
      <c r="Q2692" s="13" t="s">
        <v>14649</v>
      </c>
      <c r="R2692" s="14" t="str">
        <f>HYPERLINK("https://drive.google.com/file/d/1glW5jAbaFnpovSCfgZy9iGvrmrjBpEWb/view?usp=drivesdk","OFFER LETTER")</f>
        <v>OFFER LETTER</v>
      </c>
      <c r="S2692" s="11" t="s">
        <v>14650</v>
      </c>
    </row>
    <row r="2693" ht="22.5" customHeight="1">
      <c r="A2693" s="10">
        <v>46273.582957858795</v>
      </c>
      <c r="B2693" s="11" t="s">
        <v>14651</v>
      </c>
      <c r="C2693" s="11" t="s">
        <v>195</v>
      </c>
      <c r="D2693" s="11" t="s">
        <v>68</v>
      </c>
      <c r="E2693" s="12">
        <v>46272.0</v>
      </c>
      <c r="F2693" s="12">
        <v>46302.0</v>
      </c>
      <c r="G2693" s="11" t="s">
        <v>14652</v>
      </c>
      <c r="H2693" s="11">
        <v>8.004897848E9</v>
      </c>
      <c r="I2693" s="11" t="s">
        <v>82</v>
      </c>
      <c r="J2693" s="11" t="s">
        <v>71</v>
      </c>
      <c r="K2693" s="11" t="s">
        <v>72</v>
      </c>
      <c r="L2693" s="11" t="s">
        <v>73</v>
      </c>
      <c r="M2693" s="11" t="s">
        <v>6175</v>
      </c>
      <c r="N2693" s="11" t="s">
        <v>75</v>
      </c>
      <c r="O2693" s="11" t="s">
        <v>71</v>
      </c>
      <c r="P2693" s="11" t="s">
        <v>14653</v>
      </c>
      <c r="Q2693" s="13" t="s">
        <v>14654</v>
      </c>
      <c r="R2693" s="14" t="str">
        <f>HYPERLINK("https://drive.google.com/file/d/1_Z5YjnebjyphSRYe4gCdf9_OiVR9cvZs/view?usp=drivesdk","OFFER LETTER")</f>
        <v>OFFER LETTER</v>
      </c>
      <c r="S2693" s="11" t="s">
        <v>14655</v>
      </c>
    </row>
    <row r="2694" ht="22.5" customHeight="1">
      <c r="A2694" s="10">
        <v>46273.583638703705</v>
      </c>
      <c r="B2694" s="11" t="s">
        <v>14656</v>
      </c>
      <c r="C2694" s="11" t="s">
        <v>195</v>
      </c>
      <c r="D2694" s="11" t="s">
        <v>68</v>
      </c>
      <c r="E2694" s="12">
        <v>46273.0</v>
      </c>
      <c r="F2694" s="12">
        <v>46303.0</v>
      </c>
      <c r="G2694" s="11" t="s">
        <v>14657</v>
      </c>
      <c r="H2694" s="11">
        <v>9.86065177E9</v>
      </c>
      <c r="I2694" s="11" t="s">
        <v>82</v>
      </c>
      <c r="J2694" s="11" t="s">
        <v>83</v>
      </c>
      <c r="K2694" s="11" t="s">
        <v>72</v>
      </c>
      <c r="L2694" s="11" t="s">
        <v>73</v>
      </c>
      <c r="M2694" s="11" t="s">
        <v>14658</v>
      </c>
      <c r="N2694" s="11" t="s">
        <v>241</v>
      </c>
      <c r="O2694" s="11" t="s">
        <v>71</v>
      </c>
      <c r="P2694" s="11" t="s">
        <v>14659</v>
      </c>
      <c r="Q2694" s="13" t="s">
        <v>14660</v>
      </c>
      <c r="R2694" s="14" t="str">
        <f>HYPERLINK("https://drive.google.com/file/d/1APtowPs944huktOyBURr8Jl7y7pI6oxX/view?usp=drivesdk","OFFER LETTER")</f>
        <v>OFFER LETTER</v>
      </c>
      <c r="S2694" s="11" t="s">
        <v>14661</v>
      </c>
    </row>
    <row r="2695" ht="22.5" customHeight="1">
      <c r="A2695" s="10">
        <v>46273.583838067134</v>
      </c>
      <c r="B2695" s="11" t="s">
        <v>14662</v>
      </c>
      <c r="C2695" s="11" t="s">
        <v>107</v>
      </c>
      <c r="D2695" s="11" t="s">
        <v>68</v>
      </c>
      <c r="E2695" s="12">
        <v>46274.0</v>
      </c>
      <c r="F2695" s="12">
        <v>46304.0</v>
      </c>
      <c r="G2695" s="11" t="s">
        <v>14663</v>
      </c>
      <c r="H2695" s="11">
        <v>8.618812376E9</v>
      </c>
      <c r="I2695" s="11" t="s">
        <v>82</v>
      </c>
      <c r="J2695" s="11" t="s">
        <v>71</v>
      </c>
      <c r="K2695" s="11" t="s">
        <v>72</v>
      </c>
      <c r="L2695" s="11" t="s">
        <v>131</v>
      </c>
      <c r="M2695" s="11" t="s">
        <v>14664</v>
      </c>
      <c r="N2695" s="11" t="s">
        <v>241</v>
      </c>
      <c r="O2695" s="11" t="s">
        <v>71</v>
      </c>
      <c r="P2695" s="11" t="s">
        <v>14665</v>
      </c>
      <c r="Q2695" s="13" t="s">
        <v>14666</v>
      </c>
      <c r="R2695" s="14" t="str">
        <f>HYPERLINK("https://drive.google.com/file/d/11nfOGrKuUqE8fjJ-EoheJTZ-RXsTxiyY/view?usp=drivesdk","OFFER LETTER")</f>
        <v>OFFER LETTER</v>
      </c>
      <c r="S2695" s="11" t="s">
        <v>14667</v>
      </c>
    </row>
    <row r="2696" ht="22.5" customHeight="1">
      <c r="A2696" s="10">
        <v>46273.58582648148</v>
      </c>
      <c r="B2696" s="11" t="s">
        <v>14668</v>
      </c>
      <c r="C2696" s="11" t="s">
        <v>298</v>
      </c>
      <c r="D2696" s="11" t="s">
        <v>68</v>
      </c>
      <c r="E2696" s="12">
        <v>46248.0</v>
      </c>
      <c r="F2696" s="12">
        <v>46279.0</v>
      </c>
      <c r="G2696" s="11" t="s">
        <v>14669</v>
      </c>
      <c r="H2696" s="11">
        <v>8.428995435E9</v>
      </c>
      <c r="I2696" s="11" t="s">
        <v>82</v>
      </c>
      <c r="J2696" s="11" t="s">
        <v>71</v>
      </c>
      <c r="K2696" s="11" t="s">
        <v>72</v>
      </c>
      <c r="L2696" s="11" t="s">
        <v>131</v>
      </c>
      <c r="M2696" s="11" t="s">
        <v>684</v>
      </c>
      <c r="N2696" s="11" t="s">
        <v>86</v>
      </c>
      <c r="O2696" s="11" t="s">
        <v>71</v>
      </c>
      <c r="P2696" s="11" t="s">
        <v>14670</v>
      </c>
      <c r="Q2696" s="13" t="s">
        <v>14671</v>
      </c>
      <c r="R2696" s="14" t="str">
        <f>HYPERLINK("https://drive.google.com/file/d/1BCdOiX63yrCmil6Lcc3cjf4sHJv3xUr-/view?usp=drivesdk","OFFER LETTER")</f>
        <v>OFFER LETTER</v>
      </c>
      <c r="S2696" s="11" t="s">
        <v>14672</v>
      </c>
    </row>
    <row r="2697" ht="22.5" customHeight="1">
      <c r="A2697" s="10">
        <v>46273.58626606481</v>
      </c>
      <c r="B2697" s="11" t="s">
        <v>14673</v>
      </c>
      <c r="C2697" s="11" t="s">
        <v>1200</v>
      </c>
      <c r="D2697" s="11" t="s">
        <v>68</v>
      </c>
      <c r="E2697" s="12">
        <v>46274.0</v>
      </c>
      <c r="F2697" s="12">
        <v>46274.0</v>
      </c>
      <c r="G2697" s="11" t="s">
        <v>14674</v>
      </c>
      <c r="H2697" s="11">
        <v>7.38670598E9</v>
      </c>
      <c r="I2697" s="11" t="s">
        <v>70</v>
      </c>
      <c r="J2697" s="11" t="s">
        <v>71</v>
      </c>
      <c r="K2697" s="11" t="s">
        <v>356</v>
      </c>
      <c r="L2697" s="11" t="s">
        <v>247</v>
      </c>
      <c r="M2697" s="11" t="s">
        <v>14675</v>
      </c>
      <c r="N2697" s="11" t="s">
        <v>241</v>
      </c>
      <c r="O2697" s="11" t="s">
        <v>71</v>
      </c>
      <c r="P2697" s="11" t="s">
        <v>14676</v>
      </c>
      <c r="Q2697" s="13" t="s">
        <v>14677</v>
      </c>
      <c r="R2697" s="14" t="str">
        <f>HYPERLINK("https://drive.google.com/file/d/1el83Jpb0JJUliwE29AIOHwkcphgKgunb/view?usp=drivesdk","OFFER LETTER")</f>
        <v>OFFER LETTER</v>
      </c>
      <c r="S2697" s="11" t="s">
        <v>14678</v>
      </c>
    </row>
    <row r="2698" ht="22.5" customHeight="1">
      <c r="A2698" s="10">
        <v>46273.58660930555</v>
      </c>
      <c r="B2698" s="11" t="s">
        <v>14679</v>
      </c>
      <c r="C2698" s="11" t="s">
        <v>91</v>
      </c>
      <c r="D2698" s="11" t="s">
        <v>68</v>
      </c>
      <c r="E2698" s="12">
        <v>46273.0</v>
      </c>
      <c r="F2698" s="12">
        <v>46303.0</v>
      </c>
      <c r="G2698" s="11" t="s">
        <v>14680</v>
      </c>
      <c r="H2698" s="11">
        <v>7.355414819E9</v>
      </c>
      <c r="I2698" s="11" t="s">
        <v>82</v>
      </c>
      <c r="J2698" s="11" t="s">
        <v>71</v>
      </c>
      <c r="K2698" s="11" t="s">
        <v>72</v>
      </c>
      <c r="L2698" s="11" t="s">
        <v>131</v>
      </c>
      <c r="M2698" s="11" t="s">
        <v>11177</v>
      </c>
      <c r="N2698" s="11" t="s">
        <v>86</v>
      </c>
      <c r="O2698" s="11" t="s">
        <v>71</v>
      </c>
      <c r="P2698" s="11" t="s">
        <v>14681</v>
      </c>
      <c r="Q2698" s="13" t="s">
        <v>14682</v>
      </c>
      <c r="R2698" s="14" t="str">
        <f>HYPERLINK("https://drive.google.com/file/d/1VG04MLcC13XgUN8s4XXUNfqrgTVAs9Cl/view?usp=drivesdk","OFFER LETTER")</f>
        <v>OFFER LETTER</v>
      </c>
      <c r="S2698" s="11" t="s">
        <v>14683</v>
      </c>
    </row>
    <row r="2699" ht="22.5" customHeight="1">
      <c r="A2699" s="10">
        <v>46273.590320324074</v>
      </c>
      <c r="B2699" s="11" t="s">
        <v>14684</v>
      </c>
      <c r="C2699" s="11" t="s">
        <v>195</v>
      </c>
      <c r="D2699" s="11" t="s">
        <v>108</v>
      </c>
      <c r="E2699" s="12">
        <v>46210.0</v>
      </c>
      <c r="F2699" s="12">
        <v>46272.0</v>
      </c>
      <c r="G2699" s="11" t="s">
        <v>14685</v>
      </c>
      <c r="H2699" s="11">
        <v>9.219934792E9</v>
      </c>
      <c r="I2699" s="11" t="s">
        <v>82</v>
      </c>
      <c r="J2699" s="11" t="s">
        <v>71</v>
      </c>
      <c r="K2699" s="11" t="s">
        <v>72</v>
      </c>
      <c r="L2699" s="11" t="s">
        <v>131</v>
      </c>
      <c r="M2699" s="11" t="s">
        <v>275</v>
      </c>
      <c r="N2699" s="11" t="s">
        <v>75</v>
      </c>
      <c r="O2699" s="11" t="s">
        <v>71</v>
      </c>
      <c r="P2699" s="11" t="s">
        <v>14686</v>
      </c>
      <c r="Q2699" s="13" t="s">
        <v>14687</v>
      </c>
      <c r="R2699" s="14" t="str">
        <f>HYPERLINK("https://drive.google.com/file/d/1Hu37Cg4t9xMlUSa1eVcLB8wtgirmlcgy/view?usp=drivesdk","OFFER LETTER")</f>
        <v>OFFER LETTER</v>
      </c>
      <c r="S2699" s="11" t="s">
        <v>14688</v>
      </c>
    </row>
    <row r="2700" ht="22.5" customHeight="1">
      <c r="A2700" s="10">
        <v>46273.59654003472</v>
      </c>
      <c r="B2700" s="11" t="s">
        <v>14689</v>
      </c>
      <c r="C2700" s="11" t="s">
        <v>195</v>
      </c>
      <c r="D2700" s="11" t="s">
        <v>68</v>
      </c>
      <c r="E2700" s="12">
        <v>46235.0</v>
      </c>
      <c r="F2700" s="12">
        <v>46295.0</v>
      </c>
      <c r="G2700" s="11" t="s">
        <v>14690</v>
      </c>
      <c r="H2700" s="11">
        <v>7.449176782E9</v>
      </c>
      <c r="I2700" s="11" t="s">
        <v>82</v>
      </c>
      <c r="J2700" s="11" t="s">
        <v>130</v>
      </c>
      <c r="K2700" s="11" t="s">
        <v>72</v>
      </c>
      <c r="L2700" s="11" t="s">
        <v>73</v>
      </c>
      <c r="M2700" s="11" t="s">
        <v>13699</v>
      </c>
      <c r="N2700" s="11" t="s">
        <v>86</v>
      </c>
      <c r="O2700" s="11" t="s">
        <v>71</v>
      </c>
      <c r="P2700" s="11" t="s">
        <v>14691</v>
      </c>
      <c r="Q2700" s="13" t="s">
        <v>14692</v>
      </c>
      <c r="R2700" s="14" t="str">
        <f>HYPERLINK("https://drive.google.com/file/d/1-i0MSi7nOGwzZbg5oTLKsTP_8iKvA8rD/view?usp=drivesdk","OFFER LETTER")</f>
        <v>OFFER LETTER</v>
      </c>
      <c r="S2700" s="11" t="s">
        <v>14693</v>
      </c>
    </row>
    <row r="2701" ht="22.5" customHeight="1">
      <c r="A2701" s="10">
        <v>46273.59915574074</v>
      </c>
      <c r="B2701" s="11" t="s">
        <v>14679</v>
      </c>
      <c r="C2701" s="11" t="s">
        <v>91</v>
      </c>
      <c r="D2701" s="11" t="s">
        <v>68</v>
      </c>
      <c r="E2701" s="12">
        <v>46273.0</v>
      </c>
      <c r="F2701" s="12">
        <v>46303.0</v>
      </c>
      <c r="G2701" s="11" t="s">
        <v>14680</v>
      </c>
      <c r="H2701" s="11">
        <v>7.355414819E9</v>
      </c>
      <c r="I2701" s="11" t="s">
        <v>82</v>
      </c>
      <c r="J2701" s="11" t="s">
        <v>71</v>
      </c>
      <c r="K2701" s="11" t="s">
        <v>72</v>
      </c>
      <c r="L2701" s="11" t="s">
        <v>131</v>
      </c>
      <c r="M2701" s="11" t="s">
        <v>11177</v>
      </c>
      <c r="N2701" s="11" t="s">
        <v>86</v>
      </c>
      <c r="O2701" s="11" t="s">
        <v>71</v>
      </c>
      <c r="P2701" s="11" t="s">
        <v>14694</v>
      </c>
      <c r="Q2701" s="13" t="s">
        <v>14695</v>
      </c>
      <c r="R2701" s="14" t="str">
        <f>HYPERLINK("https://drive.google.com/file/d/1EFp0n6-j4TY_mq-DKrECGR0KkRXfCjQp/view?usp=drivesdk","OFFER LETTER")</f>
        <v>OFFER LETTER</v>
      </c>
      <c r="S2701" s="11" t="s">
        <v>14696</v>
      </c>
    </row>
    <row r="2702" ht="22.5" customHeight="1">
      <c r="A2702" s="10">
        <v>46273.59989304398</v>
      </c>
      <c r="B2702" s="11" t="s">
        <v>14697</v>
      </c>
      <c r="C2702" s="11" t="s">
        <v>128</v>
      </c>
      <c r="D2702" s="11" t="s">
        <v>68</v>
      </c>
      <c r="E2702" s="12">
        <v>46275.0</v>
      </c>
      <c r="F2702" s="12">
        <v>46305.0</v>
      </c>
      <c r="G2702" s="11" t="s">
        <v>14698</v>
      </c>
      <c r="H2702" s="11">
        <v>8.62999081E9</v>
      </c>
      <c r="I2702" s="11" t="s">
        <v>82</v>
      </c>
      <c r="J2702" s="11" t="s">
        <v>83</v>
      </c>
      <c r="K2702" s="11" t="s">
        <v>72</v>
      </c>
      <c r="L2702" s="11" t="s">
        <v>73</v>
      </c>
      <c r="M2702" s="11" t="s">
        <v>14699</v>
      </c>
      <c r="N2702" s="11" t="s">
        <v>86</v>
      </c>
      <c r="O2702" s="11" t="s">
        <v>130</v>
      </c>
      <c r="P2702" s="11" t="s">
        <v>14700</v>
      </c>
      <c r="Q2702" s="13" t="s">
        <v>14701</v>
      </c>
      <c r="R2702" s="14" t="str">
        <f>HYPERLINK("https://drive.google.com/file/d/1L1Zo19YRpS47D6NHnG1q8WNSixuSUbRo/view?usp=drivesdk","OFFER LETTER")</f>
        <v>OFFER LETTER</v>
      </c>
      <c r="S2702" s="11" t="s">
        <v>14702</v>
      </c>
    </row>
    <row r="2703" ht="22.5" customHeight="1">
      <c r="A2703" s="10">
        <v>46273.60122616898</v>
      </c>
      <c r="B2703" s="11" t="s">
        <v>14703</v>
      </c>
      <c r="C2703" s="11" t="s">
        <v>173</v>
      </c>
      <c r="D2703" s="11" t="s">
        <v>68</v>
      </c>
      <c r="E2703" s="12">
        <v>46273.0</v>
      </c>
      <c r="F2703" s="12">
        <v>46303.0</v>
      </c>
      <c r="G2703" s="11" t="s">
        <v>14704</v>
      </c>
      <c r="H2703" s="11">
        <v>9.390534729E9</v>
      </c>
      <c r="I2703" s="11" t="s">
        <v>70</v>
      </c>
      <c r="J2703" s="11" t="s">
        <v>71</v>
      </c>
      <c r="K2703" s="11" t="s">
        <v>72</v>
      </c>
      <c r="L2703" s="11" t="s">
        <v>131</v>
      </c>
      <c r="M2703" s="11" t="s">
        <v>6876</v>
      </c>
      <c r="N2703" s="11" t="s">
        <v>86</v>
      </c>
      <c r="O2703" s="11" t="s">
        <v>71</v>
      </c>
      <c r="P2703" s="11" t="s">
        <v>14705</v>
      </c>
      <c r="Q2703" s="13" t="s">
        <v>14706</v>
      </c>
      <c r="R2703" s="14" t="str">
        <f>HYPERLINK("https://drive.google.com/file/d/1doKOTa8wHcGrqxnG9WgYBMFTVZ3nVVN1/view?usp=drivesdk","OFFER LETTER")</f>
        <v>OFFER LETTER</v>
      </c>
      <c r="S2703" s="11" t="s">
        <v>14707</v>
      </c>
    </row>
    <row r="2704" ht="22.5" customHeight="1">
      <c r="A2704" s="10">
        <v>46273.60258082176</v>
      </c>
      <c r="B2704" s="11" t="s">
        <v>14708</v>
      </c>
      <c r="C2704" s="11" t="s">
        <v>128</v>
      </c>
      <c r="D2704" s="11" t="s">
        <v>68</v>
      </c>
      <c r="E2704" s="12">
        <v>46259.0</v>
      </c>
      <c r="F2704" s="12">
        <v>46290.0</v>
      </c>
      <c r="G2704" s="11" t="s">
        <v>14627</v>
      </c>
      <c r="H2704" s="11">
        <v>7.999348884E9</v>
      </c>
      <c r="I2704" s="11" t="s">
        <v>82</v>
      </c>
      <c r="J2704" s="11" t="s">
        <v>71</v>
      </c>
      <c r="K2704" s="11" t="s">
        <v>72</v>
      </c>
      <c r="L2704" s="11" t="s">
        <v>131</v>
      </c>
      <c r="M2704" s="11" t="s">
        <v>14709</v>
      </c>
      <c r="N2704" s="11" t="s">
        <v>630</v>
      </c>
      <c r="O2704" s="11" t="s">
        <v>71</v>
      </c>
      <c r="P2704" s="11" t="s">
        <v>14710</v>
      </c>
      <c r="Q2704" s="13" t="s">
        <v>14711</v>
      </c>
      <c r="R2704" s="14" t="str">
        <f>HYPERLINK("https://drive.google.com/file/d/1MgJLDGxpTJvCPxt2rNLs_IUUm1vsoF1c/view?usp=drivesdk","OFFER LETTER")</f>
        <v>OFFER LETTER</v>
      </c>
      <c r="S2704" s="11" t="s">
        <v>14712</v>
      </c>
    </row>
    <row r="2705" ht="22.5" customHeight="1">
      <c r="A2705" s="10">
        <v>46273.6038174537</v>
      </c>
      <c r="B2705" s="11" t="s">
        <v>14713</v>
      </c>
      <c r="C2705" s="11" t="s">
        <v>173</v>
      </c>
      <c r="D2705" s="11" t="s">
        <v>68</v>
      </c>
      <c r="E2705" s="12">
        <v>46204.0</v>
      </c>
      <c r="F2705" s="12">
        <v>46234.0</v>
      </c>
      <c r="G2705" s="11" t="s">
        <v>14714</v>
      </c>
      <c r="H2705" s="11">
        <v>8.21015597E9</v>
      </c>
      <c r="I2705" s="11" t="s">
        <v>82</v>
      </c>
      <c r="J2705" s="11" t="s">
        <v>71</v>
      </c>
      <c r="K2705" s="11" t="s">
        <v>72</v>
      </c>
      <c r="L2705" s="11" t="s">
        <v>84</v>
      </c>
      <c r="M2705" s="11" t="s">
        <v>14715</v>
      </c>
      <c r="N2705" s="11" t="s">
        <v>75</v>
      </c>
      <c r="O2705" s="11" t="s">
        <v>71</v>
      </c>
      <c r="P2705" s="11" t="s">
        <v>14716</v>
      </c>
      <c r="Q2705" s="13" t="s">
        <v>14717</v>
      </c>
      <c r="R2705" s="14" t="str">
        <f>HYPERLINK("https://drive.google.com/file/d/11zyoz-VbHrJMVeJbiuD3WB6GMVmEDevT/view?usp=drivesdk","OFFER LETTER")</f>
        <v>OFFER LETTER</v>
      </c>
      <c r="S2705" s="11" t="s">
        <v>14718</v>
      </c>
    </row>
    <row r="2706" ht="22.5" customHeight="1">
      <c r="A2706" s="10">
        <v>46273.60687121528</v>
      </c>
      <c r="B2706" s="11" t="s">
        <v>14719</v>
      </c>
      <c r="C2706" s="11" t="s">
        <v>298</v>
      </c>
      <c r="D2706" s="11" t="s">
        <v>68</v>
      </c>
      <c r="E2706" s="12">
        <v>46259.0</v>
      </c>
      <c r="F2706" s="12">
        <v>46290.0</v>
      </c>
      <c r="G2706" s="11" t="s">
        <v>14720</v>
      </c>
      <c r="H2706" s="11">
        <v>9.150629467E9</v>
      </c>
      <c r="I2706" s="11" t="s">
        <v>82</v>
      </c>
      <c r="J2706" s="11" t="s">
        <v>71</v>
      </c>
      <c r="K2706" s="11" t="s">
        <v>72</v>
      </c>
      <c r="L2706" s="11" t="s">
        <v>131</v>
      </c>
      <c r="M2706" s="11" t="s">
        <v>684</v>
      </c>
      <c r="N2706" s="11" t="s">
        <v>1641</v>
      </c>
      <c r="O2706" s="11" t="s">
        <v>71</v>
      </c>
      <c r="P2706" s="11" t="s">
        <v>14721</v>
      </c>
      <c r="Q2706" s="13" t="s">
        <v>14722</v>
      </c>
      <c r="R2706" s="14" t="str">
        <f>HYPERLINK("https://drive.google.com/file/d/1Pg2iglmPAZH8T6E12GwMympR1DcWTGUi/view?usp=drivesdk","OFFER LETTER")</f>
        <v>OFFER LETTER</v>
      </c>
      <c r="S2706" s="11" t="s">
        <v>14723</v>
      </c>
    </row>
    <row r="2707" ht="22.5" customHeight="1">
      <c r="A2707" s="10">
        <v>46273.610582696754</v>
      </c>
      <c r="B2707" s="11" t="s">
        <v>14703</v>
      </c>
      <c r="C2707" s="11" t="s">
        <v>173</v>
      </c>
      <c r="D2707" s="11" t="s">
        <v>68</v>
      </c>
      <c r="E2707" s="12">
        <v>46273.0</v>
      </c>
      <c r="F2707" s="12">
        <v>46303.0</v>
      </c>
      <c r="G2707" s="11" t="s">
        <v>14704</v>
      </c>
      <c r="H2707" s="11">
        <v>9.390534729E9</v>
      </c>
      <c r="I2707" s="11" t="s">
        <v>70</v>
      </c>
      <c r="J2707" s="11" t="s">
        <v>71</v>
      </c>
      <c r="K2707" s="11" t="s">
        <v>72</v>
      </c>
      <c r="L2707" s="11" t="s">
        <v>131</v>
      </c>
      <c r="M2707" s="11" t="s">
        <v>6876</v>
      </c>
      <c r="N2707" s="11" t="s">
        <v>86</v>
      </c>
      <c r="O2707" s="11" t="s">
        <v>71</v>
      </c>
      <c r="P2707" s="11" t="s">
        <v>14724</v>
      </c>
      <c r="Q2707" s="13" t="s">
        <v>14725</v>
      </c>
      <c r="R2707" s="14" t="str">
        <f>HYPERLINK("https://drive.google.com/file/d/1GYX1aKEQfAlxdH4-mj6nacDGx40YQNDP/view?usp=drivesdk","OFFER LETTER")</f>
        <v>OFFER LETTER</v>
      </c>
      <c r="S2707" s="11" t="s">
        <v>14726</v>
      </c>
    </row>
    <row r="2708" ht="22.5" customHeight="1">
      <c r="A2708" s="10">
        <v>46273.62341684027</v>
      </c>
      <c r="B2708" s="11" t="s">
        <v>14727</v>
      </c>
      <c r="C2708" s="11" t="s">
        <v>173</v>
      </c>
      <c r="D2708" s="11" t="s">
        <v>68</v>
      </c>
      <c r="E2708" s="12">
        <v>46254.0</v>
      </c>
      <c r="F2708" s="12">
        <v>46285.0</v>
      </c>
      <c r="G2708" s="11" t="s">
        <v>14728</v>
      </c>
      <c r="H2708" s="11">
        <v>8.87031672E9</v>
      </c>
      <c r="I2708" s="11" t="s">
        <v>70</v>
      </c>
      <c r="J2708" s="11" t="s">
        <v>130</v>
      </c>
      <c r="K2708" s="11" t="s">
        <v>72</v>
      </c>
      <c r="L2708" s="11" t="s">
        <v>84</v>
      </c>
      <c r="M2708" s="11" t="s">
        <v>2580</v>
      </c>
      <c r="N2708" s="11" t="s">
        <v>75</v>
      </c>
      <c r="O2708" s="11" t="s">
        <v>71</v>
      </c>
      <c r="P2708" s="11" t="s">
        <v>14729</v>
      </c>
      <c r="Q2708" s="13" t="s">
        <v>14730</v>
      </c>
      <c r="R2708" s="14" t="str">
        <f>HYPERLINK("https://drive.google.com/file/d/16YrWGUoqD2TMj3agY-C2ReCmsDr4pqyB/view?usp=drivesdk","OFFER LETTER")</f>
        <v>OFFER LETTER</v>
      </c>
      <c r="S2708" s="11" t="s">
        <v>14731</v>
      </c>
    </row>
    <row r="2709" ht="22.5" customHeight="1">
      <c r="A2709" s="10">
        <v>46273.62378905092</v>
      </c>
      <c r="B2709" s="11" t="s">
        <v>14732</v>
      </c>
      <c r="C2709" s="11" t="s">
        <v>107</v>
      </c>
      <c r="D2709" s="11" t="s">
        <v>929</v>
      </c>
      <c r="E2709" s="12">
        <v>46239.0</v>
      </c>
      <c r="F2709" s="12">
        <v>46400.0</v>
      </c>
      <c r="G2709" s="11" t="s">
        <v>14733</v>
      </c>
      <c r="H2709" s="17" t="s">
        <v>14734</v>
      </c>
      <c r="I2709" s="11" t="s">
        <v>82</v>
      </c>
      <c r="J2709" s="11" t="s">
        <v>71</v>
      </c>
      <c r="K2709" s="11" t="s">
        <v>72</v>
      </c>
      <c r="L2709" s="11" t="s">
        <v>131</v>
      </c>
      <c r="M2709" s="11" t="s">
        <v>14735</v>
      </c>
      <c r="N2709" s="11" t="s">
        <v>86</v>
      </c>
      <c r="O2709" s="11" t="s">
        <v>71</v>
      </c>
      <c r="P2709" s="11" t="s">
        <v>14736</v>
      </c>
      <c r="Q2709" s="13" t="s">
        <v>14737</v>
      </c>
      <c r="R2709" s="14" t="str">
        <f>HYPERLINK("https://drive.google.com/file/d/1VreWztqmZPuolrq08fhof3oXZMCARN08/view?usp=drivesdk","OFFER LETTER")</f>
        <v>OFFER LETTER</v>
      </c>
      <c r="S2709" s="11" t="s">
        <v>14731</v>
      </c>
    </row>
    <row r="2710" ht="22.5" customHeight="1">
      <c r="A2710" s="10">
        <v>46273.62473376158</v>
      </c>
      <c r="B2710" s="11" t="s">
        <v>14738</v>
      </c>
      <c r="C2710" s="11" t="s">
        <v>67</v>
      </c>
      <c r="D2710" s="11" t="s">
        <v>238</v>
      </c>
      <c r="E2710" s="12">
        <v>46273.0</v>
      </c>
      <c r="F2710" s="12">
        <v>46364.0</v>
      </c>
      <c r="G2710" s="11" t="s">
        <v>14739</v>
      </c>
      <c r="H2710" s="11">
        <v>8.20038232E9</v>
      </c>
      <c r="I2710" s="11" t="s">
        <v>82</v>
      </c>
      <c r="J2710" s="11" t="s">
        <v>71</v>
      </c>
      <c r="K2710" s="11" t="s">
        <v>72</v>
      </c>
      <c r="L2710" s="11" t="s">
        <v>73</v>
      </c>
      <c r="M2710" s="11" t="s">
        <v>14740</v>
      </c>
      <c r="N2710" s="11" t="s">
        <v>75</v>
      </c>
      <c r="O2710" s="11" t="s">
        <v>71</v>
      </c>
      <c r="P2710" s="11" t="s">
        <v>14741</v>
      </c>
      <c r="Q2710" s="13" t="s">
        <v>14742</v>
      </c>
      <c r="R2710" s="14" t="str">
        <f>HYPERLINK("https://drive.google.com/file/d/1Mu3WXeysQCuC1IKn77WIRIZLcOxvGdlH/view?usp=drivesdk","OFFER LETTER")</f>
        <v>OFFER LETTER</v>
      </c>
      <c r="S2710" s="11" t="s">
        <v>14743</v>
      </c>
    </row>
    <row r="2711" ht="22.5" customHeight="1">
      <c r="A2711" s="10">
        <v>46273.62574740741</v>
      </c>
      <c r="B2711" s="11" t="s">
        <v>14744</v>
      </c>
      <c r="C2711" s="11" t="s">
        <v>195</v>
      </c>
      <c r="D2711" s="11" t="s">
        <v>68</v>
      </c>
      <c r="E2711" s="12">
        <v>46223.0</v>
      </c>
      <c r="F2711" s="12">
        <v>46254.0</v>
      </c>
      <c r="G2711" s="11" t="s">
        <v>14745</v>
      </c>
      <c r="H2711" s="11">
        <v>9.348995794E9</v>
      </c>
      <c r="I2711" s="11" t="s">
        <v>82</v>
      </c>
      <c r="J2711" s="11" t="s">
        <v>83</v>
      </c>
      <c r="K2711" s="11" t="s">
        <v>72</v>
      </c>
      <c r="L2711" s="11" t="s">
        <v>73</v>
      </c>
      <c r="M2711" s="11" t="s">
        <v>14746</v>
      </c>
      <c r="N2711" s="11" t="s">
        <v>86</v>
      </c>
      <c r="O2711" s="11" t="s">
        <v>71</v>
      </c>
      <c r="P2711" s="11" t="s">
        <v>14747</v>
      </c>
      <c r="Q2711" s="13" t="s">
        <v>14748</v>
      </c>
      <c r="R2711" s="14" t="str">
        <f>HYPERLINK("https://drive.google.com/file/d/1pyiSMnYGLuogrhvep16-UhYa7U2e3kg6/view?usp=drivesdk","OFFER LETTER")</f>
        <v>OFFER LETTER</v>
      </c>
      <c r="S2711" s="11" t="s">
        <v>14749</v>
      </c>
    </row>
    <row r="2712" ht="22.5" customHeight="1">
      <c r="A2712" s="10">
        <v>46273.6300712963</v>
      </c>
      <c r="B2712" s="11" t="s">
        <v>5355</v>
      </c>
      <c r="C2712" s="11" t="s">
        <v>259</v>
      </c>
      <c r="D2712" s="11" t="s">
        <v>68</v>
      </c>
      <c r="E2712" s="12">
        <v>46180.0</v>
      </c>
      <c r="F2712" s="12">
        <v>46210.0</v>
      </c>
      <c r="G2712" s="11" t="s">
        <v>14750</v>
      </c>
      <c r="H2712" s="11">
        <v>8.809636172E9</v>
      </c>
      <c r="I2712" s="11" t="s">
        <v>82</v>
      </c>
      <c r="J2712" s="11" t="s">
        <v>71</v>
      </c>
      <c r="K2712" s="11" t="s">
        <v>72</v>
      </c>
      <c r="L2712" s="11" t="s">
        <v>84</v>
      </c>
      <c r="M2712" s="11" t="s">
        <v>2535</v>
      </c>
      <c r="N2712" s="11" t="s">
        <v>226</v>
      </c>
      <c r="O2712" s="11" t="s">
        <v>71</v>
      </c>
      <c r="P2712" s="11" t="s">
        <v>14751</v>
      </c>
      <c r="Q2712" s="13" t="s">
        <v>14752</v>
      </c>
      <c r="R2712" s="14" t="str">
        <f>HYPERLINK("https://drive.google.com/file/d/1fgsmTvMLjj78DcWHpnOjRP8mU28jjR6B/view?usp=drivesdk","OFFER LETTER")</f>
        <v>OFFER LETTER</v>
      </c>
      <c r="S2712" s="11" t="s">
        <v>14753</v>
      </c>
    </row>
    <row r="2713" ht="22.5" customHeight="1">
      <c r="A2713" s="10">
        <v>46273.63243804398</v>
      </c>
      <c r="B2713" s="11" t="s">
        <v>5355</v>
      </c>
      <c r="C2713" s="11" t="s">
        <v>259</v>
      </c>
      <c r="D2713" s="11" t="s">
        <v>68</v>
      </c>
      <c r="E2713" s="12">
        <v>46181.0</v>
      </c>
      <c r="F2713" s="12">
        <v>46211.0</v>
      </c>
      <c r="G2713" s="11" t="s">
        <v>14750</v>
      </c>
      <c r="H2713" s="11">
        <v>8.809636172E9</v>
      </c>
      <c r="I2713" s="11" t="s">
        <v>82</v>
      </c>
      <c r="J2713" s="11" t="s">
        <v>71</v>
      </c>
      <c r="K2713" s="11" t="s">
        <v>72</v>
      </c>
      <c r="L2713" s="11" t="s">
        <v>84</v>
      </c>
      <c r="M2713" s="11" t="s">
        <v>2535</v>
      </c>
      <c r="N2713" s="11" t="s">
        <v>226</v>
      </c>
      <c r="O2713" s="11" t="s">
        <v>71</v>
      </c>
      <c r="P2713" s="11" t="s">
        <v>14754</v>
      </c>
      <c r="Q2713" s="13" t="s">
        <v>14755</v>
      </c>
      <c r="R2713" s="14" t="str">
        <f>HYPERLINK("https://drive.google.com/file/d/1LfAhQol7emmzwmIinPkRy4zm4t-t_Mlj/view?usp=drivesdk","OFFER LETTER")</f>
        <v>OFFER LETTER</v>
      </c>
      <c r="S2713" s="11" t="s">
        <v>14756</v>
      </c>
    </row>
    <row r="2714" ht="22.5" customHeight="1">
      <c r="A2714" s="10">
        <v>46273.63787407408</v>
      </c>
      <c r="B2714" s="11" t="s">
        <v>14757</v>
      </c>
      <c r="C2714" s="11" t="s">
        <v>107</v>
      </c>
      <c r="D2714" s="11" t="s">
        <v>68</v>
      </c>
      <c r="E2714" s="12">
        <v>46266.0</v>
      </c>
      <c r="F2714" s="12">
        <v>46295.0</v>
      </c>
      <c r="G2714" s="11" t="s">
        <v>14758</v>
      </c>
      <c r="H2714" s="11">
        <v>9.236936787E9</v>
      </c>
      <c r="I2714" s="11" t="s">
        <v>82</v>
      </c>
      <c r="J2714" s="11" t="s">
        <v>83</v>
      </c>
      <c r="K2714" s="11" t="s">
        <v>72</v>
      </c>
      <c r="L2714" s="11" t="s">
        <v>73</v>
      </c>
      <c r="M2714" s="11" t="s">
        <v>808</v>
      </c>
      <c r="N2714" s="11" t="s">
        <v>86</v>
      </c>
      <c r="O2714" s="11" t="s">
        <v>71</v>
      </c>
      <c r="P2714" s="11" t="s">
        <v>14759</v>
      </c>
      <c r="Q2714" s="13" t="s">
        <v>14760</v>
      </c>
      <c r="R2714" s="14" t="str">
        <f>HYPERLINK("https://drive.google.com/file/d/1qBuuJq0WOC78zz0pk8uINaOBkNG5XmHx/view?usp=drivesdk","OFFER LETTER")</f>
        <v>OFFER LETTER</v>
      </c>
      <c r="S2714" s="11" t="s">
        <v>14761</v>
      </c>
    </row>
    <row r="2715" ht="22.5" customHeight="1">
      <c r="A2715" s="10">
        <v>46273.644679895835</v>
      </c>
      <c r="B2715" s="11" t="s">
        <v>14762</v>
      </c>
      <c r="C2715" s="11" t="s">
        <v>195</v>
      </c>
      <c r="D2715" s="11" t="s">
        <v>68</v>
      </c>
      <c r="E2715" s="12">
        <v>46275.0</v>
      </c>
      <c r="F2715" s="12">
        <v>46305.0</v>
      </c>
      <c r="G2715" s="11" t="s">
        <v>14763</v>
      </c>
      <c r="H2715" s="11">
        <v>9.58054802E9</v>
      </c>
      <c r="I2715" s="11" t="s">
        <v>82</v>
      </c>
      <c r="J2715" s="11" t="s">
        <v>71</v>
      </c>
      <c r="K2715" s="11" t="s">
        <v>72</v>
      </c>
      <c r="L2715" s="11" t="s">
        <v>131</v>
      </c>
      <c r="M2715" s="11" t="s">
        <v>3008</v>
      </c>
      <c r="N2715" s="11" t="s">
        <v>630</v>
      </c>
      <c r="O2715" s="11" t="s">
        <v>71</v>
      </c>
      <c r="P2715" s="11" t="s">
        <v>14764</v>
      </c>
      <c r="Q2715" s="13" t="s">
        <v>14765</v>
      </c>
      <c r="R2715" s="14" t="str">
        <f>HYPERLINK("https://drive.google.com/file/d/1oR-4AbJr46q-QMAkHuAjfEKwdK51ca2X/view?usp=drivesdk","OFFER LETTER")</f>
        <v>OFFER LETTER</v>
      </c>
      <c r="S2715" s="11" t="s">
        <v>14766</v>
      </c>
    </row>
    <row r="2716" ht="22.5" customHeight="1">
      <c r="A2716" s="10">
        <v>46273.65225421297</v>
      </c>
      <c r="B2716" s="11" t="s">
        <v>14767</v>
      </c>
      <c r="C2716" s="11" t="s">
        <v>195</v>
      </c>
      <c r="D2716" s="11" t="s">
        <v>108</v>
      </c>
      <c r="E2716" s="12">
        <v>46273.0</v>
      </c>
      <c r="F2716" s="12">
        <v>46335.0</v>
      </c>
      <c r="G2716" s="11" t="s">
        <v>14768</v>
      </c>
      <c r="H2716" s="17" t="s">
        <v>14769</v>
      </c>
      <c r="I2716" s="11" t="s">
        <v>82</v>
      </c>
      <c r="J2716" s="11" t="s">
        <v>71</v>
      </c>
      <c r="K2716" s="11" t="s">
        <v>72</v>
      </c>
      <c r="L2716" s="11" t="s">
        <v>84</v>
      </c>
      <c r="M2716" s="11" t="s">
        <v>5381</v>
      </c>
      <c r="N2716" s="11" t="s">
        <v>241</v>
      </c>
      <c r="O2716" s="11" t="s">
        <v>71</v>
      </c>
      <c r="P2716" s="11" t="s">
        <v>14770</v>
      </c>
      <c r="Q2716" s="13" t="s">
        <v>14771</v>
      </c>
      <c r="R2716" s="14" t="str">
        <f>HYPERLINK("https://drive.google.com/file/d/1Vlo39h1dZLOwSWZjZbUXGH3pCkpBFApd/view?usp=drivesdk","OFFER LETTER")</f>
        <v>OFFER LETTER</v>
      </c>
      <c r="S2716" s="11" t="s">
        <v>14772</v>
      </c>
    </row>
    <row r="2717" ht="22.5" customHeight="1">
      <c r="A2717" s="10">
        <v>46273.65794178241</v>
      </c>
      <c r="B2717" s="11" t="s">
        <v>14773</v>
      </c>
      <c r="C2717" s="11" t="s">
        <v>91</v>
      </c>
      <c r="D2717" s="11" t="s">
        <v>68</v>
      </c>
      <c r="E2717" s="12">
        <v>46273.0</v>
      </c>
      <c r="F2717" s="12">
        <v>46303.0</v>
      </c>
      <c r="G2717" s="11" t="s">
        <v>14613</v>
      </c>
      <c r="H2717" s="11">
        <v>9.981971548E9</v>
      </c>
      <c r="I2717" s="11" t="s">
        <v>70</v>
      </c>
      <c r="J2717" s="11" t="s">
        <v>71</v>
      </c>
      <c r="K2717" s="11" t="s">
        <v>72</v>
      </c>
      <c r="L2717" s="11" t="s">
        <v>73</v>
      </c>
      <c r="M2717" s="11" t="s">
        <v>14774</v>
      </c>
      <c r="N2717" s="11" t="s">
        <v>420</v>
      </c>
      <c r="O2717" s="11" t="s">
        <v>71</v>
      </c>
      <c r="P2717" s="11" t="s">
        <v>14775</v>
      </c>
      <c r="Q2717" s="13" t="s">
        <v>14776</v>
      </c>
      <c r="R2717" s="14" t="str">
        <f>HYPERLINK("https://drive.google.com/file/d/1EyYnAQmQ2HsKOoZIkEPWi1WRjfR0hC-I/view?usp=drivesdk","OFFER LETTER")</f>
        <v>OFFER LETTER</v>
      </c>
      <c r="S2717" s="11" t="s">
        <v>14777</v>
      </c>
    </row>
    <row r="2718" ht="22.5" customHeight="1">
      <c r="A2718" s="10">
        <v>46273.660677210646</v>
      </c>
      <c r="B2718" s="11" t="s">
        <v>14778</v>
      </c>
      <c r="C2718" s="11" t="s">
        <v>128</v>
      </c>
      <c r="D2718" s="11" t="s">
        <v>68</v>
      </c>
      <c r="E2718" s="12">
        <v>46186.0</v>
      </c>
      <c r="F2718" s="12">
        <v>46216.0</v>
      </c>
      <c r="G2718" s="11" t="s">
        <v>14779</v>
      </c>
      <c r="H2718" s="11">
        <v>9.342067289E9</v>
      </c>
      <c r="I2718" s="11" t="s">
        <v>70</v>
      </c>
      <c r="J2718" s="11" t="s">
        <v>83</v>
      </c>
      <c r="K2718" s="11" t="s">
        <v>72</v>
      </c>
      <c r="L2718" s="11" t="s">
        <v>73</v>
      </c>
      <c r="M2718" s="11" t="s">
        <v>14780</v>
      </c>
      <c r="N2718" s="11" t="s">
        <v>219</v>
      </c>
      <c r="O2718" s="11" t="s">
        <v>71</v>
      </c>
      <c r="P2718" s="11" t="s">
        <v>14781</v>
      </c>
      <c r="Q2718" s="13" t="s">
        <v>14782</v>
      </c>
      <c r="R2718" s="14" t="str">
        <f>HYPERLINK("https://drive.google.com/file/d/1rpq48ZaUpDFpOwqJzt3Ovq393uPDFXtL/view?usp=drivesdk","OFFER LETTER")</f>
        <v>OFFER LETTER</v>
      </c>
      <c r="S2718" s="11" t="s">
        <v>14783</v>
      </c>
    </row>
    <row r="2719" ht="22.5" customHeight="1">
      <c r="A2719" s="10">
        <v>46273.66141326389</v>
      </c>
      <c r="B2719" s="11" t="s">
        <v>14784</v>
      </c>
      <c r="C2719" s="11" t="s">
        <v>195</v>
      </c>
      <c r="D2719" s="11" t="s">
        <v>68</v>
      </c>
      <c r="E2719" s="12">
        <v>46296.0</v>
      </c>
      <c r="F2719" s="12">
        <v>46273.0</v>
      </c>
      <c r="G2719" s="11" t="s">
        <v>14785</v>
      </c>
      <c r="H2719" s="11">
        <v>8.999307539E9</v>
      </c>
      <c r="I2719" s="11" t="s">
        <v>70</v>
      </c>
      <c r="J2719" s="11" t="s">
        <v>71</v>
      </c>
      <c r="K2719" s="11" t="s">
        <v>72</v>
      </c>
      <c r="L2719" s="11" t="s">
        <v>73</v>
      </c>
      <c r="M2719" s="11" t="s">
        <v>14786</v>
      </c>
      <c r="N2719" s="11" t="s">
        <v>86</v>
      </c>
      <c r="O2719" s="11" t="s">
        <v>71</v>
      </c>
      <c r="P2719" s="11" t="s">
        <v>14787</v>
      </c>
      <c r="Q2719" s="13" t="s">
        <v>14788</v>
      </c>
      <c r="R2719" s="14" t="str">
        <f>HYPERLINK("https://drive.google.com/file/d/16pkNbxWIrGtKesF_mMGhejB3XSARRidG/view?usp=drivesdk","OFFER LETTER")</f>
        <v>OFFER LETTER</v>
      </c>
      <c r="S2719" s="11" t="s">
        <v>14789</v>
      </c>
    </row>
    <row r="2720" ht="22.5" customHeight="1">
      <c r="A2720" s="10">
        <v>46273.66227408565</v>
      </c>
      <c r="B2720" s="11" t="s">
        <v>14790</v>
      </c>
      <c r="C2720" s="11" t="s">
        <v>173</v>
      </c>
      <c r="D2720" s="11" t="s">
        <v>108</v>
      </c>
      <c r="E2720" s="12">
        <v>46218.0</v>
      </c>
      <c r="F2720" s="12">
        <v>46270.0</v>
      </c>
      <c r="G2720" s="11" t="s">
        <v>14791</v>
      </c>
      <c r="H2720" s="11">
        <v>8.328908484E9</v>
      </c>
      <c r="I2720" s="11" t="s">
        <v>82</v>
      </c>
      <c r="J2720" s="11" t="s">
        <v>71</v>
      </c>
      <c r="K2720" s="11" t="s">
        <v>72</v>
      </c>
      <c r="L2720" s="11" t="s">
        <v>73</v>
      </c>
      <c r="M2720" s="11" t="s">
        <v>14792</v>
      </c>
      <c r="N2720" s="11" t="s">
        <v>133</v>
      </c>
      <c r="O2720" s="11" t="s">
        <v>71</v>
      </c>
      <c r="P2720" s="11" t="s">
        <v>14793</v>
      </c>
      <c r="Q2720" s="13" t="s">
        <v>14794</v>
      </c>
      <c r="R2720" s="14" t="str">
        <f>HYPERLINK("https://drive.google.com/file/d/1l5eKIY37EYEX_OyFxd6pE_ewMYrTWcpr/view?usp=drivesdk","OFFER LETTER")</f>
        <v>OFFER LETTER</v>
      </c>
      <c r="S2720" s="11" t="s">
        <v>14795</v>
      </c>
    </row>
    <row r="2721" ht="22.5" customHeight="1">
      <c r="A2721" s="10">
        <v>46273.66649791667</v>
      </c>
      <c r="B2721" s="11" t="s">
        <v>14796</v>
      </c>
      <c r="C2721" s="11" t="s">
        <v>173</v>
      </c>
      <c r="D2721" s="11" t="s">
        <v>108</v>
      </c>
      <c r="E2721" s="12">
        <v>46218.0</v>
      </c>
      <c r="F2721" s="12">
        <v>46270.0</v>
      </c>
      <c r="G2721" s="11" t="s">
        <v>14797</v>
      </c>
      <c r="H2721" s="11">
        <v>7.205721173E9</v>
      </c>
      <c r="I2721" s="11" t="s">
        <v>82</v>
      </c>
      <c r="J2721" s="11" t="s">
        <v>71</v>
      </c>
      <c r="K2721" s="11" t="s">
        <v>72</v>
      </c>
      <c r="L2721" s="11" t="s">
        <v>84</v>
      </c>
      <c r="M2721" s="11" t="s">
        <v>14798</v>
      </c>
      <c r="N2721" s="11" t="s">
        <v>155</v>
      </c>
      <c r="O2721" s="11" t="s">
        <v>71</v>
      </c>
      <c r="P2721" s="11" t="s">
        <v>14799</v>
      </c>
      <c r="Q2721" s="13" t="s">
        <v>14800</v>
      </c>
      <c r="R2721" s="14" t="str">
        <f>HYPERLINK("https://drive.google.com/file/d/1iCImPxfQaqFEHBK1QLP5hNc64h8GjOTT/view?usp=drivesdk","OFFER LETTER")</f>
        <v>OFFER LETTER</v>
      </c>
      <c r="S2721" s="11" t="s">
        <v>14801</v>
      </c>
    </row>
    <row r="2722" ht="22.5" customHeight="1">
      <c r="A2722" s="10">
        <v>46273.66758408565</v>
      </c>
      <c r="B2722" s="11" t="s">
        <v>14762</v>
      </c>
      <c r="C2722" s="11" t="s">
        <v>195</v>
      </c>
      <c r="D2722" s="11" t="s">
        <v>68</v>
      </c>
      <c r="E2722" s="12">
        <v>46238.0</v>
      </c>
      <c r="F2722" s="12">
        <v>46269.0</v>
      </c>
      <c r="G2722" s="11" t="s">
        <v>14763</v>
      </c>
      <c r="H2722" s="11">
        <v>9.58054802E9</v>
      </c>
      <c r="I2722" s="11" t="s">
        <v>82</v>
      </c>
      <c r="J2722" s="11" t="s">
        <v>71</v>
      </c>
      <c r="K2722" s="11" t="s">
        <v>72</v>
      </c>
      <c r="L2722" s="11" t="s">
        <v>131</v>
      </c>
      <c r="M2722" s="11" t="s">
        <v>3008</v>
      </c>
      <c r="N2722" s="11" t="s">
        <v>630</v>
      </c>
      <c r="O2722" s="11" t="s">
        <v>71</v>
      </c>
      <c r="P2722" s="11" t="s">
        <v>14802</v>
      </c>
      <c r="Q2722" s="13" t="s">
        <v>14803</v>
      </c>
      <c r="R2722" s="14" t="str">
        <f>HYPERLINK("https://drive.google.com/file/d/1gvXAsbc9jlz1sMpwH1kXD9u1EnH7qkdb/view?usp=drivesdk","OFFER LETTER")</f>
        <v>OFFER LETTER</v>
      </c>
      <c r="S2722" s="11" t="s">
        <v>14804</v>
      </c>
    </row>
    <row r="2723" ht="22.5" customHeight="1">
      <c r="A2723" s="10">
        <v>46273.66904997685</v>
      </c>
      <c r="B2723" s="11" t="s">
        <v>14805</v>
      </c>
      <c r="C2723" s="11" t="s">
        <v>128</v>
      </c>
      <c r="D2723" s="11" t="s">
        <v>68</v>
      </c>
      <c r="E2723" s="12">
        <v>46273.0</v>
      </c>
      <c r="F2723" s="12">
        <v>46303.0</v>
      </c>
      <c r="G2723" s="11" t="s">
        <v>14806</v>
      </c>
      <c r="H2723" s="11">
        <v>9.893867132E9</v>
      </c>
      <c r="I2723" s="11" t="s">
        <v>82</v>
      </c>
      <c r="J2723" s="11" t="s">
        <v>71</v>
      </c>
      <c r="K2723" s="11" t="s">
        <v>1028</v>
      </c>
      <c r="L2723" s="11" t="s">
        <v>84</v>
      </c>
      <c r="M2723" s="11" t="s">
        <v>14807</v>
      </c>
      <c r="N2723" s="11" t="s">
        <v>86</v>
      </c>
      <c r="O2723" s="11" t="s">
        <v>71</v>
      </c>
      <c r="P2723" s="11" t="s">
        <v>14808</v>
      </c>
      <c r="Q2723" s="13" t="s">
        <v>14809</v>
      </c>
      <c r="R2723" s="14" t="str">
        <f>HYPERLINK("https://drive.google.com/file/d/1HaN6JnfpmCOQ_W5n66HDlqrp8OXPt1by/view?usp=drivesdk","OFFER LETTER")</f>
        <v>OFFER LETTER</v>
      </c>
      <c r="S2723" s="11" t="s">
        <v>14810</v>
      </c>
    </row>
    <row r="2724" ht="22.5" customHeight="1">
      <c r="A2724" s="10">
        <v>46273.67146997685</v>
      </c>
      <c r="B2724" s="11" t="s">
        <v>14811</v>
      </c>
      <c r="C2724" s="11" t="s">
        <v>107</v>
      </c>
      <c r="D2724" s="11" t="s">
        <v>68</v>
      </c>
      <c r="E2724" s="12">
        <v>46273.0</v>
      </c>
      <c r="F2724" s="12">
        <v>46303.0</v>
      </c>
      <c r="G2724" s="11" t="s">
        <v>13074</v>
      </c>
      <c r="H2724" s="11">
        <v>7.013318942E9</v>
      </c>
      <c r="I2724" s="11" t="s">
        <v>82</v>
      </c>
      <c r="J2724" s="11" t="s">
        <v>71</v>
      </c>
      <c r="K2724" s="11" t="s">
        <v>72</v>
      </c>
      <c r="L2724" s="11" t="s">
        <v>73</v>
      </c>
      <c r="M2724" s="11" t="s">
        <v>13075</v>
      </c>
      <c r="N2724" s="11" t="s">
        <v>75</v>
      </c>
      <c r="O2724" s="11" t="s">
        <v>71</v>
      </c>
      <c r="P2724" s="11" t="s">
        <v>14812</v>
      </c>
      <c r="Q2724" s="13" t="s">
        <v>14813</v>
      </c>
      <c r="R2724" s="14" t="str">
        <f>HYPERLINK("https://drive.google.com/file/d/19wHYirJ_xlo51deh4239UTFFAiyebo1c/view?usp=drivesdk","OFFER LETTER")</f>
        <v>OFFER LETTER</v>
      </c>
      <c r="S2724" s="11" t="s">
        <v>14814</v>
      </c>
    </row>
    <row r="2725" ht="22.5" customHeight="1">
      <c r="A2725" s="10">
        <v>46273.67306119213</v>
      </c>
      <c r="B2725" s="11" t="s">
        <v>14815</v>
      </c>
      <c r="C2725" s="11" t="s">
        <v>195</v>
      </c>
      <c r="D2725" s="11" t="s">
        <v>108</v>
      </c>
      <c r="E2725" s="12">
        <v>46275.0</v>
      </c>
      <c r="F2725" s="12">
        <v>46336.0</v>
      </c>
      <c r="G2725" s="11" t="s">
        <v>14816</v>
      </c>
      <c r="H2725" s="11" t="s">
        <v>14817</v>
      </c>
      <c r="I2725" s="11" t="s">
        <v>70</v>
      </c>
      <c r="J2725" s="11" t="s">
        <v>71</v>
      </c>
      <c r="K2725" s="11" t="s">
        <v>1028</v>
      </c>
      <c r="L2725" s="11" t="s">
        <v>73</v>
      </c>
      <c r="M2725" s="11" t="s">
        <v>14818</v>
      </c>
      <c r="N2725" s="11" t="s">
        <v>241</v>
      </c>
      <c r="O2725" s="11" t="s">
        <v>71</v>
      </c>
      <c r="P2725" s="11" t="s">
        <v>14819</v>
      </c>
      <c r="Q2725" s="13" t="s">
        <v>14820</v>
      </c>
      <c r="R2725" s="14" t="str">
        <f>HYPERLINK("https://drive.google.com/file/d/11Scrq4RhsBF2g-RQsOZ2HRD4ZBV-aNho/view?usp=drivesdk","OFFER LETTER")</f>
        <v>OFFER LETTER</v>
      </c>
      <c r="S2725" s="11" t="s">
        <v>14821</v>
      </c>
    </row>
    <row r="2726" ht="22.5" customHeight="1">
      <c r="A2726" s="10">
        <v>46273.67521556713</v>
      </c>
      <c r="B2726" s="11" t="s">
        <v>5098</v>
      </c>
      <c r="C2726" s="11" t="s">
        <v>128</v>
      </c>
      <c r="D2726" s="11" t="s">
        <v>68</v>
      </c>
      <c r="E2726" s="12">
        <v>46275.0</v>
      </c>
      <c r="F2726" s="12">
        <v>46275.0</v>
      </c>
      <c r="G2726" s="11" t="s">
        <v>14822</v>
      </c>
      <c r="H2726" s="11">
        <v>9.424666549E9</v>
      </c>
      <c r="I2726" s="11" t="s">
        <v>70</v>
      </c>
      <c r="J2726" s="11" t="s">
        <v>71</v>
      </c>
      <c r="K2726" s="11" t="s">
        <v>72</v>
      </c>
      <c r="L2726" s="11" t="s">
        <v>73</v>
      </c>
      <c r="M2726" s="11" t="s">
        <v>14823</v>
      </c>
      <c r="N2726" s="11" t="s">
        <v>1872</v>
      </c>
      <c r="O2726" s="11" t="s">
        <v>71</v>
      </c>
      <c r="P2726" s="11" t="s">
        <v>14824</v>
      </c>
      <c r="Q2726" s="13" t="s">
        <v>14825</v>
      </c>
      <c r="R2726" s="14" t="str">
        <f>HYPERLINK("https://drive.google.com/file/d/1We-oW5Yz-t8kltUjqg3Bxe-IMdsvNliZ/view?usp=drivesdk","OFFER LETTER")</f>
        <v>OFFER LETTER</v>
      </c>
      <c r="S2726" s="11" t="s">
        <v>14826</v>
      </c>
    </row>
    <row r="2727" ht="22.5" customHeight="1">
      <c r="A2727" s="10">
        <v>46273.67568609954</v>
      </c>
      <c r="B2727" s="11" t="s">
        <v>14827</v>
      </c>
      <c r="C2727" s="11" t="s">
        <v>91</v>
      </c>
      <c r="D2727" s="11" t="s">
        <v>68</v>
      </c>
      <c r="E2727" s="12">
        <v>46273.0</v>
      </c>
      <c r="F2727" s="12">
        <v>46303.0</v>
      </c>
      <c r="G2727" s="11" t="s">
        <v>14828</v>
      </c>
      <c r="H2727" s="11">
        <v>6.381279455E9</v>
      </c>
      <c r="I2727" s="11" t="s">
        <v>70</v>
      </c>
      <c r="J2727" s="11" t="s">
        <v>71</v>
      </c>
      <c r="K2727" s="11" t="s">
        <v>72</v>
      </c>
      <c r="L2727" s="11" t="s">
        <v>131</v>
      </c>
      <c r="M2727" s="11" t="s">
        <v>14829</v>
      </c>
      <c r="N2727" s="11" t="s">
        <v>86</v>
      </c>
      <c r="O2727" s="11" t="s">
        <v>71</v>
      </c>
      <c r="P2727" s="11" t="s">
        <v>14830</v>
      </c>
      <c r="Q2727" s="13" t="s">
        <v>14831</v>
      </c>
      <c r="R2727" s="14" t="str">
        <f>HYPERLINK("https://drive.google.com/file/d/1tEE-pbjZLJBruGzKTCV5yFzueX_4kSQD/view?usp=drivesdk","OFFER LETTER")</f>
        <v>OFFER LETTER</v>
      </c>
      <c r="S2727" s="11" t="s">
        <v>14832</v>
      </c>
    </row>
    <row r="2728" ht="22.5" customHeight="1">
      <c r="A2728" s="10">
        <v>46273.677440775464</v>
      </c>
      <c r="B2728" s="11" t="s">
        <v>14833</v>
      </c>
      <c r="C2728" s="11" t="s">
        <v>128</v>
      </c>
      <c r="D2728" s="11" t="s">
        <v>68</v>
      </c>
      <c r="E2728" s="12">
        <v>46186.0</v>
      </c>
      <c r="F2728" s="12">
        <v>46216.0</v>
      </c>
      <c r="G2728" s="11" t="s">
        <v>14779</v>
      </c>
      <c r="H2728" s="11">
        <v>9.342067289E9</v>
      </c>
      <c r="I2728" s="11" t="s">
        <v>70</v>
      </c>
      <c r="J2728" s="11" t="s">
        <v>71</v>
      </c>
      <c r="K2728" s="11" t="s">
        <v>72</v>
      </c>
      <c r="L2728" s="11" t="s">
        <v>73</v>
      </c>
      <c r="M2728" s="11" t="s">
        <v>14780</v>
      </c>
      <c r="N2728" s="11" t="s">
        <v>86</v>
      </c>
      <c r="O2728" s="11" t="s">
        <v>71</v>
      </c>
      <c r="P2728" s="11" t="s">
        <v>14834</v>
      </c>
      <c r="Q2728" s="13" t="s">
        <v>14835</v>
      </c>
      <c r="R2728" s="14" t="str">
        <f>HYPERLINK("https://drive.google.com/file/d/1KGCu3Vb5-CAPt9i2umJ2xQAHi9o5yiLB/view?usp=drivesdk","OFFER LETTER")</f>
        <v>OFFER LETTER</v>
      </c>
      <c r="S2728" s="11" t="s">
        <v>14836</v>
      </c>
    </row>
    <row r="2729" ht="22.5" customHeight="1">
      <c r="A2729" s="10">
        <v>46273.6810765625</v>
      </c>
      <c r="B2729" s="11" t="s">
        <v>14837</v>
      </c>
      <c r="C2729" s="11" t="s">
        <v>195</v>
      </c>
      <c r="D2729" s="11" t="s">
        <v>68</v>
      </c>
      <c r="E2729" s="12">
        <v>46273.0</v>
      </c>
      <c r="F2729" s="12">
        <v>46303.0</v>
      </c>
      <c r="G2729" s="11" t="s">
        <v>14838</v>
      </c>
      <c r="H2729" s="17" t="s">
        <v>14839</v>
      </c>
      <c r="I2729" s="11" t="s">
        <v>70</v>
      </c>
      <c r="J2729" s="11" t="s">
        <v>83</v>
      </c>
      <c r="K2729" s="11" t="s">
        <v>72</v>
      </c>
      <c r="L2729" s="11" t="s">
        <v>73</v>
      </c>
      <c r="M2729" s="11" t="s">
        <v>9466</v>
      </c>
      <c r="N2729" s="11" t="s">
        <v>1641</v>
      </c>
      <c r="O2729" s="11" t="s">
        <v>71</v>
      </c>
      <c r="P2729" s="11" t="s">
        <v>14840</v>
      </c>
      <c r="Q2729" s="13" t="s">
        <v>14841</v>
      </c>
      <c r="R2729" s="14" t="str">
        <f>HYPERLINK("https://drive.google.com/file/d/1fyI20Ns_Wpmvc2o54MqCUxCffXuJjE8I/view?usp=drivesdk","OFFER LETTER")</f>
        <v>OFFER LETTER</v>
      </c>
      <c r="S2729" s="11" t="s">
        <v>14842</v>
      </c>
    </row>
    <row r="2730" ht="22.5" customHeight="1">
      <c r="A2730" s="10">
        <v>46273.69467440972</v>
      </c>
      <c r="B2730" s="11" t="s">
        <v>14843</v>
      </c>
      <c r="C2730" s="11" t="s">
        <v>237</v>
      </c>
      <c r="D2730" s="11" t="s">
        <v>68</v>
      </c>
      <c r="E2730" s="12">
        <v>46273.0</v>
      </c>
      <c r="F2730" s="12">
        <v>46303.0</v>
      </c>
      <c r="G2730" s="11" t="s">
        <v>14844</v>
      </c>
      <c r="H2730" s="11">
        <v>9.488446765E9</v>
      </c>
      <c r="I2730" s="11" t="s">
        <v>82</v>
      </c>
      <c r="J2730" s="11" t="s">
        <v>71</v>
      </c>
      <c r="K2730" s="11" t="s">
        <v>72</v>
      </c>
      <c r="L2730" s="11" t="s">
        <v>73</v>
      </c>
      <c r="M2730" s="11" t="s">
        <v>14845</v>
      </c>
      <c r="N2730" s="11" t="s">
        <v>241</v>
      </c>
      <c r="O2730" s="11" t="s">
        <v>71</v>
      </c>
      <c r="P2730" s="11" t="s">
        <v>14846</v>
      </c>
      <c r="Q2730" s="13" t="s">
        <v>14847</v>
      </c>
      <c r="R2730" s="14" t="str">
        <f>HYPERLINK("https://drive.google.com/file/d/17fJojrZXFdxReeZ3y2Y6_TBVz4wtYVRN/view?usp=drivesdk","OFFER LETTER")</f>
        <v>OFFER LETTER</v>
      </c>
      <c r="S2730" s="11" t="s">
        <v>14848</v>
      </c>
    </row>
    <row r="2731" ht="22.5" customHeight="1">
      <c r="A2731" s="10">
        <v>46273.6989621875</v>
      </c>
      <c r="B2731" s="11" t="s">
        <v>14849</v>
      </c>
      <c r="C2731" s="11" t="s">
        <v>80</v>
      </c>
      <c r="D2731" s="11" t="s">
        <v>68</v>
      </c>
      <c r="E2731" s="12">
        <v>46273.0</v>
      </c>
      <c r="F2731" s="12">
        <v>46303.0</v>
      </c>
      <c r="G2731" s="11" t="s">
        <v>14850</v>
      </c>
      <c r="H2731" s="11">
        <v>9.535094059E9</v>
      </c>
      <c r="I2731" s="11" t="s">
        <v>82</v>
      </c>
      <c r="J2731" s="11" t="s">
        <v>71</v>
      </c>
      <c r="K2731" s="11" t="s">
        <v>72</v>
      </c>
      <c r="L2731" s="11" t="s">
        <v>73</v>
      </c>
      <c r="M2731" s="11" t="s">
        <v>14851</v>
      </c>
      <c r="N2731" s="11" t="s">
        <v>86</v>
      </c>
      <c r="O2731" s="11" t="s">
        <v>71</v>
      </c>
      <c r="P2731" s="11" t="s">
        <v>14852</v>
      </c>
      <c r="Q2731" s="13" t="s">
        <v>14853</v>
      </c>
      <c r="R2731" s="14" t="str">
        <f>HYPERLINK("https://drive.google.com/file/d/1O2JSKUB2bhXn15BYqe5f6F5PtfIAEWt8/view?usp=drivesdk","OFFER LETTER")</f>
        <v>OFFER LETTER</v>
      </c>
      <c r="S2731" s="11" t="s">
        <v>14854</v>
      </c>
    </row>
    <row r="2732" ht="22.5" customHeight="1">
      <c r="A2732" s="10">
        <v>46273.704070844906</v>
      </c>
      <c r="B2732" s="11" t="s">
        <v>14855</v>
      </c>
      <c r="C2732" s="11" t="s">
        <v>80</v>
      </c>
      <c r="D2732" s="11" t="s">
        <v>68</v>
      </c>
      <c r="E2732" s="12">
        <v>46237.0</v>
      </c>
      <c r="F2732" s="12">
        <v>46267.0</v>
      </c>
      <c r="G2732" s="11" t="s">
        <v>14856</v>
      </c>
      <c r="H2732" s="11">
        <v>9.148804384E9</v>
      </c>
      <c r="I2732" s="11" t="s">
        <v>82</v>
      </c>
      <c r="J2732" s="11" t="s">
        <v>71</v>
      </c>
      <c r="K2732" s="11" t="s">
        <v>72</v>
      </c>
      <c r="L2732" s="11" t="s">
        <v>73</v>
      </c>
      <c r="M2732" s="11" t="s">
        <v>14857</v>
      </c>
      <c r="N2732" s="11" t="s">
        <v>226</v>
      </c>
      <c r="O2732" s="11" t="s">
        <v>71</v>
      </c>
      <c r="P2732" s="11" t="s">
        <v>14858</v>
      </c>
      <c r="Q2732" s="13" t="s">
        <v>14859</v>
      </c>
      <c r="R2732" s="14" t="str">
        <f>HYPERLINK("https://drive.google.com/file/d/1MdS0U2LLm8cu4ctjMjfss0V1ivZvaA51/view?usp=drivesdk","OFFER LETTER")</f>
        <v>OFFER LETTER</v>
      </c>
      <c r="S2732" s="11" t="s">
        <v>14860</v>
      </c>
    </row>
    <row r="2733" ht="22.5" customHeight="1">
      <c r="A2733" s="10">
        <v>46273.70992616898</v>
      </c>
      <c r="B2733" s="11" t="s">
        <v>14861</v>
      </c>
      <c r="C2733" s="11" t="s">
        <v>195</v>
      </c>
      <c r="D2733" s="11" t="s">
        <v>68</v>
      </c>
      <c r="E2733" s="12">
        <v>46273.0</v>
      </c>
      <c r="F2733" s="12">
        <v>46303.0</v>
      </c>
      <c r="G2733" s="11" t="s">
        <v>14862</v>
      </c>
      <c r="H2733" s="11">
        <v>9.022053002E9</v>
      </c>
      <c r="I2733" s="11" t="s">
        <v>70</v>
      </c>
      <c r="J2733" s="11" t="s">
        <v>71</v>
      </c>
      <c r="K2733" s="11" t="s">
        <v>72</v>
      </c>
      <c r="L2733" s="11" t="s">
        <v>84</v>
      </c>
      <c r="M2733" s="11" t="s">
        <v>14863</v>
      </c>
      <c r="N2733" s="11" t="s">
        <v>241</v>
      </c>
      <c r="O2733" s="11" t="s">
        <v>71</v>
      </c>
      <c r="P2733" s="11" t="s">
        <v>14864</v>
      </c>
      <c r="Q2733" s="13" t="s">
        <v>14865</v>
      </c>
      <c r="R2733" s="14" t="str">
        <f>HYPERLINK("https://drive.google.com/file/d/1TxmsXc1h9KOMwiM7GGCvWwVZIrp-CXvk/view?usp=drivesdk","OFFER LETTER")</f>
        <v>OFFER LETTER</v>
      </c>
      <c r="S2733" s="11" t="s">
        <v>14866</v>
      </c>
    </row>
    <row r="2734" ht="22.5" customHeight="1">
      <c r="A2734" s="10">
        <v>46273.71243565972</v>
      </c>
      <c r="B2734" s="11" t="s">
        <v>14867</v>
      </c>
      <c r="C2734" s="11" t="s">
        <v>80</v>
      </c>
      <c r="D2734" s="11" t="s">
        <v>68</v>
      </c>
      <c r="E2734" s="12">
        <v>46237.0</v>
      </c>
      <c r="F2734" s="12">
        <v>46267.0</v>
      </c>
      <c r="G2734" s="11" t="s">
        <v>14868</v>
      </c>
      <c r="H2734" s="11">
        <v>7.892847906E9</v>
      </c>
      <c r="I2734" s="11" t="s">
        <v>82</v>
      </c>
      <c r="J2734" s="11" t="s">
        <v>71</v>
      </c>
      <c r="K2734" s="11" t="s">
        <v>72</v>
      </c>
      <c r="L2734" s="11" t="s">
        <v>73</v>
      </c>
      <c r="M2734" s="11" t="s">
        <v>14869</v>
      </c>
      <c r="N2734" s="11" t="s">
        <v>226</v>
      </c>
      <c r="O2734" s="11" t="s">
        <v>71</v>
      </c>
      <c r="P2734" s="11" t="s">
        <v>14870</v>
      </c>
      <c r="Q2734" s="13" t="s">
        <v>14871</v>
      </c>
      <c r="R2734" s="14" t="str">
        <f>HYPERLINK("https://drive.google.com/file/d/1SBdsBZvbsJbzrK6J2AvveNnwM55k1VDs/view?usp=drivesdk","OFFER LETTER")</f>
        <v>OFFER LETTER</v>
      </c>
      <c r="S2734" s="11" t="s">
        <v>14872</v>
      </c>
    </row>
    <row r="2735" ht="22.5" customHeight="1">
      <c r="A2735" s="10">
        <v>46273.71825806713</v>
      </c>
      <c r="B2735" s="11" t="s">
        <v>14873</v>
      </c>
      <c r="C2735" s="11" t="s">
        <v>91</v>
      </c>
      <c r="D2735" s="11" t="s">
        <v>1507</v>
      </c>
      <c r="E2735" s="12">
        <v>46275.0</v>
      </c>
      <c r="F2735" s="12">
        <v>46398.0</v>
      </c>
      <c r="G2735" s="11" t="s">
        <v>14874</v>
      </c>
      <c r="H2735" s="11">
        <v>7.297943343E9</v>
      </c>
      <c r="I2735" s="11" t="s">
        <v>70</v>
      </c>
      <c r="K2735" s="11" t="s">
        <v>72</v>
      </c>
      <c r="L2735" s="11" t="s">
        <v>84</v>
      </c>
      <c r="M2735" s="11" t="s">
        <v>14875</v>
      </c>
      <c r="N2735" s="11" t="s">
        <v>75</v>
      </c>
      <c r="O2735" s="11" t="s">
        <v>71</v>
      </c>
      <c r="P2735" s="11" t="s">
        <v>14876</v>
      </c>
      <c r="Q2735" s="13" t="s">
        <v>14877</v>
      </c>
      <c r="R2735" s="14" t="str">
        <f>HYPERLINK("https://drive.google.com/file/d/1_q_dJ6XxFSCwZnvKeY-3PFJ5Ue4H_4xR/view?usp=drivesdk","OFFER LETTER")</f>
        <v>OFFER LETTER</v>
      </c>
      <c r="S2735" s="11" t="s">
        <v>14878</v>
      </c>
    </row>
    <row r="2736" ht="22.5" customHeight="1">
      <c r="A2736" s="10">
        <v>46273.72579225694</v>
      </c>
      <c r="B2736" s="11" t="s">
        <v>14879</v>
      </c>
      <c r="C2736" s="11" t="s">
        <v>195</v>
      </c>
      <c r="D2736" s="11" t="s">
        <v>68</v>
      </c>
      <c r="E2736" s="12">
        <v>46273.0</v>
      </c>
      <c r="F2736" s="12">
        <v>46303.0</v>
      </c>
      <c r="G2736" s="11" t="s">
        <v>14880</v>
      </c>
      <c r="H2736" s="11">
        <v>6.37930325E9</v>
      </c>
      <c r="I2736" s="11" t="s">
        <v>82</v>
      </c>
      <c r="J2736" s="11" t="s">
        <v>71</v>
      </c>
      <c r="K2736" s="11" t="s">
        <v>72</v>
      </c>
      <c r="L2736" s="11" t="s">
        <v>73</v>
      </c>
      <c r="M2736" s="11" t="s">
        <v>14881</v>
      </c>
      <c r="N2736" s="11" t="s">
        <v>86</v>
      </c>
      <c r="O2736" s="11" t="s">
        <v>71</v>
      </c>
      <c r="P2736" s="11" t="s">
        <v>14882</v>
      </c>
      <c r="Q2736" s="13" t="s">
        <v>14883</v>
      </c>
      <c r="R2736" s="14" t="str">
        <f>HYPERLINK("https://drive.google.com/file/d/1Q5rbjCCN22rdmGoJo0F1rFvwAEPhkdKz/view?usp=drivesdk","OFFER LETTER")</f>
        <v>OFFER LETTER</v>
      </c>
      <c r="S2736" s="11" t="s">
        <v>14884</v>
      </c>
    </row>
    <row r="2737" ht="22.5" customHeight="1">
      <c r="A2737" s="10">
        <v>46273.72843822917</v>
      </c>
      <c r="B2737" s="11" t="s">
        <v>14885</v>
      </c>
      <c r="C2737" s="11" t="s">
        <v>91</v>
      </c>
      <c r="D2737" s="11" t="s">
        <v>68</v>
      </c>
      <c r="E2737" s="12">
        <v>46280.0</v>
      </c>
      <c r="F2737" s="12">
        <v>46279.0</v>
      </c>
      <c r="G2737" s="11" t="s">
        <v>14886</v>
      </c>
      <c r="H2737" s="11">
        <v>9.935303803E9</v>
      </c>
      <c r="I2737" s="11" t="s">
        <v>82</v>
      </c>
      <c r="J2737" s="11" t="s">
        <v>71</v>
      </c>
      <c r="K2737" s="11" t="s">
        <v>72</v>
      </c>
      <c r="L2737" s="11" t="s">
        <v>73</v>
      </c>
      <c r="M2737" s="11" t="s">
        <v>14887</v>
      </c>
      <c r="N2737" s="11" t="s">
        <v>241</v>
      </c>
      <c r="O2737" s="11" t="s">
        <v>71</v>
      </c>
      <c r="P2737" s="11" t="s">
        <v>14888</v>
      </c>
      <c r="Q2737" s="13" t="s">
        <v>14889</v>
      </c>
      <c r="R2737" s="14" t="str">
        <f>HYPERLINK("https://drive.google.com/file/d/1KfsfwKNLluydSsPqA9I9GtpJkWyRHVIt/view?usp=drivesdk","OFFER LETTER")</f>
        <v>OFFER LETTER</v>
      </c>
      <c r="S2737" s="11" t="s">
        <v>14890</v>
      </c>
    </row>
    <row r="2738" ht="22.5" customHeight="1">
      <c r="A2738" s="10">
        <v>46273.729995625</v>
      </c>
      <c r="B2738" s="11" t="s">
        <v>6197</v>
      </c>
      <c r="C2738" s="11" t="s">
        <v>259</v>
      </c>
      <c r="D2738" s="11" t="s">
        <v>68</v>
      </c>
      <c r="E2738" s="12">
        <v>46249.0</v>
      </c>
      <c r="F2738" s="12">
        <v>46280.0</v>
      </c>
      <c r="G2738" s="11" t="s">
        <v>6198</v>
      </c>
      <c r="H2738" s="11">
        <v>6.299799307E9</v>
      </c>
      <c r="I2738" s="11" t="s">
        <v>82</v>
      </c>
      <c r="J2738" s="11" t="s">
        <v>71</v>
      </c>
      <c r="K2738" s="11" t="s">
        <v>72</v>
      </c>
      <c r="L2738" s="11" t="s">
        <v>84</v>
      </c>
      <c r="M2738" s="11" t="s">
        <v>9539</v>
      </c>
      <c r="N2738" s="11" t="s">
        <v>86</v>
      </c>
      <c r="O2738" s="11" t="s">
        <v>71</v>
      </c>
      <c r="P2738" s="11" t="s">
        <v>14891</v>
      </c>
      <c r="Q2738" s="13" t="s">
        <v>14892</v>
      </c>
      <c r="R2738" s="14" t="str">
        <f>HYPERLINK("https://drive.google.com/file/d/1PfkQe43NolfKnBDJsz-L8qB-RDXgswtt/view?usp=drivesdk","OFFER LETTER")</f>
        <v>OFFER LETTER</v>
      </c>
      <c r="S2738" s="11" t="s">
        <v>14893</v>
      </c>
    </row>
    <row r="2739" ht="22.5" customHeight="1">
      <c r="A2739" s="10">
        <v>46273.73369634259</v>
      </c>
      <c r="B2739" s="11" t="s">
        <v>14894</v>
      </c>
      <c r="C2739" s="11" t="s">
        <v>195</v>
      </c>
      <c r="D2739" s="11" t="s">
        <v>108</v>
      </c>
      <c r="E2739" s="12">
        <v>46210.0</v>
      </c>
      <c r="F2739" s="12">
        <v>46272.0</v>
      </c>
      <c r="G2739" s="11" t="s">
        <v>14895</v>
      </c>
      <c r="H2739" s="11">
        <v>7.007659581E9</v>
      </c>
      <c r="I2739" s="11" t="s">
        <v>82</v>
      </c>
      <c r="J2739" s="11" t="s">
        <v>71</v>
      </c>
      <c r="K2739" s="11" t="s">
        <v>72</v>
      </c>
      <c r="L2739" s="11" t="s">
        <v>131</v>
      </c>
      <c r="M2739" s="11" t="s">
        <v>275</v>
      </c>
      <c r="N2739" s="11" t="s">
        <v>86</v>
      </c>
      <c r="O2739" s="11" t="s">
        <v>71</v>
      </c>
      <c r="P2739" s="11" t="s">
        <v>14896</v>
      </c>
      <c r="Q2739" s="13" t="s">
        <v>14897</v>
      </c>
      <c r="R2739" s="14" t="str">
        <f>HYPERLINK("https://drive.google.com/file/d/1UbStEqWqL5YyToeH1s1tVYkRIOeniW4s/view?usp=drivesdk","OFFER LETTER")</f>
        <v>OFFER LETTER</v>
      </c>
      <c r="S2739" s="11" t="s">
        <v>14898</v>
      </c>
    </row>
    <row r="2740" ht="22.5" customHeight="1">
      <c r="A2740" s="10">
        <v>46273.73682885416</v>
      </c>
      <c r="B2740" s="11" t="s">
        <v>14899</v>
      </c>
      <c r="C2740" s="11" t="s">
        <v>128</v>
      </c>
      <c r="D2740" s="11" t="s">
        <v>68</v>
      </c>
      <c r="E2740" s="12">
        <v>46259.0</v>
      </c>
      <c r="F2740" s="12">
        <v>46290.0</v>
      </c>
      <c r="G2740" s="11" t="s">
        <v>14627</v>
      </c>
      <c r="H2740" s="11">
        <v>7.999348884E9</v>
      </c>
      <c r="I2740" s="11" t="s">
        <v>82</v>
      </c>
      <c r="J2740" s="11" t="s">
        <v>71</v>
      </c>
      <c r="K2740" s="11" t="s">
        <v>72</v>
      </c>
      <c r="L2740" s="11" t="s">
        <v>131</v>
      </c>
      <c r="M2740" s="11" t="s">
        <v>14900</v>
      </c>
      <c r="N2740" s="11" t="s">
        <v>630</v>
      </c>
      <c r="O2740" s="11" t="s">
        <v>71</v>
      </c>
      <c r="P2740" s="11" t="s">
        <v>14901</v>
      </c>
      <c r="Q2740" s="13" t="s">
        <v>14902</v>
      </c>
      <c r="R2740" s="14" t="str">
        <f>HYPERLINK("https://drive.google.com/file/d/12C2AuaRBsJtOtU48PfZ6nWVDnfzTRzzk/view?usp=drivesdk","OFFER LETTER")</f>
        <v>OFFER LETTER</v>
      </c>
      <c r="S2740" s="11" t="s">
        <v>14903</v>
      </c>
    </row>
    <row r="2741" ht="22.5" customHeight="1">
      <c r="A2741" s="10">
        <v>46273.74150517361</v>
      </c>
      <c r="B2741" s="11" t="s">
        <v>14673</v>
      </c>
      <c r="C2741" s="11" t="s">
        <v>128</v>
      </c>
      <c r="D2741" s="11" t="s">
        <v>68</v>
      </c>
      <c r="E2741" s="12">
        <v>46275.0</v>
      </c>
      <c r="F2741" s="12">
        <v>46275.0</v>
      </c>
      <c r="G2741" s="11" t="s">
        <v>14674</v>
      </c>
      <c r="H2741" s="11">
        <v>7.38670598E9</v>
      </c>
      <c r="I2741" s="11" t="s">
        <v>70</v>
      </c>
      <c r="J2741" s="11" t="s">
        <v>71</v>
      </c>
      <c r="K2741" s="11" t="s">
        <v>356</v>
      </c>
      <c r="L2741" s="11" t="s">
        <v>247</v>
      </c>
      <c r="M2741" s="11" t="s">
        <v>14675</v>
      </c>
      <c r="N2741" s="11" t="s">
        <v>241</v>
      </c>
      <c r="O2741" s="11" t="s">
        <v>71</v>
      </c>
      <c r="P2741" s="11" t="s">
        <v>14904</v>
      </c>
      <c r="Q2741" s="13" t="s">
        <v>14905</v>
      </c>
      <c r="R2741" s="14" t="str">
        <f>HYPERLINK("https://drive.google.com/file/d/1aTWFv1ee8tMxrIbMgaYHHlZXau-FL5-a/view?usp=drivesdk","OFFER LETTER")</f>
        <v>OFFER LETTER</v>
      </c>
      <c r="S2741" s="11" t="s">
        <v>14906</v>
      </c>
    </row>
    <row r="2742" ht="22.5" customHeight="1">
      <c r="A2742" s="10">
        <v>46273.744914386574</v>
      </c>
      <c r="B2742" s="11" t="s">
        <v>14907</v>
      </c>
      <c r="C2742" s="11" t="s">
        <v>173</v>
      </c>
      <c r="D2742" s="11" t="s">
        <v>68</v>
      </c>
      <c r="E2742" s="12">
        <v>46273.0</v>
      </c>
      <c r="F2742" s="12">
        <v>46303.0</v>
      </c>
      <c r="G2742" s="11" t="s">
        <v>14908</v>
      </c>
      <c r="H2742" s="11">
        <v>8.667550963E9</v>
      </c>
      <c r="I2742" s="11" t="s">
        <v>70</v>
      </c>
      <c r="J2742" s="11" t="s">
        <v>71</v>
      </c>
      <c r="K2742" s="11" t="s">
        <v>72</v>
      </c>
      <c r="L2742" s="11" t="s">
        <v>131</v>
      </c>
      <c r="M2742" s="11" t="s">
        <v>14909</v>
      </c>
      <c r="N2742" s="11" t="s">
        <v>241</v>
      </c>
      <c r="O2742" s="11" t="s">
        <v>71</v>
      </c>
      <c r="P2742" s="11" t="s">
        <v>14910</v>
      </c>
      <c r="Q2742" s="13" t="s">
        <v>14911</v>
      </c>
      <c r="R2742" s="14" t="str">
        <f>HYPERLINK("https://drive.google.com/file/d/1G5tZUV03JJlMzKkWjsle1MbyNEwzgC-4/view?usp=drivesdk","OFFER LETTER")</f>
        <v>OFFER LETTER</v>
      </c>
      <c r="S2742" s="11" t="s">
        <v>14912</v>
      </c>
    </row>
    <row r="2743" ht="22.5" customHeight="1">
      <c r="A2743" s="10">
        <v>46273.745670069446</v>
      </c>
      <c r="B2743" s="11" t="s">
        <v>14913</v>
      </c>
      <c r="C2743" s="11" t="s">
        <v>195</v>
      </c>
      <c r="D2743" s="11" t="s">
        <v>68</v>
      </c>
      <c r="E2743" s="12">
        <v>46273.0</v>
      </c>
      <c r="F2743" s="12">
        <v>46303.0</v>
      </c>
      <c r="G2743" s="11" t="s">
        <v>14914</v>
      </c>
      <c r="H2743" s="11">
        <v>8.073970685E9</v>
      </c>
      <c r="I2743" s="11" t="s">
        <v>70</v>
      </c>
      <c r="J2743" s="11" t="s">
        <v>83</v>
      </c>
      <c r="K2743" s="11" t="s">
        <v>72</v>
      </c>
      <c r="L2743" s="11" t="s">
        <v>131</v>
      </c>
      <c r="M2743" s="11" t="s">
        <v>14915</v>
      </c>
      <c r="N2743" s="11" t="s">
        <v>241</v>
      </c>
      <c r="O2743" s="11" t="s">
        <v>71</v>
      </c>
      <c r="P2743" s="11" t="s">
        <v>14916</v>
      </c>
      <c r="Q2743" s="13" t="s">
        <v>14917</v>
      </c>
      <c r="R2743" s="14" t="str">
        <f>HYPERLINK("https://drive.google.com/file/d/1iUl6GSuPVTs33SHdmqbn6A43hQNQSiX6/view?usp=drivesdk","OFFER LETTER")</f>
        <v>OFFER LETTER</v>
      </c>
      <c r="S2743" s="11" t="s">
        <v>14918</v>
      </c>
    </row>
    <row r="2744" ht="22.5" customHeight="1">
      <c r="A2744" s="10">
        <v>46273.746842465276</v>
      </c>
      <c r="B2744" s="11" t="s">
        <v>14919</v>
      </c>
      <c r="C2744" s="11" t="s">
        <v>173</v>
      </c>
      <c r="D2744" s="11" t="s">
        <v>68</v>
      </c>
      <c r="E2744" s="12">
        <v>46236.0</v>
      </c>
      <c r="F2744" s="12">
        <v>46267.0</v>
      </c>
      <c r="G2744" s="11" t="s">
        <v>14920</v>
      </c>
      <c r="H2744" s="11">
        <v>9.45057377E9</v>
      </c>
      <c r="I2744" s="11" t="s">
        <v>82</v>
      </c>
      <c r="J2744" s="11" t="s">
        <v>71</v>
      </c>
      <c r="K2744" s="11" t="s">
        <v>72</v>
      </c>
      <c r="L2744" s="11" t="s">
        <v>73</v>
      </c>
      <c r="M2744" s="11" t="s">
        <v>11223</v>
      </c>
      <c r="N2744" s="11" t="s">
        <v>6116</v>
      </c>
      <c r="O2744" s="11" t="s">
        <v>71</v>
      </c>
      <c r="P2744" s="11" t="s">
        <v>14921</v>
      </c>
      <c r="Q2744" s="13" t="s">
        <v>14922</v>
      </c>
      <c r="R2744" s="14" t="str">
        <f>HYPERLINK("https://drive.google.com/file/d/1eBs5AjEyfOHfppIDHMPHXBS4TLpqIO2g/view?usp=drivesdk","OFFER LETTER")</f>
        <v>OFFER LETTER</v>
      </c>
      <c r="S2744" s="11" t="s">
        <v>14923</v>
      </c>
    </row>
    <row r="2745" ht="22.5" customHeight="1">
      <c r="A2745" s="10">
        <v>46273.74894534722</v>
      </c>
      <c r="B2745" s="11" t="s">
        <v>14924</v>
      </c>
      <c r="C2745" s="11" t="s">
        <v>417</v>
      </c>
      <c r="D2745" s="11" t="s">
        <v>68</v>
      </c>
      <c r="E2745" s="12">
        <v>46221.0</v>
      </c>
      <c r="F2745" s="12">
        <v>46252.0</v>
      </c>
      <c r="G2745" s="11" t="s">
        <v>14880</v>
      </c>
      <c r="H2745" s="11">
        <v>6.37930325E9</v>
      </c>
      <c r="I2745" s="11" t="s">
        <v>82</v>
      </c>
      <c r="J2745" s="11" t="s">
        <v>71</v>
      </c>
      <c r="K2745" s="11" t="s">
        <v>72</v>
      </c>
      <c r="L2745" s="11" t="s">
        <v>73</v>
      </c>
      <c r="M2745" s="11" t="s">
        <v>14925</v>
      </c>
      <c r="N2745" s="11" t="s">
        <v>86</v>
      </c>
      <c r="O2745" s="11" t="s">
        <v>71</v>
      </c>
      <c r="P2745" s="11" t="s">
        <v>14926</v>
      </c>
      <c r="Q2745" s="13" t="s">
        <v>14927</v>
      </c>
      <c r="R2745" s="14" t="str">
        <f>HYPERLINK("https://drive.google.com/file/d/1XEx8GBTDM2ot0uKc8bOVDbDIrz7Jt2gY/view?usp=drivesdk","OFFER LETTER")</f>
        <v>OFFER LETTER</v>
      </c>
      <c r="S2745" s="11" t="s">
        <v>14928</v>
      </c>
    </row>
    <row r="2746" ht="22.5" customHeight="1">
      <c r="A2746" s="10">
        <v>46273.75408908565</v>
      </c>
      <c r="B2746" s="11" t="s">
        <v>14929</v>
      </c>
      <c r="C2746" s="11" t="s">
        <v>91</v>
      </c>
      <c r="D2746" s="11" t="s">
        <v>1507</v>
      </c>
      <c r="E2746" s="12">
        <v>46272.0</v>
      </c>
      <c r="F2746" s="12">
        <v>46387.0</v>
      </c>
      <c r="G2746" s="11" t="s">
        <v>14930</v>
      </c>
      <c r="H2746" s="11">
        <v>8.7571747E9</v>
      </c>
      <c r="I2746" s="11" t="s">
        <v>82</v>
      </c>
      <c r="J2746" s="11" t="s">
        <v>71</v>
      </c>
      <c r="K2746" s="11" t="s">
        <v>72</v>
      </c>
      <c r="L2746" s="11" t="s">
        <v>131</v>
      </c>
      <c r="M2746" s="11" t="s">
        <v>14931</v>
      </c>
      <c r="N2746" s="11" t="s">
        <v>241</v>
      </c>
      <c r="O2746" s="11" t="s">
        <v>71</v>
      </c>
      <c r="P2746" s="11" t="s">
        <v>14932</v>
      </c>
      <c r="Q2746" s="13" t="s">
        <v>14933</v>
      </c>
      <c r="R2746" s="14" t="str">
        <f>HYPERLINK("https://drive.google.com/file/d/1_Y_2gVfttS28qarXNHhAOyihUe0Q66fO/view?usp=drivesdk","OFFER LETTER")</f>
        <v>OFFER LETTER</v>
      </c>
      <c r="S2746" s="11" t="s">
        <v>14934</v>
      </c>
    </row>
    <row r="2747" ht="22.5" customHeight="1">
      <c r="A2747" s="10">
        <v>46273.75569427083</v>
      </c>
      <c r="B2747" s="11" t="s">
        <v>14935</v>
      </c>
      <c r="C2747" s="11" t="s">
        <v>173</v>
      </c>
      <c r="D2747" s="11" t="s">
        <v>68</v>
      </c>
      <c r="E2747" s="12">
        <v>46174.0</v>
      </c>
      <c r="F2747" s="12">
        <v>46204.0</v>
      </c>
      <c r="G2747" s="11" t="s">
        <v>14936</v>
      </c>
      <c r="H2747" s="11">
        <v>8.838890938E9</v>
      </c>
      <c r="I2747" s="11" t="s">
        <v>82</v>
      </c>
      <c r="J2747" s="11" t="s">
        <v>71</v>
      </c>
      <c r="K2747" s="11" t="s">
        <v>72</v>
      </c>
      <c r="L2747" s="11" t="s">
        <v>84</v>
      </c>
      <c r="M2747" s="11" t="s">
        <v>14937</v>
      </c>
      <c r="N2747" s="11" t="s">
        <v>75</v>
      </c>
      <c r="O2747" s="11" t="s">
        <v>71</v>
      </c>
      <c r="P2747" s="11" t="s">
        <v>14938</v>
      </c>
      <c r="Q2747" s="13" t="s">
        <v>14939</v>
      </c>
      <c r="R2747" s="14" t="str">
        <f>HYPERLINK("https://drive.google.com/file/d/16sXLNv-xPcZfxIyKla9MEjUkQP1gHrYZ/view?usp=drivesdk","OFFER LETTER")</f>
        <v>OFFER LETTER</v>
      </c>
      <c r="S2747" s="11" t="s">
        <v>14940</v>
      </c>
    </row>
    <row r="2748" ht="22.5" customHeight="1">
      <c r="A2748" s="10">
        <v>46273.7584684375</v>
      </c>
      <c r="B2748" s="11" t="s">
        <v>14941</v>
      </c>
      <c r="C2748" s="11" t="s">
        <v>195</v>
      </c>
      <c r="D2748" s="11" t="s">
        <v>68</v>
      </c>
      <c r="E2748" s="12">
        <v>46204.0</v>
      </c>
      <c r="F2748" s="12">
        <v>46250.0</v>
      </c>
      <c r="G2748" s="11" t="s">
        <v>14942</v>
      </c>
      <c r="H2748" s="11">
        <v>7.894535253E9</v>
      </c>
      <c r="I2748" s="11" t="s">
        <v>82</v>
      </c>
      <c r="J2748" s="11" t="s">
        <v>71</v>
      </c>
      <c r="K2748" s="11" t="s">
        <v>72</v>
      </c>
      <c r="L2748" s="11" t="s">
        <v>73</v>
      </c>
      <c r="M2748" s="11" t="s">
        <v>14943</v>
      </c>
      <c r="N2748" s="11" t="s">
        <v>198</v>
      </c>
      <c r="O2748" s="11" t="s">
        <v>71</v>
      </c>
      <c r="P2748" s="11" t="s">
        <v>14944</v>
      </c>
      <c r="Q2748" s="13" t="s">
        <v>14945</v>
      </c>
      <c r="R2748" s="14" t="str">
        <f>HYPERLINK("https://drive.google.com/file/d/1snHpgl8GHG38qibLebpxOjRCdZydOOcM/view?usp=drivesdk","OFFER LETTER")</f>
        <v>OFFER LETTER</v>
      </c>
      <c r="S2748" s="11" t="s">
        <v>14946</v>
      </c>
    </row>
    <row r="2749" ht="22.5" customHeight="1">
      <c r="A2749" s="10">
        <v>46273.759384363424</v>
      </c>
      <c r="B2749" s="11" t="s">
        <v>14919</v>
      </c>
      <c r="C2749" s="11" t="s">
        <v>107</v>
      </c>
      <c r="D2749" s="11" t="s">
        <v>68</v>
      </c>
      <c r="E2749" s="12">
        <v>46204.0</v>
      </c>
      <c r="F2749" s="12">
        <v>46235.0</v>
      </c>
      <c r="G2749" s="11" t="s">
        <v>14920</v>
      </c>
      <c r="H2749" s="11">
        <v>9.45057377E9</v>
      </c>
      <c r="I2749" s="11" t="s">
        <v>82</v>
      </c>
      <c r="J2749" s="11" t="s">
        <v>71</v>
      </c>
      <c r="K2749" s="11" t="s">
        <v>72</v>
      </c>
      <c r="L2749" s="11" t="s">
        <v>73</v>
      </c>
      <c r="M2749" s="11" t="s">
        <v>11223</v>
      </c>
      <c r="N2749" s="11" t="s">
        <v>14947</v>
      </c>
      <c r="O2749" s="11" t="s">
        <v>71</v>
      </c>
      <c r="P2749" s="11" t="s">
        <v>14948</v>
      </c>
      <c r="Q2749" s="13" t="s">
        <v>14949</v>
      </c>
      <c r="R2749" s="14" t="str">
        <f>HYPERLINK("https://drive.google.com/file/d/1ZAXUo8bHxRcNtz5Udq0JHxwQZbhdI3R2/view?usp=drivesdk","OFFER LETTER")</f>
        <v>OFFER LETTER</v>
      </c>
      <c r="S2749" s="11" t="s">
        <v>14950</v>
      </c>
    </row>
    <row r="2750" ht="22.5" customHeight="1">
      <c r="A2750" s="10">
        <v>46273.76540605324</v>
      </c>
      <c r="B2750" s="11" t="s">
        <v>14951</v>
      </c>
      <c r="C2750" s="11" t="s">
        <v>173</v>
      </c>
      <c r="D2750" s="11" t="s">
        <v>68</v>
      </c>
      <c r="E2750" s="12">
        <v>46174.0</v>
      </c>
      <c r="F2750" s="12">
        <v>46204.0</v>
      </c>
      <c r="G2750" s="11" t="s">
        <v>14936</v>
      </c>
      <c r="H2750" s="11">
        <v>8.838890938E9</v>
      </c>
      <c r="I2750" s="11" t="s">
        <v>82</v>
      </c>
      <c r="J2750" s="11" t="s">
        <v>71</v>
      </c>
      <c r="K2750" s="11" t="s">
        <v>72</v>
      </c>
      <c r="L2750" s="11" t="s">
        <v>84</v>
      </c>
      <c r="M2750" s="11" t="s">
        <v>9564</v>
      </c>
      <c r="N2750" s="11" t="s">
        <v>219</v>
      </c>
      <c r="O2750" s="11" t="s">
        <v>71</v>
      </c>
      <c r="P2750" s="11" t="s">
        <v>14952</v>
      </c>
      <c r="Q2750" s="13" t="s">
        <v>14953</v>
      </c>
      <c r="R2750" s="14" t="str">
        <f>HYPERLINK("https://drive.google.com/file/d/1mJJBbvDDaXaLbjRMejXHITo-CZ-crC4s/view?usp=drivesdk","OFFER LETTER")</f>
        <v>OFFER LETTER</v>
      </c>
      <c r="S2750" s="11" t="s">
        <v>14954</v>
      </c>
    </row>
    <row r="2751" ht="22.5" customHeight="1">
      <c r="A2751" s="10">
        <v>46273.76656241898</v>
      </c>
      <c r="B2751" s="11" t="s">
        <v>14955</v>
      </c>
      <c r="C2751" s="11" t="s">
        <v>195</v>
      </c>
      <c r="D2751" s="11" t="s">
        <v>108</v>
      </c>
      <c r="E2751" s="12">
        <v>46165.0</v>
      </c>
      <c r="F2751" s="12">
        <v>46226.0</v>
      </c>
      <c r="G2751" s="11" t="s">
        <v>14956</v>
      </c>
      <c r="H2751" s="17" t="s">
        <v>14957</v>
      </c>
      <c r="I2751" s="11" t="s">
        <v>82</v>
      </c>
      <c r="J2751" s="11" t="s">
        <v>71</v>
      </c>
      <c r="K2751" s="11" t="s">
        <v>72</v>
      </c>
      <c r="L2751" s="11" t="s">
        <v>84</v>
      </c>
      <c r="M2751" s="11" t="s">
        <v>14958</v>
      </c>
      <c r="N2751" s="11" t="s">
        <v>14959</v>
      </c>
      <c r="O2751" s="11" t="s">
        <v>71</v>
      </c>
      <c r="P2751" s="11" t="s">
        <v>14960</v>
      </c>
      <c r="Q2751" s="13" t="s">
        <v>14961</v>
      </c>
      <c r="R2751" s="14" t="str">
        <f>HYPERLINK("https://drive.google.com/file/d/1f6Yz8oAELbt-eXTRmTbRyG_T3XsZzfF5/view?usp=drivesdk","OFFER LETTER")</f>
        <v>OFFER LETTER</v>
      </c>
      <c r="S2751" s="11" t="s">
        <v>14962</v>
      </c>
    </row>
    <row r="2752" ht="22.5" customHeight="1">
      <c r="A2752" s="10">
        <v>46273.7701321412</v>
      </c>
      <c r="B2752" s="11" t="s">
        <v>14963</v>
      </c>
      <c r="C2752" s="11" t="s">
        <v>128</v>
      </c>
      <c r="D2752" s="11" t="s">
        <v>68</v>
      </c>
      <c r="E2752" s="12">
        <v>46273.0</v>
      </c>
      <c r="F2752" s="12">
        <v>46303.0</v>
      </c>
      <c r="G2752" s="11" t="s">
        <v>14964</v>
      </c>
      <c r="H2752" s="11">
        <v>7.386140864E9</v>
      </c>
      <c r="I2752" s="11" t="s">
        <v>70</v>
      </c>
      <c r="J2752" s="11" t="s">
        <v>71</v>
      </c>
      <c r="K2752" s="13" t="s">
        <v>443</v>
      </c>
      <c r="L2752" s="11" t="s">
        <v>73</v>
      </c>
      <c r="M2752" s="11" t="s">
        <v>14965</v>
      </c>
      <c r="N2752" s="11" t="s">
        <v>75</v>
      </c>
      <c r="O2752" s="11" t="s">
        <v>71</v>
      </c>
      <c r="P2752" s="11" t="s">
        <v>14966</v>
      </c>
      <c r="Q2752" s="13" t="s">
        <v>14967</v>
      </c>
      <c r="R2752" s="14" t="str">
        <f>HYPERLINK("https://drive.google.com/file/d/1xSeES_WLLdYUF2Ur0YhOJeaom9i610CJ/view?usp=drivesdk","OFFER LETTER")</f>
        <v>OFFER LETTER</v>
      </c>
      <c r="S2752" s="11" t="s">
        <v>14968</v>
      </c>
    </row>
    <row r="2753" ht="22.5" customHeight="1">
      <c r="A2753" s="10">
        <v>46273.777243449076</v>
      </c>
      <c r="B2753" s="11" t="s">
        <v>14969</v>
      </c>
      <c r="C2753" s="11" t="s">
        <v>195</v>
      </c>
      <c r="D2753" s="11" t="s">
        <v>238</v>
      </c>
      <c r="E2753" s="12">
        <v>46273.0</v>
      </c>
      <c r="F2753" s="12">
        <v>46364.0</v>
      </c>
      <c r="G2753" s="11" t="s">
        <v>14970</v>
      </c>
      <c r="H2753" s="11">
        <v>8.01560278E9</v>
      </c>
      <c r="I2753" s="11" t="s">
        <v>82</v>
      </c>
      <c r="K2753" s="11" t="s">
        <v>72</v>
      </c>
      <c r="L2753" s="11" t="s">
        <v>84</v>
      </c>
      <c r="M2753" s="11" t="s">
        <v>14971</v>
      </c>
      <c r="N2753" s="11" t="s">
        <v>1722</v>
      </c>
      <c r="O2753" s="11" t="s">
        <v>71</v>
      </c>
      <c r="P2753" s="11" t="s">
        <v>14972</v>
      </c>
      <c r="Q2753" s="13" t="s">
        <v>14973</v>
      </c>
      <c r="R2753" s="14" t="str">
        <f>HYPERLINK("https://drive.google.com/file/d/1bLo6fKAGPTRjlxzzKJDa0ss68V3inJna/view?usp=drivesdk","OFFER LETTER")</f>
        <v>OFFER LETTER</v>
      </c>
      <c r="S2753" s="11" t="s">
        <v>14974</v>
      </c>
    </row>
    <row r="2754" ht="22.5" customHeight="1">
      <c r="A2754" s="10">
        <v>46273.78224734953</v>
      </c>
      <c r="B2754" s="11" t="s">
        <v>14975</v>
      </c>
      <c r="C2754" s="11" t="s">
        <v>173</v>
      </c>
      <c r="D2754" s="11" t="s">
        <v>68</v>
      </c>
      <c r="E2754" s="12">
        <v>46242.0</v>
      </c>
      <c r="F2754" s="12">
        <v>46273.0</v>
      </c>
      <c r="G2754" s="11" t="s">
        <v>14976</v>
      </c>
      <c r="H2754" s="11">
        <v>8.303450266E9</v>
      </c>
      <c r="I2754" s="11" t="s">
        <v>82</v>
      </c>
      <c r="J2754" s="11" t="s">
        <v>71</v>
      </c>
      <c r="K2754" s="11" t="s">
        <v>72</v>
      </c>
      <c r="L2754" s="11" t="s">
        <v>84</v>
      </c>
      <c r="M2754" s="11" t="s">
        <v>886</v>
      </c>
      <c r="N2754" s="11" t="s">
        <v>86</v>
      </c>
      <c r="O2754" s="11" t="s">
        <v>71</v>
      </c>
      <c r="P2754" s="11" t="s">
        <v>14977</v>
      </c>
      <c r="Q2754" s="13" t="s">
        <v>14978</v>
      </c>
      <c r="R2754" s="14" t="str">
        <f>HYPERLINK("https://drive.google.com/file/d/15tAv0TBgETyd3I9CORxSTUBcLSJ6kgnH/view?usp=drivesdk","OFFER LETTER")</f>
        <v>OFFER LETTER</v>
      </c>
      <c r="S2754" s="11" t="s">
        <v>14979</v>
      </c>
    </row>
    <row r="2755" ht="22.5" customHeight="1">
      <c r="A2755" s="10">
        <v>46273.790288125005</v>
      </c>
      <c r="B2755" s="11" t="s">
        <v>14980</v>
      </c>
      <c r="C2755" s="11" t="s">
        <v>91</v>
      </c>
      <c r="D2755" s="11" t="s">
        <v>68</v>
      </c>
      <c r="E2755" s="12">
        <v>46202.0</v>
      </c>
      <c r="F2755" s="12">
        <v>46232.0</v>
      </c>
      <c r="G2755" s="11" t="s">
        <v>14981</v>
      </c>
      <c r="H2755" s="11">
        <v>9.345717611E9</v>
      </c>
      <c r="I2755" s="11" t="s">
        <v>82</v>
      </c>
      <c r="J2755" s="11" t="s">
        <v>71</v>
      </c>
      <c r="K2755" s="11" t="s">
        <v>72</v>
      </c>
      <c r="L2755" s="11" t="s">
        <v>73</v>
      </c>
      <c r="M2755" s="11" t="s">
        <v>14925</v>
      </c>
      <c r="N2755" s="11" t="s">
        <v>86</v>
      </c>
      <c r="O2755" s="11" t="s">
        <v>71</v>
      </c>
      <c r="P2755" s="11" t="s">
        <v>14982</v>
      </c>
      <c r="Q2755" s="13" t="s">
        <v>14983</v>
      </c>
      <c r="R2755" s="14" t="str">
        <f>HYPERLINK("https://drive.google.com/file/d/17w2e0d1HPne4KwvnKOkuJQfuKbtD0sn3/view?usp=drivesdk","OFFER LETTER")</f>
        <v>OFFER LETTER</v>
      </c>
      <c r="S2755" s="11" t="s">
        <v>14984</v>
      </c>
    </row>
    <row r="2756" ht="22.5" customHeight="1">
      <c r="A2756" s="10">
        <v>46273.80941361111</v>
      </c>
      <c r="B2756" s="11" t="s">
        <v>14985</v>
      </c>
      <c r="C2756" s="11" t="s">
        <v>195</v>
      </c>
      <c r="D2756" s="11" t="s">
        <v>68</v>
      </c>
      <c r="E2756" s="12">
        <v>46242.0</v>
      </c>
      <c r="F2756" s="12">
        <v>46273.0</v>
      </c>
      <c r="G2756" s="11" t="s">
        <v>14986</v>
      </c>
      <c r="H2756" s="11">
        <v>9.958231223E9</v>
      </c>
      <c r="I2756" s="11" t="s">
        <v>70</v>
      </c>
      <c r="J2756" s="11" t="s">
        <v>71</v>
      </c>
      <c r="K2756" s="11" t="s">
        <v>72</v>
      </c>
      <c r="L2756" s="11" t="s">
        <v>84</v>
      </c>
      <c r="M2756" s="11" t="s">
        <v>886</v>
      </c>
      <c r="N2756" s="11" t="s">
        <v>655</v>
      </c>
      <c r="O2756" s="11" t="s">
        <v>71</v>
      </c>
      <c r="P2756" s="11" t="s">
        <v>14987</v>
      </c>
      <c r="Q2756" s="13" t="s">
        <v>14988</v>
      </c>
      <c r="R2756" s="14" t="str">
        <f>HYPERLINK("https://drive.google.com/file/d/1WExL1BLmYtFz0DCgTq6356cArBhU4Qfa/view?usp=drivesdk","OFFER LETTER")</f>
        <v>OFFER LETTER</v>
      </c>
      <c r="S2756" s="11" t="s">
        <v>14989</v>
      </c>
    </row>
    <row r="2757" ht="22.5" customHeight="1">
      <c r="A2757" s="10">
        <v>46273.81063365741</v>
      </c>
      <c r="B2757" s="11" t="s">
        <v>14990</v>
      </c>
      <c r="C2757" s="11" t="s">
        <v>107</v>
      </c>
      <c r="D2757" s="11" t="s">
        <v>68</v>
      </c>
      <c r="E2757" s="12">
        <v>46188.0</v>
      </c>
      <c r="F2757" s="12">
        <v>46217.0</v>
      </c>
      <c r="G2757" s="11" t="s">
        <v>14991</v>
      </c>
      <c r="H2757" s="11">
        <v>6.009176144E9</v>
      </c>
      <c r="I2757" s="11" t="s">
        <v>82</v>
      </c>
      <c r="J2757" s="11" t="s">
        <v>130</v>
      </c>
      <c r="K2757" s="11" t="s">
        <v>72</v>
      </c>
      <c r="L2757" s="11" t="s">
        <v>131</v>
      </c>
      <c r="M2757" s="11" t="s">
        <v>14992</v>
      </c>
      <c r="N2757" s="11" t="s">
        <v>420</v>
      </c>
      <c r="O2757" s="11" t="s">
        <v>71</v>
      </c>
      <c r="P2757" s="11" t="s">
        <v>14993</v>
      </c>
      <c r="Q2757" s="13" t="s">
        <v>14994</v>
      </c>
      <c r="R2757" s="14" t="str">
        <f>HYPERLINK("https://drive.google.com/file/d/1Ww9X9lCAq2Fmxzz95HAUAVfMq70e-V4p/view?usp=drivesdk","OFFER LETTER")</f>
        <v>OFFER LETTER</v>
      </c>
      <c r="S2757" s="11" t="s">
        <v>14995</v>
      </c>
    </row>
    <row r="2758" ht="22.5" customHeight="1">
      <c r="A2758" s="10">
        <v>46273.814639062504</v>
      </c>
      <c r="B2758" s="11" t="s">
        <v>14996</v>
      </c>
      <c r="C2758" s="11" t="s">
        <v>195</v>
      </c>
      <c r="D2758" s="11" t="s">
        <v>68</v>
      </c>
      <c r="E2758" s="12">
        <v>46174.0</v>
      </c>
      <c r="F2758" s="12">
        <v>46203.0</v>
      </c>
      <c r="G2758" s="11" t="s">
        <v>14997</v>
      </c>
      <c r="H2758" s="11">
        <v>7.015894971E9</v>
      </c>
      <c r="I2758" s="11" t="s">
        <v>82</v>
      </c>
      <c r="J2758" s="11" t="s">
        <v>71</v>
      </c>
      <c r="K2758" s="11" t="s">
        <v>72</v>
      </c>
      <c r="L2758" s="11" t="s">
        <v>131</v>
      </c>
      <c r="M2758" s="11" t="s">
        <v>9648</v>
      </c>
      <c r="N2758" s="11" t="s">
        <v>198</v>
      </c>
      <c r="O2758" s="11" t="s">
        <v>71</v>
      </c>
      <c r="P2758" s="11" t="s">
        <v>14998</v>
      </c>
      <c r="Q2758" s="13" t="s">
        <v>14999</v>
      </c>
      <c r="R2758" s="14" t="str">
        <f>HYPERLINK("https://drive.google.com/file/d/1aQHv1_SEUDRF8MPNvVevJv-XnOGk-XNt/view?usp=drivesdk","OFFER LETTER")</f>
        <v>OFFER LETTER</v>
      </c>
      <c r="S2758" s="11" t="s">
        <v>15000</v>
      </c>
    </row>
    <row r="2759" ht="22.5" customHeight="1">
      <c r="A2759" s="10">
        <v>46273.823665104166</v>
      </c>
      <c r="B2759" s="11" t="s">
        <v>15001</v>
      </c>
      <c r="C2759" s="11" t="s">
        <v>742</v>
      </c>
      <c r="D2759" s="11" t="s">
        <v>68</v>
      </c>
      <c r="E2759" s="12">
        <v>46280.0</v>
      </c>
      <c r="F2759" s="12">
        <v>46310.0</v>
      </c>
      <c r="G2759" s="11" t="s">
        <v>15002</v>
      </c>
      <c r="H2759" s="11">
        <v>8.807077147E9</v>
      </c>
      <c r="I2759" s="11" t="s">
        <v>70</v>
      </c>
      <c r="J2759" s="11" t="s">
        <v>71</v>
      </c>
      <c r="K2759" s="13" t="s">
        <v>443</v>
      </c>
      <c r="L2759" s="11" t="s">
        <v>247</v>
      </c>
      <c r="M2759" s="11" t="s">
        <v>15003</v>
      </c>
      <c r="N2759" s="11" t="s">
        <v>1641</v>
      </c>
      <c r="O2759" s="11" t="s">
        <v>71</v>
      </c>
      <c r="P2759" s="11" t="s">
        <v>15004</v>
      </c>
      <c r="Q2759" s="13" t="s">
        <v>15005</v>
      </c>
      <c r="R2759" s="14" t="str">
        <f>HYPERLINK("https://drive.google.com/file/d/1EMS2wB69eu6BmDjVzfiwXlIOfFw1HClG/view?usp=drivesdk","OFFER LETTER")</f>
        <v>OFFER LETTER</v>
      </c>
      <c r="S2759" s="11" t="s">
        <v>15006</v>
      </c>
    </row>
    <row r="2760" ht="22.5" customHeight="1">
      <c r="A2760" s="10">
        <v>46273.82766847222</v>
      </c>
      <c r="B2760" s="11" t="s">
        <v>15007</v>
      </c>
      <c r="C2760" s="11" t="s">
        <v>165</v>
      </c>
      <c r="D2760" s="11" t="s">
        <v>68</v>
      </c>
      <c r="E2760" s="12">
        <v>46273.0</v>
      </c>
      <c r="F2760" s="12">
        <v>46303.0</v>
      </c>
      <c r="G2760" s="11" t="s">
        <v>15008</v>
      </c>
      <c r="H2760" s="11">
        <v>8.147808502E9</v>
      </c>
      <c r="I2760" s="11" t="s">
        <v>70</v>
      </c>
      <c r="J2760" s="11" t="s">
        <v>71</v>
      </c>
      <c r="K2760" s="11" t="s">
        <v>72</v>
      </c>
      <c r="L2760" s="11" t="s">
        <v>73</v>
      </c>
      <c r="M2760" s="11" t="s">
        <v>15009</v>
      </c>
      <c r="N2760" s="11" t="s">
        <v>198</v>
      </c>
      <c r="O2760" s="11" t="s">
        <v>71</v>
      </c>
      <c r="P2760" s="11" t="s">
        <v>15010</v>
      </c>
      <c r="Q2760" s="13" t="s">
        <v>15011</v>
      </c>
      <c r="R2760" s="14" t="str">
        <f>HYPERLINK("https://drive.google.com/file/d/15ikVgtkv8T3-c7CkAsD0X3K3nQyWFl41/view?usp=drivesdk","OFFER LETTER")</f>
        <v>OFFER LETTER</v>
      </c>
      <c r="S2760" s="11" t="s">
        <v>15012</v>
      </c>
    </row>
    <row r="2761" ht="22.5" customHeight="1">
      <c r="A2761" s="10">
        <v>46273.828694930555</v>
      </c>
      <c r="B2761" s="11" t="s">
        <v>5373</v>
      </c>
      <c r="C2761" s="11" t="s">
        <v>91</v>
      </c>
      <c r="D2761" s="11" t="s">
        <v>68</v>
      </c>
      <c r="E2761" s="12">
        <v>46260.0</v>
      </c>
      <c r="F2761" s="12">
        <v>46291.0</v>
      </c>
      <c r="G2761" s="11" t="s">
        <v>5374</v>
      </c>
      <c r="H2761" s="11">
        <v>7.032936983E9</v>
      </c>
      <c r="I2761" s="11" t="s">
        <v>70</v>
      </c>
      <c r="J2761" s="11" t="s">
        <v>83</v>
      </c>
      <c r="K2761" s="11" t="s">
        <v>72</v>
      </c>
      <c r="L2761" s="11" t="s">
        <v>131</v>
      </c>
      <c r="M2761" s="11" t="s">
        <v>15013</v>
      </c>
      <c r="N2761" s="11" t="s">
        <v>241</v>
      </c>
      <c r="O2761" s="11" t="s">
        <v>71</v>
      </c>
      <c r="P2761" s="11" t="s">
        <v>15014</v>
      </c>
      <c r="Q2761" s="13" t="s">
        <v>15015</v>
      </c>
      <c r="R2761" s="14" t="str">
        <f>HYPERLINK("https://drive.google.com/file/d/1wxhaW12a5O8f1rgxLAary_WhOOXG6vTM/view?usp=drivesdk","OFFER LETTER")</f>
        <v>OFFER LETTER</v>
      </c>
      <c r="S2761" s="11" t="s">
        <v>15016</v>
      </c>
    </row>
    <row r="2762" ht="22.5" customHeight="1">
      <c r="A2762" s="10">
        <v>46273.82872138889</v>
      </c>
      <c r="B2762" s="11" t="s">
        <v>15017</v>
      </c>
      <c r="C2762" s="11" t="s">
        <v>237</v>
      </c>
      <c r="D2762" s="11" t="s">
        <v>68</v>
      </c>
      <c r="E2762" s="12">
        <v>46266.0</v>
      </c>
      <c r="F2762" s="12">
        <v>46295.0</v>
      </c>
      <c r="G2762" s="11" t="s">
        <v>15018</v>
      </c>
      <c r="H2762" s="11">
        <v>9.381085895E9</v>
      </c>
      <c r="I2762" s="11" t="s">
        <v>82</v>
      </c>
      <c r="J2762" s="11" t="s">
        <v>71</v>
      </c>
      <c r="K2762" s="11" t="s">
        <v>2045</v>
      </c>
      <c r="L2762" s="11" t="s">
        <v>84</v>
      </c>
      <c r="M2762" s="11" t="s">
        <v>15019</v>
      </c>
      <c r="N2762" s="11" t="s">
        <v>198</v>
      </c>
      <c r="O2762" s="11" t="s">
        <v>71</v>
      </c>
      <c r="P2762" s="11" t="s">
        <v>15020</v>
      </c>
      <c r="Q2762" s="13" t="s">
        <v>15021</v>
      </c>
      <c r="R2762" s="14" t="str">
        <f>HYPERLINK("https://drive.google.com/file/d/1FH0UKD-fbew2UQzU2GG5LsHNL7BqkYdo/view?usp=drivesdk","OFFER LETTER")</f>
        <v>OFFER LETTER</v>
      </c>
      <c r="S2762" s="11" t="s">
        <v>15022</v>
      </c>
    </row>
    <row r="2763" ht="22.5" customHeight="1">
      <c r="A2763" s="10">
        <v>46273.82948104167</v>
      </c>
      <c r="B2763" s="11" t="s">
        <v>15001</v>
      </c>
      <c r="C2763" s="11" t="s">
        <v>742</v>
      </c>
      <c r="D2763" s="11" t="s">
        <v>68</v>
      </c>
      <c r="E2763" s="12">
        <v>46280.0</v>
      </c>
      <c r="F2763" s="12">
        <v>46310.0</v>
      </c>
      <c r="G2763" s="11" t="s">
        <v>15002</v>
      </c>
      <c r="H2763" s="11">
        <v>8.807077147E9</v>
      </c>
      <c r="I2763" s="11" t="s">
        <v>70</v>
      </c>
      <c r="J2763" s="11" t="s">
        <v>71</v>
      </c>
      <c r="K2763" s="13" t="s">
        <v>443</v>
      </c>
      <c r="L2763" s="11" t="s">
        <v>247</v>
      </c>
      <c r="M2763" s="11" t="s">
        <v>15003</v>
      </c>
      <c r="N2763" s="11" t="s">
        <v>1641</v>
      </c>
      <c r="O2763" s="11" t="s">
        <v>71</v>
      </c>
      <c r="P2763" s="11" t="s">
        <v>15023</v>
      </c>
      <c r="Q2763" s="13" t="s">
        <v>15024</v>
      </c>
      <c r="R2763" s="14" t="str">
        <f>HYPERLINK("https://drive.google.com/file/d/1Cw56YLPokOLDDUpAbmRsgJYe_bTiTTuX/view?usp=drivesdk","OFFER LETTER")</f>
        <v>OFFER LETTER</v>
      </c>
      <c r="S2763" s="11" t="s">
        <v>15022</v>
      </c>
    </row>
    <row r="2764" ht="22.5" customHeight="1">
      <c r="A2764" s="10">
        <v>46273.83087798611</v>
      </c>
      <c r="B2764" s="11" t="s">
        <v>15025</v>
      </c>
      <c r="C2764" s="11" t="s">
        <v>1320</v>
      </c>
      <c r="D2764" s="11" t="s">
        <v>68</v>
      </c>
      <c r="E2764" s="12">
        <v>46273.0</v>
      </c>
      <c r="F2764" s="12">
        <v>46320.0</v>
      </c>
      <c r="G2764" s="11" t="s">
        <v>15026</v>
      </c>
      <c r="H2764" s="11">
        <v>9.256475303E9</v>
      </c>
      <c r="I2764" s="11" t="s">
        <v>82</v>
      </c>
      <c r="J2764" s="11" t="s">
        <v>71</v>
      </c>
      <c r="K2764" s="11" t="s">
        <v>72</v>
      </c>
      <c r="L2764" s="11" t="s">
        <v>73</v>
      </c>
      <c r="M2764" s="11" t="s">
        <v>15027</v>
      </c>
      <c r="N2764" s="11" t="s">
        <v>226</v>
      </c>
      <c r="O2764" s="11" t="s">
        <v>71</v>
      </c>
      <c r="P2764" s="11" t="s">
        <v>15028</v>
      </c>
      <c r="Q2764" s="13" t="s">
        <v>15029</v>
      </c>
      <c r="R2764" s="14" t="str">
        <f>HYPERLINK("https://drive.google.com/file/d/1Ni7W8LPS1inGo_r2Ot_ZpSn_bz2h7V1R/view?usp=drivesdk","OFFER LETTER")</f>
        <v>OFFER LETTER</v>
      </c>
      <c r="S2764" s="11" t="s">
        <v>15030</v>
      </c>
    </row>
    <row r="2765" ht="22.5" customHeight="1">
      <c r="A2765" s="10">
        <v>46273.831800914355</v>
      </c>
      <c r="B2765" s="11" t="s">
        <v>15031</v>
      </c>
      <c r="C2765" s="11" t="s">
        <v>173</v>
      </c>
      <c r="D2765" s="11" t="s">
        <v>68</v>
      </c>
      <c r="E2765" s="12">
        <v>46273.0</v>
      </c>
      <c r="F2765" s="12">
        <v>46303.0</v>
      </c>
      <c r="G2765" s="11" t="s">
        <v>15032</v>
      </c>
      <c r="H2765" s="11">
        <v>9.639888585E9</v>
      </c>
      <c r="I2765" s="11" t="s">
        <v>70</v>
      </c>
      <c r="J2765" s="11" t="s">
        <v>71</v>
      </c>
      <c r="K2765" s="11" t="s">
        <v>110</v>
      </c>
      <c r="L2765" s="11" t="s">
        <v>73</v>
      </c>
      <c r="M2765" s="11" t="s">
        <v>493</v>
      </c>
      <c r="N2765" s="11" t="s">
        <v>630</v>
      </c>
      <c r="O2765" s="11" t="s">
        <v>71</v>
      </c>
      <c r="P2765" s="11" t="s">
        <v>15033</v>
      </c>
      <c r="Q2765" s="13" t="s">
        <v>15034</v>
      </c>
      <c r="R2765" s="14" t="str">
        <f>HYPERLINK("https://drive.google.com/file/d/1LG0gEU-2qxngO8HksqVV3KPg8g8SpmrI/view?usp=drivesdk","OFFER LETTER")</f>
        <v>OFFER LETTER</v>
      </c>
      <c r="S2765" s="11" t="s">
        <v>15035</v>
      </c>
    </row>
    <row r="2766" ht="22.5" customHeight="1">
      <c r="A2766" s="10">
        <v>46273.83402146991</v>
      </c>
      <c r="B2766" s="11" t="s">
        <v>15036</v>
      </c>
      <c r="C2766" s="11" t="s">
        <v>195</v>
      </c>
      <c r="D2766" s="11" t="s">
        <v>68</v>
      </c>
      <c r="E2766" s="12">
        <v>46273.0</v>
      </c>
      <c r="F2766" s="12">
        <v>46303.0</v>
      </c>
      <c r="G2766" s="11" t="s">
        <v>15037</v>
      </c>
      <c r="H2766" s="11">
        <v>9.949715536E9</v>
      </c>
      <c r="I2766" s="11" t="s">
        <v>70</v>
      </c>
      <c r="J2766" s="11" t="s">
        <v>71</v>
      </c>
      <c r="K2766" s="11" t="s">
        <v>72</v>
      </c>
      <c r="L2766" s="11" t="s">
        <v>131</v>
      </c>
      <c r="M2766" s="11" t="s">
        <v>15038</v>
      </c>
      <c r="N2766" s="11" t="s">
        <v>241</v>
      </c>
      <c r="O2766" s="11" t="s">
        <v>71</v>
      </c>
      <c r="P2766" s="11" t="s">
        <v>15039</v>
      </c>
      <c r="Q2766" s="13" t="s">
        <v>15040</v>
      </c>
      <c r="R2766" s="14" t="str">
        <f>HYPERLINK("https://drive.google.com/file/d/1_Alud-oR46gN4NSb4IjK9ybzPO0rFdgU/view?usp=drivesdk","OFFER LETTER")</f>
        <v>OFFER LETTER</v>
      </c>
      <c r="S2766" s="11" t="s">
        <v>15041</v>
      </c>
    </row>
    <row r="2767" ht="22.5" customHeight="1">
      <c r="A2767" s="10">
        <v>46273.84089759259</v>
      </c>
      <c r="B2767" s="11" t="s">
        <v>15042</v>
      </c>
      <c r="C2767" s="11" t="s">
        <v>417</v>
      </c>
      <c r="D2767" s="11" t="s">
        <v>238</v>
      </c>
      <c r="E2767" s="12">
        <v>46223.0</v>
      </c>
      <c r="F2767" s="12">
        <v>46315.0</v>
      </c>
      <c r="G2767" s="11" t="s">
        <v>15043</v>
      </c>
      <c r="H2767" s="11">
        <v>9.662086238E9</v>
      </c>
      <c r="I2767" s="11" t="s">
        <v>70</v>
      </c>
      <c r="J2767" s="11" t="s">
        <v>83</v>
      </c>
      <c r="K2767" s="11" t="s">
        <v>72</v>
      </c>
      <c r="L2767" s="11" t="s">
        <v>73</v>
      </c>
      <c r="M2767" s="11" t="s">
        <v>15044</v>
      </c>
      <c r="N2767" s="11" t="s">
        <v>86</v>
      </c>
      <c r="O2767" s="11" t="s">
        <v>71</v>
      </c>
      <c r="P2767" s="11" t="s">
        <v>15045</v>
      </c>
      <c r="Q2767" s="13" t="s">
        <v>15046</v>
      </c>
      <c r="R2767" s="14" t="str">
        <f>HYPERLINK("https://drive.google.com/file/d/1fSQyKycxvt2MEYzBIPSmTEV6NJGTsX47/view?usp=drivesdk","OFFER LETTER")</f>
        <v>OFFER LETTER</v>
      </c>
      <c r="S2767" s="11" t="s">
        <v>15047</v>
      </c>
    </row>
    <row r="2768" ht="22.5" customHeight="1">
      <c r="A2768" s="10">
        <v>46273.84138615741</v>
      </c>
      <c r="B2768" s="11" t="s">
        <v>13776</v>
      </c>
      <c r="C2768" s="11" t="s">
        <v>195</v>
      </c>
      <c r="D2768" s="11" t="s">
        <v>68</v>
      </c>
      <c r="E2768" s="12">
        <v>46272.0</v>
      </c>
      <c r="F2768" s="12">
        <v>46303.0</v>
      </c>
      <c r="G2768" s="11" t="s">
        <v>13777</v>
      </c>
      <c r="H2768" s="11">
        <v>8.856986885E9</v>
      </c>
      <c r="I2768" s="11" t="s">
        <v>82</v>
      </c>
      <c r="J2768" s="11" t="s">
        <v>71</v>
      </c>
      <c r="K2768" s="11" t="s">
        <v>72</v>
      </c>
      <c r="L2768" s="11" t="s">
        <v>73</v>
      </c>
      <c r="M2768" s="11" t="s">
        <v>15048</v>
      </c>
      <c r="N2768" s="11" t="s">
        <v>1576</v>
      </c>
      <c r="O2768" s="11" t="s">
        <v>71</v>
      </c>
      <c r="P2768" s="11" t="s">
        <v>15049</v>
      </c>
      <c r="Q2768" s="13" t="s">
        <v>15050</v>
      </c>
      <c r="R2768" s="14" t="str">
        <f>HYPERLINK("https://drive.google.com/file/d/15M1pcbx89pQeak_f56EfvDPZBWX2_4Gp/view?usp=drivesdk","OFFER LETTER")</f>
        <v>OFFER LETTER</v>
      </c>
      <c r="S2768" s="11" t="s">
        <v>15051</v>
      </c>
    </row>
    <row r="2769" ht="22.5" customHeight="1">
      <c r="A2769" s="10">
        <v>46273.84375759259</v>
      </c>
      <c r="B2769" s="11" t="s">
        <v>15052</v>
      </c>
      <c r="C2769" s="11" t="s">
        <v>259</v>
      </c>
      <c r="D2769" s="11" t="s">
        <v>68</v>
      </c>
      <c r="E2769" s="12">
        <v>46274.0</v>
      </c>
      <c r="F2769" s="12">
        <v>46304.0</v>
      </c>
      <c r="G2769" s="11" t="s">
        <v>15053</v>
      </c>
      <c r="H2769" s="11">
        <v>7.204861272E9</v>
      </c>
      <c r="I2769" s="11" t="s">
        <v>82</v>
      </c>
      <c r="J2769" s="11" t="s">
        <v>71</v>
      </c>
      <c r="K2769" s="11" t="s">
        <v>72</v>
      </c>
      <c r="L2769" s="11" t="s">
        <v>131</v>
      </c>
      <c r="M2769" s="11" t="s">
        <v>15054</v>
      </c>
      <c r="N2769" s="11" t="s">
        <v>15055</v>
      </c>
      <c r="O2769" s="11" t="s">
        <v>71</v>
      </c>
      <c r="P2769" s="11" t="s">
        <v>15056</v>
      </c>
      <c r="Q2769" s="13" t="s">
        <v>15057</v>
      </c>
      <c r="R2769" s="14" t="str">
        <f>HYPERLINK("https://drive.google.com/file/d/1RBVK93yzeEtJ0E6dqOkr9xVV7PM7HVWi/view?usp=drivesdk","OFFER LETTER")</f>
        <v>OFFER LETTER</v>
      </c>
      <c r="S2769" s="11" t="s">
        <v>15058</v>
      </c>
    </row>
    <row r="2770" ht="22.5" customHeight="1">
      <c r="A2770" s="10">
        <v>46273.846860300924</v>
      </c>
      <c r="B2770" s="11" t="s">
        <v>14250</v>
      </c>
      <c r="C2770" s="11" t="s">
        <v>173</v>
      </c>
      <c r="D2770" s="11" t="s">
        <v>68</v>
      </c>
      <c r="E2770" s="12">
        <v>46273.0</v>
      </c>
      <c r="F2770" s="12">
        <v>46304.0</v>
      </c>
      <c r="G2770" s="11" t="s">
        <v>14251</v>
      </c>
      <c r="H2770" s="11">
        <v>9.023825394E9</v>
      </c>
      <c r="I2770" s="11" t="s">
        <v>82</v>
      </c>
      <c r="J2770" s="11" t="s">
        <v>71</v>
      </c>
      <c r="K2770" s="11" t="s">
        <v>72</v>
      </c>
      <c r="L2770" s="11" t="s">
        <v>73</v>
      </c>
      <c r="M2770" s="11" t="s">
        <v>14252</v>
      </c>
      <c r="N2770" s="11" t="s">
        <v>15059</v>
      </c>
      <c r="O2770" s="11" t="s">
        <v>71</v>
      </c>
      <c r="P2770" s="11" t="s">
        <v>15060</v>
      </c>
      <c r="Q2770" s="13" t="s">
        <v>15061</v>
      </c>
      <c r="R2770" s="14" t="str">
        <f>HYPERLINK("https://drive.google.com/file/d/13xyKmuaMPqVZSMstF_Fd2gWwoDJzcAR0/view?usp=drivesdk","OFFER LETTER")</f>
        <v>OFFER LETTER</v>
      </c>
      <c r="S2770" s="11" t="s">
        <v>15062</v>
      </c>
    </row>
    <row r="2771" ht="22.5" customHeight="1">
      <c r="A2771" s="10">
        <v>46273.84855887732</v>
      </c>
      <c r="B2771" s="11" t="s">
        <v>15063</v>
      </c>
      <c r="C2771" s="11" t="s">
        <v>195</v>
      </c>
      <c r="D2771" s="11" t="s">
        <v>68</v>
      </c>
      <c r="E2771" s="12">
        <v>46273.0</v>
      </c>
      <c r="F2771" s="12">
        <v>46303.0</v>
      </c>
      <c r="G2771" s="11" t="s">
        <v>15064</v>
      </c>
      <c r="H2771" s="11">
        <v>7.601007646E9</v>
      </c>
      <c r="I2771" s="11" t="s">
        <v>70</v>
      </c>
      <c r="J2771" s="11" t="s">
        <v>71</v>
      </c>
      <c r="K2771" s="11" t="s">
        <v>72</v>
      </c>
      <c r="L2771" s="11" t="s">
        <v>84</v>
      </c>
      <c r="M2771" s="11" t="s">
        <v>15065</v>
      </c>
      <c r="N2771" s="11" t="s">
        <v>75</v>
      </c>
      <c r="O2771" s="11" t="s">
        <v>71</v>
      </c>
      <c r="P2771" s="11" t="s">
        <v>15066</v>
      </c>
      <c r="Q2771" s="13" t="s">
        <v>15067</v>
      </c>
      <c r="R2771" s="14" t="str">
        <f>HYPERLINK("https://drive.google.com/file/d/1evDCN13pm0kgQvMfaR2HWKwP6deLsCKj/view?usp=drivesdk","OFFER LETTER")</f>
        <v>OFFER LETTER</v>
      </c>
      <c r="S2771" s="11" t="s">
        <v>15068</v>
      </c>
    </row>
    <row r="2772" ht="22.5" customHeight="1">
      <c r="A2772" s="10">
        <v>46273.85005987268</v>
      </c>
      <c r="B2772" s="11" t="s">
        <v>15069</v>
      </c>
      <c r="C2772" s="11" t="s">
        <v>107</v>
      </c>
      <c r="D2772" s="11" t="s">
        <v>238</v>
      </c>
      <c r="E2772" s="12">
        <v>46273.0</v>
      </c>
      <c r="F2772" s="12">
        <v>46364.0</v>
      </c>
      <c r="G2772" s="11" t="s">
        <v>15070</v>
      </c>
      <c r="H2772" s="11">
        <v>9.199007933E9</v>
      </c>
      <c r="I2772" s="11" t="s">
        <v>82</v>
      </c>
      <c r="J2772" s="11" t="s">
        <v>71</v>
      </c>
      <c r="K2772" s="11" t="s">
        <v>72</v>
      </c>
      <c r="L2772" s="11" t="s">
        <v>131</v>
      </c>
      <c r="M2772" s="11" t="s">
        <v>15071</v>
      </c>
      <c r="N2772" s="11" t="s">
        <v>75</v>
      </c>
      <c r="O2772" s="11" t="s">
        <v>71</v>
      </c>
      <c r="P2772" s="11" t="s">
        <v>15072</v>
      </c>
      <c r="Q2772" s="13" t="s">
        <v>15073</v>
      </c>
      <c r="R2772" s="14" t="str">
        <f>HYPERLINK("https://drive.google.com/file/d/1sVHQjou7xUmVcQN1_QXRecxtK6gEUHUZ/view?usp=drivesdk","OFFER LETTER")</f>
        <v>OFFER LETTER</v>
      </c>
      <c r="S2772" s="11" t="s">
        <v>15074</v>
      </c>
    </row>
    <row r="2773" ht="22.5" customHeight="1">
      <c r="A2773" s="10">
        <v>46273.853241875</v>
      </c>
      <c r="B2773" s="11" t="s">
        <v>15075</v>
      </c>
      <c r="C2773" s="11" t="s">
        <v>195</v>
      </c>
      <c r="D2773" s="11" t="s">
        <v>68</v>
      </c>
      <c r="E2773" s="12">
        <v>46217.0</v>
      </c>
      <c r="F2773" s="12">
        <v>46248.0</v>
      </c>
      <c r="G2773" s="11" t="s">
        <v>15076</v>
      </c>
      <c r="H2773" s="11">
        <v>9.310863372E9</v>
      </c>
      <c r="I2773" s="11" t="s">
        <v>82</v>
      </c>
      <c r="J2773" s="11" t="s">
        <v>83</v>
      </c>
      <c r="K2773" s="11" t="s">
        <v>72</v>
      </c>
      <c r="L2773" s="11" t="s">
        <v>131</v>
      </c>
      <c r="M2773" s="11" t="s">
        <v>15077</v>
      </c>
      <c r="N2773" s="11" t="s">
        <v>198</v>
      </c>
      <c r="O2773" s="11" t="s">
        <v>71</v>
      </c>
      <c r="P2773" s="11" t="s">
        <v>15078</v>
      </c>
      <c r="Q2773" s="13" t="s">
        <v>15079</v>
      </c>
      <c r="R2773" s="14" t="str">
        <f>HYPERLINK("https://drive.google.com/file/d/1s7HIVkZ5eTbFnZXAEoc90zGH0ZPOb13W/view?usp=drivesdk","OFFER LETTER")</f>
        <v>OFFER LETTER</v>
      </c>
      <c r="S2773" s="11" t="s">
        <v>15080</v>
      </c>
    </row>
    <row r="2774" ht="22.5" customHeight="1">
      <c r="A2774" s="10">
        <v>46273.853333680556</v>
      </c>
      <c r="B2774" s="11" t="s">
        <v>15081</v>
      </c>
      <c r="C2774" s="11" t="s">
        <v>173</v>
      </c>
      <c r="D2774" s="11" t="s">
        <v>68</v>
      </c>
      <c r="E2774" s="12">
        <v>46223.0</v>
      </c>
      <c r="F2774" s="12">
        <v>46254.0</v>
      </c>
      <c r="G2774" s="11" t="s">
        <v>15081</v>
      </c>
      <c r="H2774" s="11">
        <v>9.566607061E9</v>
      </c>
      <c r="I2774" s="11" t="s">
        <v>70</v>
      </c>
      <c r="J2774" s="11" t="s">
        <v>71</v>
      </c>
      <c r="K2774" s="11" t="s">
        <v>72</v>
      </c>
      <c r="L2774" s="11" t="s">
        <v>73</v>
      </c>
      <c r="M2774" s="11" t="s">
        <v>15082</v>
      </c>
      <c r="N2774" s="11" t="s">
        <v>86</v>
      </c>
      <c r="O2774" s="11" t="s">
        <v>71</v>
      </c>
      <c r="P2774" s="11" t="s">
        <v>15083</v>
      </c>
      <c r="Q2774" s="13" t="s">
        <v>15084</v>
      </c>
      <c r="R2774" s="14" t="str">
        <f>HYPERLINK("https://drive.google.com/file/d/1fbRpQJp8WDuTuDSW9h6Dm5rt0pAi43KS/view?usp=drivesdk","OFFER LETTER")</f>
        <v>OFFER LETTER</v>
      </c>
      <c r="S2774" s="11" t="s">
        <v>15085</v>
      </c>
    </row>
    <row r="2775" ht="22.5" customHeight="1">
      <c r="A2775" s="10">
        <v>46273.85642938658</v>
      </c>
      <c r="B2775" s="11" t="s">
        <v>14951</v>
      </c>
      <c r="C2775" s="11" t="s">
        <v>173</v>
      </c>
      <c r="D2775" s="11" t="s">
        <v>68</v>
      </c>
      <c r="E2775" s="12">
        <v>46174.0</v>
      </c>
      <c r="F2775" s="12">
        <v>46204.0</v>
      </c>
      <c r="G2775" s="11" t="s">
        <v>14936</v>
      </c>
      <c r="H2775" s="11">
        <v>8.838890938E9</v>
      </c>
      <c r="I2775" s="11" t="s">
        <v>82</v>
      </c>
      <c r="J2775" s="11" t="s">
        <v>71</v>
      </c>
      <c r="K2775" s="11" t="s">
        <v>72</v>
      </c>
      <c r="L2775" s="11" t="s">
        <v>84</v>
      </c>
      <c r="M2775" s="11" t="s">
        <v>15086</v>
      </c>
      <c r="N2775" s="11" t="s">
        <v>75</v>
      </c>
      <c r="O2775" s="11" t="s">
        <v>71</v>
      </c>
      <c r="P2775" s="11" t="s">
        <v>15087</v>
      </c>
      <c r="Q2775" s="13" t="s">
        <v>15088</v>
      </c>
      <c r="R2775" s="14" t="str">
        <f>HYPERLINK("https://drive.google.com/file/d/1Qp8XdsP1A5AXqQGxy0NLOfUESM_hbSrl/view?usp=drivesdk","OFFER LETTER")</f>
        <v>OFFER LETTER</v>
      </c>
      <c r="S2775" s="11" t="s">
        <v>15089</v>
      </c>
    </row>
    <row r="2776" ht="22.5" customHeight="1">
      <c r="A2776" s="10">
        <v>46273.860360555555</v>
      </c>
      <c r="B2776" s="11" t="s">
        <v>15090</v>
      </c>
      <c r="C2776" s="11" t="s">
        <v>298</v>
      </c>
      <c r="D2776" s="11" t="s">
        <v>68</v>
      </c>
      <c r="E2776" s="12">
        <v>46249.0</v>
      </c>
      <c r="F2776" s="12">
        <v>46280.0</v>
      </c>
      <c r="G2776" s="11" t="s">
        <v>15091</v>
      </c>
      <c r="H2776" s="11">
        <v>9.345000297E9</v>
      </c>
      <c r="I2776" s="11" t="s">
        <v>82</v>
      </c>
      <c r="J2776" s="11" t="s">
        <v>71</v>
      </c>
      <c r="K2776" s="11" t="s">
        <v>72</v>
      </c>
      <c r="L2776" s="11" t="s">
        <v>131</v>
      </c>
      <c r="M2776" s="11" t="s">
        <v>684</v>
      </c>
      <c r="N2776" s="11" t="s">
        <v>86</v>
      </c>
      <c r="O2776" s="11" t="s">
        <v>71</v>
      </c>
      <c r="P2776" s="11" t="s">
        <v>15092</v>
      </c>
      <c r="Q2776" s="13" t="s">
        <v>15093</v>
      </c>
      <c r="R2776" s="14" t="str">
        <f>HYPERLINK("https://drive.google.com/file/d/1FM7Zn4iGhy0mqPDdq5qXjnzj24YwkmG2/view?usp=drivesdk","OFFER LETTER")</f>
        <v>OFFER LETTER</v>
      </c>
      <c r="S2776" s="11" t="s">
        <v>15094</v>
      </c>
    </row>
    <row r="2777" ht="22.5" customHeight="1">
      <c r="A2777" s="10">
        <v>46273.86131446759</v>
      </c>
      <c r="B2777" s="11" t="s">
        <v>15095</v>
      </c>
      <c r="C2777" s="11" t="s">
        <v>67</v>
      </c>
      <c r="D2777" s="11" t="s">
        <v>68</v>
      </c>
      <c r="E2777" s="12">
        <v>46273.0</v>
      </c>
      <c r="F2777" s="12">
        <v>46303.0</v>
      </c>
      <c r="G2777" s="11" t="s">
        <v>15096</v>
      </c>
      <c r="H2777" s="11">
        <v>7.499376166E9</v>
      </c>
      <c r="I2777" s="11" t="s">
        <v>70</v>
      </c>
      <c r="J2777" s="11" t="s">
        <v>71</v>
      </c>
      <c r="K2777" s="11" t="s">
        <v>72</v>
      </c>
      <c r="L2777" s="11" t="s">
        <v>73</v>
      </c>
      <c r="M2777" s="11" t="s">
        <v>1664</v>
      </c>
      <c r="N2777" s="11" t="s">
        <v>75</v>
      </c>
      <c r="O2777" s="11" t="s">
        <v>71</v>
      </c>
      <c r="P2777" s="11" t="s">
        <v>15097</v>
      </c>
      <c r="Q2777" s="13" t="s">
        <v>15098</v>
      </c>
      <c r="R2777" s="14" t="str">
        <f>HYPERLINK("https://drive.google.com/file/d/1mM5AcBguVAIklavhVIAgQMYPOBeMGOw_/view?usp=drivesdk","OFFER LETTER")</f>
        <v>OFFER LETTER</v>
      </c>
      <c r="S2777" s="11" t="s">
        <v>15099</v>
      </c>
    </row>
    <row r="2778" ht="22.5" customHeight="1">
      <c r="A2778" s="10">
        <v>46273.86383494213</v>
      </c>
      <c r="B2778" s="11" t="s">
        <v>15100</v>
      </c>
      <c r="C2778" s="11" t="s">
        <v>173</v>
      </c>
      <c r="D2778" s="11" t="s">
        <v>108</v>
      </c>
      <c r="E2778" s="12">
        <v>46209.0</v>
      </c>
      <c r="F2778" s="12">
        <v>46271.0</v>
      </c>
      <c r="G2778" s="11" t="s">
        <v>15101</v>
      </c>
      <c r="H2778" s="11">
        <v>8.260180907E9</v>
      </c>
      <c r="I2778" s="11" t="s">
        <v>82</v>
      </c>
      <c r="J2778" s="11" t="s">
        <v>71</v>
      </c>
      <c r="K2778" s="11" t="s">
        <v>72</v>
      </c>
      <c r="L2778" s="11" t="s">
        <v>73</v>
      </c>
      <c r="M2778" s="11" t="s">
        <v>15102</v>
      </c>
      <c r="N2778" s="11" t="s">
        <v>155</v>
      </c>
      <c r="O2778" s="11" t="s">
        <v>71</v>
      </c>
      <c r="P2778" s="11" t="s">
        <v>15103</v>
      </c>
      <c r="Q2778" s="13" t="s">
        <v>15104</v>
      </c>
      <c r="R2778" s="14" t="str">
        <f>HYPERLINK("https://drive.google.com/file/d/1OMDuZABkwmjEYziAFPlESJMmSFDrcSBR/view?usp=drivesdk","OFFER LETTER")</f>
        <v>OFFER LETTER</v>
      </c>
      <c r="S2778" s="11" t="s">
        <v>15105</v>
      </c>
    </row>
    <row r="2779" ht="22.5" customHeight="1">
      <c r="A2779" s="10">
        <v>46273.86732908565</v>
      </c>
      <c r="B2779" s="11" t="s">
        <v>15106</v>
      </c>
      <c r="C2779" s="11" t="s">
        <v>195</v>
      </c>
      <c r="D2779" s="11" t="s">
        <v>68</v>
      </c>
      <c r="E2779" s="12">
        <v>46196.0</v>
      </c>
      <c r="F2779" s="12">
        <v>46226.0</v>
      </c>
      <c r="G2779" s="11" t="s">
        <v>15107</v>
      </c>
      <c r="H2779" s="11" t="s">
        <v>15108</v>
      </c>
      <c r="I2779" s="11" t="s">
        <v>82</v>
      </c>
      <c r="J2779" s="11" t="s">
        <v>71</v>
      </c>
      <c r="K2779" s="11" t="s">
        <v>72</v>
      </c>
      <c r="L2779" s="11" t="s">
        <v>84</v>
      </c>
      <c r="M2779" s="11" t="s">
        <v>1779</v>
      </c>
      <c r="N2779" s="11" t="s">
        <v>86</v>
      </c>
      <c r="O2779" s="11" t="s">
        <v>71</v>
      </c>
      <c r="P2779" s="11" t="s">
        <v>15109</v>
      </c>
      <c r="Q2779" s="13" t="s">
        <v>15110</v>
      </c>
      <c r="R2779" s="14" t="str">
        <f>HYPERLINK("https://drive.google.com/file/d/1It1k1ILR8NYpKC2QGGm7zPiJpBRY69qL/view?usp=drivesdk","OFFER LETTER")</f>
        <v>OFFER LETTER</v>
      </c>
      <c r="S2779" s="11" t="s">
        <v>15111</v>
      </c>
    </row>
    <row r="2780" ht="22.5" customHeight="1">
      <c r="A2780" s="10">
        <v>46273.87159112269</v>
      </c>
      <c r="B2780" s="11" t="s">
        <v>15112</v>
      </c>
      <c r="C2780" s="11" t="s">
        <v>195</v>
      </c>
      <c r="D2780" s="11" t="s">
        <v>68</v>
      </c>
      <c r="E2780" s="12">
        <v>46273.0</v>
      </c>
      <c r="F2780" s="12">
        <v>46303.0</v>
      </c>
      <c r="G2780" s="11" t="s">
        <v>15113</v>
      </c>
      <c r="H2780" s="11">
        <v>6.235696191E9</v>
      </c>
      <c r="I2780" s="11" t="s">
        <v>82</v>
      </c>
      <c r="J2780" s="11" t="s">
        <v>83</v>
      </c>
      <c r="K2780" s="11" t="s">
        <v>72</v>
      </c>
      <c r="L2780" s="11" t="s">
        <v>73</v>
      </c>
      <c r="M2780" s="11" t="s">
        <v>15114</v>
      </c>
      <c r="N2780" s="11" t="s">
        <v>86</v>
      </c>
      <c r="O2780" s="11" t="s">
        <v>71</v>
      </c>
      <c r="P2780" s="11" t="s">
        <v>15115</v>
      </c>
      <c r="Q2780" s="13" t="s">
        <v>15116</v>
      </c>
      <c r="R2780" s="14" t="str">
        <f>HYPERLINK("https://drive.google.com/file/d/1_Qo36lHzt4wSR_XqOk-UFZfnwCLpkrHG/view?usp=drivesdk","OFFER LETTER")</f>
        <v>OFFER LETTER</v>
      </c>
      <c r="S2780" s="11" t="s">
        <v>15117</v>
      </c>
    </row>
    <row r="2781" ht="22.5" customHeight="1">
      <c r="A2781" s="10">
        <v>46273.87422302083</v>
      </c>
      <c r="B2781" s="11" t="s">
        <v>15118</v>
      </c>
      <c r="C2781" s="11" t="s">
        <v>91</v>
      </c>
      <c r="D2781" s="11" t="s">
        <v>68</v>
      </c>
      <c r="E2781" s="12">
        <v>46273.0</v>
      </c>
      <c r="F2781" s="12">
        <v>46303.0</v>
      </c>
      <c r="G2781" s="11" t="s">
        <v>15119</v>
      </c>
      <c r="H2781" s="11">
        <v>9.948366713E9</v>
      </c>
      <c r="I2781" s="11" t="s">
        <v>70</v>
      </c>
      <c r="J2781" s="11" t="s">
        <v>71</v>
      </c>
      <c r="K2781" s="11" t="s">
        <v>72</v>
      </c>
      <c r="L2781" s="11" t="s">
        <v>73</v>
      </c>
      <c r="M2781" s="11" t="s">
        <v>802</v>
      </c>
      <c r="N2781" s="11" t="s">
        <v>241</v>
      </c>
      <c r="O2781" s="11" t="s">
        <v>71</v>
      </c>
      <c r="P2781" s="11" t="s">
        <v>15120</v>
      </c>
      <c r="Q2781" s="13" t="s">
        <v>15121</v>
      </c>
      <c r="R2781" s="14" t="str">
        <f>HYPERLINK("https://drive.google.com/file/d/1qvlUAxUmy4k6lFjg3IRUWTJimdhS9DJB/view?usp=drivesdk","OFFER LETTER")</f>
        <v>OFFER LETTER</v>
      </c>
      <c r="S2781" s="11" t="s">
        <v>15122</v>
      </c>
    </row>
    <row r="2782" ht="22.5" customHeight="1">
      <c r="A2782" s="10">
        <v>46273.87502732639</v>
      </c>
      <c r="B2782" s="11" t="s">
        <v>5355</v>
      </c>
      <c r="C2782" s="11" t="s">
        <v>259</v>
      </c>
      <c r="D2782" s="11" t="s">
        <v>68</v>
      </c>
      <c r="E2782" s="12">
        <v>46180.0</v>
      </c>
      <c r="F2782" s="12">
        <v>46209.0</v>
      </c>
      <c r="G2782" s="11" t="s">
        <v>14750</v>
      </c>
      <c r="H2782" s="11">
        <v>8.809636172E9</v>
      </c>
      <c r="I2782" s="11" t="s">
        <v>82</v>
      </c>
      <c r="J2782" s="11" t="s">
        <v>71</v>
      </c>
      <c r="K2782" s="11" t="s">
        <v>72</v>
      </c>
      <c r="L2782" s="11" t="s">
        <v>84</v>
      </c>
      <c r="M2782" s="11" t="s">
        <v>2535</v>
      </c>
      <c r="N2782" s="11" t="s">
        <v>226</v>
      </c>
      <c r="O2782" s="11" t="s">
        <v>71</v>
      </c>
      <c r="P2782" s="11" t="s">
        <v>15123</v>
      </c>
      <c r="Q2782" s="13" t="s">
        <v>15124</v>
      </c>
      <c r="R2782" s="14" t="str">
        <f>HYPERLINK("https://drive.google.com/file/d/1Ku-ytlBRGTqI4pE7LF7Y56lCbRIYiTph/view?usp=drivesdk","OFFER LETTER")</f>
        <v>OFFER LETTER</v>
      </c>
      <c r="S2782" s="11" t="s">
        <v>15125</v>
      </c>
    </row>
    <row r="2783" ht="22.5" customHeight="1">
      <c r="A2783" s="10">
        <v>46273.875083969906</v>
      </c>
      <c r="B2783" s="11" t="s">
        <v>15126</v>
      </c>
      <c r="C2783" s="11" t="s">
        <v>173</v>
      </c>
      <c r="D2783" s="11" t="s">
        <v>68</v>
      </c>
      <c r="E2783" s="12">
        <v>46204.0</v>
      </c>
      <c r="F2783" s="12">
        <v>46233.0</v>
      </c>
      <c r="G2783" s="11" t="s">
        <v>15127</v>
      </c>
      <c r="H2783" s="11">
        <v>7.550247641E9</v>
      </c>
      <c r="I2783" s="11" t="s">
        <v>70</v>
      </c>
      <c r="J2783" s="11" t="s">
        <v>130</v>
      </c>
      <c r="K2783" s="11" t="s">
        <v>72</v>
      </c>
      <c r="L2783" s="11" t="s">
        <v>84</v>
      </c>
      <c r="M2783" s="11" t="s">
        <v>15128</v>
      </c>
      <c r="N2783" s="11" t="s">
        <v>226</v>
      </c>
      <c r="O2783" s="11" t="s">
        <v>71</v>
      </c>
      <c r="P2783" s="11" t="s">
        <v>15129</v>
      </c>
      <c r="Q2783" s="13" t="s">
        <v>15130</v>
      </c>
      <c r="R2783" s="14" t="str">
        <f>HYPERLINK("https://drive.google.com/file/d/17NBBACrGQW5HgzNpFQLn8uPFwzX3NwtC/view?usp=drivesdk","OFFER LETTER")</f>
        <v>OFFER LETTER</v>
      </c>
      <c r="S2783" s="11" t="s">
        <v>15131</v>
      </c>
    </row>
    <row r="2784" ht="22.5" customHeight="1">
      <c r="A2784" s="10">
        <v>46273.87665171296</v>
      </c>
      <c r="B2784" s="11" t="s">
        <v>15132</v>
      </c>
      <c r="C2784" s="11" t="s">
        <v>91</v>
      </c>
      <c r="D2784" s="11" t="s">
        <v>68</v>
      </c>
      <c r="E2784" s="12">
        <v>46274.0</v>
      </c>
      <c r="F2784" s="12">
        <v>46305.0</v>
      </c>
      <c r="G2784" s="11" t="s">
        <v>15133</v>
      </c>
      <c r="H2784" s="11">
        <v>7.000975193E9</v>
      </c>
      <c r="I2784" s="11" t="s">
        <v>82</v>
      </c>
      <c r="J2784" s="11" t="s">
        <v>71</v>
      </c>
      <c r="K2784" s="11" t="s">
        <v>72</v>
      </c>
      <c r="L2784" s="11" t="s">
        <v>73</v>
      </c>
      <c r="M2784" s="11" t="s">
        <v>15134</v>
      </c>
      <c r="N2784" s="11" t="s">
        <v>2114</v>
      </c>
      <c r="O2784" s="11" t="s">
        <v>263</v>
      </c>
      <c r="P2784" s="11" t="s">
        <v>15135</v>
      </c>
      <c r="Q2784" s="13" t="s">
        <v>15136</v>
      </c>
      <c r="R2784" s="14" t="str">
        <f>HYPERLINK("https://drive.google.com/file/d/1cTJMDooN0nD3Ab2YJCoXkMlfATpsKnXY/view?usp=drivesdk","OFFER LETTER")</f>
        <v>OFFER LETTER</v>
      </c>
      <c r="S2784" s="11" t="s">
        <v>15137</v>
      </c>
    </row>
    <row r="2785" ht="22.5" customHeight="1">
      <c r="A2785" s="10">
        <v>46273.87673391204</v>
      </c>
      <c r="B2785" s="11" t="s">
        <v>15138</v>
      </c>
      <c r="C2785" s="11" t="s">
        <v>107</v>
      </c>
      <c r="D2785" s="11" t="s">
        <v>108</v>
      </c>
      <c r="E2785" s="12">
        <v>46183.0</v>
      </c>
      <c r="F2785" s="12">
        <v>46248.0</v>
      </c>
      <c r="G2785" s="11" t="s">
        <v>15139</v>
      </c>
      <c r="H2785" s="11">
        <v>8.271207574E9</v>
      </c>
      <c r="I2785" s="11" t="s">
        <v>82</v>
      </c>
      <c r="J2785" s="11" t="s">
        <v>71</v>
      </c>
      <c r="K2785" s="11" t="s">
        <v>356</v>
      </c>
      <c r="L2785" s="11" t="s">
        <v>84</v>
      </c>
      <c r="M2785" s="11" t="s">
        <v>1118</v>
      </c>
      <c r="N2785" s="11" t="s">
        <v>86</v>
      </c>
      <c r="O2785" s="11" t="s">
        <v>71</v>
      </c>
      <c r="P2785" s="11" t="s">
        <v>15140</v>
      </c>
      <c r="Q2785" s="13" t="s">
        <v>15141</v>
      </c>
      <c r="R2785" s="14" t="str">
        <f>HYPERLINK("https://drive.google.com/file/d/1rwxWPDhPvbFMZFrIeEqyvlLvvnei1Qk1/view?usp=drivesdk","OFFER LETTER")</f>
        <v>OFFER LETTER</v>
      </c>
      <c r="S2785" s="11" t="s">
        <v>15142</v>
      </c>
    </row>
    <row r="2786" ht="22.5" customHeight="1">
      <c r="A2786" s="10">
        <v>46273.87683383102</v>
      </c>
      <c r="B2786" s="11" t="s">
        <v>15143</v>
      </c>
      <c r="C2786" s="11" t="s">
        <v>91</v>
      </c>
      <c r="D2786" s="11" t="s">
        <v>68</v>
      </c>
      <c r="E2786" s="12">
        <v>46274.0</v>
      </c>
      <c r="F2786" s="12">
        <v>46304.0</v>
      </c>
      <c r="G2786" s="11" t="s">
        <v>15144</v>
      </c>
      <c r="H2786" s="11">
        <v>7.721896811E9</v>
      </c>
      <c r="I2786" s="11" t="s">
        <v>82</v>
      </c>
      <c r="J2786" s="11" t="s">
        <v>71</v>
      </c>
      <c r="K2786" s="11" t="s">
        <v>72</v>
      </c>
      <c r="L2786" s="11" t="s">
        <v>73</v>
      </c>
      <c r="M2786" s="11" t="s">
        <v>15145</v>
      </c>
      <c r="N2786" s="11" t="s">
        <v>241</v>
      </c>
      <c r="O2786" s="11" t="s">
        <v>71</v>
      </c>
      <c r="P2786" s="11" t="s">
        <v>15146</v>
      </c>
      <c r="Q2786" s="13" t="s">
        <v>15147</v>
      </c>
      <c r="R2786" s="14" t="str">
        <f>HYPERLINK("https://drive.google.com/file/d/1MR2TC1zkrTv47ixvgP9Fd_SxhXZtWXMf/view?usp=drivesdk","OFFER LETTER")</f>
        <v>OFFER LETTER</v>
      </c>
      <c r="S2786" s="11" t="s">
        <v>15148</v>
      </c>
    </row>
    <row r="2787" ht="22.5" customHeight="1">
      <c r="A2787" s="10">
        <v>46273.88147030093</v>
      </c>
      <c r="B2787" s="11" t="s">
        <v>5355</v>
      </c>
      <c r="C2787" s="11" t="s">
        <v>259</v>
      </c>
      <c r="D2787" s="11" t="s">
        <v>68</v>
      </c>
      <c r="E2787" s="12">
        <v>46180.0</v>
      </c>
      <c r="F2787" s="12">
        <v>46209.0</v>
      </c>
      <c r="G2787" s="11" t="s">
        <v>14750</v>
      </c>
      <c r="H2787" s="11">
        <v>8.809636172E9</v>
      </c>
      <c r="I2787" s="11" t="s">
        <v>82</v>
      </c>
      <c r="J2787" s="11" t="s">
        <v>71</v>
      </c>
      <c r="K2787" s="11" t="s">
        <v>72</v>
      </c>
      <c r="L2787" s="11" t="s">
        <v>84</v>
      </c>
      <c r="M2787" s="11" t="s">
        <v>2535</v>
      </c>
      <c r="N2787" s="11" t="s">
        <v>226</v>
      </c>
      <c r="O2787" s="11" t="s">
        <v>71</v>
      </c>
      <c r="P2787" s="11" t="s">
        <v>15149</v>
      </c>
      <c r="Q2787" s="13" t="s">
        <v>15150</v>
      </c>
      <c r="R2787" s="14" t="str">
        <f>HYPERLINK("https://drive.google.com/file/d/1IyEGyTGmrIFX1A5yuMDgkR4R_KXerc6_/view?usp=drivesdk","OFFER LETTER")</f>
        <v>OFFER LETTER</v>
      </c>
      <c r="S2787" s="11" t="s">
        <v>15151</v>
      </c>
    </row>
    <row r="2788" ht="22.5" customHeight="1">
      <c r="A2788" s="10">
        <v>46273.88586217593</v>
      </c>
      <c r="B2788" s="11" t="s">
        <v>15152</v>
      </c>
      <c r="C2788" s="11" t="s">
        <v>128</v>
      </c>
      <c r="D2788" s="11" t="s">
        <v>68</v>
      </c>
      <c r="E2788" s="12">
        <v>46273.0</v>
      </c>
      <c r="F2788" s="12">
        <v>46303.0</v>
      </c>
      <c r="G2788" s="11" t="s">
        <v>15153</v>
      </c>
      <c r="H2788" s="11">
        <v>9.199239194E9</v>
      </c>
      <c r="I2788" s="11" t="s">
        <v>82</v>
      </c>
      <c r="J2788" s="11" t="s">
        <v>71</v>
      </c>
      <c r="K2788" s="11" t="s">
        <v>72</v>
      </c>
      <c r="L2788" s="11" t="s">
        <v>84</v>
      </c>
      <c r="M2788" s="11" t="s">
        <v>15154</v>
      </c>
      <c r="N2788" s="11" t="s">
        <v>86</v>
      </c>
      <c r="O2788" s="11" t="s">
        <v>263</v>
      </c>
      <c r="P2788" s="11" t="s">
        <v>15155</v>
      </c>
      <c r="Q2788" s="13" t="s">
        <v>15156</v>
      </c>
      <c r="R2788" s="14" t="str">
        <f>HYPERLINK("https://drive.google.com/file/d/1qxf0InWe6QSkfZ30DrtoRLvyeiSI2G2J/view?usp=drivesdk","OFFER LETTER")</f>
        <v>OFFER LETTER</v>
      </c>
      <c r="S2788" s="11" t="s">
        <v>15157</v>
      </c>
    </row>
    <row r="2789" ht="22.5" customHeight="1">
      <c r="A2789" s="10">
        <v>46273.88598391204</v>
      </c>
      <c r="B2789" s="11" t="s">
        <v>15158</v>
      </c>
      <c r="C2789" s="11" t="s">
        <v>195</v>
      </c>
      <c r="D2789" s="11" t="s">
        <v>68</v>
      </c>
      <c r="E2789" s="12">
        <v>46273.0</v>
      </c>
      <c r="F2789" s="12">
        <v>46303.0</v>
      </c>
      <c r="G2789" s="11" t="s">
        <v>15159</v>
      </c>
      <c r="H2789" s="11">
        <v>8.790285562E9</v>
      </c>
      <c r="I2789" s="11" t="s">
        <v>82</v>
      </c>
      <c r="J2789" s="11" t="s">
        <v>71</v>
      </c>
      <c r="K2789" s="11" t="s">
        <v>72</v>
      </c>
      <c r="L2789" s="11" t="s">
        <v>247</v>
      </c>
      <c r="M2789" s="11" t="s">
        <v>10379</v>
      </c>
      <c r="N2789" s="11" t="s">
        <v>86</v>
      </c>
      <c r="O2789" s="11" t="s">
        <v>71</v>
      </c>
      <c r="P2789" s="11" t="s">
        <v>15160</v>
      </c>
      <c r="Q2789" s="13" t="s">
        <v>15161</v>
      </c>
      <c r="R2789" s="14" t="str">
        <f>HYPERLINK("https://drive.google.com/file/d/1eXo3DapB4ymwg0HEx_NYxK_TqpZUG034/view?usp=drivesdk","OFFER LETTER")</f>
        <v>OFFER LETTER</v>
      </c>
      <c r="S2789" s="11" t="s">
        <v>15162</v>
      </c>
    </row>
    <row r="2790" ht="22.5" customHeight="1">
      <c r="A2790" s="10">
        <v>46273.88737162037</v>
      </c>
      <c r="B2790" s="11" t="s">
        <v>15163</v>
      </c>
      <c r="C2790" s="11" t="s">
        <v>195</v>
      </c>
      <c r="D2790" s="11" t="s">
        <v>68</v>
      </c>
      <c r="E2790" s="12">
        <v>46174.0</v>
      </c>
      <c r="F2790" s="12">
        <v>46203.0</v>
      </c>
      <c r="G2790" s="11" t="s">
        <v>15164</v>
      </c>
      <c r="H2790" s="11">
        <v>7.483903472E9</v>
      </c>
      <c r="I2790" s="11" t="s">
        <v>82</v>
      </c>
      <c r="J2790" s="11" t="s">
        <v>71</v>
      </c>
      <c r="K2790" s="11" t="s">
        <v>72</v>
      </c>
      <c r="L2790" s="11" t="s">
        <v>73</v>
      </c>
      <c r="M2790" s="11" t="s">
        <v>15165</v>
      </c>
      <c r="N2790" s="11" t="s">
        <v>86</v>
      </c>
      <c r="O2790" s="11" t="s">
        <v>71</v>
      </c>
      <c r="P2790" s="11" t="s">
        <v>15166</v>
      </c>
      <c r="Q2790" s="13" t="s">
        <v>15167</v>
      </c>
      <c r="R2790" s="14" t="str">
        <f>HYPERLINK("https://drive.google.com/file/d/1_lEcGM5qS238xNlYeh7ty_LAkDqHQn-f/view?usp=drivesdk","OFFER LETTER")</f>
        <v>OFFER LETTER</v>
      </c>
      <c r="S2790" s="11" t="s">
        <v>15168</v>
      </c>
    </row>
    <row r="2791" ht="22.5" customHeight="1">
      <c r="A2791" s="10">
        <v>46273.88757839121</v>
      </c>
      <c r="B2791" s="11" t="s">
        <v>15169</v>
      </c>
      <c r="C2791" s="11" t="s">
        <v>107</v>
      </c>
      <c r="D2791" s="11" t="s">
        <v>108</v>
      </c>
      <c r="E2791" s="12">
        <v>46183.0</v>
      </c>
      <c r="F2791" s="12">
        <v>46248.0</v>
      </c>
      <c r="G2791" s="11" t="s">
        <v>15170</v>
      </c>
      <c r="H2791" s="11">
        <v>8.252487581E9</v>
      </c>
      <c r="I2791" s="11" t="s">
        <v>70</v>
      </c>
      <c r="J2791" s="11" t="s">
        <v>71</v>
      </c>
      <c r="K2791" s="11" t="s">
        <v>356</v>
      </c>
      <c r="L2791" s="11" t="s">
        <v>84</v>
      </c>
      <c r="M2791" s="11" t="s">
        <v>1118</v>
      </c>
      <c r="N2791" s="11" t="s">
        <v>86</v>
      </c>
      <c r="O2791" s="11" t="s">
        <v>71</v>
      </c>
      <c r="P2791" s="11" t="s">
        <v>15171</v>
      </c>
      <c r="Q2791" s="13" t="s">
        <v>15172</v>
      </c>
      <c r="R2791" s="14" t="str">
        <f>HYPERLINK("https://drive.google.com/file/d/1wxptEE3iOWpF_lERRrBDxCgnKbaEOHTs/view?usp=drivesdk","OFFER LETTER")</f>
        <v>OFFER LETTER</v>
      </c>
      <c r="S2791" s="11" t="s">
        <v>15173</v>
      </c>
    </row>
    <row r="2792" ht="22.5" customHeight="1">
      <c r="A2792" s="10">
        <v>46273.889227314816</v>
      </c>
      <c r="B2792" s="11" t="s">
        <v>15174</v>
      </c>
      <c r="C2792" s="11" t="s">
        <v>173</v>
      </c>
      <c r="D2792" s="11" t="s">
        <v>68</v>
      </c>
      <c r="E2792" s="12">
        <v>46174.0</v>
      </c>
      <c r="F2792" s="12">
        <v>46204.0</v>
      </c>
      <c r="G2792" s="11" t="s">
        <v>15175</v>
      </c>
      <c r="H2792" s="11">
        <v>9.994050872E9</v>
      </c>
      <c r="I2792" s="11" t="s">
        <v>82</v>
      </c>
      <c r="J2792" s="11" t="s">
        <v>71</v>
      </c>
      <c r="K2792" s="11" t="s">
        <v>72</v>
      </c>
      <c r="L2792" s="11" t="s">
        <v>73</v>
      </c>
      <c r="M2792" s="11" t="s">
        <v>9570</v>
      </c>
      <c r="N2792" s="11" t="s">
        <v>86</v>
      </c>
      <c r="O2792" s="11" t="s">
        <v>71</v>
      </c>
      <c r="P2792" s="11" t="s">
        <v>15176</v>
      </c>
      <c r="Q2792" s="13" t="s">
        <v>15177</v>
      </c>
      <c r="R2792" s="14" t="str">
        <f>HYPERLINK("https://drive.google.com/file/d/1ocTq1b1eIazsGBb-bRZ13GUyi07_pgoM/view?usp=drivesdk","OFFER LETTER")</f>
        <v>OFFER LETTER</v>
      </c>
      <c r="S2792" s="11" t="s">
        <v>15178</v>
      </c>
    </row>
    <row r="2793" ht="22.5" customHeight="1">
      <c r="A2793" s="10">
        <v>46273.88935945602</v>
      </c>
      <c r="B2793" s="11" t="s">
        <v>15179</v>
      </c>
      <c r="C2793" s="11" t="s">
        <v>237</v>
      </c>
      <c r="D2793" s="11" t="s">
        <v>68</v>
      </c>
      <c r="E2793" s="12">
        <v>46273.0</v>
      </c>
      <c r="F2793" s="12">
        <v>46273.0</v>
      </c>
      <c r="G2793" s="11" t="s">
        <v>15180</v>
      </c>
      <c r="H2793" s="11">
        <v>6.372348044E9</v>
      </c>
      <c r="I2793" s="11" t="s">
        <v>82</v>
      </c>
      <c r="J2793" s="11" t="s">
        <v>71</v>
      </c>
      <c r="K2793" s="11" t="s">
        <v>72</v>
      </c>
      <c r="L2793" s="11" t="s">
        <v>131</v>
      </c>
      <c r="M2793" s="11" t="s">
        <v>15181</v>
      </c>
      <c r="N2793" s="11" t="s">
        <v>241</v>
      </c>
      <c r="O2793" s="11" t="s">
        <v>71</v>
      </c>
      <c r="P2793" s="11" t="s">
        <v>15182</v>
      </c>
      <c r="Q2793" s="13" t="s">
        <v>15183</v>
      </c>
      <c r="R2793" s="14" t="str">
        <f>HYPERLINK("https://drive.google.com/file/d/10tCHteJ3RdflxCU1ifrJ3cIorf4bvt4I/view?usp=drivesdk","OFFER LETTER")</f>
        <v>OFFER LETTER</v>
      </c>
      <c r="S2793" s="11" t="s">
        <v>15184</v>
      </c>
    </row>
    <row r="2794" ht="22.5" customHeight="1">
      <c r="A2794" s="10">
        <v>46273.89038045139</v>
      </c>
      <c r="B2794" s="11" t="s">
        <v>15174</v>
      </c>
      <c r="C2794" s="11" t="s">
        <v>173</v>
      </c>
      <c r="D2794" s="11" t="s">
        <v>68</v>
      </c>
      <c r="E2794" s="12">
        <v>46174.0</v>
      </c>
      <c r="F2794" s="12">
        <v>46204.0</v>
      </c>
      <c r="G2794" s="11" t="s">
        <v>15175</v>
      </c>
      <c r="H2794" s="11">
        <v>9.994040872E9</v>
      </c>
      <c r="I2794" s="11" t="s">
        <v>82</v>
      </c>
      <c r="J2794" s="11" t="s">
        <v>83</v>
      </c>
      <c r="K2794" s="11" t="s">
        <v>72</v>
      </c>
      <c r="L2794" s="11" t="s">
        <v>73</v>
      </c>
      <c r="M2794" s="11" t="s">
        <v>9570</v>
      </c>
      <c r="N2794" s="11" t="s">
        <v>86</v>
      </c>
      <c r="O2794" s="11" t="s">
        <v>71</v>
      </c>
      <c r="P2794" s="11" t="s">
        <v>15185</v>
      </c>
      <c r="Q2794" s="13" t="s">
        <v>15186</v>
      </c>
      <c r="R2794" s="14" t="str">
        <f>HYPERLINK("https://drive.google.com/file/d/1hvH5EHgj3te0zvsFSRd-alPJeY5RNZEe/view?usp=drivesdk","OFFER LETTER")</f>
        <v>OFFER LETTER</v>
      </c>
      <c r="S2794" s="11" t="s">
        <v>15187</v>
      </c>
    </row>
    <row r="2795" ht="22.5" customHeight="1">
      <c r="A2795" s="10">
        <v>46273.89145795139</v>
      </c>
      <c r="B2795" s="11" t="s">
        <v>15188</v>
      </c>
      <c r="C2795" s="11" t="s">
        <v>354</v>
      </c>
      <c r="D2795" s="11" t="s">
        <v>68</v>
      </c>
      <c r="E2795" s="12">
        <v>46162.0</v>
      </c>
      <c r="F2795" s="12">
        <v>46193.0</v>
      </c>
      <c r="G2795" s="11" t="s">
        <v>15189</v>
      </c>
      <c r="H2795" s="11">
        <v>9.384343919E9</v>
      </c>
      <c r="I2795" s="11" t="s">
        <v>82</v>
      </c>
      <c r="J2795" s="11" t="s">
        <v>71</v>
      </c>
      <c r="K2795" s="11" t="s">
        <v>72</v>
      </c>
      <c r="L2795" s="11" t="s">
        <v>73</v>
      </c>
      <c r="M2795" s="11" t="s">
        <v>15190</v>
      </c>
      <c r="N2795" s="11" t="s">
        <v>655</v>
      </c>
      <c r="O2795" s="11" t="s">
        <v>71</v>
      </c>
      <c r="P2795" s="11" t="s">
        <v>15191</v>
      </c>
      <c r="Q2795" s="13" t="s">
        <v>15192</v>
      </c>
      <c r="R2795" s="14" t="str">
        <f>HYPERLINK("https://drive.google.com/file/d/1bZ7GDecIyvIWYMdxdEpvDl67pKdI2ccW/view?usp=drivesdk","OFFER LETTER")</f>
        <v>OFFER LETTER</v>
      </c>
      <c r="S2795" s="11" t="s">
        <v>15193</v>
      </c>
    </row>
    <row r="2796" ht="22.5" customHeight="1">
      <c r="A2796" s="10">
        <v>46273.892676944444</v>
      </c>
      <c r="B2796" s="11" t="s">
        <v>15194</v>
      </c>
      <c r="C2796" s="11" t="s">
        <v>173</v>
      </c>
      <c r="D2796" s="11" t="s">
        <v>108</v>
      </c>
      <c r="E2796" s="12">
        <v>46208.0</v>
      </c>
      <c r="F2796" s="12">
        <v>46270.0</v>
      </c>
      <c r="G2796" s="11" t="s">
        <v>15195</v>
      </c>
      <c r="H2796" s="11">
        <v>9.827691396E9</v>
      </c>
      <c r="I2796" s="11" t="s">
        <v>82</v>
      </c>
      <c r="J2796" s="11" t="s">
        <v>71</v>
      </c>
      <c r="K2796" s="11" t="s">
        <v>72</v>
      </c>
      <c r="L2796" s="11" t="s">
        <v>73</v>
      </c>
      <c r="M2796" s="11" t="s">
        <v>15196</v>
      </c>
      <c r="N2796" s="11" t="s">
        <v>226</v>
      </c>
      <c r="O2796" s="11" t="s">
        <v>71</v>
      </c>
      <c r="P2796" s="11" t="s">
        <v>15197</v>
      </c>
      <c r="Q2796" s="13" t="s">
        <v>15198</v>
      </c>
      <c r="R2796" s="14" t="str">
        <f>HYPERLINK("https://drive.google.com/file/d/131ZGP_uafibecnkgn4M13efwkwI6Arui/view?usp=drivesdk","OFFER LETTER")</f>
        <v>OFFER LETTER</v>
      </c>
      <c r="S2796" s="11" t="s">
        <v>15199</v>
      </c>
    </row>
    <row r="2797" ht="22.5" customHeight="1">
      <c r="A2797" s="10">
        <v>46273.89425733796</v>
      </c>
      <c r="B2797" s="11" t="s">
        <v>15200</v>
      </c>
      <c r="C2797" s="11" t="s">
        <v>91</v>
      </c>
      <c r="D2797" s="11" t="s">
        <v>68</v>
      </c>
      <c r="E2797" s="12">
        <v>46274.0</v>
      </c>
      <c r="F2797" s="12">
        <v>46304.0</v>
      </c>
      <c r="G2797" s="11" t="s">
        <v>15201</v>
      </c>
      <c r="H2797" s="11">
        <v>8.817601114E9</v>
      </c>
      <c r="I2797" s="11" t="s">
        <v>70</v>
      </c>
      <c r="J2797" s="11" t="s">
        <v>71</v>
      </c>
      <c r="K2797" s="11" t="s">
        <v>72</v>
      </c>
      <c r="L2797" s="11" t="s">
        <v>73</v>
      </c>
      <c r="M2797" s="11" t="s">
        <v>15145</v>
      </c>
      <c r="N2797" s="11" t="s">
        <v>241</v>
      </c>
      <c r="O2797" s="11" t="s">
        <v>71</v>
      </c>
      <c r="P2797" s="11" t="s">
        <v>15202</v>
      </c>
      <c r="Q2797" s="13" t="s">
        <v>15203</v>
      </c>
      <c r="R2797" s="14" t="str">
        <f>HYPERLINK("https://drive.google.com/file/d/1mnNEy2dNYSEB1vj02jLXCxDlJZhunMVS/view?usp=drivesdk","OFFER LETTER")</f>
        <v>OFFER LETTER</v>
      </c>
      <c r="S2797" s="11" t="s">
        <v>15204</v>
      </c>
    </row>
    <row r="2798" ht="22.5" customHeight="1">
      <c r="A2798" s="10">
        <v>46273.89900509259</v>
      </c>
      <c r="B2798" s="11" t="s">
        <v>15205</v>
      </c>
      <c r="C2798" s="11" t="s">
        <v>195</v>
      </c>
      <c r="D2798" s="11" t="s">
        <v>108</v>
      </c>
      <c r="E2798" s="12">
        <v>46124.0</v>
      </c>
      <c r="F2798" s="12">
        <v>46185.0</v>
      </c>
      <c r="G2798" s="11" t="s">
        <v>15206</v>
      </c>
      <c r="H2798" s="11">
        <v>8.019622004E9</v>
      </c>
      <c r="I2798" s="11" t="s">
        <v>70</v>
      </c>
      <c r="J2798" s="11" t="s">
        <v>71</v>
      </c>
      <c r="K2798" s="11" t="s">
        <v>72</v>
      </c>
      <c r="L2798" s="11" t="s">
        <v>73</v>
      </c>
      <c r="M2798" s="11" t="s">
        <v>15207</v>
      </c>
      <c r="N2798" s="11" t="s">
        <v>226</v>
      </c>
      <c r="O2798" s="11" t="s">
        <v>71</v>
      </c>
      <c r="P2798" s="11" t="s">
        <v>15208</v>
      </c>
      <c r="Q2798" s="13" t="s">
        <v>15209</v>
      </c>
      <c r="R2798" s="14" t="str">
        <f>HYPERLINK("https://drive.google.com/file/d/1lhmrjx81uV4O35tfluNjcl_-b0eIxgY0/view?usp=drivesdk","OFFER LETTER")</f>
        <v>OFFER LETTER</v>
      </c>
      <c r="S2798" s="11" t="s">
        <v>15210</v>
      </c>
    </row>
    <row r="2799" ht="22.5" customHeight="1">
      <c r="A2799" s="10">
        <v>46273.902211099536</v>
      </c>
      <c r="B2799" s="11" t="s">
        <v>15211</v>
      </c>
      <c r="C2799" s="11" t="s">
        <v>80</v>
      </c>
      <c r="D2799" s="11" t="s">
        <v>68</v>
      </c>
      <c r="E2799" s="12">
        <v>46236.0</v>
      </c>
      <c r="F2799" s="12">
        <v>46267.0</v>
      </c>
      <c r="G2799" s="11" t="s">
        <v>15212</v>
      </c>
      <c r="H2799" s="11">
        <v>9.901012702E9</v>
      </c>
      <c r="I2799" s="11" t="s">
        <v>70</v>
      </c>
      <c r="J2799" s="11" t="s">
        <v>130</v>
      </c>
      <c r="K2799" s="11" t="s">
        <v>72</v>
      </c>
      <c r="L2799" s="11" t="s">
        <v>73</v>
      </c>
      <c r="M2799" s="11" t="s">
        <v>15213</v>
      </c>
      <c r="N2799" s="11" t="s">
        <v>86</v>
      </c>
      <c r="O2799" s="11" t="s">
        <v>71</v>
      </c>
      <c r="P2799" s="11" t="s">
        <v>15214</v>
      </c>
      <c r="Q2799" s="13" t="s">
        <v>15215</v>
      </c>
      <c r="R2799" s="14" t="str">
        <f>HYPERLINK("https://drive.google.com/file/d/1DvDGBxLdC1_TgMqSUJfuiXu0NuMIp6zQ/view?usp=drivesdk","OFFER LETTER")</f>
        <v>OFFER LETTER</v>
      </c>
      <c r="S2799" s="11" t="s">
        <v>15216</v>
      </c>
    </row>
    <row r="2800" ht="22.5" customHeight="1">
      <c r="A2800" s="10">
        <v>46273.90378097222</v>
      </c>
      <c r="B2800" s="11" t="s">
        <v>15217</v>
      </c>
      <c r="C2800" s="11" t="s">
        <v>596</v>
      </c>
      <c r="D2800" s="11" t="s">
        <v>68</v>
      </c>
      <c r="E2800" s="12">
        <v>46235.0</v>
      </c>
      <c r="F2800" s="12">
        <v>46266.0</v>
      </c>
      <c r="G2800" s="11" t="s">
        <v>15218</v>
      </c>
      <c r="H2800" s="11">
        <v>6.383714492E9</v>
      </c>
      <c r="I2800" s="11" t="s">
        <v>82</v>
      </c>
      <c r="J2800" s="11" t="s">
        <v>71</v>
      </c>
      <c r="K2800" s="11" t="s">
        <v>72</v>
      </c>
      <c r="L2800" s="11" t="s">
        <v>131</v>
      </c>
      <c r="M2800" s="11" t="s">
        <v>15219</v>
      </c>
      <c r="N2800" s="11" t="s">
        <v>8832</v>
      </c>
      <c r="O2800" s="11" t="s">
        <v>71</v>
      </c>
      <c r="P2800" s="11" t="s">
        <v>15220</v>
      </c>
      <c r="Q2800" s="13" t="s">
        <v>15221</v>
      </c>
      <c r="R2800" s="14" t="str">
        <f>HYPERLINK("https://drive.google.com/file/d/1a-koWjRFDgJBtIb44jZSZFjUocMgP0ZM/view?usp=drivesdk","OFFER LETTER")</f>
        <v>OFFER LETTER</v>
      </c>
      <c r="S2800" s="11" t="s">
        <v>15222</v>
      </c>
    </row>
    <row r="2801" ht="22.5" customHeight="1">
      <c r="A2801" s="10">
        <v>46273.90459450231</v>
      </c>
      <c r="B2801" s="11" t="s">
        <v>15223</v>
      </c>
      <c r="C2801" s="11" t="s">
        <v>259</v>
      </c>
      <c r="D2801" s="11" t="s">
        <v>68</v>
      </c>
      <c r="E2801" s="12">
        <v>46283.0</v>
      </c>
      <c r="F2801" s="12">
        <v>46313.0</v>
      </c>
      <c r="G2801" s="11" t="s">
        <v>15224</v>
      </c>
      <c r="H2801" s="11">
        <v>7.324880396E9</v>
      </c>
      <c r="I2801" s="11" t="s">
        <v>82</v>
      </c>
      <c r="J2801" s="11" t="s">
        <v>71</v>
      </c>
      <c r="K2801" s="11" t="s">
        <v>72</v>
      </c>
      <c r="L2801" s="11" t="s">
        <v>84</v>
      </c>
      <c r="M2801" s="11" t="s">
        <v>1135</v>
      </c>
      <c r="N2801" s="11" t="s">
        <v>86</v>
      </c>
      <c r="O2801" s="11" t="s">
        <v>71</v>
      </c>
      <c r="P2801" s="11" t="s">
        <v>15225</v>
      </c>
      <c r="Q2801" s="13" t="s">
        <v>15226</v>
      </c>
      <c r="R2801" s="14" t="str">
        <f>HYPERLINK("https://drive.google.com/file/d/1V89fNlbdwWb0hPa38RS44nOGqh8c-c5F/view?usp=drivesdk","OFFER LETTER")</f>
        <v>OFFER LETTER</v>
      </c>
      <c r="S2801" s="11" t="s">
        <v>15227</v>
      </c>
    </row>
    <row r="2802" ht="22.5" customHeight="1">
      <c r="A2802" s="10">
        <v>46273.90533150463</v>
      </c>
      <c r="B2802" s="11" t="s">
        <v>15228</v>
      </c>
      <c r="C2802" s="11" t="s">
        <v>1320</v>
      </c>
      <c r="D2802" s="11" t="s">
        <v>68</v>
      </c>
      <c r="E2802" s="12">
        <v>46234.0</v>
      </c>
      <c r="F2802" s="12">
        <v>46264.0</v>
      </c>
      <c r="G2802" s="11" t="s">
        <v>15229</v>
      </c>
      <c r="H2802" s="11">
        <v>6.388423345E9</v>
      </c>
      <c r="I2802" s="11" t="s">
        <v>82</v>
      </c>
      <c r="J2802" s="11" t="s">
        <v>71</v>
      </c>
      <c r="K2802" s="11" t="s">
        <v>72</v>
      </c>
      <c r="L2802" s="11" t="s">
        <v>73</v>
      </c>
      <c r="M2802" s="11" t="s">
        <v>15230</v>
      </c>
      <c r="N2802" s="11" t="s">
        <v>75</v>
      </c>
      <c r="O2802" s="11" t="s">
        <v>71</v>
      </c>
      <c r="P2802" s="11" t="s">
        <v>15231</v>
      </c>
      <c r="Q2802" s="13" t="s">
        <v>15232</v>
      </c>
      <c r="R2802" s="14" t="str">
        <f>HYPERLINK("https://drive.google.com/file/d/1kYXEcYUlLHt35jeqaaytwO3IUHkvcKgW/view?usp=drivesdk","OFFER LETTER")</f>
        <v>OFFER LETTER</v>
      </c>
      <c r="S2802" s="11" t="s">
        <v>15233</v>
      </c>
    </row>
    <row r="2803" ht="22.5" customHeight="1">
      <c r="A2803" s="10">
        <v>46273.90581225694</v>
      </c>
      <c r="B2803" s="11" t="s">
        <v>15234</v>
      </c>
      <c r="C2803" s="11" t="s">
        <v>80</v>
      </c>
      <c r="D2803" s="11" t="s">
        <v>68</v>
      </c>
      <c r="E2803" s="12">
        <v>46236.0</v>
      </c>
      <c r="F2803" s="12">
        <v>46267.0</v>
      </c>
      <c r="G2803" s="11" t="s">
        <v>15212</v>
      </c>
      <c r="H2803" s="11">
        <v>9.901012702E9</v>
      </c>
      <c r="I2803" s="11" t="s">
        <v>70</v>
      </c>
      <c r="J2803" s="11" t="s">
        <v>130</v>
      </c>
      <c r="K2803" s="11" t="s">
        <v>72</v>
      </c>
      <c r="L2803" s="11" t="s">
        <v>73</v>
      </c>
      <c r="M2803" s="11" t="s">
        <v>15213</v>
      </c>
      <c r="N2803" s="11" t="s">
        <v>86</v>
      </c>
      <c r="O2803" s="11" t="s">
        <v>263</v>
      </c>
      <c r="P2803" s="11" t="s">
        <v>15235</v>
      </c>
      <c r="Q2803" s="13" t="s">
        <v>15236</v>
      </c>
      <c r="R2803" s="14" t="str">
        <f>HYPERLINK("https://drive.google.com/file/d/1fYZDBWa1KhDBdJXMsQNN0o7P1JdF8LCM/view?usp=drivesdk","OFFER LETTER")</f>
        <v>OFFER LETTER</v>
      </c>
      <c r="S2803" s="11" t="s">
        <v>15237</v>
      </c>
    </row>
    <row r="2804" ht="22.5" customHeight="1">
      <c r="A2804" s="10">
        <v>46273.911151736116</v>
      </c>
      <c r="B2804" s="11" t="s">
        <v>15238</v>
      </c>
      <c r="C2804" s="11" t="s">
        <v>128</v>
      </c>
      <c r="D2804" s="11" t="s">
        <v>929</v>
      </c>
      <c r="E2804" s="12">
        <v>46274.0</v>
      </c>
      <c r="F2804" s="12">
        <v>46426.0</v>
      </c>
      <c r="G2804" s="11" t="s">
        <v>15239</v>
      </c>
      <c r="H2804" s="11">
        <v>9.170199995E9</v>
      </c>
      <c r="I2804" s="11" t="s">
        <v>82</v>
      </c>
      <c r="J2804" s="11" t="s">
        <v>71</v>
      </c>
      <c r="K2804" s="11" t="s">
        <v>72</v>
      </c>
      <c r="L2804" s="11" t="s">
        <v>131</v>
      </c>
      <c r="M2804" s="11" t="s">
        <v>4071</v>
      </c>
      <c r="N2804" s="11" t="s">
        <v>86</v>
      </c>
      <c r="O2804" s="11" t="s">
        <v>71</v>
      </c>
      <c r="P2804" s="11" t="s">
        <v>15240</v>
      </c>
      <c r="Q2804" s="13" t="s">
        <v>15241</v>
      </c>
      <c r="R2804" s="14" t="str">
        <f>HYPERLINK("https://drive.google.com/file/d/1XXw2iU056js6qb6sn4COFitt0xoJJ2lD/view?usp=drivesdk","OFFER LETTER")</f>
        <v>OFFER LETTER</v>
      </c>
      <c r="S2804" s="11" t="s">
        <v>15242</v>
      </c>
    </row>
    <row r="2805" ht="22.5" customHeight="1">
      <c r="A2805" s="10">
        <v>46273.91175337963</v>
      </c>
      <c r="B2805" s="11" t="s">
        <v>15243</v>
      </c>
      <c r="C2805" s="11" t="s">
        <v>195</v>
      </c>
      <c r="D2805" s="11" t="s">
        <v>68</v>
      </c>
      <c r="E2805" s="12">
        <v>46273.0</v>
      </c>
      <c r="F2805" s="12">
        <v>46303.0</v>
      </c>
      <c r="G2805" s="11" t="s">
        <v>15244</v>
      </c>
      <c r="H2805" s="11">
        <v>9.813462314E9</v>
      </c>
      <c r="I2805" s="11" t="s">
        <v>82</v>
      </c>
      <c r="J2805" s="11" t="s">
        <v>71</v>
      </c>
      <c r="K2805" s="11" t="s">
        <v>72</v>
      </c>
      <c r="L2805" s="11" t="s">
        <v>73</v>
      </c>
      <c r="M2805" s="11" t="s">
        <v>15245</v>
      </c>
      <c r="N2805" s="11" t="s">
        <v>198</v>
      </c>
      <c r="O2805" s="11" t="s">
        <v>71</v>
      </c>
      <c r="P2805" s="11" t="s">
        <v>15246</v>
      </c>
      <c r="Q2805" s="13" t="s">
        <v>15247</v>
      </c>
      <c r="R2805" s="14" t="str">
        <f>HYPERLINK("https://drive.google.com/file/d/1dBMLXM_oSF8bwqldVy5TGKUfsqEHxRsE/view?usp=drivesdk","OFFER LETTER")</f>
        <v>OFFER LETTER</v>
      </c>
      <c r="S2805" s="11" t="s">
        <v>15248</v>
      </c>
    </row>
    <row r="2806" ht="22.5" customHeight="1">
      <c r="A2806" s="10">
        <v>46273.91537422454</v>
      </c>
      <c r="B2806" s="11" t="s">
        <v>15249</v>
      </c>
      <c r="C2806" s="11" t="s">
        <v>195</v>
      </c>
      <c r="D2806" s="11" t="s">
        <v>68</v>
      </c>
      <c r="E2806" s="12">
        <v>46273.0</v>
      </c>
      <c r="F2806" s="12">
        <v>46303.0</v>
      </c>
      <c r="G2806" s="11" t="s">
        <v>15250</v>
      </c>
      <c r="H2806" s="11">
        <v>9.579125796E9</v>
      </c>
      <c r="I2806" s="11" t="s">
        <v>82</v>
      </c>
      <c r="J2806" s="11" t="s">
        <v>71</v>
      </c>
      <c r="K2806" s="11" t="s">
        <v>72</v>
      </c>
      <c r="L2806" s="11" t="s">
        <v>247</v>
      </c>
      <c r="M2806" s="11" t="s">
        <v>15251</v>
      </c>
      <c r="N2806" s="11" t="s">
        <v>1641</v>
      </c>
      <c r="O2806" s="11" t="s">
        <v>71</v>
      </c>
      <c r="P2806" s="11" t="s">
        <v>15252</v>
      </c>
      <c r="Q2806" s="13" t="s">
        <v>15253</v>
      </c>
      <c r="R2806" s="14" t="str">
        <f>HYPERLINK("https://drive.google.com/file/d/1b_gq_j1HFz_Y497RFZxX5_M2GFYr99zi/view?usp=drivesdk","OFFER LETTER")</f>
        <v>OFFER LETTER</v>
      </c>
      <c r="S2806" s="11" t="s">
        <v>15254</v>
      </c>
    </row>
    <row r="2807" ht="22.5" customHeight="1">
      <c r="A2807" s="10">
        <v>46273.92114167824</v>
      </c>
      <c r="B2807" s="11" t="s">
        <v>15255</v>
      </c>
      <c r="C2807" s="11" t="s">
        <v>237</v>
      </c>
      <c r="D2807" s="11" t="s">
        <v>68</v>
      </c>
      <c r="E2807" s="12">
        <v>46167.0</v>
      </c>
      <c r="F2807" s="12">
        <v>46198.0</v>
      </c>
      <c r="G2807" s="11" t="s">
        <v>15256</v>
      </c>
      <c r="H2807" s="11">
        <v>9.092291951E9</v>
      </c>
      <c r="I2807" s="11" t="s">
        <v>70</v>
      </c>
      <c r="J2807" s="11" t="s">
        <v>83</v>
      </c>
      <c r="K2807" s="11" t="s">
        <v>72</v>
      </c>
      <c r="L2807" s="11" t="s">
        <v>73</v>
      </c>
      <c r="M2807" s="11" t="s">
        <v>15257</v>
      </c>
      <c r="N2807" s="11" t="s">
        <v>86</v>
      </c>
      <c r="O2807" s="11" t="s">
        <v>71</v>
      </c>
      <c r="P2807" s="11" t="s">
        <v>15258</v>
      </c>
      <c r="Q2807" s="13" t="s">
        <v>15259</v>
      </c>
      <c r="R2807" s="14" t="str">
        <f>HYPERLINK("https://drive.google.com/file/d/1za2qQijxoZC0t7wLFLeFS4SSLzZi90mo/view?usp=drivesdk","OFFER LETTER")</f>
        <v>OFFER LETTER</v>
      </c>
      <c r="S2807" s="11" t="s">
        <v>15260</v>
      </c>
    </row>
    <row r="2808" ht="22.5" customHeight="1">
      <c r="A2808" s="10">
        <v>46273.931948564816</v>
      </c>
      <c r="B2808" s="11" t="s">
        <v>15261</v>
      </c>
      <c r="C2808" s="11" t="s">
        <v>195</v>
      </c>
      <c r="D2808" s="11" t="s">
        <v>68</v>
      </c>
      <c r="E2808" s="12">
        <v>46236.0</v>
      </c>
      <c r="F2808" s="12">
        <v>46268.0</v>
      </c>
      <c r="G2808" s="11" t="s">
        <v>15262</v>
      </c>
      <c r="H2808" s="17" t="s">
        <v>15263</v>
      </c>
      <c r="I2808" s="11" t="s">
        <v>82</v>
      </c>
      <c r="J2808" s="11" t="s">
        <v>71</v>
      </c>
      <c r="K2808" s="11" t="s">
        <v>72</v>
      </c>
      <c r="L2808" s="11" t="s">
        <v>84</v>
      </c>
      <c r="M2808" s="11" t="s">
        <v>1217</v>
      </c>
      <c r="N2808" s="11" t="s">
        <v>2778</v>
      </c>
      <c r="O2808" s="11" t="s">
        <v>71</v>
      </c>
      <c r="P2808" s="11" t="s">
        <v>15264</v>
      </c>
      <c r="Q2808" s="13" t="s">
        <v>15265</v>
      </c>
      <c r="R2808" s="14" t="str">
        <f>HYPERLINK("https://drive.google.com/file/d/1j76wWJJBxbBTrq1PgWiqh3HwCofmJ21d/view?usp=drivesdk","OFFER LETTER")</f>
        <v>OFFER LETTER</v>
      </c>
      <c r="S2808" s="11" t="s">
        <v>15266</v>
      </c>
    </row>
    <row r="2809" ht="22.5" customHeight="1">
      <c r="A2809" s="10">
        <v>46273.93270667824</v>
      </c>
      <c r="B2809" s="11" t="s">
        <v>15267</v>
      </c>
      <c r="C2809" s="11" t="s">
        <v>91</v>
      </c>
      <c r="D2809" s="11" t="s">
        <v>68</v>
      </c>
      <c r="E2809" s="12">
        <v>46273.0</v>
      </c>
      <c r="F2809" s="12">
        <v>46303.0</v>
      </c>
      <c r="G2809" s="11" t="s">
        <v>15268</v>
      </c>
      <c r="H2809" s="11">
        <v>6.267364913E9</v>
      </c>
      <c r="I2809" s="11" t="s">
        <v>82</v>
      </c>
      <c r="J2809" s="11" t="s">
        <v>130</v>
      </c>
      <c r="K2809" s="11" t="s">
        <v>110</v>
      </c>
      <c r="L2809" s="11" t="s">
        <v>73</v>
      </c>
      <c r="M2809" s="11" t="s">
        <v>15269</v>
      </c>
      <c r="N2809" s="11" t="s">
        <v>226</v>
      </c>
      <c r="O2809" s="11" t="s">
        <v>263</v>
      </c>
      <c r="P2809" s="11" t="s">
        <v>15270</v>
      </c>
      <c r="Q2809" s="13" t="s">
        <v>15271</v>
      </c>
      <c r="R2809" s="14" t="str">
        <f>HYPERLINK("https://drive.google.com/file/d/1PZMF8YF3-IRuCGhBw0ybbIGFOoL0U479/view?usp=drivesdk","OFFER LETTER")</f>
        <v>OFFER LETTER</v>
      </c>
      <c r="S2809" s="11" t="s">
        <v>15272</v>
      </c>
    </row>
    <row r="2810" ht="22.5" customHeight="1">
      <c r="A2810" s="10">
        <v>46273.937219479165</v>
      </c>
      <c r="B2810" s="11" t="s">
        <v>15273</v>
      </c>
      <c r="C2810" s="11" t="s">
        <v>742</v>
      </c>
      <c r="D2810" s="11" t="s">
        <v>68</v>
      </c>
      <c r="E2810" s="12">
        <v>46194.0</v>
      </c>
      <c r="F2810" s="12">
        <v>46224.0</v>
      </c>
      <c r="G2810" s="11" t="s">
        <v>15274</v>
      </c>
      <c r="H2810" s="11">
        <v>7.339269293E9</v>
      </c>
      <c r="I2810" s="11" t="s">
        <v>82</v>
      </c>
      <c r="J2810" s="11" t="s">
        <v>71</v>
      </c>
      <c r="K2810" s="11" t="s">
        <v>72</v>
      </c>
      <c r="L2810" s="11" t="s">
        <v>73</v>
      </c>
      <c r="M2810" s="11" t="s">
        <v>14881</v>
      </c>
      <c r="N2810" s="11" t="s">
        <v>86</v>
      </c>
      <c r="O2810" s="11" t="s">
        <v>130</v>
      </c>
      <c r="P2810" s="11" t="s">
        <v>15275</v>
      </c>
      <c r="Q2810" s="13" t="s">
        <v>15276</v>
      </c>
      <c r="R2810" s="14" t="str">
        <f>HYPERLINK("https://drive.google.com/file/d/10RdPYQ_L8lGo2oEczwkVx2SZ-2IN8vVx/view?usp=drivesdk","OFFER LETTER")</f>
        <v>OFFER LETTER</v>
      </c>
      <c r="S2810" s="11" t="s">
        <v>15277</v>
      </c>
    </row>
    <row r="2811" ht="22.5" customHeight="1">
      <c r="A2811" s="10">
        <v>46273.941886678236</v>
      </c>
      <c r="B2811" s="11" t="s">
        <v>15273</v>
      </c>
      <c r="C2811" s="11" t="s">
        <v>742</v>
      </c>
      <c r="D2811" s="11" t="s">
        <v>68</v>
      </c>
      <c r="E2811" s="12">
        <v>46193.0</v>
      </c>
      <c r="F2811" s="12">
        <v>46224.0</v>
      </c>
      <c r="G2811" s="11" t="s">
        <v>15274</v>
      </c>
      <c r="H2811" s="11">
        <v>7.339269293E9</v>
      </c>
      <c r="I2811" s="11" t="s">
        <v>82</v>
      </c>
      <c r="J2811" s="11" t="s">
        <v>71</v>
      </c>
      <c r="K2811" s="11" t="s">
        <v>72</v>
      </c>
      <c r="L2811" s="11" t="s">
        <v>73</v>
      </c>
      <c r="M2811" s="11" t="s">
        <v>14881</v>
      </c>
      <c r="N2811" s="11" t="s">
        <v>86</v>
      </c>
      <c r="O2811" s="11" t="s">
        <v>71</v>
      </c>
      <c r="P2811" s="11" t="s">
        <v>15278</v>
      </c>
      <c r="Q2811" s="13" t="s">
        <v>15279</v>
      </c>
      <c r="R2811" s="14" t="str">
        <f>HYPERLINK("https://drive.google.com/file/d/1LCVdUaXQaqD928XGeSxo1ChDjCqRXWSu/view?usp=drivesdk","OFFER LETTER")</f>
        <v>OFFER LETTER</v>
      </c>
      <c r="S2811" s="11" t="s">
        <v>15280</v>
      </c>
    </row>
    <row r="2812" ht="22.5" customHeight="1">
      <c r="A2812" s="10">
        <v>46273.94393622685</v>
      </c>
      <c r="B2812" s="11" t="s">
        <v>15281</v>
      </c>
      <c r="C2812" s="11" t="s">
        <v>195</v>
      </c>
      <c r="D2812" s="11" t="s">
        <v>68</v>
      </c>
      <c r="E2812" s="12">
        <v>46235.0</v>
      </c>
      <c r="F2812" s="12">
        <v>46266.0</v>
      </c>
      <c r="G2812" s="11" t="s">
        <v>15282</v>
      </c>
      <c r="H2812" s="11">
        <v>7.808557726E9</v>
      </c>
      <c r="I2812" s="11" t="s">
        <v>82</v>
      </c>
      <c r="J2812" s="11" t="s">
        <v>71</v>
      </c>
      <c r="K2812" s="11" t="s">
        <v>72</v>
      </c>
      <c r="L2812" s="11" t="s">
        <v>84</v>
      </c>
      <c r="M2812" s="11" t="s">
        <v>5124</v>
      </c>
      <c r="N2812" s="11" t="s">
        <v>75</v>
      </c>
      <c r="O2812" s="11" t="s">
        <v>71</v>
      </c>
      <c r="P2812" s="11" t="s">
        <v>15283</v>
      </c>
      <c r="Q2812" s="13" t="s">
        <v>15284</v>
      </c>
      <c r="R2812" s="14" t="str">
        <f>HYPERLINK("https://drive.google.com/file/d/1r6JAfrw8VBTL3f1o319XDj35Q3rw0WEE/view?usp=drivesdk","OFFER LETTER")</f>
        <v>OFFER LETTER</v>
      </c>
      <c r="S2812" s="11" t="s">
        <v>15285</v>
      </c>
    </row>
    <row r="2813" ht="22.5" customHeight="1">
      <c r="A2813" s="10">
        <v>46273.94936846065</v>
      </c>
      <c r="B2813" s="11" t="s">
        <v>15090</v>
      </c>
      <c r="C2813" s="11" t="s">
        <v>298</v>
      </c>
      <c r="D2813" s="11" t="s">
        <v>68</v>
      </c>
      <c r="E2813" s="12">
        <v>46249.0</v>
      </c>
      <c r="F2813" s="12">
        <v>46280.0</v>
      </c>
      <c r="G2813" s="11" t="s">
        <v>15091</v>
      </c>
      <c r="H2813" s="11">
        <v>9.345000297E9</v>
      </c>
      <c r="I2813" s="11" t="s">
        <v>82</v>
      </c>
      <c r="J2813" s="11" t="s">
        <v>71</v>
      </c>
      <c r="K2813" s="11" t="s">
        <v>72</v>
      </c>
      <c r="L2813" s="11" t="s">
        <v>131</v>
      </c>
      <c r="M2813" s="11" t="s">
        <v>684</v>
      </c>
      <c r="N2813" s="11" t="s">
        <v>86</v>
      </c>
      <c r="O2813" s="11" t="s">
        <v>71</v>
      </c>
      <c r="P2813" s="11" t="s">
        <v>15286</v>
      </c>
      <c r="Q2813" s="13" t="s">
        <v>15287</v>
      </c>
      <c r="R2813" s="14" t="str">
        <f>HYPERLINK("https://drive.google.com/file/d/1FgJhnb_jTwStzhI5lv_VhCZed5mfwyOf/view?usp=drivesdk","OFFER LETTER")</f>
        <v>OFFER LETTER</v>
      </c>
      <c r="S2813" s="11" t="s">
        <v>15288</v>
      </c>
    </row>
    <row r="2814" ht="22.5" customHeight="1">
      <c r="A2814" s="10">
        <v>46273.9575208912</v>
      </c>
      <c r="B2814" s="11" t="s">
        <v>15281</v>
      </c>
      <c r="C2814" s="11" t="s">
        <v>195</v>
      </c>
      <c r="D2814" s="11" t="s">
        <v>68</v>
      </c>
      <c r="E2814" s="12">
        <v>46235.0</v>
      </c>
      <c r="F2814" s="12">
        <v>46266.0</v>
      </c>
      <c r="G2814" s="11" t="s">
        <v>15282</v>
      </c>
      <c r="H2814" s="17" t="s">
        <v>15289</v>
      </c>
      <c r="I2814" s="11" t="s">
        <v>82</v>
      </c>
      <c r="J2814" s="11" t="s">
        <v>71</v>
      </c>
      <c r="K2814" s="11" t="s">
        <v>72</v>
      </c>
      <c r="L2814" s="11" t="s">
        <v>84</v>
      </c>
      <c r="M2814" s="11" t="s">
        <v>560</v>
      </c>
      <c r="N2814" s="11" t="s">
        <v>75</v>
      </c>
      <c r="O2814" s="11" t="s">
        <v>71</v>
      </c>
      <c r="P2814" s="11" t="s">
        <v>15290</v>
      </c>
      <c r="Q2814" s="13" t="s">
        <v>15291</v>
      </c>
      <c r="R2814" s="14" t="str">
        <f>HYPERLINK("https://drive.google.com/file/d/1mDgZc8fvequxw2tq5iKznuhNCgQva3Oh/view?usp=drivesdk","OFFER LETTER")</f>
        <v>OFFER LETTER</v>
      </c>
      <c r="S2814" s="11" t="s">
        <v>15292</v>
      </c>
    </row>
    <row r="2815" ht="22.5" customHeight="1">
      <c r="A2815" s="10">
        <v>46273.959839675925</v>
      </c>
      <c r="B2815" s="11" t="s">
        <v>15293</v>
      </c>
      <c r="C2815" s="11" t="s">
        <v>128</v>
      </c>
      <c r="D2815" s="11" t="s">
        <v>68</v>
      </c>
      <c r="E2815" s="12">
        <v>46273.0</v>
      </c>
      <c r="F2815" s="12">
        <v>46303.0</v>
      </c>
      <c r="G2815" s="11" t="s">
        <v>15294</v>
      </c>
      <c r="H2815" s="11">
        <v>7.997243375E9</v>
      </c>
      <c r="I2815" s="11" t="s">
        <v>82</v>
      </c>
      <c r="J2815" s="11" t="s">
        <v>71</v>
      </c>
      <c r="K2815" s="11" t="s">
        <v>72</v>
      </c>
      <c r="L2815" s="11" t="s">
        <v>131</v>
      </c>
      <c r="M2815" s="11" t="s">
        <v>9808</v>
      </c>
      <c r="N2815" s="11" t="s">
        <v>86</v>
      </c>
      <c r="O2815" s="11" t="s">
        <v>71</v>
      </c>
      <c r="P2815" s="11" t="s">
        <v>15295</v>
      </c>
      <c r="Q2815" s="13" t="s">
        <v>15296</v>
      </c>
      <c r="R2815" s="14" t="str">
        <f>HYPERLINK("https://drive.google.com/file/d/1yzmZOQC-dVBwBkMsPFgFNsVWaZcxilsS/view?usp=drivesdk","OFFER LETTER")</f>
        <v>OFFER LETTER</v>
      </c>
      <c r="S2815" s="11" t="s">
        <v>15297</v>
      </c>
    </row>
    <row r="2816" ht="22.5" customHeight="1">
      <c r="A2816" s="10">
        <v>46273.96207753472</v>
      </c>
      <c r="B2816" s="11" t="s">
        <v>15298</v>
      </c>
      <c r="C2816" s="11" t="s">
        <v>195</v>
      </c>
      <c r="D2816" s="11" t="s">
        <v>68</v>
      </c>
      <c r="E2816" s="12">
        <v>46274.0</v>
      </c>
      <c r="F2816" s="12">
        <v>46304.0</v>
      </c>
      <c r="G2816" s="11" t="s">
        <v>15299</v>
      </c>
      <c r="H2816" s="11">
        <v>8.539869909E9</v>
      </c>
      <c r="I2816" s="11" t="s">
        <v>82</v>
      </c>
      <c r="J2816" s="11" t="s">
        <v>71</v>
      </c>
      <c r="K2816" s="11" t="s">
        <v>72</v>
      </c>
      <c r="L2816" s="11" t="s">
        <v>84</v>
      </c>
      <c r="M2816" s="11" t="s">
        <v>560</v>
      </c>
      <c r="N2816" s="11" t="s">
        <v>86</v>
      </c>
      <c r="O2816" s="11" t="s">
        <v>71</v>
      </c>
      <c r="P2816" s="11" t="s">
        <v>15300</v>
      </c>
      <c r="Q2816" s="13" t="s">
        <v>15301</v>
      </c>
      <c r="R2816" s="14" t="str">
        <f>HYPERLINK("https://drive.google.com/file/d/1wLId9K1R6dxxYL9aGje5LHjbIngU9JeM/view?usp=drivesdk","OFFER LETTER")</f>
        <v>OFFER LETTER</v>
      </c>
      <c r="S2816" s="11" t="s">
        <v>15302</v>
      </c>
    </row>
    <row r="2817" ht="22.5" customHeight="1">
      <c r="A2817" s="10">
        <v>46273.96542891204</v>
      </c>
      <c r="B2817" s="11" t="s">
        <v>15298</v>
      </c>
      <c r="C2817" s="11" t="s">
        <v>237</v>
      </c>
      <c r="D2817" s="11" t="s">
        <v>68</v>
      </c>
      <c r="E2817" s="12">
        <v>46275.0</v>
      </c>
      <c r="F2817" s="12">
        <v>46305.0</v>
      </c>
      <c r="G2817" s="11" t="s">
        <v>15299</v>
      </c>
      <c r="H2817" s="11">
        <v>8.539869909E9</v>
      </c>
      <c r="I2817" s="11" t="s">
        <v>82</v>
      </c>
      <c r="J2817" s="11" t="s">
        <v>71</v>
      </c>
      <c r="K2817" s="11" t="s">
        <v>72</v>
      </c>
      <c r="L2817" s="11" t="s">
        <v>84</v>
      </c>
      <c r="M2817" s="11" t="s">
        <v>560</v>
      </c>
      <c r="N2817" s="11" t="s">
        <v>1576</v>
      </c>
      <c r="O2817" s="11" t="s">
        <v>71</v>
      </c>
      <c r="P2817" s="11" t="s">
        <v>15303</v>
      </c>
      <c r="Q2817" s="13" t="s">
        <v>15304</v>
      </c>
      <c r="R2817" s="14" t="str">
        <f>HYPERLINK("https://drive.google.com/file/d/1akgmBrw2oBtT0GFMUgjSVvoOcxef7YLK/view?usp=drivesdk","OFFER LETTER")</f>
        <v>OFFER LETTER</v>
      </c>
      <c r="S2817" s="11" t="s">
        <v>15305</v>
      </c>
    </row>
    <row r="2818" ht="22.5" customHeight="1">
      <c r="A2818" s="10">
        <v>46273.96805930555</v>
      </c>
      <c r="B2818" s="11" t="s">
        <v>15306</v>
      </c>
      <c r="C2818" s="11" t="s">
        <v>128</v>
      </c>
      <c r="D2818" s="11" t="s">
        <v>68</v>
      </c>
      <c r="E2818" s="12">
        <v>46211.0</v>
      </c>
      <c r="F2818" s="12">
        <v>46242.0</v>
      </c>
      <c r="G2818" s="11" t="s">
        <v>15307</v>
      </c>
      <c r="H2818" s="11">
        <v>9.673965294E9</v>
      </c>
      <c r="I2818" s="11" t="s">
        <v>82</v>
      </c>
      <c r="J2818" s="11" t="s">
        <v>71</v>
      </c>
      <c r="K2818" s="11" t="s">
        <v>72</v>
      </c>
      <c r="L2818" s="11" t="s">
        <v>84</v>
      </c>
      <c r="M2818" s="11" t="s">
        <v>560</v>
      </c>
      <c r="N2818" s="11" t="s">
        <v>75</v>
      </c>
      <c r="O2818" s="11" t="s">
        <v>71</v>
      </c>
      <c r="P2818" s="11" t="s">
        <v>15308</v>
      </c>
      <c r="Q2818" s="13" t="s">
        <v>15309</v>
      </c>
      <c r="R2818" s="14" t="str">
        <f>HYPERLINK("https://drive.google.com/file/d/1gRk8CHo_bhMtgqOFtNrd5y0MrE-ZnFrL/view?usp=drivesdk","OFFER LETTER")</f>
        <v>OFFER LETTER</v>
      </c>
      <c r="S2818" s="11" t="s">
        <v>15310</v>
      </c>
    </row>
    <row r="2819" ht="22.5" customHeight="1">
      <c r="A2819" s="10">
        <v>46273.96970984954</v>
      </c>
      <c r="B2819" s="11" t="s">
        <v>15311</v>
      </c>
      <c r="C2819" s="11" t="s">
        <v>128</v>
      </c>
      <c r="D2819" s="11" t="s">
        <v>68</v>
      </c>
      <c r="E2819" s="12">
        <v>46236.0</v>
      </c>
      <c r="F2819" s="12">
        <v>46270.0</v>
      </c>
      <c r="G2819" s="11" t="s">
        <v>15312</v>
      </c>
      <c r="H2819" s="11">
        <v>9.999697259E9</v>
      </c>
      <c r="I2819" s="11" t="s">
        <v>82</v>
      </c>
      <c r="J2819" s="11" t="s">
        <v>71</v>
      </c>
      <c r="K2819" s="11" t="s">
        <v>72</v>
      </c>
      <c r="L2819" s="11" t="s">
        <v>84</v>
      </c>
      <c r="M2819" s="11" t="s">
        <v>2655</v>
      </c>
      <c r="N2819" s="11" t="s">
        <v>86</v>
      </c>
      <c r="O2819" s="11" t="s">
        <v>71</v>
      </c>
      <c r="P2819" s="11" t="s">
        <v>15313</v>
      </c>
      <c r="Q2819" s="13" t="s">
        <v>15314</v>
      </c>
      <c r="R2819" s="14" t="str">
        <f>HYPERLINK("https://drive.google.com/file/d/1E9OEcQUa_sFHinzSbOHa49j9YRh-BYDd/view?usp=drivesdk","OFFER LETTER")</f>
        <v>OFFER LETTER</v>
      </c>
      <c r="S2819" s="11" t="s">
        <v>15315</v>
      </c>
    </row>
    <row r="2820" ht="22.5" customHeight="1">
      <c r="A2820" s="10">
        <v>46273.976824756945</v>
      </c>
      <c r="B2820" s="11" t="s">
        <v>15316</v>
      </c>
      <c r="C2820" s="11" t="s">
        <v>195</v>
      </c>
      <c r="D2820" s="11" t="s">
        <v>68</v>
      </c>
      <c r="E2820" s="12">
        <v>46236.0</v>
      </c>
      <c r="F2820" s="12">
        <v>46269.0</v>
      </c>
      <c r="G2820" s="11" t="s">
        <v>15317</v>
      </c>
      <c r="H2820" s="11">
        <v>8.791681971E9</v>
      </c>
      <c r="I2820" s="11" t="s">
        <v>82</v>
      </c>
      <c r="J2820" s="11" t="s">
        <v>71</v>
      </c>
      <c r="K2820" s="11" t="s">
        <v>72</v>
      </c>
      <c r="L2820" s="11" t="s">
        <v>84</v>
      </c>
      <c r="M2820" s="11" t="s">
        <v>886</v>
      </c>
      <c r="N2820" s="11" t="s">
        <v>86</v>
      </c>
      <c r="O2820" s="11" t="s">
        <v>71</v>
      </c>
      <c r="P2820" s="11" t="s">
        <v>15318</v>
      </c>
      <c r="Q2820" s="13" t="s">
        <v>15319</v>
      </c>
      <c r="R2820" s="14" t="str">
        <f>HYPERLINK("https://drive.google.com/file/d/17NVmWusfgVwmSfJrDy2KENg10JZl6UPX/view?usp=drivesdk","OFFER LETTER")</f>
        <v>OFFER LETTER</v>
      </c>
      <c r="S2820" s="11" t="s">
        <v>15320</v>
      </c>
    </row>
    <row r="2821" ht="22.5" customHeight="1">
      <c r="A2821" s="10">
        <v>46273.97905337963</v>
      </c>
      <c r="B2821" s="11" t="s">
        <v>15321</v>
      </c>
      <c r="C2821" s="11" t="s">
        <v>173</v>
      </c>
      <c r="D2821" s="11" t="s">
        <v>68</v>
      </c>
      <c r="E2821" s="12">
        <v>46186.0</v>
      </c>
      <c r="F2821" s="12">
        <v>46216.0</v>
      </c>
      <c r="G2821" s="11" t="s">
        <v>9203</v>
      </c>
      <c r="H2821" s="11">
        <v>7.856059064E9</v>
      </c>
      <c r="I2821" s="11" t="s">
        <v>82</v>
      </c>
      <c r="J2821" s="11" t="s">
        <v>71</v>
      </c>
      <c r="K2821" s="11" t="s">
        <v>72</v>
      </c>
      <c r="L2821" s="11" t="s">
        <v>84</v>
      </c>
      <c r="M2821" s="11" t="s">
        <v>9205</v>
      </c>
      <c r="N2821" s="11" t="s">
        <v>5855</v>
      </c>
      <c r="O2821" s="11" t="s">
        <v>71</v>
      </c>
      <c r="P2821" s="11" t="s">
        <v>15322</v>
      </c>
      <c r="Q2821" s="13" t="s">
        <v>15323</v>
      </c>
      <c r="R2821" s="14" t="str">
        <f>HYPERLINK("https://drive.google.com/file/d/1_fJVW5HMlQ2zhcnj-MvJ5izOzaes5DZD/view?usp=drivesdk","OFFER LETTER")</f>
        <v>OFFER LETTER</v>
      </c>
      <c r="S2821" s="11" t="s">
        <v>15324</v>
      </c>
    </row>
    <row r="2822" ht="22.5" customHeight="1">
      <c r="A2822" s="10">
        <v>46273.98030465278</v>
      </c>
      <c r="B2822" s="11" t="s">
        <v>15325</v>
      </c>
      <c r="C2822" s="11" t="s">
        <v>67</v>
      </c>
      <c r="D2822" s="11" t="s">
        <v>68</v>
      </c>
      <c r="E2822" s="12">
        <v>46240.0</v>
      </c>
      <c r="F2822" s="12">
        <v>46271.0</v>
      </c>
      <c r="G2822" s="11" t="s">
        <v>1216</v>
      </c>
      <c r="H2822" s="11">
        <v>9.630070066E9</v>
      </c>
      <c r="I2822" s="11" t="s">
        <v>82</v>
      </c>
      <c r="J2822" s="11" t="s">
        <v>71</v>
      </c>
      <c r="K2822" s="11" t="s">
        <v>72</v>
      </c>
      <c r="L2822" s="11" t="s">
        <v>84</v>
      </c>
      <c r="M2822" s="11" t="s">
        <v>886</v>
      </c>
      <c r="N2822" s="11" t="s">
        <v>5462</v>
      </c>
      <c r="O2822" s="11" t="s">
        <v>71</v>
      </c>
      <c r="P2822" s="11" t="s">
        <v>15326</v>
      </c>
      <c r="Q2822" s="13" t="s">
        <v>15327</v>
      </c>
      <c r="R2822" s="14" t="str">
        <f>HYPERLINK("https://drive.google.com/file/d/1wJDKKoZuy4Qrt39qMsUNTpp1XyAs2g7v/view?usp=drivesdk","OFFER LETTER")</f>
        <v>OFFER LETTER</v>
      </c>
      <c r="S2822" s="11" t="s">
        <v>15328</v>
      </c>
    </row>
    <row r="2823" ht="22.5" customHeight="1">
      <c r="A2823" s="10">
        <v>46273.98132501157</v>
      </c>
      <c r="B2823" s="11" t="s">
        <v>15329</v>
      </c>
      <c r="C2823" s="11" t="s">
        <v>173</v>
      </c>
      <c r="D2823" s="11" t="s">
        <v>68</v>
      </c>
      <c r="E2823" s="12">
        <v>46273.0</v>
      </c>
      <c r="F2823" s="12">
        <v>46303.0</v>
      </c>
      <c r="G2823" s="11" t="s">
        <v>15330</v>
      </c>
      <c r="H2823" s="11">
        <v>8.920233341E9</v>
      </c>
      <c r="I2823" s="11" t="s">
        <v>82</v>
      </c>
      <c r="J2823" s="11" t="s">
        <v>71</v>
      </c>
      <c r="K2823" s="11" t="s">
        <v>356</v>
      </c>
      <c r="L2823" s="11" t="s">
        <v>357</v>
      </c>
      <c r="M2823" s="11" t="s">
        <v>15331</v>
      </c>
      <c r="N2823" s="11" t="s">
        <v>86</v>
      </c>
      <c r="O2823" s="11" t="s">
        <v>71</v>
      </c>
      <c r="P2823" s="11" t="s">
        <v>15332</v>
      </c>
      <c r="Q2823" s="13" t="s">
        <v>15333</v>
      </c>
      <c r="R2823" s="14" t="str">
        <f>HYPERLINK("https://drive.google.com/file/d/1T941cclTnFchjkf1dscSXUg9yHvg8an3/view?usp=drivesdk","OFFER LETTER")</f>
        <v>OFFER LETTER</v>
      </c>
      <c r="S2823" s="11" t="s">
        <v>15334</v>
      </c>
    </row>
    <row r="2824" ht="22.5" customHeight="1">
      <c r="A2824" s="10">
        <v>46273.98810511574</v>
      </c>
      <c r="B2824" s="11" t="s">
        <v>15335</v>
      </c>
      <c r="C2824" s="11" t="s">
        <v>173</v>
      </c>
      <c r="D2824" s="11" t="s">
        <v>108</v>
      </c>
      <c r="E2824" s="12">
        <v>46205.0</v>
      </c>
      <c r="F2824" s="12">
        <v>46267.0</v>
      </c>
      <c r="G2824" s="11" t="s">
        <v>15336</v>
      </c>
      <c r="H2824" s="11">
        <v>8.260562185E9</v>
      </c>
      <c r="I2824" s="11" t="s">
        <v>70</v>
      </c>
      <c r="J2824" s="11" t="s">
        <v>83</v>
      </c>
      <c r="K2824" s="11" t="s">
        <v>72</v>
      </c>
      <c r="L2824" s="11" t="s">
        <v>73</v>
      </c>
      <c r="M2824" s="11" t="s">
        <v>15337</v>
      </c>
      <c r="N2824" s="11" t="s">
        <v>155</v>
      </c>
      <c r="O2824" s="11" t="s">
        <v>71</v>
      </c>
      <c r="P2824" s="11" t="s">
        <v>15338</v>
      </c>
      <c r="Q2824" s="13" t="s">
        <v>15339</v>
      </c>
      <c r="R2824" s="14" t="str">
        <f>HYPERLINK("https://drive.google.com/file/d/1b1un7j_F0aXyOPKafdiR82dRoC2OpCan/view?usp=drivesdk","OFFER LETTER")</f>
        <v>OFFER LETTER</v>
      </c>
      <c r="S2824" s="11" t="s">
        <v>15340</v>
      </c>
    </row>
    <row r="2825" ht="22.5" customHeight="1">
      <c r="A2825" s="10">
        <v>46273.9892269213</v>
      </c>
      <c r="B2825" s="11" t="s">
        <v>15341</v>
      </c>
      <c r="C2825" s="11" t="s">
        <v>237</v>
      </c>
      <c r="D2825" s="11" t="s">
        <v>68</v>
      </c>
      <c r="E2825" s="12">
        <v>46273.0</v>
      </c>
      <c r="F2825" s="12">
        <v>46303.0</v>
      </c>
      <c r="G2825" s="11" t="s">
        <v>15342</v>
      </c>
      <c r="H2825" s="17" t="s">
        <v>15343</v>
      </c>
      <c r="I2825" s="11" t="s">
        <v>70</v>
      </c>
      <c r="J2825" s="11" t="s">
        <v>71</v>
      </c>
      <c r="K2825" s="11" t="s">
        <v>1028</v>
      </c>
      <c r="L2825" s="11" t="s">
        <v>73</v>
      </c>
      <c r="M2825" s="11" t="s">
        <v>15344</v>
      </c>
      <c r="N2825" s="11" t="s">
        <v>241</v>
      </c>
      <c r="O2825" s="11" t="s">
        <v>71</v>
      </c>
      <c r="P2825" s="11" t="s">
        <v>15345</v>
      </c>
      <c r="Q2825" s="13" t="s">
        <v>15346</v>
      </c>
      <c r="R2825" s="14" t="str">
        <f>HYPERLINK("https://drive.google.com/file/d/1Yos1mOAQoiaCdSqriNF1sgs1qGdfGDb9/view?usp=drivesdk","OFFER LETTER")</f>
        <v>OFFER LETTER</v>
      </c>
      <c r="S2825" s="11" t="s">
        <v>15347</v>
      </c>
    </row>
    <row r="2826" ht="22.5" customHeight="1">
      <c r="A2826" s="10">
        <v>46273.98962681713</v>
      </c>
      <c r="B2826" s="11" t="s">
        <v>15348</v>
      </c>
      <c r="C2826" s="11" t="s">
        <v>67</v>
      </c>
      <c r="D2826" s="11" t="s">
        <v>238</v>
      </c>
      <c r="E2826" s="12">
        <v>46167.0</v>
      </c>
      <c r="F2826" s="12">
        <v>46258.0</v>
      </c>
      <c r="G2826" s="11" t="s">
        <v>15349</v>
      </c>
      <c r="H2826" s="11">
        <v>8.591633953E9</v>
      </c>
      <c r="I2826" s="11" t="s">
        <v>82</v>
      </c>
      <c r="K2826" s="13" t="s">
        <v>443</v>
      </c>
      <c r="L2826" s="11" t="s">
        <v>73</v>
      </c>
      <c r="M2826" s="11" t="s">
        <v>3662</v>
      </c>
      <c r="N2826" s="11" t="s">
        <v>226</v>
      </c>
      <c r="O2826" s="11" t="s">
        <v>71</v>
      </c>
      <c r="P2826" s="11" t="s">
        <v>15350</v>
      </c>
      <c r="Q2826" s="13" t="s">
        <v>15351</v>
      </c>
      <c r="R2826" s="14" t="str">
        <f>HYPERLINK("https://drive.google.com/file/d/1piBfgQJE0D6uzaOZbP2cass1cpxNaHKt/view?usp=drivesdk","OFFER LETTER")</f>
        <v>OFFER LETTER</v>
      </c>
      <c r="S2826" s="11" t="s">
        <v>15352</v>
      </c>
    </row>
    <row r="2827" ht="22.5" customHeight="1">
      <c r="A2827" s="10">
        <v>46273.9903971875</v>
      </c>
      <c r="B2827" s="11" t="s">
        <v>15353</v>
      </c>
      <c r="C2827" s="11" t="s">
        <v>195</v>
      </c>
      <c r="D2827" s="11" t="s">
        <v>68</v>
      </c>
      <c r="E2827" s="12">
        <v>46209.0</v>
      </c>
      <c r="F2827" s="12">
        <v>46240.0</v>
      </c>
      <c r="G2827" s="11" t="s">
        <v>15354</v>
      </c>
      <c r="H2827" s="11">
        <v>9.341419573E9</v>
      </c>
      <c r="I2827" s="11" t="s">
        <v>82</v>
      </c>
      <c r="J2827" s="11" t="s">
        <v>71</v>
      </c>
      <c r="K2827" s="11" t="s">
        <v>72</v>
      </c>
      <c r="L2827" s="11" t="s">
        <v>84</v>
      </c>
      <c r="M2827" s="11" t="s">
        <v>886</v>
      </c>
      <c r="N2827" s="11" t="s">
        <v>75</v>
      </c>
      <c r="O2827" s="11" t="s">
        <v>71</v>
      </c>
      <c r="P2827" s="11" t="s">
        <v>15355</v>
      </c>
      <c r="Q2827" s="13" t="s">
        <v>15356</v>
      </c>
      <c r="R2827" s="14" t="str">
        <f>HYPERLINK("https://drive.google.com/file/d/1U7oTNf2v_IrpujHjUqcyr1wOCZNHHReE/view?usp=drivesdk","OFFER LETTER")</f>
        <v>OFFER LETTER</v>
      </c>
      <c r="S2827" s="11" t="s">
        <v>15357</v>
      </c>
    </row>
    <row r="2828" ht="22.5" customHeight="1">
      <c r="A2828" s="10">
        <v>46273.99796945602</v>
      </c>
      <c r="B2828" s="11" t="s">
        <v>15358</v>
      </c>
      <c r="C2828" s="11" t="s">
        <v>195</v>
      </c>
      <c r="D2828" s="11" t="s">
        <v>68</v>
      </c>
      <c r="E2828" s="12">
        <v>46273.0</v>
      </c>
      <c r="F2828" s="12">
        <v>46303.0</v>
      </c>
      <c r="G2828" s="11" t="s">
        <v>15359</v>
      </c>
      <c r="H2828" s="11">
        <v>9.444231175E9</v>
      </c>
      <c r="I2828" s="11" t="s">
        <v>82</v>
      </c>
      <c r="J2828" s="11" t="s">
        <v>83</v>
      </c>
      <c r="K2828" s="11" t="s">
        <v>72</v>
      </c>
      <c r="L2828" s="11" t="s">
        <v>84</v>
      </c>
      <c r="M2828" s="11" t="s">
        <v>15360</v>
      </c>
      <c r="N2828" s="11" t="s">
        <v>75</v>
      </c>
      <c r="O2828" s="11" t="s">
        <v>71</v>
      </c>
      <c r="P2828" s="11" t="s">
        <v>15361</v>
      </c>
      <c r="Q2828" s="13" t="s">
        <v>15362</v>
      </c>
      <c r="R2828" s="14" t="str">
        <f>HYPERLINK("https://drive.google.com/file/d/1oyrrtwWR3g_PbAI5-Dyy127WdZX3KkWU/view?usp=drivesdk","OFFER LETTER")</f>
        <v>OFFER LETTER</v>
      </c>
      <c r="S2828" s="11" t="s">
        <v>15363</v>
      </c>
    </row>
    <row r="2829" ht="22.5" customHeight="1">
      <c r="A2829" s="10">
        <v>46273.99886234954</v>
      </c>
      <c r="B2829" s="11" t="s">
        <v>15364</v>
      </c>
      <c r="C2829" s="11" t="s">
        <v>91</v>
      </c>
      <c r="D2829" s="11" t="s">
        <v>68</v>
      </c>
      <c r="E2829" s="12">
        <v>46275.0</v>
      </c>
      <c r="F2829" s="12">
        <v>46305.0</v>
      </c>
      <c r="G2829" s="11" t="s">
        <v>15365</v>
      </c>
      <c r="H2829" s="11">
        <v>7.724836651E9</v>
      </c>
      <c r="I2829" s="11" t="s">
        <v>82</v>
      </c>
      <c r="J2829" s="11" t="s">
        <v>130</v>
      </c>
      <c r="K2829" s="11" t="s">
        <v>110</v>
      </c>
      <c r="L2829" s="11" t="s">
        <v>73</v>
      </c>
      <c r="M2829" s="11" t="s">
        <v>15366</v>
      </c>
      <c r="N2829" s="11" t="s">
        <v>86</v>
      </c>
      <c r="O2829" s="11" t="s">
        <v>71</v>
      </c>
      <c r="P2829" s="11" t="s">
        <v>15367</v>
      </c>
      <c r="Q2829" s="13" t="s">
        <v>15368</v>
      </c>
      <c r="R2829" s="14" t="str">
        <f>HYPERLINK("https://drive.google.com/file/d/1dDIgw5eW2OrT1Arz5arwgShF0URdf9S3/view?usp=drivesdk","OFFER LETTER")</f>
        <v>OFFER LETTER</v>
      </c>
      <c r="S2829" s="11" t="s">
        <v>15369</v>
      </c>
    </row>
    <row r="2830" ht="22.5" customHeight="1">
      <c r="A2830" s="10">
        <v>46274.003970694444</v>
      </c>
      <c r="B2830" s="11" t="s">
        <v>15370</v>
      </c>
      <c r="C2830" s="11" t="s">
        <v>195</v>
      </c>
      <c r="D2830" s="11" t="s">
        <v>108</v>
      </c>
      <c r="E2830" s="12">
        <v>46174.0</v>
      </c>
      <c r="F2830" s="12">
        <v>46235.0</v>
      </c>
      <c r="G2830" s="11" t="s">
        <v>15371</v>
      </c>
      <c r="H2830" s="11">
        <v>7.011919712E9</v>
      </c>
      <c r="I2830" s="11" t="s">
        <v>82</v>
      </c>
      <c r="J2830" s="11" t="s">
        <v>71</v>
      </c>
      <c r="K2830" s="11" t="s">
        <v>72</v>
      </c>
      <c r="L2830" s="11" t="s">
        <v>84</v>
      </c>
      <c r="M2830" s="11" t="s">
        <v>2535</v>
      </c>
      <c r="N2830" s="11" t="s">
        <v>86</v>
      </c>
      <c r="O2830" s="11" t="s">
        <v>71</v>
      </c>
      <c r="P2830" s="11" t="s">
        <v>15372</v>
      </c>
      <c r="Q2830" s="13" t="s">
        <v>15373</v>
      </c>
      <c r="R2830" s="14" t="str">
        <f>HYPERLINK("https://drive.google.com/file/d/1Sz8utpZq_8KsfCtww0c77Dgwg9VCk3YC/view?usp=drivesdk","OFFER LETTER")</f>
        <v>OFFER LETTER</v>
      </c>
      <c r="S2830" s="11" t="s">
        <v>15374</v>
      </c>
    </row>
    <row r="2831" ht="22.5" customHeight="1">
      <c r="A2831" s="10">
        <v>46274.00553877315</v>
      </c>
      <c r="B2831" s="11" t="s">
        <v>3837</v>
      </c>
      <c r="C2831" s="11" t="s">
        <v>195</v>
      </c>
      <c r="D2831" s="11" t="s">
        <v>108</v>
      </c>
      <c r="E2831" s="12">
        <v>46275.0</v>
      </c>
      <c r="F2831" s="12">
        <v>46335.0</v>
      </c>
      <c r="G2831" s="11" t="s">
        <v>15375</v>
      </c>
      <c r="H2831" s="11">
        <v>8.98820721E8</v>
      </c>
      <c r="I2831" s="11" t="s">
        <v>82</v>
      </c>
      <c r="J2831" s="11" t="s">
        <v>71</v>
      </c>
      <c r="K2831" s="11" t="s">
        <v>110</v>
      </c>
      <c r="L2831" s="11" t="s">
        <v>73</v>
      </c>
      <c r="M2831" s="11" t="s">
        <v>7504</v>
      </c>
      <c r="N2831" s="11" t="s">
        <v>86</v>
      </c>
      <c r="O2831" s="11" t="s">
        <v>71</v>
      </c>
      <c r="P2831" s="11" t="s">
        <v>15376</v>
      </c>
      <c r="Q2831" s="13" t="s">
        <v>15377</v>
      </c>
      <c r="R2831" s="14" t="str">
        <f>HYPERLINK("https://drive.google.com/file/d/1BPIHqN8MtkT5uohQOMMiZNOjp_fxT70k/view?usp=drivesdk","OFFER LETTER")</f>
        <v>OFFER LETTER</v>
      </c>
      <c r="S2831" s="11" t="s">
        <v>15378</v>
      </c>
    </row>
    <row r="2832" ht="22.5" customHeight="1">
      <c r="A2832" s="10">
        <v>46274.00603559028</v>
      </c>
      <c r="B2832" s="11" t="s">
        <v>15379</v>
      </c>
      <c r="C2832" s="11" t="s">
        <v>195</v>
      </c>
      <c r="D2832" s="11" t="s">
        <v>108</v>
      </c>
      <c r="E2832" s="12">
        <v>46206.0</v>
      </c>
      <c r="F2832" s="12">
        <v>46262.0</v>
      </c>
      <c r="G2832" s="11" t="s">
        <v>15380</v>
      </c>
      <c r="H2832" s="11">
        <v>7.894158442E9</v>
      </c>
      <c r="I2832" s="11" t="s">
        <v>82</v>
      </c>
      <c r="J2832" s="11" t="s">
        <v>71</v>
      </c>
      <c r="K2832" s="11" t="s">
        <v>72</v>
      </c>
      <c r="L2832" s="11" t="s">
        <v>73</v>
      </c>
      <c r="M2832" s="11" t="s">
        <v>15381</v>
      </c>
      <c r="N2832" s="11" t="s">
        <v>655</v>
      </c>
      <c r="O2832" s="11" t="s">
        <v>71</v>
      </c>
      <c r="P2832" s="11" t="s">
        <v>15382</v>
      </c>
      <c r="Q2832" s="13" t="s">
        <v>15383</v>
      </c>
      <c r="R2832" s="14" t="str">
        <f>HYPERLINK("https://drive.google.com/file/d/1odTxx7_ox3euAkv8MO93denGKPpAM2g4/view?usp=drivesdk","OFFER LETTER")</f>
        <v>OFFER LETTER</v>
      </c>
      <c r="S2832" s="11" t="s">
        <v>15384</v>
      </c>
    </row>
    <row r="2833" ht="22.5" customHeight="1">
      <c r="A2833" s="10">
        <v>46274.016415370366</v>
      </c>
      <c r="B2833" s="11" t="s">
        <v>15385</v>
      </c>
      <c r="C2833" s="11" t="s">
        <v>195</v>
      </c>
      <c r="D2833" s="11" t="s">
        <v>108</v>
      </c>
      <c r="E2833" s="12">
        <v>46191.0</v>
      </c>
      <c r="F2833" s="12">
        <v>46252.0</v>
      </c>
      <c r="G2833" s="11" t="s">
        <v>15386</v>
      </c>
      <c r="H2833" s="11">
        <v>7.061680189E9</v>
      </c>
      <c r="I2833" s="11" t="s">
        <v>82</v>
      </c>
      <c r="J2833" s="11" t="s">
        <v>71</v>
      </c>
      <c r="K2833" s="11" t="s">
        <v>72</v>
      </c>
      <c r="L2833" s="11" t="s">
        <v>73</v>
      </c>
      <c r="M2833" s="11" t="s">
        <v>15387</v>
      </c>
      <c r="N2833" s="11" t="s">
        <v>75</v>
      </c>
      <c r="O2833" s="11" t="s">
        <v>263</v>
      </c>
      <c r="P2833" s="11" t="s">
        <v>15388</v>
      </c>
      <c r="Q2833" s="13" t="s">
        <v>15389</v>
      </c>
      <c r="R2833" s="14" t="str">
        <f>HYPERLINK("https://drive.google.com/file/d/1pb99ZTkySJIDCIS_8n72OGp2C1nvcqcy/view?usp=drivesdk","OFFER LETTER")</f>
        <v>OFFER LETTER</v>
      </c>
      <c r="S2833" s="11" t="s">
        <v>15390</v>
      </c>
    </row>
    <row r="2834" ht="22.5" customHeight="1">
      <c r="A2834" s="10">
        <v>46274.018956342596</v>
      </c>
      <c r="B2834" s="11" t="s">
        <v>15391</v>
      </c>
      <c r="C2834" s="11" t="s">
        <v>195</v>
      </c>
      <c r="D2834" s="11" t="s">
        <v>68</v>
      </c>
      <c r="E2834" s="12">
        <v>46174.0</v>
      </c>
      <c r="F2834" s="12">
        <v>46203.0</v>
      </c>
      <c r="G2834" s="11" t="s">
        <v>15392</v>
      </c>
      <c r="H2834" s="11">
        <v>7.35662997E9</v>
      </c>
      <c r="I2834" s="11" t="s">
        <v>82</v>
      </c>
      <c r="J2834" s="11" t="s">
        <v>83</v>
      </c>
      <c r="K2834" s="11" t="s">
        <v>72</v>
      </c>
      <c r="L2834" s="11" t="s">
        <v>73</v>
      </c>
      <c r="M2834" s="11" t="s">
        <v>15393</v>
      </c>
      <c r="N2834" s="11" t="s">
        <v>86</v>
      </c>
      <c r="O2834" s="11" t="s">
        <v>71</v>
      </c>
      <c r="P2834" s="11" t="s">
        <v>15394</v>
      </c>
      <c r="Q2834" s="13" t="s">
        <v>15395</v>
      </c>
      <c r="R2834" s="14" t="str">
        <f>HYPERLINK("https://drive.google.com/file/d/1W6O0FWjeTzER1LiuHBHJipQ1w498CfL1/view?usp=drivesdk","OFFER LETTER")</f>
        <v>OFFER LETTER</v>
      </c>
      <c r="S2834" s="11" t="s">
        <v>15396</v>
      </c>
    </row>
    <row r="2835" ht="22.5" customHeight="1">
      <c r="A2835" s="10">
        <v>46274.02468289352</v>
      </c>
      <c r="B2835" s="11" t="s">
        <v>15397</v>
      </c>
      <c r="C2835" s="11" t="s">
        <v>80</v>
      </c>
      <c r="D2835" s="11" t="s">
        <v>68</v>
      </c>
      <c r="E2835" s="12">
        <v>46242.0</v>
      </c>
      <c r="F2835" s="12">
        <v>46273.0</v>
      </c>
      <c r="G2835" s="11" t="s">
        <v>15398</v>
      </c>
      <c r="H2835" s="11">
        <v>8.471065003E9</v>
      </c>
      <c r="I2835" s="11" t="s">
        <v>82</v>
      </c>
      <c r="J2835" s="11" t="s">
        <v>71</v>
      </c>
      <c r="K2835" s="11" t="s">
        <v>72</v>
      </c>
      <c r="L2835" s="11" t="s">
        <v>131</v>
      </c>
      <c r="M2835" s="11" t="s">
        <v>15399</v>
      </c>
      <c r="N2835" s="11" t="s">
        <v>75</v>
      </c>
      <c r="O2835" s="11" t="s">
        <v>71</v>
      </c>
      <c r="P2835" s="11" t="s">
        <v>15400</v>
      </c>
      <c r="Q2835" s="13" t="s">
        <v>15401</v>
      </c>
      <c r="R2835" s="14" t="str">
        <f>HYPERLINK("https://drive.google.com/file/d/11krQQnmEh-AizAZnmHKLtNFVBWcjwXuX/view?usp=drivesdk","OFFER LETTER")</f>
        <v>OFFER LETTER</v>
      </c>
      <c r="S2835" s="11" t="s">
        <v>15402</v>
      </c>
    </row>
    <row r="2836" ht="22.5" customHeight="1">
      <c r="A2836" s="10">
        <v>46274.03247013889</v>
      </c>
      <c r="B2836" s="11" t="s">
        <v>15403</v>
      </c>
      <c r="C2836" s="11" t="s">
        <v>596</v>
      </c>
      <c r="D2836" s="11" t="s">
        <v>68</v>
      </c>
      <c r="E2836" s="12">
        <v>46223.0</v>
      </c>
      <c r="F2836" s="12">
        <v>46254.0</v>
      </c>
      <c r="G2836" s="11" t="s">
        <v>15404</v>
      </c>
      <c r="H2836" s="11">
        <v>6.305959696E9</v>
      </c>
      <c r="I2836" s="11" t="s">
        <v>82</v>
      </c>
      <c r="J2836" s="11" t="s">
        <v>71</v>
      </c>
      <c r="K2836" s="11" t="s">
        <v>72</v>
      </c>
      <c r="L2836" s="11" t="s">
        <v>73</v>
      </c>
      <c r="M2836" s="11" t="s">
        <v>15405</v>
      </c>
      <c r="N2836" s="11" t="s">
        <v>86</v>
      </c>
      <c r="O2836" s="11" t="s">
        <v>71</v>
      </c>
      <c r="P2836" s="11" t="s">
        <v>15406</v>
      </c>
      <c r="Q2836" s="13" t="s">
        <v>15407</v>
      </c>
      <c r="R2836" s="14" t="str">
        <f>HYPERLINK("https://drive.google.com/file/d/1JA0Zz-0XfNIguEYZMeomJc3bsu4kLWuq/view?usp=drivesdk","OFFER LETTER")</f>
        <v>OFFER LETTER</v>
      </c>
      <c r="S2836" s="11" t="s">
        <v>15408</v>
      </c>
    </row>
    <row r="2837" ht="22.5" customHeight="1">
      <c r="A2837" s="10">
        <v>46274.058800416664</v>
      </c>
      <c r="B2837" s="11" t="s">
        <v>15409</v>
      </c>
      <c r="C2837" s="11" t="s">
        <v>107</v>
      </c>
      <c r="D2837" s="11" t="s">
        <v>68</v>
      </c>
      <c r="E2837" s="12">
        <v>46245.0</v>
      </c>
      <c r="F2837" s="12">
        <v>46280.0</v>
      </c>
      <c r="G2837" s="11" t="s">
        <v>15410</v>
      </c>
      <c r="H2837" s="11">
        <v>7.981319943E9</v>
      </c>
      <c r="I2837" s="11" t="s">
        <v>70</v>
      </c>
      <c r="J2837" s="11" t="s">
        <v>71</v>
      </c>
      <c r="K2837" s="11" t="s">
        <v>167</v>
      </c>
      <c r="L2837" s="11" t="s">
        <v>357</v>
      </c>
      <c r="M2837" s="11" t="s">
        <v>15411</v>
      </c>
      <c r="N2837" s="11" t="s">
        <v>226</v>
      </c>
      <c r="O2837" s="11" t="s">
        <v>71</v>
      </c>
      <c r="P2837" s="11" t="s">
        <v>15412</v>
      </c>
      <c r="Q2837" s="13" t="s">
        <v>15413</v>
      </c>
      <c r="R2837" s="14" t="str">
        <f>HYPERLINK("https://drive.google.com/file/d/12PY9aIUUs9nm5BZu-Vb8ksPRAWHqm8hF/view?usp=drivesdk","OFFER LETTER")</f>
        <v>OFFER LETTER</v>
      </c>
      <c r="S2837" s="11" t="s">
        <v>15414</v>
      </c>
    </row>
    <row r="2838" ht="22.5" customHeight="1">
      <c r="A2838" s="10">
        <v>46274.06048583333</v>
      </c>
      <c r="B2838" s="11" t="s">
        <v>15415</v>
      </c>
      <c r="C2838" s="11" t="s">
        <v>173</v>
      </c>
      <c r="D2838" s="11" t="s">
        <v>68</v>
      </c>
      <c r="E2838" s="12">
        <v>46204.0</v>
      </c>
      <c r="F2838" s="12">
        <v>46234.0</v>
      </c>
      <c r="G2838" s="11" t="s">
        <v>15416</v>
      </c>
      <c r="H2838" s="11">
        <v>9.068610157E9</v>
      </c>
      <c r="I2838" s="11" t="s">
        <v>82</v>
      </c>
      <c r="J2838" s="11" t="s">
        <v>71</v>
      </c>
      <c r="K2838" s="11" t="s">
        <v>72</v>
      </c>
      <c r="L2838" s="11" t="s">
        <v>73</v>
      </c>
      <c r="M2838" s="11" t="s">
        <v>1073</v>
      </c>
      <c r="N2838" s="11" t="s">
        <v>86</v>
      </c>
      <c r="O2838" s="11" t="s">
        <v>71</v>
      </c>
      <c r="P2838" s="11" t="s">
        <v>15417</v>
      </c>
      <c r="Q2838" s="13" t="s">
        <v>15418</v>
      </c>
      <c r="R2838" s="14" t="str">
        <f>HYPERLINK("https://drive.google.com/file/d/1oDJu9l7JCVS0R_lHixxnfcS6EBKQL4u4/view?usp=drivesdk","OFFER LETTER")</f>
        <v>OFFER LETTER</v>
      </c>
      <c r="S2838" s="11" t="s">
        <v>15419</v>
      </c>
    </row>
    <row r="2839" ht="22.5" customHeight="1">
      <c r="A2839" s="10">
        <v>46274.06142315972</v>
      </c>
      <c r="B2839" s="11" t="s">
        <v>15409</v>
      </c>
      <c r="C2839" s="11" t="s">
        <v>107</v>
      </c>
      <c r="D2839" s="11" t="s">
        <v>68</v>
      </c>
      <c r="E2839" s="12">
        <v>46244.0</v>
      </c>
      <c r="F2839" s="12">
        <v>46280.0</v>
      </c>
      <c r="G2839" s="11" t="s">
        <v>15420</v>
      </c>
      <c r="H2839" s="11">
        <v>7.981319943E9</v>
      </c>
      <c r="I2839" s="11" t="s">
        <v>70</v>
      </c>
      <c r="J2839" s="11" t="s">
        <v>71</v>
      </c>
      <c r="K2839" s="11" t="s">
        <v>167</v>
      </c>
      <c r="L2839" s="11" t="s">
        <v>357</v>
      </c>
      <c r="M2839" s="11" t="s">
        <v>15411</v>
      </c>
      <c r="N2839" s="11" t="s">
        <v>226</v>
      </c>
      <c r="O2839" s="11" t="s">
        <v>71</v>
      </c>
      <c r="P2839" s="11" t="s">
        <v>15421</v>
      </c>
      <c r="Q2839" s="13" t="s">
        <v>15422</v>
      </c>
      <c r="R2839" s="14" t="str">
        <f>HYPERLINK("https://drive.google.com/file/d/1IRR4FomqbBCnRWpqrBxJioEGWajlH6_G/view?usp=drivesdk","OFFER LETTER")</f>
        <v>OFFER LETTER</v>
      </c>
      <c r="S2839" s="11" t="s">
        <v>15423</v>
      </c>
    </row>
    <row r="2840" ht="22.5" customHeight="1">
      <c r="A2840" s="10">
        <v>46274.067000787036</v>
      </c>
      <c r="B2840" s="11" t="s">
        <v>15409</v>
      </c>
      <c r="C2840" s="11" t="s">
        <v>107</v>
      </c>
      <c r="D2840" s="11" t="s">
        <v>68</v>
      </c>
      <c r="E2840" s="12">
        <v>46250.0</v>
      </c>
      <c r="F2840" s="12">
        <v>46281.0</v>
      </c>
      <c r="G2840" s="11" t="s">
        <v>15420</v>
      </c>
      <c r="H2840" s="11">
        <v>7.981319943E9</v>
      </c>
      <c r="I2840" s="11" t="s">
        <v>70</v>
      </c>
      <c r="J2840" s="11" t="s">
        <v>71</v>
      </c>
      <c r="K2840" s="11" t="s">
        <v>167</v>
      </c>
      <c r="L2840" s="11" t="s">
        <v>357</v>
      </c>
      <c r="M2840" s="11" t="s">
        <v>15411</v>
      </c>
      <c r="N2840" s="11" t="s">
        <v>226</v>
      </c>
      <c r="O2840" s="11" t="s">
        <v>71</v>
      </c>
      <c r="P2840" s="11" t="s">
        <v>15424</v>
      </c>
      <c r="Q2840" s="13" t="s">
        <v>15425</v>
      </c>
      <c r="R2840" s="14" t="str">
        <f>HYPERLINK("https://drive.google.com/file/d/1jnwUGO6-kOK4tMd_Law8cJeSzQhKD8sC/view?usp=drivesdk","OFFER LETTER")</f>
        <v>OFFER LETTER</v>
      </c>
      <c r="S2840" s="11" t="s">
        <v>15426</v>
      </c>
    </row>
    <row r="2841" ht="22.5" customHeight="1">
      <c r="A2841" s="10">
        <v>46274.089846840274</v>
      </c>
      <c r="B2841" s="11" t="s">
        <v>15427</v>
      </c>
      <c r="C2841" s="11" t="s">
        <v>128</v>
      </c>
      <c r="D2841" s="11" t="s">
        <v>108</v>
      </c>
      <c r="E2841" s="12">
        <v>46205.0</v>
      </c>
      <c r="F2841" s="12">
        <v>46267.0</v>
      </c>
      <c r="G2841" s="11" t="s">
        <v>15428</v>
      </c>
      <c r="H2841" s="11">
        <v>7.068023019E9</v>
      </c>
      <c r="I2841" s="11" t="s">
        <v>82</v>
      </c>
      <c r="J2841" s="11" t="s">
        <v>71</v>
      </c>
      <c r="K2841" s="11" t="s">
        <v>72</v>
      </c>
      <c r="L2841" s="11" t="s">
        <v>84</v>
      </c>
      <c r="M2841" s="11" t="s">
        <v>849</v>
      </c>
      <c r="N2841" s="11" t="s">
        <v>86</v>
      </c>
      <c r="O2841" s="11" t="s">
        <v>71</v>
      </c>
      <c r="P2841" s="11" t="s">
        <v>15429</v>
      </c>
      <c r="Q2841" s="13" t="s">
        <v>15430</v>
      </c>
      <c r="R2841" s="14" t="str">
        <f>HYPERLINK("https://drive.google.com/file/d/15sR1-2ZqSb7u3VRklmomStBFW2C5vciM/view?usp=drivesdk","OFFER LETTER")</f>
        <v>OFFER LETTER</v>
      </c>
      <c r="S2841" s="11" t="s">
        <v>15431</v>
      </c>
    </row>
    <row r="2842" ht="22.5" customHeight="1">
      <c r="A2842" s="10">
        <v>46274.114140185186</v>
      </c>
      <c r="B2842" s="11" t="s">
        <v>15432</v>
      </c>
      <c r="C2842" s="11" t="s">
        <v>107</v>
      </c>
      <c r="D2842" s="11" t="s">
        <v>68</v>
      </c>
      <c r="E2842" s="12">
        <v>46239.0</v>
      </c>
      <c r="F2842" s="12">
        <v>46269.0</v>
      </c>
      <c r="G2842" s="11" t="s">
        <v>15433</v>
      </c>
      <c r="H2842" s="11">
        <v>9.064776469E9</v>
      </c>
      <c r="I2842" s="11" t="s">
        <v>82</v>
      </c>
      <c r="J2842" s="11" t="s">
        <v>71</v>
      </c>
      <c r="K2842" s="11" t="s">
        <v>72</v>
      </c>
      <c r="L2842" s="11" t="s">
        <v>131</v>
      </c>
      <c r="M2842" s="11" t="s">
        <v>15434</v>
      </c>
      <c r="N2842" s="11" t="s">
        <v>75</v>
      </c>
      <c r="O2842" s="11" t="s">
        <v>71</v>
      </c>
      <c r="P2842" s="11" t="s">
        <v>15435</v>
      </c>
      <c r="Q2842" s="13" t="s">
        <v>15436</v>
      </c>
      <c r="R2842" s="14" t="str">
        <f>HYPERLINK("https://drive.google.com/file/d/1KVeURvgKr5iDEOX6IExa3EsHldPo-kT9/view?usp=drivesdk","OFFER LETTER")</f>
        <v>OFFER LETTER</v>
      </c>
      <c r="S2842" s="11" t="s">
        <v>15437</v>
      </c>
    </row>
    <row r="2843" ht="22.5" customHeight="1">
      <c r="A2843" s="10">
        <v>46274.314817164355</v>
      </c>
      <c r="B2843" s="11" t="s">
        <v>15438</v>
      </c>
      <c r="C2843" s="11" t="s">
        <v>91</v>
      </c>
      <c r="D2843" s="11" t="s">
        <v>68</v>
      </c>
      <c r="E2843" s="12">
        <v>46276.0</v>
      </c>
      <c r="F2843" s="12">
        <v>46306.0</v>
      </c>
      <c r="G2843" s="11" t="s">
        <v>15439</v>
      </c>
      <c r="H2843" s="11">
        <v>9.148549644E9</v>
      </c>
      <c r="I2843" s="11" t="s">
        <v>70</v>
      </c>
      <c r="J2843" s="11" t="s">
        <v>71</v>
      </c>
      <c r="K2843" s="11" t="s">
        <v>72</v>
      </c>
      <c r="L2843" s="11" t="s">
        <v>73</v>
      </c>
      <c r="M2843" s="11" t="s">
        <v>15440</v>
      </c>
      <c r="N2843" s="11" t="s">
        <v>86</v>
      </c>
      <c r="O2843" s="11" t="s">
        <v>71</v>
      </c>
      <c r="P2843" s="11" t="s">
        <v>15441</v>
      </c>
      <c r="Q2843" s="13" t="s">
        <v>15442</v>
      </c>
      <c r="R2843" s="14" t="str">
        <f>HYPERLINK("https://drive.google.com/file/d/19haUL4QjCfK-DNjk_BoyfMdwVdOJKSZJ/view?usp=drivesdk","OFFER LETTER")</f>
        <v>OFFER LETTER</v>
      </c>
      <c r="S2843" s="11" t="s">
        <v>15443</v>
      </c>
    </row>
    <row r="2844" ht="22.5" customHeight="1">
      <c r="A2844" s="10">
        <v>46274.317407291666</v>
      </c>
      <c r="B2844" s="11" t="s">
        <v>15444</v>
      </c>
      <c r="C2844" s="11" t="s">
        <v>195</v>
      </c>
      <c r="D2844" s="11" t="s">
        <v>68</v>
      </c>
      <c r="E2844" s="12">
        <v>46280.0</v>
      </c>
      <c r="F2844" s="12">
        <v>46310.0</v>
      </c>
      <c r="G2844" s="11" t="s">
        <v>15445</v>
      </c>
      <c r="H2844" s="11">
        <v>8.197371283E9</v>
      </c>
      <c r="I2844" s="11" t="s">
        <v>82</v>
      </c>
      <c r="J2844" s="11" t="s">
        <v>71</v>
      </c>
      <c r="K2844" s="11" t="s">
        <v>72</v>
      </c>
      <c r="L2844" s="11" t="s">
        <v>73</v>
      </c>
      <c r="M2844" s="11" t="s">
        <v>15446</v>
      </c>
      <c r="N2844" s="11" t="s">
        <v>241</v>
      </c>
      <c r="O2844" s="11" t="s">
        <v>71</v>
      </c>
      <c r="P2844" s="11" t="s">
        <v>15447</v>
      </c>
      <c r="Q2844" s="13" t="s">
        <v>15448</v>
      </c>
      <c r="R2844" s="14" t="str">
        <f>HYPERLINK("https://drive.google.com/file/d/13SzrYXTMpHMiqWlDU7KX51Fi1Tq3xd2f/view?usp=drivesdk","OFFER LETTER")</f>
        <v>OFFER LETTER</v>
      </c>
      <c r="S2844" s="11" t="s">
        <v>15449</v>
      </c>
    </row>
    <row r="2845" ht="22.5" customHeight="1">
      <c r="A2845" s="10">
        <v>46274.337312881944</v>
      </c>
      <c r="B2845" s="11" t="s">
        <v>15001</v>
      </c>
      <c r="C2845" s="11" t="s">
        <v>742</v>
      </c>
      <c r="D2845" s="11" t="s">
        <v>68</v>
      </c>
      <c r="E2845" s="12">
        <v>46280.0</v>
      </c>
      <c r="F2845" s="12">
        <v>46310.0</v>
      </c>
      <c r="G2845" s="11" t="s">
        <v>15002</v>
      </c>
      <c r="H2845" s="11">
        <v>8.807077147E9</v>
      </c>
      <c r="I2845" s="11" t="s">
        <v>70</v>
      </c>
      <c r="J2845" s="11" t="s">
        <v>71</v>
      </c>
      <c r="K2845" s="13" t="s">
        <v>443</v>
      </c>
      <c r="L2845" s="11" t="s">
        <v>247</v>
      </c>
      <c r="M2845" s="11" t="s">
        <v>15003</v>
      </c>
      <c r="N2845" s="11" t="s">
        <v>1641</v>
      </c>
      <c r="O2845" s="11" t="s">
        <v>71</v>
      </c>
      <c r="P2845" s="11" t="s">
        <v>15450</v>
      </c>
      <c r="Q2845" s="13" t="s">
        <v>15451</v>
      </c>
      <c r="R2845" s="14" t="str">
        <f>HYPERLINK("https://drive.google.com/file/d/1dIDixG99nzhcJlu9zb1-qiaEHc0rs9Ka/view?usp=drivesdk","OFFER LETTER")</f>
        <v>OFFER LETTER</v>
      </c>
      <c r="S2845" s="11" t="s">
        <v>15452</v>
      </c>
    </row>
    <row r="2846" ht="22.5" customHeight="1">
      <c r="A2846" s="10">
        <v>46274.34673780092</v>
      </c>
      <c r="B2846" s="11" t="s">
        <v>15453</v>
      </c>
      <c r="C2846" s="11" t="s">
        <v>128</v>
      </c>
      <c r="D2846" s="11" t="s">
        <v>238</v>
      </c>
      <c r="E2846" s="12">
        <v>46266.0</v>
      </c>
      <c r="F2846" s="12">
        <v>46356.0</v>
      </c>
      <c r="G2846" s="11" t="s">
        <v>15454</v>
      </c>
      <c r="H2846" s="11">
        <v>7.301133063E9</v>
      </c>
      <c r="I2846" s="11" t="s">
        <v>82</v>
      </c>
      <c r="J2846" s="11" t="s">
        <v>71</v>
      </c>
      <c r="K2846" s="11" t="s">
        <v>72</v>
      </c>
      <c r="L2846" s="11" t="s">
        <v>131</v>
      </c>
      <c r="M2846" s="11" t="s">
        <v>15455</v>
      </c>
      <c r="N2846" s="11" t="s">
        <v>7116</v>
      </c>
      <c r="O2846" s="11" t="s">
        <v>71</v>
      </c>
      <c r="P2846" s="11" t="s">
        <v>15456</v>
      </c>
      <c r="Q2846" s="13" t="s">
        <v>15457</v>
      </c>
      <c r="R2846" s="14" t="str">
        <f>HYPERLINK("https://drive.google.com/file/d/1QJfUXQwX0Ls9nhrmODvkQybT26KwAwcR/view?usp=drivesdk","OFFER LETTER")</f>
        <v>OFFER LETTER</v>
      </c>
      <c r="S2846" s="11" t="s">
        <v>15458</v>
      </c>
    </row>
    <row r="2847" ht="22.5" customHeight="1">
      <c r="A2847" s="10">
        <v>46274.362758125004</v>
      </c>
      <c r="B2847" s="11" t="s">
        <v>15459</v>
      </c>
      <c r="C2847" s="11" t="s">
        <v>195</v>
      </c>
      <c r="D2847" s="11" t="s">
        <v>68</v>
      </c>
      <c r="E2847" s="12">
        <v>46225.0</v>
      </c>
      <c r="F2847" s="12">
        <v>46256.0</v>
      </c>
      <c r="G2847" s="11" t="s">
        <v>15460</v>
      </c>
      <c r="H2847" s="11">
        <v>7.042081771E9</v>
      </c>
      <c r="I2847" s="11" t="s">
        <v>70</v>
      </c>
      <c r="J2847" s="11" t="s">
        <v>71</v>
      </c>
      <c r="K2847" s="11" t="s">
        <v>72</v>
      </c>
      <c r="L2847" s="11" t="s">
        <v>73</v>
      </c>
      <c r="M2847" s="11" t="s">
        <v>560</v>
      </c>
      <c r="N2847" s="11" t="s">
        <v>75</v>
      </c>
      <c r="O2847" s="11" t="s">
        <v>71</v>
      </c>
      <c r="P2847" s="11" t="s">
        <v>15461</v>
      </c>
      <c r="Q2847" s="13" t="s">
        <v>15462</v>
      </c>
      <c r="R2847" s="14" t="str">
        <f>HYPERLINK("https://drive.google.com/file/d/1kzKJxEGAezPt6CX8QNF7x9FtXcan5KQZ/view?usp=drivesdk","OFFER LETTER")</f>
        <v>OFFER LETTER</v>
      </c>
      <c r="S2847" s="11" t="s">
        <v>15463</v>
      </c>
    </row>
    <row r="2848" ht="22.5" customHeight="1">
      <c r="A2848" s="10">
        <v>46274.36358362269</v>
      </c>
      <c r="B2848" s="11" t="s">
        <v>15464</v>
      </c>
      <c r="C2848" s="11" t="s">
        <v>195</v>
      </c>
      <c r="D2848" s="11" t="s">
        <v>68</v>
      </c>
      <c r="E2848" s="12">
        <v>46204.0</v>
      </c>
      <c r="F2848" s="12">
        <v>46235.0</v>
      </c>
      <c r="G2848" s="11" t="s">
        <v>15465</v>
      </c>
      <c r="H2848" s="11">
        <v>6.299038341E9</v>
      </c>
      <c r="I2848" s="11" t="s">
        <v>82</v>
      </c>
      <c r="J2848" s="11" t="s">
        <v>71</v>
      </c>
      <c r="K2848" s="11" t="s">
        <v>72</v>
      </c>
      <c r="L2848" s="11" t="s">
        <v>73</v>
      </c>
      <c r="M2848" s="11" t="s">
        <v>14280</v>
      </c>
      <c r="N2848" s="11" t="s">
        <v>86</v>
      </c>
      <c r="O2848" s="11" t="s">
        <v>71</v>
      </c>
      <c r="P2848" s="11" t="s">
        <v>15466</v>
      </c>
      <c r="Q2848" s="13" t="s">
        <v>15467</v>
      </c>
      <c r="R2848" s="14" t="str">
        <f>HYPERLINK("https://drive.google.com/file/d/1nq5Bh_G50BWClwOk2l2jiQvkAROtdvl3/view?usp=drivesdk","OFFER LETTER")</f>
        <v>OFFER LETTER</v>
      </c>
      <c r="S2848" s="11" t="s">
        <v>15468</v>
      </c>
    </row>
    <row r="2849" ht="22.5" customHeight="1">
      <c r="A2849" s="10">
        <v>46274.3643437963</v>
      </c>
      <c r="B2849" s="11" t="s">
        <v>15469</v>
      </c>
      <c r="C2849" s="11" t="s">
        <v>742</v>
      </c>
      <c r="D2849" s="11" t="s">
        <v>68</v>
      </c>
      <c r="E2849" s="12">
        <v>46275.0</v>
      </c>
      <c r="F2849" s="12">
        <v>46305.0</v>
      </c>
      <c r="G2849" s="11" t="s">
        <v>15470</v>
      </c>
      <c r="H2849" s="11">
        <v>9.74056457E9</v>
      </c>
      <c r="I2849" s="11" t="s">
        <v>82</v>
      </c>
      <c r="J2849" s="11" t="s">
        <v>83</v>
      </c>
      <c r="K2849" s="11" t="s">
        <v>110</v>
      </c>
      <c r="L2849" s="11" t="s">
        <v>73</v>
      </c>
      <c r="M2849" s="11" t="s">
        <v>15471</v>
      </c>
      <c r="N2849" s="11" t="s">
        <v>86</v>
      </c>
      <c r="O2849" s="11" t="s">
        <v>71</v>
      </c>
      <c r="P2849" s="11" t="s">
        <v>15472</v>
      </c>
      <c r="Q2849" s="13" t="s">
        <v>15473</v>
      </c>
      <c r="R2849" s="14" t="str">
        <f>HYPERLINK("https://drive.google.com/file/d/13fr1ALkmaD_AslkxvuToMO89sA3uZgw8/view?usp=drivesdk","OFFER LETTER")</f>
        <v>OFFER LETTER</v>
      </c>
      <c r="S2849" s="11" t="s">
        <v>15474</v>
      </c>
    </row>
    <row r="2850" ht="22.5" customHeight="1">
      <c r="A2850" s="10">
        <v>46274.364587488424</v>
      </c>
      <c r="B2850" s="11" t="s">
        <v>15475</v>
      </c>
      <c r="C2850" s="11" t="s">
        <v>259</v>
      </c>
      <c r="D2850" s="11" t="s">
        <v>68</v>
      </c>
      <c r="E2850" s="12">
        <v>46204.0</v>
      </c>
      <c r="F2850" s="12">
        <v>46237.0</v>
      </c>
      <c r="G2850" s="11" t="s">
        <v>15476</v>
      </c>
      <c r="H2850" s="11">
        <v>6.303055235E9</v>
      </c>
      <c r="I2850" s="11" t="s">
        <v>82</v>
      </c>
      <c r="J2850" s="11" t="s">
        <v>71</v>
      </c>
      <c r="K2850" s="11" t="s">
        <v>72</v>
      </c>
      <c r="L2850" s="11" t="s">
        <v>73</v>
      </c>
      <c r="M2850" s="11" t="s">
        <v>15477</v>
      </c>
      <c r="N2850" s="11" t="s">
        <v>86</v>
      </c>
      <c r="O2850" s="11" t="s">
        <v>71</v>
      </c>
      <c r="P2850" s="11" t="s">
        <v>15478</v>
      </c>
      <c r="Q2850" s="13" t="s">
        <v>15479</v>
      </c>
      <c r="R2850" s="14" t="str">
        <f>HYPERLINK("https://drive.google.com/file/d/1GxOyh91RncMN7qebXnBYgDP0YcrjDo85/view?usp=drivesdk","OFFER LETTER")</f>
        <v>OFFER LETTER</v>
      </c>
      <c r="S2850" s="11" t="s">
        <v>15480</v>
      </c>
    </row>
    <row r="2851" ht="22.5" customHeight="1">
      <c r="A2851" s="10">
        <v>46274.367356145834</v>
      </c>
      <c r="B2851" s="11" t="s">
        <v>15481</v>
      </c>
      <c r="C2851" s="11" t="s">
        <v>195</v>
      </c>
      <c r="D2851" s="11" t="s">
        <v>108</v>
      </c>
      <c r="E2851" s="12">
        <v>46198.0</v>
      </c>
      <c r="F2851" s="12">
        <v>46259.0</v>
      </c>
      <c r="G2851" s="11" t="s">
        <v>15482</v>
      </c>
      <c r="H2851" s="11">
        <v>7.008763601E9</v>
      </c>
      <c r="I2851" s="11" t="s">
        <v>70</v>
      </c>
      <c r="J2851" s="11" t="s">
        <v>71</v>
      </c>
      <c r="K2851" s="11" t="s">
        <v>72</v>
      </c>
      <c r="L2851" s="11" t="s">
        <v>73</v>
      </c>
      <c r="M2851" s="11" t="s">
        <v>15483</v>
      </c>
      <c r="N2851" s="11" t="s">
        <v>75</v>
      </c>
      <c r="O2851" s="11" t="s">
        <v>71</v>
      </c>
      <c r="P2851" s="11" t="s">
        <v>15484</v>
      </c>
      <c r="Q2851" s="13" t="s">
        <v>15485</v>
      </c>
      <c r="R2851" s="14" t="str">
        <f>HYPERLINK("https://drive.google.com/file/d/1HlJAolDdx66jriYBJ5RtMXT-ibL6MNuz/view?usp=drivesdk","OFFER LETTER")</f>
        <v>OFFER LETTER</v>
      </c>
      <c r="S2851" s="11" t="s">
        <v>15486</v>
      </c>
    </row>
    <row r="2852" ht="22.5" customHeight="1">
      <c r="A2852" s="10">
        <v>46274.37363785879</v>
      </c>
      <c r="B2852" s="11" t="s">
        <v>15487</v>
      </c>
      <c r="C2852" s="11" t="s">
        <v>128</v>
      </c>
      <c r="D2852" s="11" t="s">
        <v>108</v>
      </c>
      <c r="E2852" s="12">
        <v>46188.0</v>
      </c>
      <c r="F2852" s="12">
        <v>46249.0</v>
      </c>
      <c r="G2852" s="11" t="s">
        <v>15454</v>
      </c>
      <c r="H2852" s="11" t="s">
        <v>15488</v>
      </c>
      <c r="I2852" s="11" t="s">
        <v>70</v>
      </c>
      <c r="J2852" s="11" t="s">
        <v>130</v>
      </c>
      <c r="K2852" s="11" t="s">
        <v>72</v>
      </c>
      <c r="L2852" s="11" t="s">
        <v>131</v>
      </c>
      <c r="M2852" s="11" t="s">
        <v>15455</v>
      </c>
      <c r="N2852" s="11" t="s">
        <v>198</v>
      </c>
      <c r="O2852" s="11" t="s">
        <v>71</v>
      </c>
      <c r="P2852" s="11" t="s">
        <v>15489</v>
      </c>
      <c r="Q2852" s="13" t="s">
        <v>15490</v>
      </c>
      <c r="R2852" s="14" t="str">
        <f>HYPERLINK("https://drive.google.com/file/d/1RxrRJoL8O4y3pT2lD1mDfWCD4TxW02qk/view?usp=drivesdk","OFFER LETTER")</f>
        <v>OFFER LETTER</v>
      </c>
      <c r="S2852" s="11" t="s">
        <v>15491</v>
      </c>
    </row>
    <row r="2853" ht="22.5" customHeight="1">
      <c r="A2853" s="10">
        <v>46274.37831005787</v>
      </c>
      <c r="B2853" s="11" t="s">
        <v>15492</v>
      </c>
      <c r="C2853" s="11" t="s">
        <v>107</v>
      </c>
      <c r="D2853" s="11" t="s">
        <v>68</v>
      </c>
      <c r="E2853" s="12">
        <v>46178.0</v>
      </c>
      <c r="F2853" s="12">
        <v>46209.0</v>
      </c>
      <c r="G2853" s="11" t="s">
        <v>15493</v>
      </c>
      <c r="H2853" s="11">
        <v>9.840692797E9</v>
      </c>
      <c r="I2853" s="11" t="s">
        <v>82</v>
      </c>
      <c r="J2853" s="11" t="s">
        <v>71</v>
      </c>
      <c r="K2853" s="11" t="s">
        <v>72</v>
      </c>
      <c r="L2853" s="11" t="s">
        <v>131</v>
      </c>
      <c r="M2853" s="11" t="s">
        <v>15494</v>
      </c>
      <c r="N2853" s="11" t="s">
        <v>320</v>
      </c>
      <c r="O2853" s="11" t="s">
        <v>263</v>
      </c>
      <c r="P2853" s="11" t="s">
        <v>15495</v>
      </c>
      <c r="Q2853" s="13" t="s">
        <v>15496</v>
      </c>
      <c r="R2853" s="14" t="str">
        <f>HYPERLINK("https://drive.google.com/file/d/1CHHoqWYPimsepjoVZASSOnekywPCfWGi/view?usp=drivesdk","OFFER LETTER")</f>
        <v>OFFER LETTER</v>
      </c>
      <c r="S2853" s="11" t="s">
        <v>15497</v>
      </c>
    </row>
    <row r="2854" ht="22.5" customHeight="1">
      <c r="A2854" s="10">
        <v>46274.38280141204</v>
      </c>
      <c r="B2854" s="11" t="s">
        <v>15498</v>
      </c>
      <c r="C2854" s="11" t="s">
        <v>173</v>
      </c>
      <c r="D2854" s="11" t="s">
        <v>68</v>
      </c>
      <c r="E2854" s="12">
        <v>46204.0</v>
      </c>
      <c r="F2854" s="12">
        <v>46235.0</v>
      </c>
      <c r="G2854" s="11" t="s">
        <v>15499</v>
      </c>
      <c r="H2854" s="11">
        <v>8.248023645E9</v>
      </c>
      <c r="I2854" s="11" t="s">
        <v>82</v>
      </c>
      <c r="J2854" s="11" t="s">
        <v>130</v>
      </c>
      <c r="K2854" s="11" t="s">
        <v>72</v>
      </c>
      <c r="L2854" s="11" t="s">
        <v>73</v>
      </c>
      <c r="M2854" s="11" t="s">
        <v>15257</v>
      </c>
      <c r="N2854" s="11" t="s">
        <v>86</v>
      </c>
      <c r="O2854" s="11" t="s">
        <v>71</v>
      </c>
      <c r="P2854" s="11" t="s">
        <v>15500</v>
      </c>
      <c r="Q2854" s="13" t="s">
        <v>15501</v>
      </c>
      <c r="R2854" s="14" t="str">
        <f>HYPERLINK("https://drive.google.com/file/d/10XQcqxMawOYXPt4Y8-4TACikputxERLw/view?usp=drivesdk","OFFER LETTER")</f>
        <v>OFFER LETTER</v>
      </c>
      <c r="S2854" s="11" t="s">
        <v>15502</v>
      </c>
    </row>
    <row r="2855" ht="22.5" customHeight="1">
      <c r="A2855" s="10">
        <v>46274.39592707176</v>
      </c>
      <c r="B2855" s="11" t="s">
        <v>15503</v>
      </c>
      <c r="C2855" s="11" t="s">
        <v>237</v>
      </c>
      <c r="D2855" s="11" t="s">
        <v>68</v>
      </c>
      <c r="E2855" s="12">
        <v>46169.0</v>
      </c>
      <c r="F2855" s="12">
        <v>46200.0</v>
      </c>
      <c r="G2855" s="11" t="s">
        <v>15504</v>
      </c>
      <c r="H2855" s="11">
        <v>6.38249519E9</v>
      </c>
      <c r="I2855" s="11" t="s">
        <v>82</v>
      </c>
      <c r="J2855" s="11" t="s">
        <v>83</v>
      </c>
      <c r="K2855" s="11" t="s">
        <v>72</v>
      </c>
      <c r="L2855" s="11" t="s">
        <v>73</v>
      </c>
      <c r="M2855" s="11" t="s">
        <v>15505</v>
      </c>
      <c r="N2855" s="11" t="s">
        <v>86</v>
      </c>
      <c r="O2855" s="11" t="s">
        <v>71</v>
      </c>
      <c r="P2855" s="11" t="s">
        <v>15506</v>
      </c>
      <c r="Q2855" s="13" t="s">
        <v>15507</v>
      </c>
      <c r="R2855" s="14" t="str">
        <f>HYPERLINK("https://drive.google.com/file/d/1mMuAZWgZbbElK1s_OUewJiDSwjDBSCgF/view?usp=drivesdk","OFFER LETTER")</f>
        <v>OFFER LETTER</v>
      </c>
      <c r="S2855" s="11" t="s">
        <v>15508</v>
      </c>
    </row>
    <row r="2856" ht="22.5" customHeight="1">
      <c r="A2856" s="10">
        <v>46274.39948039352</v>
      </c>
      <c r="B2856" s="11" t="s">
        <v>15509</v>
      </c>
      <c r="C2856" s="11" t="s">
        <v>195</v>
      </c>
      <c r="D2856" s="11" t="s">
        <v>108</v>
      </c>
      <c r="E2856" s="12">
        <v>46207.0</v>
      </c>
      <c r="F2856" s="12">
        <v>46269.0</v>
      </c>
      <c r="G2856" s="11" t="s">
        <v>15510</v>
      </c>
      <c r="H2856" s="11">
        <v>9.305649144E9</v>
      </c>
      <c r="I2856" s="11" t="s">
        <v>82</v>
      </c>
      <c r="J2856" s="11" t="s">
        <v>71</v>
      </c>
      <c r="K2856" s="11" t="s">
        <v>72</v>
      </c>
      <c r="L2856" s="11" t="s">
        <v>131</v>
      </c>
      <c r="M2856" s="11" t="s">
        <v>15511</v>
      </c>
      <c r="N2856" s="11" t="s">
        <v>86</v>
      </c>
      <c r="O2856" s="11" t="s">
        <v>71</v>
      </c>
      <c r="P2856" s="11" t="s">
        <v>15512</v>
      </c>
      <c r="Q2856" s="13" t="s">
        <v>15513</v>
      </c>
      <c r="R2856" s="14" t="str">
        <f>HYPERLINK("https://drive.google.com/file/d/1oeiaydIrBbaVspdUV1KPRvzh1nPJMZrP/view?usp=drivesdk","OFFER LETTER")</f>
        <v>OFFER LETTER</v>
      </c>
      <c r="S2856" s="11" t="s">
        <v>15514</v>
      </c>
    </row>
    <row r="2857" ht="22.5" customHeight="1">
      <c r="A2857" s="10">
        <v>46274.403255185185</v>
      </c>
      <c r="B2857" s="11" t="s">
        <v>15515</v>
      </c>
      <c r="C2857" s="11" t="s">
        <v>195</v>
      </c>
      <c r="D2857" s="11" t="s">
        <v>108</v>
      </c>
      <c r="E2857" s="12">
        <v>46210.0</v>
      </c>
      <c r="F2857" s="12">
        <v>46272.0</v>
      </c>
      <c r="G2857" s="11" t="s">
        <v>15516</v>
      </c>
      <c r="H2857" s="11">
        <v>8.112335213E9</v>
      </c>
      <c r="I2857" s="11" t="s">
        <v>82</v>
      </c>
      <c r="J2857" s="11" t="s">
        <v>71</v>
      </c>
      <c r="K2857" s="11" t="s">
        <v>72</v>
      </c>
      <c r="L2857" s="11" t="s">
        <v>131</v>
      </c>
      <c r="M2857" s="11" t="s">
        <v>3002</v>
      </c>
      <c r="N2857" s="11" t="s">
        <v>86</v>
      </c>
      <c r="O2857" s="11" t="s">
        <v>71</v>
      </c>
      <c r="P2857" s="11" t="s">
        <v>15517</v>
      </c>
      <c r="Q2857" s="13" t="s">
        <v>15518</v>
      </c>
      <c r="R2857" s="14" t="str">
        <f>HYPERLINK("https://drive.google.com/file/d/1o0fJKR7eNAfzcJFWNbWfjnUXarytzcH2/view?usp=drivesdk","OFFER LETTER")</f>
        <v>OFFER LETTER</v>
      </c>
      <c r="S2857" s="11" t="s">
        <v>15519</v>
      </c>
    </row>
    <row r="2858" ht="22.5" customHeight="1">
      <c r="A2858" s="10">
        <v>46274.40379578704</v>
      </c>
      <c r="B2858" s="11" t="s">
        <v>8406</v>
      </c>
      <c r="C2858" s="11" t="s">
        <v>195</v>
      </c>
      <c r="D2858" s="11" t="s">
        <v>68</v>
      </c>
      <c r="E2858" s="12">
        <v>46266.0</v>
      </c>
      <c r="F2858" s="12">
        <v>46295.0</v>
      </c>
      <c r="G2858" s="11" t="s">
        <v>8407</v>
      </c>
      <c r="H2858" s="11">
        <v>9.234196044E9</v>
      </c>
      <c r="I2858" s="11" t="s">
        <v>70</v>
      </c>
      <c r="J2858" s="11" t="s">
        <v>71</v>
      </c>
      <c r="K2858" s="11" t="s">
        <v>72</v>
      </c>
      <c r="L2858" s="11" t="s">
        <v>84</v>
      </c>
      <c r="M2858" s="11" t="s">
        <v>15520</v>
      </c>
      <c r="N2858" s="11" t="s">
        <v>15521</v>
      </c>
      <c r="O2858" s="11" t="s">
        <v>71</v>
      </c>
      <c r="P2858" s="11" t="s">
        <v>15522</v>
      </c>
      <c r="Q2858" s="13" t="s">
        <v>15523</v>
      </c>
      <c r="R2858" s="14" t="str">
        <f>HYPERLINK("https://drive.google.com/file/d/14xGy07-C-sz4nyRBzVBz3yGP7bK5FV9v/view?usp=drivesdk","OFFER LETTER")</f>
        <v>OFFER LETTER</v>
      </c>
      <c r="S2858" s="11" t="s">
        <v>15524</v>
      </c>
    </row>
    <row r="2859" ht="22.5" customHeight="1">
      <c r="A2859" s="10">
        <v>46274.408401574074</v>
      </c>
      <c r="B2859" s="11" t="s">
        <v>15525</v>
      </c>
      <c r="C2859" s="11" t="s">
        <v>128</v>
      </c>
      <c r="D2859" s="11" t="s">
        <v>68</v>
      </c>
      <c r="E2859" s="12">
        <v>46235.0</v>
      </c>
      <c r="F2859" s="12">
        <v>46267.0</v>
      </c>
      <c r="G2859" s="11" t="s">
        <v>15526</v>
      </c>
      <c r="H2859" s="11">
        <v>9.315981823E9</v>
      </c>
      <c r="I2859" s="11" t="s">
        <v>82</v>
      </c>
      <c r="J2859" s="11" t="s">
        <v>71</v>
      </c>
      <c r="K2859" s="11" t="s">
        <v>72</v>
      </c>
      <c r="L2859" s="11" t="s">
        <v>84</v>
      </c>
      <c r="M2859" s="11" t="s">
        <v>849</v>
      </c>
      <c r="N2859" s="11" t="s">
        <v>75</v>
      </c>
      <c r="O2859" s="11" t="s">
        <v>71</v>
      </c>
      <c r="P2859" s="11" t="s">
        <v>15527</v>
      </c>
      <c r="Q2859" s="13" t="s">
        <v>15528</v>
      </c>
      <c r="R2859" s="14" t="str">
        <f>HYPERLINK("https://drive.google.com/file/d/1v_Q8BHWiySCh1ruKfeksBguBfQtuxU0w/view?usp=drivesdk","OFFER LETTER")</f>
        <v>OFFER LETTER</v>
      </c>
      <c r="S2859" s="11" t="s">
        <v>15529</v>
      </c>
    </row>
    <row r="2860" ht="22.5" customHeight="1">
      <c r="A2860" s="10">
        <v>46274.4133062037</v>
      </c>
      <c r="B2860" s="11" t="s">
        <v>15530</v>
      </c>
      <c r="C2860" s="11" t="s">
        <v>195</v>
      </c>
      <c r="D2860" s="11" t="s">
        <v>68</v>
      </c>
      <c r="E2860" s="12">
        <v>46237.0</v>
      </c>
      <c r="F2860" s="12">
        <v>46268.0</v>
      </c>
      <c r="G2860" s="11" t="s">
        <v>15531</v>
      </c>
      <c r="H2860" s="11">
        <v>9.69395382E9</v>
      </c>
      <c r="I2860" s="11" t="s">
        <v>82</v>
      </c>
      <c r="J2860" s="11" t="s">
        <v>71</v>
      </c>
      <c r="K2860" s="11" t="s">
        <v>72</v>
      </c>
      <c r="L2860" s="11" t="s">
        <v>84</v>
      </c>
      <c r="M2860" s="11" t="s">
        <v>2021</v>
      </c>
      <c r="N2860" s="11" t="s">
        <v>198</v>
      </c>
      <c r="O2860" s="11" t="s">
        <v>71</v>
      </c>
      <c r="P2860" s="11" t="s">
        <v>15532</v>
      </c>
      <c r="Q2860" s="13" t="s">
        <v>15533</v>
      </c>
      <c r="R2860" s="14" t="str">
        <f>HYPERLINK("https://drive.google.com/file/d/1lJu4KJqltb808UunxQote_7x1cGVNYbz/view?usp=drivesdk","OFFER LETTER")</f>
        <v>OFFER LETTER</v>
      </c>
      <c r="S2860" s="11" t="s">
        <v>15534</v>
      </c>
    </row>
    <row r="2861" ht="22.5" customHeight="1">
      <c r="A2861" s="10">
        <v>46274.4166340625</v>
      </c>
      <c r="B2861" s="11" t="s">
        <v>15535</v>
      </c>
      <c r="C2861" s="11" t="s">
        <v>259</v>
      </c>
      <c r="D2861" s="11" t="s">
        <v>68</v>
      </c>
      <c r="E2861" s="12">
        <v>46182.0</v>
      </c>
      <c r="F2861" s="12">
        <v>46212.0</v>
      </c>
      <c r="G2861" s="11" t="s">
        <v>15536</v>
      </c>
      <c r="H2861" s="11">
        <v>9.671049664E9</v>
      </c>
      <c r="I2861" s="11" t="s">
        <v>82</v>
      </c>
      <c r="J2861" s="11" t="s">
        <v>83</v>
      </c>
      <c r="K2861" s="11" t="s">
        <v>72</v>
      </c>
      <c r="L2861" s="11" t="s">
        <v>131</v>
      </c>
      <c r="M2861" s="11" t="s">
        <v>15537</v>
      </c>
      <c r="N2861" s="11" t="s">
        <v>5790</v>
      </c>
      <c r="O2861" s="11" t="s">
        <v>71</v>
      </c>
      <c r="P2861" s="11" t="s">
        <v>15538</v>
      </c>
      <c r="Q2861" s="13" t="s">
        <v>15539</v>
      </c>
      <c r="R2861" s="14" t="str">
        <f>HYPERLINK("https://drive.google.com/file/d/1eSQ-z4FezYtHBXd9duc2HO_ukAWaoSv_/view?usp=drivesdk","OFFER LETTER")</f>
        <v>OFFER LETTER</v>
      </c>
      <c r="S2861" s="11" t="s">
        <v>15540</v>
      </c>
    </row>
    <row r="2862" ht="22.5" customHeight="1">
      <c r="A2862" s="10">
        <v>46274.41715445602</v>
      </c>
      <c r="B2862" s="11" t="s">
        <v>15541</v>
      </c>
      <c r="C2862" s="11" t="s">
        <v>195</v>
      </c>
      <c r="D2862" s="11" t="s">
        <v>108</v>
      </c>
      <c r="E2862" s="12">
        <v>46204.0</v>
      </c>
      <c r="F2862" s="12">
        <v>46265.0</v>
      </c>
      <c r="G2862" s="11" t="s">
        <v>15542</v>
      </c>
      <c r="H2862" s="11">
        <v>9.1826305E9</v>
      </c>
      <c r="I2862" s="11" t="s">
        <v>70</v>
      </c>
      <c r="J2862" s="11" t="s">
        <v>71</v>
      </c>
      <c r="K2862" s="11" t="s">
        <v>72</v>
      </c>
      <c r="L2862" s="11" t="s">
        <v>131</v>
      </c>
      <c r="M2862" s="11" t="s">
        <v>6799</v>
      </c>
      <c r="N2862" s="11" t="s">
        <v>198</v>
      </c>
      <c r="O2862" s="11" t="s">
        <v>71</v>
      </c>
      <c r="P2862" s="11" t="s">
        <v>15543</v>
      </c>
      <c r="Q2862" s="13" t="s">
        <v>15544</v>
      </c>
      <c r="R2862" s="14" t="str">
        <f>HYPERLINK("https://drive.google.com/file/d/1FA5dhUWtssL31J8hDy9pPv_FaVYT8PH4/view?usp=drivesdk","OFFER LETTER")</f>
        <v>OFFER LETTER</v>
      </c>
      <c r="S2862" s="11" t="s">
        <v>15545</v>
      </c>
    </row>
    <row r="2863" ht="22.5" customHeight="1">
      <c r="A2863" s="10">
        <v>46274.42447975694</v>
      </c>
      <c r="B2863" s="11" t="s">
        <v>15546</v>
      </c>
      <c r="C2863" s="11" t="s">
        <v>128</v>
      </c>
      <c r="D2863" s="11" t="s">
        <v>68</v>
      </c>
      <c r="E2863" s="12">
        <v>46274.0</v>
      </c>
      <c r="F2863" s="12">
        <v>46304.0</v>
      </c>
      <c r="G2863" s="11" t="s">
        <v>15547</v>
      </c>
      <c r="H2863" s="11">
        <v>7.075908051E9</v>
      </c>
      <c r="I2863" s="11" t="s">
        <v>70</v>
      </c>
      <c r="J2863" s="11" t="s">
        <v>71</v>
      </c>
      <c r="K2863" s="11" t="s">
        <v>72</v>
      </c>
      <c r="L2863" s="11" t="s">
        <v>73</v>
      </c>
      <c r="M2863" s="11" t="s">
        <v>15548</v>
      </c>
      <c r="N2863" s="11" t="s">
        <v>75</v>
      </c>
      <c r="O2863" s="11" t="s">
        <v>71</v>
      </c>
      <c r="P2863" s="11" t="s">
        <v>15549</v>
      </c>
      <c r="Q2863" s="13" t="s">
        <v>15550</v>
      </c>
      <c r="R2863" s="14" t="str">
        <f>HYPERLINK("https://drive.google.com/file/d/140pi5oi0P8Uaf8x3ewDkM1Br6Hoh-Zf2/view?usp=drivesdk","OFFER LETTER")</f>
        <v>OFFER LETTER</v>
      </c>
      <c r="S2863" s="11" t="s">
        <v>15551</v>
      </c>
    </row>
    <row r="2864" ht="22.5" customHeight="1">
      <c r="A2864" s="10">
        <v>46274.431190358795</v>
      </c>
      <c r="B2864" s="11" t="s">
        <v>15552</v>
      </c>
      <c r="C2864" s="11" t="s">
        <v>67</v>
      </c>
      <c r="D2864" s="11" t="s">
        <v>68</v>
      </c>
      <c r="E2864" s="12">
        <v>46244.0</v>
      </c>
      <c r="F2864" s="12">
        <v>46275.0</v>
      </c>
      <c r="G2864" s="11" t="s">
        <v>15553</v>
      </c>
      <c r="H2864" s="11">
        <v>9.056590729E9</v>
      </c>
      <c r="I2864" s="11" t="s">
        <v>82</v>
      </c>
      <c r="J2864" s="11" t="s">
        <v>71</v>
      </c>
      <c r="K2864" s="11" t="s">
        <v>72</v>
      </c>
      <c r="L2864" s="11" t="s">
        <v>84</v>
      </c>
      <c r="M2864" s="11" t="s">
        <v>15554</v>
      </c>
      <c r="N2864" s="11" t="s">
        <v>75</v>
      </c>
      <c r="O2864" s="11" t="s">
        <v>71</v>
      </c>
      <c r="P2864" s="11" t="s">
        <v>15555</v>
      </c>
      <c r="Q2864" s="13" t="s">
        <v>15556</v>
      </c>
      <c r="R2864" s="14" t="str">
        <f>HYPERLINK("https://drive.google.com/file/d/1dORE9V3ePVxUlg8KosVXG4U_hIuUxvmv/view?usp=drivesdk","OFFER LETTER")</f>
        <v>OFFER LETTER</v>
      </c>
      <c r="S2864" s="11" t="s">
        <v>15557</v>
      </c>
    </row>
    <row r="2865" ht="22.5" customHeight="1">
      <c r="A2865" s="10">
        <v>46274.43330574074</v>
      </c>
      <c r="B2865" s="11" t="s">
        <v>15558</v>
      </c>
      <c r="C2865" s="11" t="s">
        <v>195</v>
      </c>
      <c r="D2865" s="11" t="s">
        <v>68</v>
      </c>
      <c r="E2865" s="12">
        <v>46228.0</v>
      </c>
      <c r="F2865" s="12">
        <v>46259.0</v>
      </c>
      <c r="G2865" s="11" t="s">
        <v>15559</v>
      </c>
      <c r="H2865" s="11">
        <v>8.292436946E9</v>
      </c>
      <c r="I2865" s="11" t="s">
        <v>82</v>
      </c>
      <c r="J2865" s="11" t="s">
        <v>71</v>
      </c>
      <c r="K2865" s="11" t="s">
        <v>72</v>
      </c>
      <c r="L2865" s="11" t="s">
        <v>84</v>
      </c>
      <c r="M2865" s="11" t="s">
        <v>560</v>
      </c>
      <c r="N2865" s="11" t="s">
        <v>75</v>
      </c>
      <c r="O2865" s="11" t="s">
        <v>71</v>
      </c>
      <c r="P2865" s="11" t="s">
        <v>15560</v>
      </c>
      <c r="Q2865" s="13" t="s">
        <v>15561</v>
      </c>
      <c r="R2865" s="14" t="str">
        <f>HYPERLINK("https://drive.google.com/file/d/1Lmt8dyfoxOW59VhM5xHIB5xP2VYWXYIX/view?usp=drivesdk","OFFER LETTER")</f>
        <v>OFFER LETTER</v>
      </c>
      <c r="S2865" s="11" t="s">
        <v>15562</v>
      </c>
    </row>
    <row r="2866" ht="22.5" customHeight="1">
      <c r="A2866" s="10">
        <v>46274.43342206019</v>
      </c>
      <c r="B2866" s="11" t="s">
        <v>15563</v>
      </c>
      <c r="C2866" s="11" t="s">
        <v>259</v>
      </c>
      <c r="D2866" s="11" t="s">
        <v>68</v>
      </c>
      <c r="E2866" s="12">
        <v>46184.0</v>
      </c>
      <c r="F2866" s="12">
        <v>46214.0</v>
      </c>
      <c r="G2866" s="11" t="s">
        <v>15564</v>
      </c>
      <c r="H2866" s="11">
        <v>9.350231572E9</v>
      </c>
      <c r="I2866" s="11" t="s">
        <v>82</v>
      </c>
      <c r="J2866" s="11" t="s">
        <v>83</v>
      </c>
      <c r="K2866" s="11" t="s">
        <v>72</v>
      </c>
      <c r="L2866" s="11" t="s">
        <v>131</v>
      </c>
      <c r="M2866" s="11" t="s">
        <v>15565</v>
      </c>
      <c r="N2866" s="11" t="s">
        <v>86</v>
      </c>
      <c r="O2866" s="11" t="s">
        <v>71</v>
      </c>
      <c r="P2866" s="11" t="s">
        <v>15566</v>
      </c>
      <c r="Q2866" s="13" t="s">
        <v>15567</v>
      </c>
      <c r="R2866" s="14" t="str">
        <f>HYPERLINK("https://drive.google.com/file/d/1yY72DCall_JWJ4MBSvN64B77kq26lJPk/view?usp=drivesdk","OFFER LETTER")</f>
        <v>OFFER LETTER</v>
      </c>
      <c r="S2866" s="11" t="s">
        <v>15568</v>
      </c>
    </row>
    <row r="2867" ht="22.5" customHeight="1">
      <c r="A2867" s="10">
        <v>46274.442689375</v>
      </c>
      <c r="B2867" s="11" t="s">
        <v>15569</v>
      </c>
      <c r="C2867" s="11" t="s">
        <v>173</v>
      </c>
      <c r="D2867" s="11" t="s">
        <v>108</v>
      </c>
      <c r="E2867" s="12">
        <v>46204.0</v>
      </c>
      <c r="F2867" s="12">
        <v>46265.0</v>
      </c>
      <c r="G2867" s="11" t="s">
        <v>15570</v>
      </c>
      <c r="H2867" s="11">
        <v>6.304199574E9</v>
      </c>
      <c r="I2867" s="11" t="s">
        <v>70</v>
      </c>
      <c r="J2867" s="11" t="s">
        <v>71</v>
      </c>
      <c r="K2867" s="11" t="s">
        <v>72</v>
      </c>
      <c r="L2867" s="11" t="s">
        <v>131</v>
      </c>
      <c r="M2867" s="11" t="s">
        <v>11316</v>
      </c>
      <c r="N2867" s="11" t="s">
        <v>198</v>
      </c>
      <c r="O2867" s="11" t="s">
        <v>71</v>
      </c>
      <c r="P2867" s="11" t="s">
        <v>15571</v>
      </c>
      <c r="Q2867" s="13" t="s">
        <v>15572</v>
      </c>
      <c r="R2867" s="14" t="str">
        <f>HYPERLINK("https://drive.google.com/file/d/1jgfvfAdlIVLLH1wbDOqcKeieyHyB4AQT/view?usp=drivesdk","OFFER LETTER")</f>
        <v>OFFER LETTER</v>
      </c>
      <c r="S2867" s="11" t="s">
        <v>15573</v>
      </c>
    </row>
    <row r="2868" ht="22.5" customHeight="1">
      <c r="A2868" s="10">
        <v>46274.449862650465</v>
      </c>
      <c r="B2868" s="11" t="s">
        <v>15574</v>
      </c>
      <c r="C2868" s="11" t="s">
        <v>2591</v>
      </c>
      <c r="D2868" s="11" t="s">
        <v>68</v>
      </c>
      <c r="E2868" s="12">
        <v>46218.0</v>
      </c>
      <c r="F2868" s="12">
        <v>46249.0</v>
      </c>
      <c r="G2868" s="11" t="s">
        <v>15575</v>
      </c>
      <c r="H2868" s="11">
        <v>7.428316746E9</v>
      </c>
      <c r="I2868" s="11" t="s">
        <v>82</v>
      </c>
      <c r="J2868" s="11" t="s">
        <v>71</v>
      </c>
      <c r="K2868" s="11" t="s">
        <v>72</v>
      </c>
      <c r="L2868" s="11" t="s">
        <v>73</v>
      </c>
      <c r="M2868" s="11" t="s">
        <v>15576</v>
      </c>
      <c r="N2868" s="11" t="s">
        <v>86</v>
      </c>
      <c r="O2868" s="11" t="s">
        <v>71</v>
      </c>
      <c r="P2868" s="11" t="s">
        <v>15577</v>
      </c>
      <c r="Q2868" s="13" t="s">
        <v>15578</v>
      </c>
      <c r="R2868" s="14" t="str">
        <f>HYPERLINK("https://drive.google.com/file/d/1Rrc3NN8jSdHM-UWZAJkp_lNjwCkGHLNb/view?usp=drivesdk","OFFER LETTER")</f>
        <v>OFFER LETTER</v>
      </c>
      <c r="S2868" s="11" t="s">
        <v>15579</v>
      </c>
    </row>
    <row r="2869" ht="22.5" customHeight="1">
      <c r="A2869" s="10">
        <v>46274.45277488426</v>
      </c>
      <c r="B2869" s="11" t="s">
        <v>15580</v>
      </c>
      <c r="C2869" s="11" t="s">
        <v>1200</v>
      </c>
      <c r="D2869" s="11" t="s">
        <v>68</v>
      </c>
      <c r="E2869" s="12">
        <v>46235.0</v>
      </c>
      <c r="F2869" s="12">
        <v>46266.0</v>
      </c>
      <c r="G2869" s="11" t="s">
        <v>15581</v>
      </c>
      <c r="H2869" s="11">
        <v>9.311822959E9</v>
      </c>
      <c r="I2869" s="11" t="s">
        <v>82</v>
      </c>
      <c r="J2869" s="11" t="s">
        <v>71</v>
      </c>
      <c r="K2869" s="11" t="s">
        <v>72</v>
      </c>
      <c r="L2869" s="11" t="s">
        <v>357</v>
      </c>
      <c r="M2869" s="11" t="s">
        <v>15582</v>
      </c>
      <c r="N2869" s="11" t="s">
        <v>655</v>
      </c>
      <c r="O2869" s="11" t="s">
        <v>71</v>
      </c>
      <c r="P2869" s="11" t="s">
        <v>15583</v>
      </c>
      <c r="Q2869" s="13" t="s">
        <v>15584</v>
      </c>
      <c r="R2869" s="14" t="str">
        <f>HYPERLINK("https://drive.google.com/file/d/1FdhZ9PJ-Y8vFpwXbSSZL7DF5GL6nEvPA/view?usp=drivesdk","OFFER LETTER")</f>
        <v>OFFER LETTER</v>
      </c>
      <c r="S2869" s="11" t="s">
        <v>15585</v>
      </c>
    </row>
    <row r="2870" ht="22.5" customHeight="1">
      <c r="A2870" s="10">
        <v>46274.45626011574</v>
      </c>
      <c r="B2870" s="11" t="s">
        <v>15586</v>
      </c>
      <c r="C2870" s="11" t="s">
        <v>128</v>
      </c>
      <c r="D2870" s="11" t="s">
        <v>68</v>
      </c>
      <c r="E2870" s="12">
        <v>46202.0</v>
      </c>
      <c r="F2870" s="12">
        <v>46232.0</v>
      </c>
      <c r="G2870" s="11" t="s">
        <v>15587</v>
      </c>
      <c r="H2870" s="11">
        <v>9.93953228E9</v>
      </c>
      <c r="I2870" s="11" t="s">
        <v>82</v>
      </c>
      <c r="J2870" s="11" t="s">
        <v>71</v>
      </c>
      <c r="K2870" s="11" t="s">
        <v>110</v>
      </c>
      <c r="L2870" s="11" t="s">
        <v>73</v>
      </c>
      <c r="M2870" s="11" t="s">
        <v>15588</v>
      </c>
      <c r="N2870" s="11" t="s">
        <v>630</v>
      </c>
      <c r="O2870" s="11" t="s">
        <v>71</v>
      </c>
      <c r="P2870" s="11" t="s">
        <v>15589</v>
      </c>
      <c r="Q2870" s="13" t="s">
        <v>15590</v>
      </c>
      <c r="R2870" s="14" t="str">
        <f>HYPERLINK("https://drive.google.com/file/d/1FXg30-51pVIvvEol4-rQXFIHmAG8fTPP/view?usp=drivesdk","OFFER LETTER")</f>
        <v>OFFER LETTER</v>
      </c>
      <c r="S2870" s="11" t="s">
        <v>15591</v>
      </c>
    </row>
    <row r="2871" ht="22.5" customHeight="1">
      <c r="A2871" s="10">
        <v>46274.45761978009</v>
      </c>
      <c r="B2871" s="11" t="s">
        <v>15592</v>
      </c>
      <c r="C2871" s="11" t="s">
        <v>173</v>
      </c>
      <c r="D2871" s="11" t="s">
        <v>68</v>
      </c>
      <c r="E2871" s="12">
        <v>46188.0</v>
      </c>
      <c r="F2871" s="12">
        <v>46218.0</v>
      </c>
      <c r="G2871" s="11" t="s">
        <v>15593</v>
      </c>
      <c r="H2871" s="11">
        <v>9.990331261E9</v>
      </c>
      <c r="I2871" s="11" t="s">
        <v>82</v>
      </c>
      <c r="J2871" s="11" t="s">
        <v>71</v>
      </c>
      <c r="K2871" s="11" t="s">
        <v>72</v>
      </c>
      <c r="L2871" s="11" t="s">
        <v>131</v>
      </c>
      <c r="M2871" s="11" t="s">
        <v>5562</v>
      </c>
      <c r="N2871" s="11" t="s">
        <v>75</v>
      </c>
      <c r="O2871" s="11" t="s">
        <v>71</v>
      </c>
      <c r="P2871" s="11" t="s">
        <v>15594</v>
      </c>
      <c r="Q2871" s="13" t="s">
        <v>15595</v>
      </c>
      <c r="R2871" s="14" t="str">
        <f>HYPERLINK("https://drive.google.com/file/d/1lpqUXL99rO7XjGD3ktB3Oyzl37SkzCVi/view?usp=drivesdk","OFFER LETTER")</f>
        <v>OFFER LETTER</v>
      </c>
      <c r="S2871" s="11" t="s">
        <v>15596</v>
      </c>
    </row>
    <row r="2872" ht="22.5" customHeight="1">
      <c r="A2872" s="10">
        <v>46274.45963846065</v>
      </c>
      <c r="B2872" s="11" t="s">
        <v>15597</v>
      </c>
      <c r="C2872" s="11" t="s">
        <v>259</v>
      </c>
      <c r="D2872" s="11" t="s">
        <v>68</v>
      </c>
      <c r="E2872" s="12">
        <v>46235.0</v>
      </c>
      <c r="F2872" s="12">
        <v>46266.0</v>
      </c>
      <c r="G2872" s="11" t="s">
        <v>15598</v>
      </c>
      <c r="H2872" s="11">
        <v>7.505726477E9</v>
      </c>
      <c r="I2872" s="11" t="s">
        <v>82</v>
      </c>
      <c r="J2872" s="11" t="s">
        <v>71</v>
      </c>
      <c r="K2872" s="11" t="s">
        <v>110</v>
      </c>
      <c r="L2872" s="11" t="s">
        <v>73</v>
      </c>
      <c r="M2872" s="11" t="s">
        <v>15599</v>
      </c>
      <c r="N2872" s="11" t="s">
        <v>1641</v>
      </c>
      <c r="O2872" s="11" t="s">
        <v>71</v>
      </c>
      <c r="P2872" s="11" t="s">
        <v>15600</v>
      </c>
      <c r="Q2872" s="13" t="s">
        <v>15601</v>
      </c>
      <c r="R2872" s="14" t="str">
        <f>HYPERLINK("https://drive.google.com/file/d/1IOYXcTqITaURJ857gKIVxkRBaoSo87z_/view?usp=drivesdk","OFFER LETTER")</f>
        <v>OFFER LETTER</v>
      </c>
      <c r="S2872" s="11" t="s">
        <v>15602</v>
      </c>
    </row>
    <row r="2873" ht="22.5" customHeight="1">
      <c r="A2873" s="10">
        <v>46274.46565283565</v>
      </c>
      <c r="B2873" s="11" t="s">
        <v>15603</v>
      </c>
      <c r="C2873" s="11" t="s">
        <v>128</v>
      </c>
      <c r="D2873" s="11" t="s">
        <v>238</v>
      </c>
      <c r="E2873" s="12">
        <v>46227.0</v>
      </c>
      <c r="F2873" s="12">
        <v>46319.0</v>
      </c>
      <c r="G2873" s="11" t="s">
        <v>15604</v>
      </c>
      <c r="H2873" s="11">
        <v>9.409907806E9</v>
      </c>
      <c r="I2873" s="11" t="s">
        <v>82</v>
      </c>
      <c r="J2873" s="11" t="s">
        <v>83</v>
      </c>
      <c r="K2873" s="11" t="s">
        <v>72</v>
      </c>
      <c r="L2873" s="11" t="s">
        <v>73</v>
      </c>
      <c r="M2873" s="11" t="s">
        <v>15605</v>
      </c>
      <c r="N2873" s="11" t="s">
        <v>86</v>
      </c>
      <c r="O2873" s="11" t="s">
        <v>71</v>
      </c>
      <c r="P2873" s="11" t="s">
        <v>15606</v>
      </c>
      <c r="Q2873" s="13" t="s">
        <v>15607</v>
      </c>
      <c r="R2873" s="14" t="str">
        <f>HYPERLINK("https://drive.google.com/file/d/1g9J4NaFhiUswdeEiJStU_5XksiYyh7tp/view?usp=drivesdk","OFFER LETTER")</f>
        <v>OFFER LETTER</v>
      </c>
      <c r="S2873" s="11" t="s">
        <v>15608</v>
      </c>
    </row>
    <row r="2874" ht="22.5" customHeight="1">
      <c r="A2874" s="10">
        <v>46274.48006761574</v>
      </c>
      <c r="B2874" s="11" t="s">
        <v>15609</v>
      </c>
      <c r="C2874" s="11" t="s">
        <v>128</v>
      </c>
      <c r="D2874" s="11" t="s">
        <v>68</v>
      </c>
      <c r="E2874" s="12">
        <v>46196.0</v>
      </c>
      <c r="F2874" s="12">
        <v>46226.0</v>
      </c>
      <c r="G2874" s="11" t="s">
        <v>15610</v>
      </c>
      <c r="H2874" s="11">
        <v>8.750931026E9</v>
      </c>
      <c r="I2874" s="11" t="s">
        <v>82</v>
      </c>
      <c r="J2874" s="11" t="s">
        <v>71</v>
      </c>
      <c r="K2874" s="11" t="s">
        <v>72</v>
      </c>
      <c r="L2874" s="11" t="s">
        <v>84</v>
      </c>
      <c r="M2874" s="11" t="s">
        <v>12338</v>
      </c>
      <c r="N2874" s="11" t="s">
        <v>86</v>
      </c>
      <c r="O2874" s="11" t="s">
        <v>71</v>
      </c>
      <c r="P2874" s="11" t="s">
        <v>15611</v>
      </c>
      <c r="Q2874" s="13" t="s">
        <v>15612</v>
      </c>
      <c r="R2874" s="14" t="str">
        <f>HYPERLINK("https://drive.google.com/file/d/1jszE6cTrjye05QIGeArHS_LYtCcCks0s/view?usp=drivesdk","OFFER LETTER")</f>
        <v>OFFER LETTER</v>
      </c>
      <c r="S2874" s="11" t="s">
        <v>15613</v>
      </c>
    </row>
    <row r="2875" ht="22.5" customHeight="1">
      <c r="A2875" s="10">
        <v>46274.48190731481</v>
      </c>
      <c r="B2875" s="11" t="s">
        <v>15614</v>
      </c>
      <c r="C2875" s="11" t="s">
        <v>195</v>
      </c>
      <c r="D2875" s="11" t="s">
        <v>108</v>
      </c>
      <c r="E2875" s="12">
        <v>46209.0</v>
      </c>
      <c r="F2875" s="12">
        <v>46272.0</v>
      </c>
      <c r="G2875" s="11" t="s">
        <v>15615</v>
      </c>
      <c r="H2875" s="11">
        <v>8.260906311E9</v>
      </c>
      <c r="I2875" s="11" t="s">
        <v>82</v>
      </c>
      <c r="J2875" s="11" t="s">
        <v>71</v>
      </c>
      <c r="K2875" s="11" t="s">
        <v>72</v>
      </c>
      <c r="L2875" s="11" t="s">
        <v>73</v>
      </c>
      <c r="M2875" s="11" t="s">
        <v>15616</v>
      </c>
      <c r="N2875" s="11" t="s">
        <v>75</v>
      </c>
      <c r="O2875" s="11" t="s">
        <v>71</v>
      </c>
      <c r="P2875" s="11" t="s">
        <v>15617</v>
      </c>
      <c r="Q2875" s="13" t="s">
        <v>15618</v>
      </c>
      <c r="R2875" s="14" t="str">
        <f>HYPERLINK("https://drive.google.com/file/d/1Zg44TN6BgwYoxdWjacCYYAGan-UXjrco/view?usp=drivesdk","OFFER LETTER")</f>
        <v>OFFER LETTER</v>
      </c>
      <c r="S2875" s="11" t="s">
        <v>15619</v>
      </c>
    </row>
    <row r="2876" ht="22.5" customHeight="1">
      <c r="A2876" s="10">
        <v>46274.48457479167</v>
      </c>
      <c r="B2876" s="11" t="s">
        <v>15620</v>
      </c>
      <c r="C2876" s="11" t="s">
        <v>173</v>
      </c>
      <c r="D2876" s="11" t="s">
        <v>68</v>
      </c>
      <c r="E2876" s="12">
        <v>46176.0</v>
      </c>
      <c r="F2876" s="12">
        <v>46206.0</v>
      </c>
      <c r="G2876" s="11" t="s">
        <v>15621</v>
      </c>
      <c r="H2876" s="11">
        <v>9.989399255E9</v>
      </c>
      <c r="I2876" s="11" t="s">
        <v>82</v>
      </c>
      <c r="J2876" s="11" t="s">
        <v>71</v>
      </c>
      <c r="K2876" s="11" t="s">
        <v>72</v>
      </c>
      <c r="L2876" s="11" t="s">
        <v>84</v>
      </c>
      <c r="M2876" s="11" t="s">
        <v>9570</v>
      </c>
      <c r="N2876" s="11" t="s">
        <v>86</v>
      </c>
      <c r="O2876" s="11" t="s">
        <v>71</v>
      </c>
      <c r="P2876" s="11" t="s">
        <v>15622</v>
      </c>
      <c r="Q2876" s="13" t="s">
        <v>15623</v>
      </c>
      <c r="R2876" s="14" t="str">
        <f>HYPERLINK("https://drive.google.com/file/d/1O8-8rDKCDqU0Tzz1bMmwfvo14IiRwcyn/view?usp=drivesdk","OFFER LETTER")</f>
        <v>OFFER LETTER</v>
      </c>
      <c r="S2876" s="11" t="s">
        <v>15624</v>
      </c>
    </row>
    <row r="2877" ht="22.5" customHeight="1">
      <c r="A2877" s="10">
        <v>46274.500135208335</v>
      </c>
      <c r="B2877" s="11" t="s">
        <v>15625</v>
      </c>
      <c r="C2877" s="11" t="s">
        <v>354</v>
      </c>
      <c r="D2877" s="11" t="s">
        <v>108</v>
      </c>
      <c r="E2877" s="12">
        <v>46205.0</v>
      </c>
      <c r="F2877" s="12">
        <v>46267.0</v>
      </c>
      <c r="G2877" s="11" t="s">
        <v>15626</v>
      </c>
      <c r="H2877" s="11">
        <v>7.89427746E9</v>
      </c>
      <c r="I2877" s="11" t="s">
        <v>82</v>
      </c>
      <c r="J2877" s="11" t="s">
        <v>71</v>
      </c>
      <c r="K2877" s="11" t="s">
        <v>72</v>
      </c>
      <c r="L2877" s="11" t="s">
        <v>73</v>
      </c>
      <c r="M2877" s="11" t="s">
        <v>15627</v>
      </c>
      <c r="N2877" s="11" t="s">
        <v>219</v>
      </c>
      <c r="O2877" s="11" t="s">
        <v>71</v>
      </c>
      <c r="P2877" s="11" t="s">
        <v>15628</v>
      </c>
      <c r="Q2877" s="13" t="s">
        <v>15629</v>
      </c>
      <c r="R2877" s="14" t="str">
        <f>HYPERLINK("https://drive.google.com/file/d/1TeQqBLMow2rhO1wFhXi5qJ1Nj2ymQlIw/view?usp=drivesdk","OFFER LETTER")</f>
        <v>OFFER LETTER</v>
      </c>
      <c r="S2877" s="11" t="s">
        <v>15630</v>
      </c>
    </row>
    <row r="2878" ht="22.5" customHeight="1">
      <c r="A2878" s="10">
        <v>46274.50333050926</v>
      </c>
      <c r="B2878" s="11" t="s">
        <v>15631</v>
      </c>
      <c r="C2878" s="11" t="s">
        <v>91</v>
      </c>
      <c r="D2878" s="11" t="s">
        <v>68</v>
      </c>
      <c r="E2878" s="12">
        <v>46274.0</v>
      </c>
      <c r="F2878" s="12">
        <v>46304.0</v>
      </c>
      <c r="G2878" s="11" t="s">
        <v>15632</v>
      </c>
      <c r="H2878" s="11">
        <v>9.618403433E9</v>
      </c>
      <c r="I2878" s="11" t="s">
        <v>70</v>
      </c>
      <c r="J2878" s="11" t="s">
        <v>71</v>
      </c>
      <c r="K2878" s="11" t="s">
        <v>72</v>
      </c>
      <c r="L2878" s="11" t="s">
        <v>73</v>
      </c>
      <c r="M2878" s="11" t="s">
        <v>15633</v>
      </c>
      <c r="N2878" s="11" t="s">
        <v>75</v>
      </c>
      <c r="O2878" s="11" t="s">
        <v>71</v>
      </c>
      <c r="P2878" s="11" t="s">
        <v>15634</v>
      </c>
      <c r="Q2878" s="13" t="s">
        <v>15635</v>
      </c>
      <c r="R2878" s="14" t="str">
        <f>HYPERLINK("https://drive.google.com/file/d/1THqqE-Ha_hXPDFvNwb2zfB9_ULXyfTB6/view?usp=drivesdk","OFFER LETTER")</f>
        <v>OFFER LETTER</v>
      </c>
      <c r="S2878" s="11" t="s">
        <v>15636</v>
      </c>
    </row>
    <row r="2879" ht="22.5" customHeight="1">
      <c r="A2879" s="10">
        <v>46274.51689629629</v>
      </c>
      <c r="B2879" s="11" t="s">
        <v>15637</v>
      </c>
      <c r="C2879" s="11" t="s">
        <v>195</v>
      </c>
      <c r="D2879" s="11" t="s">
        <v>68</v>
      </c>
      <c r="E2879" s="12">
        <v>46183.0</v>
      </c>
      <c r="F2879" s="12">
        <v>46213.0</v>
      </c>
      <c r="G2879" s="11" t="s">
        <v>12786</v>
      </c>
      <c r="H2879" s="11">
        <v>8.90077819E9</v>
      </c>
      <c r="I2879" s="11" t="s">
        <v>82</v>
      </c>
      <c r="J2879" s="11" t="s">
        <v>71</v>
      </c>
      <c r="K2879" s="11" t="s">
        <v>72</v>
      </c>
      <c r="L2879" s="11" t="s">
        <v>84</v>
      </c>
      <c r="M2879" s="11" t="s">
        <v>849</v>
      </c>
      <c r="N2879" s="11" t="s">
        <v>75</v>
      </c>
      <c r="O2879" s="11" t="s">
        <v>71</v>
      </c>
      <c r="P2879" s="11" t="s">
        <v>15638</v>
      </c>
      <c r="Q2879" s="13" t="s">
        <v>15639</v>
      </c>
      <c r="R2879" s="14" t="str">
        <f>HYPERLINK("https://drive.google.com/file/d/1SbmX2Hc3122O6Vgx0-UmE8hr2eiS-tl8/view?usp=drivesdk","OFFER LETTER")</f>
        <v>OFFER LETTER</v>
      </c>
      <c r="S2879" s="11" t="s">
        <v>15640</v>
      </c>
    </row>
    <row r="2880" ht="22.5" customHeight="1">
      <c r="A2880" s="10">
        <v>46274.51847456019</v>
      </c>
      <c r="B2880" s="11" t="s">
        <v>15641</v>
      </c>
      <c r="C2880" s="11" t="s">
        <v>298</v>
      </c>
      <c r="D2880" s="11" t="s">
        <v>108</v>
      </c>
      <c r="E2880" s="12">
        <v>46238.0</v>
      </c>
      <c r="F2880" s="12">
        <v>46299.0</v>
      </c>
      <c r="G2880" s="11" t="s">
        <v>15642</v>
      </c>
      <c r="H2880" s="11">
        <v>9.993901749E9</v>
      </c>
      <c r="I2880" s="11" t="s">
        <v>82</v>
      </c>
      <c r="J2880" s="11" t="s">
        <v>71</v>
      </c>
      <c r="K2880" s="11" t="s">
        <v>72</v>
      </c>
      <c r="L2880" s="11" t="s">
        <v>131</v>
      </c>
      <c r="M2880" s="11" t="s">
        <v>15643</v>
      </c>
      <c r="N2880" s="11" t="s">
        <v>226</v>
      </c>
      <c r="O2880" s="11" t="s">
        <v>71</v>
      </c>
      <c r="P2880" s="11" t="s">
        <v>15644</v>
      </c>
      <c r="Q2880" s="13" t="s">
        <v>15645</v>
      </c>
      <c r="R2880" s="14" t="str">
        <f>HYPERLINK("https://drive.google.com/file/d/1HziKOiUrUe0JuziilejoIEP5w1SnBkZT/view?usp=drivesdk","OFFER LETTER")</f>
        <v>OFFER LETTER</v>
      </c>
      <c r="S2880" s="11" t="s">
        <v>15646</v>
      </c>
    </row>
    <row r="2881" ht="22.5" customHeight="1">
      <c r="A2881" s="10">
        <v>46274.51995408565</v>
      </c>
      <c r="B2881" s="11" t="s">
        <v>15541</v>
      </c>
      <c r="C2881" s="11" t="s">
        <v>195</v>
      </c>
      <c r="D2881" s="11" t="s">
        <v>108</v>
      </c>
      <c r="E2881" s="12">
        <v>46204.0</v>
      </c>
      <c r="F2881" s="12">
        <v>46265.0</v>
      </c>
      <c r="G2881" s="11" t="s">
        <v>15647</v>
      </c>
      <c r="H2881" s="11">
        <v>9.1826305E9</v>
      </c>
      <c r="I2881" s="11" t="s">
        <v>70</v>
      </c>
      <c r="J2881" s="11" t="s">
        <v>71</v>
      </c>
      <c r="K2881" s="11" t="s">
        <v>72</v>
      </c>
      <c r="L2881" s="11" t="s">
        <v>131</v>
      </c>
      <c r="M2881" s="11" t="s">
        <v>6799</v>
      </c>
      <c r="N2881" s="11" t="s">
        <v>198</v>
      </c>
      <c r="O2881" s="11" t="s">
        <v>71</v>
      </c>
      <c r="P2881" s="11" t="s">
        <v>15648</v>
      </c>
      <c r="Q2881" s="13" t="s">
        <v>15649</v>
      </c>
      <c r="R2881" s="14" t="str">
        <f>HYPERLINK("https://drive.google.com/file/d/1CLd8nej2TUkK2ksFe9NVwaA3_pGDTUPt/view?usp=drivesdk","OFFER LETTER")</f>
        <v>OFFER LETTER</v>
      </c>
      <c r="S2881" s="11" t="s">
        <v>15650</v>
      </c>
    </row>
    <row r="2882" ht="22.5" customHeight="1">
      <c r="A2882" s="10">
        <v>46274.52104543982</v>
      </c>
      <c r="B2882" s="11" t="s">
        <v>15651</v>
      </c>
      <c r="C2882" s="11" t="s">
        <v>1200</v>
      </c>
      <c r="D2882" s="11" t="s">
        <v>68</v>
      </c>
      <c r="E2882" s="12">
        <v>46167.0</v>
      </c>
      <c r="F2882" s="12">
        <v>46198.0</v>
      </c>
      <c r="G2882" s="11" t="s">
        <v>15652</v>
      </c>
      <c r="H2882" s="11">
        <v>9.080094069E9</v>
      </c>
      <c r="I2882" s="11" t="s">
        <v>82</v>
      </c>
      <c r="J2882" s="11" t="s">
        <v>130</v>
      </c>
      <c r="K2882" s="11" t="s">
        <v>72</v>
      </c>
      <c r="L2882" s="11" t="s">
        <v>73</v>
      </c>
      <c r="M2882" s="11" t="s">
        <v>9570</v>
      </c>
      <c r="N2882" s="11" t="s">
        <v>86</v>
      </c>
      <c r="O2882" s="11" t="s">
        <v>71</v>
      </c>
      <c r="P2882" s="11" t="s">
        <v>15653</v>
      </c>
      <c r="Q2882" s="13" t="s">
        <v>15654</v>
      </c>
      <c r="R2882" s="14" t="str">
        <f>HYPERLINK("https://drive.google.com/file/d/1LgpVpomThGKBuDIEpkucSOhV5gTZddI2/view?usp=drivesdk","OFFER LETTER")</f>
        <v>OFFER LETTER</v>
      </c>
      <c r="S2882" s="11" t="s">
        <v>15655</v>
      </c>
    </row>
    <row r="2883" ht="22.5" customHeight="1">
      <c r="A2883" s="10">
        <v>46274.52766364583</v>
      </c>
      <c r="B2883" s="11" t="s">
        <v>15656</v>
      </c>
      <c r="C2883" s="11" t="s">
        <v>128</v>
      </c>
      <c r="D2883" s="11" t="s">
        <v>68</v>
      </c>
      <c r="E2883" s="12">
        <v>46266.0</v>
      </c>
      <c r="F2883" s="12">
        <v>46295.0</v>
      </c>
      <c r="G2883" s="11" t="s">
        <v>15657</v>
      </c>
      <c r="H2883" s="11">
        <v>9.172801277E9</v>
      </c>
      <c r="I2883" s="11" t="s">
        <v>82</v>
      </c>
      <c r="J2883" s="11" t="s">
        <v>71</v>
      </c>
      <c r="K2883" s="11" t="s">
        <v>72</v>
      </c>
      <c r="L2883" s="11" t="s">
        <v>84</v>
      </c>
      <c r="M2883" s="11" t="s">
        <v>15658</v>
      </c>
      <c r="N2883" s="11" t="s">
        <v>86</v>
      </c>
      <c r="O2883" s="11" t="s">
        <v>71</v>
      </c>
      <c r="P2883" s="11" t="s">
        <v>15659</v>
      </c>
      <c r="Q2883" s="13" t="s">
        <v>15660</v>
      </c>
      <c r="R2883" s="14" t="str">
        <f>HYPERLINK("https://drive.google.com/file/d/1CyKjQZa16yTZxHsw9sMSUBODD_f_G0e_/view?usp=drivesdk","OFFER LETTER")</f>
        <v>OFFER LETTER</v>
      </c>
      <c r="S2883" s="11" t="s">
        <v>15661</v>
      </c>
    </row>
    <row r="2884" ht="22.5" customHeight="1">
      <c r="A2884" s="10">
        <v>46274.53488673611</v>
      </c>
      <c r="B2884" s="11" t="s">
        <v>15662</v>
      </c>
      <c r="C2884" s="11" t="s">
        <v>195</v>
      </c>
      <c r="D2884" s="11" t="s">
        <v>108</v>
      </c>
      <c r="E2884" s="12">
        <v>46185.0</v>
      </c>
      <c r="F2884" s="12">
        <v>46246.0</v>
      </c>
      <c r="G2884" s="11" t="s">
        <v>15663</v>
      </c>
      <c r="H2884" s="11">
        <v>7.65202866E9</v>
      </c>
      <c r="I2884" s="11" t="s">
        <v>82</v>
      </c>
      <c r="J2884" s="11" t="s">
        <v>71</v>
      </c>
      <c r="K2884" s="11" t="s">
        <v>72</v>
      </c>
      <c r="L2884" s="11" t="s">
        <v>131</v>
      </c>
      <c r="M2884" s="11" t="s">
        <v>287</v>
      </c>
      <c r="N2884" s="11" t="s">
        <v>655</v>
      </c>
      <c r="O2884" s="11" t="s">
        <v>71</v>
      </c>
      <c r="P2884" s="11" t="s">
        <v>15664</v>
      </c>
      <c r="Q2884" s="13" t="s">
        <v>15665</v>
      </c>
      <c r="R2884" s="14" t="str">
        <f>HYPERLINK("https://drive.google.com/file/d/1K_BkaDt-Ybq2N0BHVRhHBi-Jt5gCK2U4/view?usp=drivesdk","OFFER LETTER")</f>
        <v>OFFER LETTER</v>
      </c>
      <c r="S2884" s="11" t="s">
        <v>15666</v>
      </c>
    </row>
    <row r="2885" ht="22.5" customHeight="1">
      <c r="A2885" s="10">
        <v>46274.535155543985</v>
      </c>
      <c r="B2885" s="11" t="s">
        <v>14469</v>
      </c>
      <c r="C2885" s="11" t="s">
        <v>173</v>
      </c>
      <c r="D2885" s="11" t="s">
        <v>68</v>
      </c>
      <c r="E2885" s="12">
        <v>46174.0</v>
      </c>
      <c r="F2885" s="12">
        <v>46204.0</v>
      </c>
      <c r="G2885" s="11" t="s">
        <v>14470</v>
      </c>
      <c r="H2885" s="11" t="s">
        <v>15667</v>
      </c>
      <c r="I2885" s="11" t="s">
        <v>82</v>
      </c>
      <c r="J2885" s="11" t="s">
        <v>71</v>
      </c>
      <c r="K2885" s="11" t="s">
        <v>72</v>
      </c>
      <c r="L2885" s="11" t="s">
        <v>84</v>
      </c>
      <c r="M2885" s="11" t="s">
        <v>9509</v>
      </c>
      <c r="N2885" s="11" t="s">
        <v>86</v>
      </c>
      <c r="O2885" s="11" t="s">
        <v>71</v>
      </c>
      <c r="P2885" s="11" t="s">
        <v>15668</v>
      </c>
      <c r="Q2885" s="13" t="s">
        <v>15669</v>
      </c>
      <c r="R2885" s="14" t="str">
        <f>HYPERLINK("https://drive.google.com/file/d/1KEf2Aqwg4BcrrvVMz_quD7681mWu2Afm/view?usp=drivesdk","OFFER LETTER")</f>
        <v>OFFER LETTER</v>
      </c>
      <c r="S2885" s="11" t="s">
        <v>15670</v>
      </c>
    </row>
    <row r="2886" ht="22.5" customHeight="1">
      <c r="A2886" s="10">
        <v>46274.53523273148</v>
      </c>
      <c r="B2886" s="11" t="s">
        <v>15671</v>
      </c>
      <c r="C2886" s="11" t="s">
        <v>107</v>
      </c>
      <c r="D2886" s="11" t="s">
        <v>68</v>
      </c>
      <c r="E2886" s="12">
        <v>46245.0</v>
      </c>
      <c r="F2886" s="12">
        <v>46274.0</v>
      </c>
      <c r="G2886" s="11" t="s">
        <v>15672</v>
      </c>
      <c r="H2886" s="11">
        <v>8.056092456E9</v>
      </c>
      <c r="I2886" s="11" t="s">
        <v>82</v>
      </c>
      <c r="J2886" s="11" t="s">
        <v>130</v>
      </c>
      <c r="K2886" s="11" t="s">
        <v>72</v>
      </c>
      <c r="L2886" s="11" t="s">
        <v>73</v>
      </c>
      <c r="M2886" s="11" t="s">
        <v>15257</v>
      </c>
      <c r="N2886" s="11" t="s">
        <v>86</v>
      </c>
      <c r="O2886" s="11" t="s">
        <v>71</v>
      </c>
      <c r="P2886" s="11" t="s">
        <v>15673</v>
      </c>
      <c r="Q2886" s="13" t="s">
        <v>15674</v>
      </c>
      <c r="R2886" s="14" t="str">
        <f>HYPERLINK("https://drive.google.com/file/d/1avkXNrerQ6w1otFS4o0pG0VIY9vEW70G/view?usp=drivesdk","OFFER LETTER")</f>
        <v>OFFER LETTER</v>
      </c>
      <c r="S2886" s="11" t="s">
        <v>15675</v>
      </c>
    </row>
    <row r="2887" ht="22.5" customHeight="1">
      <c r="A2887" s="10">
        <v>46274.53569708334</v>
      </c>
      <c r="B2887" s="11" t="s">
        <v>15676</v>
      </c>
      <c r="C2887" s="11" t="s">
        <v>128</v>
      </c>
      <c r="D2887" s="11" t="s">
        <v>68</v>
      </c>
      <c r="E2887" s="12">
        <v>46235.0</v>
      </c>
      <c r="F2887" s="12">
        <v>46266.0</v>
      </c>
      <c r="G2887" s="11" t="s">
        <v>15677</v>
      </c>
      <c r="H2887" s="11">
        <v>7.451090245E9</v>
      </c>
      <c r="I2887" s="11" t="s">
        <v>82</v>
      </c>
      <c r="J2887" s="11" t="s">
        <v>71</v>
      </c>
      <c r="K2887" s="11" t="s">
        <v>110</v>
      </c>
      <c r="L2887" s="11" t="s">
        <v>84</v>
      </c>
      <c r="M2887" s="11" t="s">
        <v>301</v>
      </c>
      <c r="N2887" s="11" t="s">
        <v>86</v>
      </c>
      <c r="O2887" s="11" t="s">
        <v>71</v>
      </c>
      <c r="P2887" s="11" t="s">
        <v>15678</v>
      </c>
      <c r="Q2887" s="13" t="s">
        <v>15679</v>
      </c>
      <c r="R2887" s="14" t="str">
        <f>HYPERLINK("https://drive.google.com/file/d/1CrsL5MKaY2GfWq-7yyFRLjlaEXvkSG3z/view?usp=drivesdk","OFFER LETTER")</f>
        <v>OFFER LETTER</v>
      </c>
      <c r="S2887" s="11" t="s">
        <v>15675</v>
      </c>
    </row>
    <row r="2888" ht="22.5" customHeight="1">
      <c r="A2888" s="10">
        <v>46274.53593194444</v>
      </c>
      <c r="B2888" s="11" t="s">
        <v>15680</v>
      </c>
      <c r="C2888" s="11" t="s">
        <v>195</v>
      </c>
      <c r="D2888" s="11" t="s">
        <v>68</v>
      </c>
      <c r="E2888" s="12">
        <v>46242.0</v>
      </c>
      <c r="F2888" s="12">
        <v>46273.0</v>
      </c>
      <c r="G2888" s="11" t="s">
        <v>15681</v>
      </c>
      <c r="H2888" s="11">
        <v>7.357124006E9</v>
      </c>
      <c r="I2888" s="11" t="s">
        <v>82</v>
      </c>
      <c r="J2888" s="11" t="s">
        <v>71</v>
      </c>
      <c r="K2888" s="11" t="s">
        <v>72</v>
      </c>
      <c r="L2888" s="11" t="s">
        <v>84</v>
      </c>
      <c r="M2888" s="11" t="s">
        <v>2535</v>
      </c>
      <c r="N2888" s="11" t="s">
        <v>2778</v>
      </c>
      <c r="O2888" s="11" t="s">
        <v>71</v>
      </c>
      <c r="P2888" s="11" t="s">
        <v>15682</v>
      </c>
      <c r="Q2888" s="13" t="s">
        <v>15683</v>
      </c>
      <c r="R2888" s="14" t="str">
        <f>HYPERLINK("https://drive.google.com/file/d/1X1aKoC6BrmYjdXnFpPPcwD4Ndiux7Gh_/view?usp=drivesdk","OFFER LETTER")</f>
        <v>OFFER LETTER</v>
      </c>
      <c r="S2888" s="11" t="s">
        <v>15684</v>
      </c>
    </row>
    <row r="2889" ht="22.5" customHeight="1">
      <c r="A2889" s="10">
        <v>46274.53970302083</v>
      </c>
      <c r="B2889" s="11" t="s">
        <v>15671</v>
      </c>
      <c r="C2889" s="11" t="s">
        <v>173</v>
      </c>
      <c r="D2889" s="11" t="s">
        <v>68</v>
      </c>
      <c r="E2889" s="12">
        <v>46243.0</v>
      </c>
      <c r="F2889" s="12">
        <v>46274.0</v>
      </c>
      <c r="G2889" s="11" t="s">
        <v>15672</v>
      </c>
      <c r="H2889" s="11">
        <v>8.056092456E9</v>
      </c>
      <c r="I2889" s="11" t="s">
        <v>82</v>
      </c>
      <c r="J2889" s="11" t="s">
        <v>130</v>
      </c>
      <c r="K2889" s="11" t="s">
        <v>72</v>
      </c>
      <c r="L2889" s="11" t="s">
        <v>73</v>
      </c>
      <c r="M2889" s="11" t="s">
        <v>15257</v>
      </c>
      <c r="N2889" s="11" t="s">
        <v>86</v>
      </c>
      <c r="O2889" s="11" t="s">
        <v>71</v>
      </c>
      <c r="P2889" s="11" t="s">
        <v>15685</v>
      </c>
      <c r="Q2889" s="13" t="s">
        <v>15686</v>
      </c>
      <c r="R2889" s="14" t="str">
        <f>HYPERLINK("https://drive.google.com/file/d/1iCw00sShGukgfUvJOMJLldfm0sIpKR2U/view?usp=drivesdk","OFFER LETTER")</f>
        <v>OFFER LETTER</v>
      </c>
      <c r="S2889" s="11" t="s">
        <v>15687</v>
      </c>
    </row>
    <row r="2890" ht="22.5" customHeight="1">
      <c r="A2890" s="10">
        <v>46274.54301203704</v>
      </c>
      <c r="B2890" s="11" t="s">
        <v>15688</v>
      </c>
      <c r="C2890" s="11" t="s">
        <v>195</v>
      </c>
      <c r="D2890" s="11" t="s">
        <v>68</v>
      </c>
      <c r="E2890" s="12">
        <v>46237.0</v>
      </c>
      <c r="F2890" s="12">
        <v>46269.0</v>
      </c>
      <c r="G2890" s="11" t="s">
        <v>15689</v>
      </c>
      <c r="H2890" s="11">
        <v>9.942874872E9</v>
      </c>
      <c r="I2890" s="11" t="s">
        <v>82</v>
      </c>
      <c r="J2890" s="11" t="s">
        <v>71</v>
      </c>
      <c r="K2890" s="11" t="s">
        <v>72</v>
      </c>
      <c r="L2890" s="11" t="s">
        <v>84</v>
      </c>
      <c r="M2890" s="11" t="s">
        <v>1217</v>
      </c>
      <c r="N2890" s="11" t="s">
        <v>8576</v>
      </c>
      <c r="O2890" s="11" t="s">
        <v>71</v>
      </c>
      <c r="P2890" s="11" t="s">
        <v>15690</v>
      </c>
      <c r="Q2890" s="13" t="s">
        <v>15691</v>
      </c>
      <c r="R2890" s="14" t="str">
        <f>HYPERLINK("https://drive.google.com/file/d/1rpoGRXOaD62wE6SzNcJ9kFraERw2urrB/view?usp=drivesdk","OFFER LETTER")</f>
        <v>OFFER LETTER</v>
      </c>
      <c r="S2890" s="11" t="s">
        <v>15692</v>
      </c>
    </row>
    <row r="2891" ht="22.5" customHeight="1">
      <c r="A2891" s="10">
        <v>46274.54347957176</v>
      </c>
      <c r="B2891" s="11" t="s">
        <v>15693</v>
      </c>
      <c r="C2891" s="11" t="s">
        <v>91</v>
      </c>
      <c r="D2891" s="11" t="s">
        <v>68</v>
      </c>
      <c r="E2891" s="12">
        <v>46236.0</v>
      </c>
      <c r="F2891" s="12">
        <v>46267.0</v>
      </c>
      <c r="G2891" s="11" t="s">
        <v>3612</v>
      </c>
      <c r="H2891" s="11">
        <v>9.59355633E9</v>
      </c>
      <c r="I2891" s="11" t="s">
        <v>82</v>
      </c>
      <c r="J2891" s="11" t="s">
        <v>71</v>
      </c>
      <c r="K2891" s="11" t="s">
        <v>72</v>
      </c>
      <c r="L2891" s="11" t="s">
        <v>84</v>
      </c>
      <c r="M2891" s="11" t="s">
        <v>886</v>
      </c>
      <c r="N2891" s="11" t="s">
        <v>86</v>
      </c>
      <c r="O2891" s="11" t="s">
        <v>71</v>
      </c>
      <c r="P2891" s="11" t="s">
        <v>15694</v>
      </c>
      <c r="Q2891" s="13" t="s">
        <v>15695</v>
      </c>
      <c r="R2891" s="14" t="str">
        <f>HYPERLINK("https://drive.google.com/file/d/1PcIolEoLxu-Aco114e7aWNCXMTprBeMC/view?usp=drivesdk","OFFER LETTER")</f>
        <v>OFFER LETTER</v>
      </c>
      <c r="S2891" s="11" t="s">
        <v>15696</v>
      </c>
    </row>
    <row r="2892" ht="22.5" customHeight="1">
      <c r="A2892" s="10">
        <v>46274.54384193287</v>
      </c>
      <c r="B2892" s="11" t="s">
        <v>15671</v>
      </c>
      <c r="C2892" s="11" t="s">
        <v>173</v>
      </c>
      <c r="D2892" s="11" t="s">
        <v>68</v>
      </c>
      <c r="E2892" s="12">
        <v>46243.0</v>
      </c>
      <c r="F2892" s="12">
        <v>46274.0</v>
      </c>
      <c r="G2892" s="11" t="s">
        <v>15672</v>
      </c>
      <c r="H2892" s="11">
        <v>8.056092456E9</v>
      </c>
      <c r="I2892" s="11" t="s">
        <v>82</v>
      </c>
      <c r="J2892" s="11" t="s">
        <v>130</v>
      </c>
      <c r="K2892" s="11" t="s">
        <v>72</v>
      </c>
      <c r="L2892" s="11" t="s">
        <v>73</v>
      </c>
      <c r="M2892" s="11" t="s">
        <v>15257</v>
      </c>
      <c r="N2892" s="11" t="s">
        <v>86</v>
      </c>
      <c r="O2892" s="11" t="s">
        <v>71</v>
      </c>
      <c r="P2892" s="11" t="s">
        <v>15697</v>
      </c>
      <c r="Q2892" s="13" t="s">
        <v>15698</v>
      </c>
      <c r="R2892" s="14" t="str">
        <f>HYPERLINK("https://drive.google.com/file/d/1p9U0Sxi54PVYWpM-zUqHeJLmee8TaLWg/view?usp=drivesdk","OFFER LETTER")</f>
        <v>OFFER LETTER</v>
      </c>
      <c r="S2892" s="11" t="s">
        <v>15699</v>
      </c>
    </row>
    <row r="2893" ht="22.5" customHeight="1">
      <c r="A2893" s="10">
        <v>46274.54837123843</v>
      </c>
      <c r="B2893" s="11" t="s">
        <v>15671</v>
      </c>
      <c r="C2893" s="11" t="s">
        <v>173</v>
      </c>
      <c r="D2893" s="11" t="s">
        <v>68</v>
      </c>
      <c r="E2893" s="12">
        <v>46243.0</v>
      </c>
      <c r="F2893" s="12">
        <v>46274.0</v>
      </c>
      <c r="G2893" s="11" t="s">
        <v>15672</v>
      </c>
      <c r="H2893" s="11">
        <v>8.056092456E9</v>
      </c>
      <c r="I2893" s="11" t="s">
        <v>82</v>
      </c>
      <c r="J2893" s="11" t="s">
        <v>130</v>
      </c>
      <c r="K2893" s="11" t="s">
        <v>72</v>
      </c>
      <c r="L2893" s="11" t="s">
        <v>73</v>
      </c>
      <c r="M2893" s="11" t="s">
        <v>15257</v>
      </c>
      <c r="N2893" s="11" t="s">
        <v>219</v>
      </c>
      <c r="O2893" s="11" t="s">
        <v>71</v>
      </c>
      <c r="P2893" s="11" t="s">
        <v>15700</v>
      </c>
      <c r="Q2893" s="13" t="s">
        <v>15701</v>
      </c>
      <c r="R2893" s="14" t="str">
        <f>HYPERLINK("https://drive.google.com/file/d/1h_1e11JUG2-8WAOv8CeGpfAZbpKlCIPF/view?usp=drivesdk","OFFER LETTER")</f>
        <v>OFFER LETTER</v>
      </c>
      <c r="S2893" s="11" t="s">
        <v>15702</v>
      </c>
    </row>
    <row r="2894" ht="22.5" customHeight="1">
      <c r="A2894" s="10">
        <v>46274.54942576389</v>
      </c>
      <c r="B2894" s="11" t="s">
        <v>15703</v>
      </c>
      <c r="C2894" s="11" t="s">
        <v>195</v>
      </c>
      <c r="D2894" s="11" t="s">
        <v>108</v>
      </c>
      <c r="E2894" s="12">
        <v>46174.0</v>
      </c>
      <c r="F2894" s="12">
        <v>46269.0</v>
      </c>
      <c r="G2894" s="11" t="s">
        <v>15704</v>
      </c>
      <c r="H2894" s="11">
        <v>8.24941765E9</v>
      </c>
      <c r="I2894" s="11" t="s">
        <v>82</v>
      </c>
      <c r="J2894" s="11" t="s">
        <v>71</v>
      </c>
      <c r="K2894" s="11" t="s">
        <v>72</v>
      </c>
      <c r="L2894" s="11" t="s">
        <v>73</v>
      </c>
      <c r="M2894" s="11" t="s">
        <v>15705</v>
      </c>
      <c r="N2894" s="11" t="s">
        <v>7046</v>
      </c>
      <c r="O2894" s="11" t="s">
        <v>71</v>
      </c>
      <c r="P2894" s="11" t="s">
        <v>15706</v>
      </c>
      <c r="Q2894" s="13" t="s">
        <v>15707</v>
      </c>
      <c r="R2894" s="14" t="str">
        <f>HYPERLINK("https://drive.google.com/file/d/1Gmx7f8y1lvtI9L85trnpKSEy-s3TJHfl/view?usp=drivesdk","OFFER LETTER")</f>
        <v>OFFER LETTER</v>
      </c>
      <c r="S2894" s="11" t="s">
        <v>15708</v>
      </c>
    </row>
    <row r="2895" ht="22.5" customHeight="1">
      <c r="A2895" s="10">
        <v>46274.54991998842</v>
      </c>
      <c r="B2895" s="11" t="s">
        <v>15709</v>
      </c>
      <c r="C2895" s="11" t="s">
        <v>128</v>
      </c>
      <c r="D2895" s="11" t="s">
        <v>68</v>
      </c>
      <c r="E2895" s="12">
        <v>46243.0</v>
      </c>
      <c r="F2895" s="12">
        <v>46275.0</v>
      </c>
      <c r="G2895" s="11" t="s">
        <v>15710</v>
      </c>
      <c r="H2895" s="11">
        <v>9.837785178E9</v>
      </c>
      <c r="I2895" s="11" t="s">
        <v>82</v>
      </c>
      <c r="J2895" s="11" t="s">
        <v>71</v>
      </c>
      <c r="K2895" s="11" t="s">
        <v>110</v>
      </c>
      <c r="L2895" s="11" t="s">
        <v>73</v>
      </c>
      <c r="M2895" s="11" t="s">
        <v>1532</v>
      </c>
      <c r="N2895" s="11" t="s">
        <v>75</v>
      </c>
      <c r="O2895" s="11" t="s">
        <v>71</v>
      </c>
      <c r="P2895" s="11" t="s">
        <v>15711</v>
      </c>
      <c r="Q2895" s="13" t="s">
        <v>15712</v>
      </c>
      <c r="R2895" s="14" t="str">
        <f>HYPERLINK("https://drive.google.com/file/d/1DiJg6SyGlJR8urK3xDfxdDtisd37vHCB/view?usp=drivesdk","OFFER LETTER")</f>
        <v>OFFER LETTER</v>
      </c>
      <c r="S2895" s="11" t="s">
        <v>15713</v>
      </c>
    </row>
    <row r="2896" ht="22.5" customHeight="1">
      <c r="A2896" s="10">
        <v>46274.55197716435</v>
      </c>
      <c r="B2896" s="11" t="s">
        <v>15714</v>
      </c>
      <c r="C2896" s="11" t="s">
        <v>173</v>
      </c>
      <c r="D2896" s="11" t="s">
        <v>68</v>
      </c>
      <c r="E2896" s="12">
        <v>46236.0</v>
      </c>
      <c r="F2896" s="12">
        <v>46267.0</v>
      </c>
      <c r="G2896" s="11" t="s">
        <v>3612</v>
      </c>
      <c r="H2896" s="11">
        <v>9.59356633E9</v>
      </c>
      <c r="I2896" s="11" t="s">
        <v>82</v>
      </c>
      <c r="J2896" s="11" t="s">
        <v>71</v>
      </c>
      <c r="K2896" s="11" t="s">
        <v>72</v>
      </c>
      <c r="L2896" s="11" t="s">
        <v>84</v>
      </c>
      <c r="M2896" s="11" t="s">
        <v>2021</v>
      </c>
      <c r="N2896" s="11" t="s">
        <v>75</v>
      </c>
      <c r="O2896" s="11" t="s">
        <v>71</v>
      </c>
      <c r="P2896" s="11" t="s">
        <v>15715</v>
      </c>
      <c r="Q2896" s="13" t="s">
        <v>15716</v>
      </c>
      <c r="R2896" s="14" t="str">
        <f>HYPERLINK("https://drive.google.com/file/d/1AYjab2Ggnw-dnodO1v03lDC0c8W-KANb/view?usp=drivesdk","OFFER LETTER")</f>
        <v>OFFER LETTER</v>
      </c>
      <c r="S2896" s="11" t="s">
        <v>15717</v>
      </c>
    </row>
    <row r="2897" ht="22.5" customHeight="1">
      <c r="A2897" s="10">
        <v>46274.55217858797</v>
      </c>
      <c r="B2897" s="11" t="s">
        <v>15718</v>
      </c>
      <c r="C2897" s="11" t="s">
        <v>195</v>
      </c>
      <c r="D2897" s="11" t="s">
        <v>68</v>
      </c>
      <c r="E2897" s="12">
        <v>46212.0</v>
      </c>
      <c r="F2897" s="12">
        <v>46213.0</v>
      </c>
      <c r="G2897" s="11" t="s">
        <v>15719</v>
      </c>
      <c r="H2897" s="11">
        <v>7.347608923E9</v>
      </c>
      <c r="I2897" s="11" t="s">
        <v>82</v>
      </c>
      <c r="J2897" s="11" t="s">
        <v>71</v>
      </c>
      <c r="K2897" s="11" t="s">
        <v>72</v>
      </c>
      <c r="L2897" s="11" t="s">
        <v>73</v>
      </c>
      <c r="M2897" s="11" t="s">
        <v>15720</v>
      </c>
      <c r="N2897" s="11" t="s">
        <v>75</v>
      </c>
      <c r="O2897" s="11" t="s">
        <v>71</v>
      </c>
      <c r="P2897" s="11" t="s">
        <v>15721</v>
      </c>
      <c r="Q2897" s="13" t="s">
        <v>15722</v>
      </c>
      <c r="R2897" s="14" t="str">
        <f>HYPERLINK("https://drive.google.com/file/d/1UuQmTcKx1T0XUufrIxSQqqGulsMg52HM/view?usp=drivesdk","OFFER LETTER")</f>
        <v>OFFER LETTER</v>
      </c>
      <c r="S2897" s="11" t="s">
        <v>15723</v>
      </c>
    </row>
    <row r="2898" ht="22.5" customHeight="1">
      <c r="A2898" s="10">
        <v>46274.552563391204</v>
      </c>
      <c r="B2898" s="11" t="s">
        <v>15724</v>
      </c>
      <c r="C2898" s="11" t="s">
        <v>298</v>
      </c>
      <c r="D2898" s="11" t="s">
        <v>108</v>
      </c>
      <c r="E2898" s="12">
        <v>46174.0</v>
      </c>
      <c r="F2898" s="12">
        <v>46235.0</v>
      </c>
      <c r="G2898" s="11" t="s">
        <v>15725</v>
      </c>
      <c r="H2898" s="11">
        <v>7.630849865E9</v>
      </c>
      <c r="I2898" s="11" t="s">
        <v>82</v>
      </c>
      <c r="J2898" s="11" t="s">
        <v>71</v>
      </c>
      <c r="K2898" s="11" t="s">
        <v>72</v>
      </c>
      <c r="L2898" s="11" t="s">
        <v>73</v>
      </c>
      <c r="M2898" s="11" t="s">
        <v>15726</v>
      </c>
      <c r="N2898" s="11" t="s">
        <v>75</v>
      </c>
      <c r="O2898" s="11" t="s">
        <v>71</v>
      </c>
      <c r="P2898" s="11" t="s">
        <v>15727</v>
      </c>
      <c r="Q2898" s="13" t="s">
        <v>15728</v>
      </c>
      <c r="R2898" s="14" t="str">
        <f>HYPERLINK("https://drive.google.com/file/d/102Jkn3XDNQT2g8OXUIO-01SCyKv1zPmF/view?usp=drivesdk","OFFER LETTER")</f>
        <v>OFFER LETTER</v>
      </c>
      <c r="S2898" s="11" t="s">
        <v>15723</v>
      </c>
    </row>
    <row r="2899" ht="22.5" customHeight="1">
      <c r="A2899" s="10">
        <v>46274.554194386576</v>
      </c>
      <c r="B2899" s="11" t="s">
        <v>15729</v>
      </c>
      <c r="C2899" s="11" t="s">
        <v>195</v>
      </c>
      <c r="D2899" s="11" t="s">
        <v>108</v>
      </c>
      <c r="E2899" s="12">
        <v>46204.0</v>
      </c>
      <c r="F2899" s="12">
        <v>46266.0</v>
      </c>
      <c r="G2899" s="11" t="s">
        <v>15730</v>
      </c>
      <c r="H2899" s="11">
        <v>8.658658563E9</v>
      </c>
      <c r="I2899" s="11" t="s">
        <v>70</v>
      </c>
      <c r="J2899" s="11" t="s">
        <v>71</v>
      </c>
      <c r="K2899" s="11" t="s">
        <v>72</v>
      </c>
      <c r="L2899" s="11" t="s">
        <v>73</v>
      </c>
      <c r="M2899" s="11" t="s">
        <v>12437</v>
      </c>
      <c r="N2899" s="11" t="s">
        <v>2736</v>
      </c>
      <c r="O2899" s="11" t="s">
        <v>71</v>
      </c>
      <c r="P2899" s="11" t="s">
        <v>15731</v>
      </c>
      <c r="Q2899" s="13" t="s">
        <v>15732</v>
      </c>
      <c r="R2899" s="14" t="str">
        <f>HYPERLINK("https://drive.google.com/file/d/1gQROzsmoFxgzUq6WCQoF0WdkghgEFuRG/view?usp=drivesdk","OFFER LETTER")</f>
        <v>OFFER LETTER</v>
      </c>
      <c r="S2899" s="11" t="s">
        <v>15733</v>
      </c>
    </row>
    <row r="2900" ht="22.5" customHeight="1">
      <c r="A2900" s="10">
        <v>46274.55615841435</v>
      </c>
      <c r="B2900" s="11" t="s">
        <v>15734</v>
      </c>
      <c r="C2900" s="11" t="s">
        <v>298</v>
      </c>
      <c r="D2900" s="11" t="s">
        <v>108</v>
      </c>
      <c r="E2900" s="12">
        <v>46174.0</v>
      </c>
      <c r="F2900" s="12">
        <v>46235.0</v>
      </c>
      <c r="G2900" s="11" t="s">
        <v>15725</v>
      </c>
      <c r="H2900" s="11">
        <v>7.630839865E9</v>
      </c>
      <c r="I2900" s="11" t="s">
        <v>82</v>
      </c>
      <c r="J2900" s="11" t="s">
        <v>71</v>
      </c>
      <c r="K2900" s="11" t="s">
        <v>72</v>
      </c>
      <c r="L2900" s="11" t="s">
        <v>73</v>
      </c>
      <c r="M2900" s="11" t="s">
        <v>15726</v>
      </c>
      <c r="N2900" s="11" t="s">
        <v>75</v>
      </c>
      <c r="O2900" s="11" t="s">
        <v>71</v>
      </c>
      <c r="P2900" s="11" t="s">
        <v>15735</v>
      </c>
      <c r="Q2900" s="13" t="s">
        <v>15736</v>
      </c>
      <c r="R2900" s="14" t="str">
        <f>HYPERLINK("https://drive.google.com/file/d/1kq0NkFBhfwlsxBYESdeQ6N9rBcSTMW6Z/view?usp=drivesdk","OFFER LETTER")</f>
        <v>OFFER LETTER</v>
      </c>
      <c r="S2900" s="11" t="s">
        <v>15737</v>
      </c>
    </row>
    <row r="2901" ht="22.5" customHeight="1">
      <c r="A2901" s="10">
        <v>46274.55647293982</v>
      </c>
      <c r="B2901" s="11" t="s">
        <v>15738</v>
      </c>
      <c r="C2901" s="11" t="s">
        <v>4544</v>
      </c>
      <c r="D2901" s="11" t="s">
        <v>108</v>
      </c>
      <c r="E2901" s="12">
        <v>46204.0</v>
      </c>
      <c r="F2901" s="12">
        <v>46268.0</v>
      </c>
      <c r="G2901" s="11" t="s">
        <v>15739</v>
      </c>
      <c r="H2901" s="11">
        <v>6.296818186E9</v>
      </c>
      <c r="I2901" s="11" t="s">
        <v>70</v>
      </c>
      <c r="J2901" s="11" t="s">
        <v>71</v>
      </c>
      <c r="K2901" s="11" t="s">
        <v>72</v>
      </c>
      <c r="L2901" s="11" t="s">
        <v>73</v>
      </c>
      <c r="M2901" s="11" t="s">
        <v>15740</v>
      </c>
      <c r="N2901" s="11" t="s">
        <v>219</v>
      </c>
      <c r="O2901" s="11" t="s">
        <v>71</v>
      </c>
      <c r="P2901" s="11" t="s">
        <v>15741</v>
      </c>
      <c r="Q2901" s="13" t="s">
        <v>15742</v>
      </c>
      <c r="R2901" s="14" t="str">
        <f>HYPERLINK("https://drive.google.com/file/d/1Xnnh41t9Z7-TIlXngaeUGhLCglCpLLhj/view?usp=drivesdk","OFFER LETTER")</f>
        <v>OFFER LETTER</v>
      </c>
      <c r="S2901" s="11" t="s">
        <v>15743</v>
      </c>
    </row>
    <row r="2902" ht="22.5" customHeight="1">
      <c r="A2902" s="10">
        <v>46274.558254965275</v>
      </c>
      <c r="B2902" s="11" t="s">
        <v>15744</v>
      </c>
      <c r="C2902" s="11" t="s">
        <v>1200</v>
      </c>
      <c r="D2902" s="11" t="s">
        <v>68</v>
      </c>
      <c r="E2902" s="12">
        <v>46183.0</v>
      </c>
      <c r="F2902" s="12">
        <v>46213.0</v>
      </c>
      <c r="G2902" s="11" t="s">
        <v>15745</v>
      </c>
      <c r="H2902" s="11">
        <v>6.395625184E9</v>
      </c>
      <c r="I2902" s="11" t="s">
        <v>82</v>
      </c>
      <c r="J2902" s="11" t="s">
        <v>71</v>
      </c>
      <c r="K2902" s="11" t="s">
        <v>72</v>
      </c>
      <c r="L2902" s="11" t="s">
        <v>84</v>
      </c>
      <c r="M2902" s="11" t="s">
        <v>886</v>
      </c>
      <c r="N2902" s="11" t="s">
        <v>2778</v>
      </c>
      <c r="O2902" s="11" t="s">
        <v>71</v>
      </c>
      <c r="P2902" s="11" t="s">
        <v>15746</v>
      </c>
      <c r="Q2902" s="13" t="s">
        <v>15747</v>
      </c>
      <c r="R2902" s="14" t="str">
        <f>HYPERLINK("https://drive.google.com/file/d/1gNSmjztxOPLwtiGKDIqGJlQ0M6wFXno5/view?usp=drivesdk","OFFER LETTER")</f>
        <v>OFFER LETTER</v>
      </c>
      <c r="S2902" s="11" t="s">
        <v>15748</v>
      </c>
    </row>
    <row r="2903" ht="22.5" customHeight="1">
      <c r="A2903" s="10">
        <v>46274.559371863426</v>
      </c>
      <c r="B2903" s="11" t="s">
        <v>15749</v>
      </c>
      <c r="C2903" s="11" t="s">
        <v>5430</v>
      </c>
      <c r="D2903" s="11" t="s">
        <v>68</v>
      </c>
      <c r="E2903" s="12">
        <v>46239.0</v>
      </c>
      <c r="F2903" s="12">
        <v>46270.0</v>
      </c>
      <c r="G2903" s="11" t="s">
        <v>15750</v>
      </c>
      <c r="H2903" s="11">
        <v>9.235559332E9</v>
      </c>
      <c r="I2903" s="11" t="s">
        <v>70</v>
      </c>
      <c r="J2903" s="11" t="s">
        <v>71</v>
      </c>
      <c r="K2903" s="11" t="s">
        <v>110</v>
      </c>
      <c r="L2903" s="11" t="s">
        <v>73</v>
      </c>
      <c r="M2903" s="11" t="s">
        <v>11524</v>
      </c>
      <c r="N2903" s="11" t="s">
        <v>86</v>
      </c>
      <c r="O2903" s="11" t="s">
        <v>71</v>
      </c>
      <c r="P2903" s="11" t="s">
        <v>15751</v>
      </c>
      <c r="Q2903" s="13" t="s">
        <v>15752</v>
      </c>
      <c r="R2903" s="14" t="str">
        <f>HYPERLINK("https://drive.google.com/file/d/1kPKpBTxHP6zDzy55vow0MhzaID0Nb3M4/view?usp=drivesdk","OFFER LETTER")</f>
        <v>OFFER LETTER</v>
      </c>
      <c r="S2903" s="11" t="s">
        <v>15753</v>
      </c>
    </row>
    <row r="2904" ht="22.5" customHeight="1">
      <c r="A2904" s="10">
        <v>46274.56507138889</v>
      </c>
      <c r="B2904" s="11" t="s">
        <v>15754</v>
      </c>
      <c r="C2904" s="11" t="s">
        <v>173</v>
      </c>
      <c r="D2904" s="11" t="s">
        <v>68</v>
      </c>
      <c r="E2904" s="12">
        <v>46190.0</v>
      </c>
      <c r="F2904" s="12">
        <v>46220.0</v>
      </c>
      <c r="G2904" s="11" t="s">
        <v>9203</v>
      </c>
      <c r="H2904" s="11">
        <v>9.934403174E9</v>
      </c>
      <c r="I2904" s="11" t="s">
        <v>82</v>
      </c>
      <c r="J2904" s="11" t="s">
        <v>71</v>
      </c>
      <c r="K2904" s="11" t="s">
        <v>72</v>
      </c>
      <c r="L2904" s="11" t="s">
        <v>84</v>
      </c>
      <c r="M2904" s="11" t="s">
        <v>9205</v>
      </c>
      <c r="N2904" s="11" t="s">
        <v>75</v>
      </c>
      <c r="O2904" s="11" t="s">
        <v>71</v>
      </c>
      <c r="P2904" s="11" t="s">
        <v>15755</v>
      </c>
      <c r="Q2904" s="13" t="s">
        <v>15756</v>
      </c>
      <c r="R2904" s="14" t="str">
        <f>HYPERLINK("https://drive.google.com/file/d/12VPLAJxgEeicpkvLwBfaPBzfTQew4fvo/view?usp=drivesdk","OFFER LETTER")</f>
        <v>OFFER LETTER</v>
      </c>
      <c r="S2904" s="11" t="s">
        <v>15757</v>
      </c>
    </row>
    <row r="2905" ht="22.5" customHeight="1">
      <c r="A2905" s="10">
        <v>46274.567301724535</v>
      </c>
      <c r="B2905" s="11" t="s">
        <v>15758</v>
      </c>
      <c r="C2905" s="11" t="s">
        <v>173</v>
      </c>
      <c r="D2905" s="11" t="s">
        <v>68</v>
      </c>
      <c r="E2905" s="12">
        <v>46178.0</v>
      </c>
      <c r="F2905" s="12">
        <v>46209.0</v>
      </c>
      <c r="G2905" s="11" t="s">
        <v>15759</v>
      </c>
      <c r="H2905" s="11">
        <v>8.400687714E9</v>
      </c>
      <c r="I2905" s="11" t="s">
        <v>82</v>
      </c>
      <c r="J2905" s="11" t="s">
        <v>71</v>
      </c>
      <c r="K2905" s="11" t="s">
        <v>167</v>
      </c>
      <c r="L2905" s="11" t="s">
        <v>73</v>
      </c>
      <c r="M2905" s="11" t="s">
        <v>15760</v>
      </c>
      <c r="N2905" s="11" t="s">
        <v>219</v>
      </c>
      <c r="O2905" s="11" t="s">
        <v>71</v>
      </c>
      <c r="P2905" s="11" t="s">
        <v>15761</v>
      </c>
      <c r="Q2905" s="13" t="s">
        <v>15762</v>
      </c>
      <c r="R2905" s="14" t="str">
        <f>HYPERLINK("https://drive.google.com/file/d/1ottCjANvo4Tqa6rQxBGN7mMynpPMYcdp/view?usp=drivesdk","OFFER LETTER")</f>
        <v>OFFER LETTER</v>
      </c>
      <c r="S2905" s="11" t="s">
        <v>15763</v>
      </c>
    </row>
    <row r="2906" ht="22.5" customHeight="1">
      <c r="A2906" s="10">
        <v>46274.57339875</v>
      </c>
      <c r="B2906" s="11" t="s">
        <v>15764</v>
      </c>
      <c r="C2906" s="11" t="s">
        <v>259</v>
      </c>
      <c r="D2906" s="11" t="s">
        <v>68</v>
      </c>
      <c r="E2906" s="12">
        <v>46211.0</v>
      </c>
      <c r="F2906" s="12">
        <v>46242.0</v>
      </c>
      <c r="G2906" s="11" t="s">
        <v>15765</v>
      </c>
      <c r="H2906" s="11">
        <v>7.98217521E9</v>
      </c>
      <c r="I2906" s="11" t="s">
        <v>82</v>
      </c>
      <c r="J2906" s="11" t="s">
        <v>71</v>
      </c>
      <c r="K2906" s="11" t="s">
        <v>72</v>
      </c>
      <c r="L2906" s="11" t="s">
        <v>84</v>
      </c>
      <c r="M2906" s="11" t="s">
        <v>15766</v>
      </c>
      <c r="N2906" s="11" t="s">
        <v>226</v>
      </c>
      <c r="O2906" s="11" t="s">
        <v>71</v>
      </c>
      <c r="P2906" s="11" t="s">
        <v>15767</v>
      </c>
      <c r="Q2906" s="13" t="s">
        <v>15768</v>
      </c>
      <c r="R2906" s="14" t="str">
        <f>HYPERLINK("https://drive.google.com/file/d/1TsDlyl00L4o_aV-0y9FFxJLtJ0z2cAC8/view?usp=drivesdk","OFFER LETTER")</f>
        <v>OFFER LETTER</v>
      </c>
      <c r="S2906" s="11" t="s">
        <v>15769</v>
      </c>
    </row>
    <row r="2907" ht="22.5" customHeight="1">
      <c r="A2907" s="10">
        <v>46274.58096445602</v>
      </c>
      <c r="B2907" s="11" t="s">
        <v>15770</v>
      </c>
      <c r="C2907" s="11" t="s">
        <v>173</v>
      </c>
      <c r="D2907" s="11" t="s">
        <v>68</v>
      </c>
      <c r="E2907" s="12">
        <v>46185.0</v>
      </c>
      <c r="F2907" s="12">
        <v>46215.0</v>
      </c>
      <c r="G2907" s="11" t="s">
        <v>15771</v>
      </c>
      <c r="H2907" s="11">
        <v>8.252713423E9</v>
      </c>
      <c r="I2907" s="11" t="s">
        <v>82</v>
      </c>
      <c r="J2907" s="11" t="s">
        <v>71</v>
      </c>
      <c r="K2907" s="11" t="s">
        <v>72</v>
      </c>
      <c r="L2907" s="11" t="s">
        <v>84</v>
      </c>
      <c r="M2907" s="11" t="s">
        <v>15772</v>
      </c>
      <c r="N2907" s="11" t="s">
        <v>198</v>
      </c>
      <c r="O2907" s="11" t="s">
        <v>71</v>
      </c>
      <c r="P2907" s="11" t="s">
        <v>15773</v>
      </c>
      <c r="Q2907" s="13" t="s">
        <v>15774</v>
      </c>
      <c r="R2907" s="14" t="str">
        <f>HYPERLINK("https://drive.google.com/file/d/1vnLCC4Hi2oDXrHNjJBtHf1j4SnV37qfm/view?usp=drivesdk","OFFER LETTER")</f>
        <v>OFFER LETTER</v>
      </c>
      <c r="S2907" s="11" t="s">
        <v>15775</v>
      </c>
    </row>
    <row r="2908" ht="22.5" customHeight="1">
      <c r="A2908" s="10">
        <v>46274.58942371528</v>
      </c>
      <c r="B2908" s="11" t="s">
        <v>9062</v>
      </c>
      <c r="C2908" s="11" t="s">
        <v>195</v>
      </c>
      <c r="D2908" s="11" t="s">
        <v>68</v>
      </c>
      <c r="E2908" s="12">
        <v>46204.0</v>
      </c>
      <c r="F2908" s="12">
        <v>46235.0</v>
      </c>
      <c r="G2908" s="11" t="s">
        <v>15776</v>
      </c>
      <c r="H2908" s="11">
        <v>9.217417263E9</v>
      </c>
      <c r="I2908" s="11" t="s">
        <v>82</v>
      </c>
      <c r="J2908" s="11" t="s">
        <v>71</v>
      </c>
      <c r="K2908" s="11" t="s">
        <v>72</v>
      </c>
      <c r="L2908" s="11" t="s">
        <v>84</v>
      </c>
      <c r="M2908" s="11" t="s">
        <v>2535</v>
      </c>
      <c r="N2908" s="11" t="s">
        <v>198</v>
      </c>
      <c r="O2908" s="11" t="s">
        <v>71</v>
      </c>
      <c r="P2908" s="11" t="s">
        <v>15777</v>
      </c>
      <c r="Q2908" s="13" t="s">
        <v>15778</v>
      </c>
      <c r="R2908" s="14" t="str">
        <f>HYPERLINK("https://drive.google.com/file/d/1KwdGCP2RwX_VCI7teWjXJO3EVDSwyF2Y/view?usp=drivesdk","OFFER LETTER")</f>
        <v>OFFER LETTER</v>
      </c>
      <c r="S2908" s="11" t="s">
        <v>15779</v>
      </c>
    </row>
    <row r="2909" ht="22.5" customHeight="1">
      <c r="A2909" s="10">
        <v>46274.590755173616</v>
      </c>
      <c r="B2909" s="11" t="s">
        <v>15780</v>
      </c>
      <c r="C2909" s="11" t="s">
        <v>128</v>
      </c>
      <c r="D2909" s="11" t="s">
        <v>68</v>
      </c>
      <c r="E2909" s="12">
        <v>46243.0</v>
      </c>
      <c r="F2909" s="12">
        <v>46274.0</v>
      </c>
      <c r="G2909" s="11" t="s">
        <v>15781</v>
      </c>
      <c r="H2909" s="11">
        <v>7.483165476E9</v>
      </c>
      <c r="I2909" s="11" t="s">
        <v>82</v>
      </c>
      <c r="J2909" s="11" t="s">
        <v>71</v>
      </c>
      <c r="K2909" s="11" t="s">
        <v>72</v>
      </c>
      <c r="L2909" s="11" t="s">
        <v>84</v>
      </c>
      <c r="M2909" s="11" t="s">
        <v>15782</v>
      </c>
      <c r="N2909" s="11" t="s">
        <v>86</v>
      </c>
      <c r="O2909" s="11" t="s">
        <v>71</v>
      </c>
      <c r="P2909" s="11" t="s">
        <v>15783</v>
      </c>
      <c r="Q2909" s="13" t="s">
        <v>15784</v>
      </c>
      <c r="R2909" s="14" t="str">
        <f>HYPERLINK("https://drive.google.com/file/d/18yf_HHTXxRFM8K7wH_rsQ7kkuW7V1xtH/view?usp=drivesdk","OFFER LETTER")</f>
        <v>OFFER LETTER</v>
      </c>
      <c r="S2909" s="11" t="s">
        <v>15785</v>
      </c>
    </row>
    <row r="2910" ht="22.5" customHeight="1">
      <c r="A2910" s="10">
        <v>46274.59923541667</v>
      </c>
      <c r="B2910" s="11" t="s">
        <v>15786</v>
      </c>
      <c r="C2910" s="11" t="s">
        <v>173</v>
      </c>
      <c r="D2910" s="11" t="s">
        <v>68</v>
      </c>
      <c r="E2910" s="12">
        <v>46243.0</v>
      </c>
      <c r="F2910" s="12">
        <v>46274.0</v>
      </c>
      <c r="G2910" s="11" t="s">
        <v>15787</v>
      </c>
      <c r="H2910" s="11">
        <v>8.056092456E9</v>
      </c>
      <c r="I2910" s="11" t="s">
        <v>82</v>
      </c>
      <c r="J2910" s="11" t="s">
        <v>130</v>
      </c>
      <c r="K2910" s="11" t="s">
        <v>72</v>
      </c>
      <c r="L2910" s="11" t="s">
        <v>73</v>
      </c>
      <c r="M2910" s="11" t="s">
        <v>15257</v>
      </c>
      <c r="N2910" s="11" t="s">
        <v>219</v>
      </c>
      <c r="O2910" s="11" t="s">
        <v>71</v>
      </c>
      <c r="P2910" s="11" t="s">
        <v>15788</v>
      </c>
      <c r="Q2910" s="13" t="s">
        <v>15789</v>
      </c>
      <c r="R2910" s="14" t="str">
        <f>HYPERLINK("https://drive.google.com/file/d/1MlxPwNTObRRo2DSg3ivhR3odwbKiB3-f/view?usp=drivesdk","OFFER LETTER")</f>
        <v>OFFER LETTER</v>
      </c>
      <c r="S2910" s="11" t="s">
        <v>15790</v>
      </c>
    </row>
    <row r="2911" ht="22.5" customHeight="1">
      <c r="A2911" s="10">
        <v>46274.59951241898</v>
      </c>
      <c r="B2911" s="11" t="s">
        <v>15791</v>
      </c>
      <c r="C2911" s="11" t="s">
        <v>173</v>
      </c>
      <c r="D2911" s="11" t="s">
        <v>68</v>
      </c>
      <c r="E2911" s="12">
        <v>46274.0</v>
      </c>
      <c r="F2911" s="12">
        <v>46304.0</v>
      </c>
      <c r="G2911" s="11" t="s">
        <v>15792</v>
      </c>
      <c r="H2911" s="11">
        <v>9.701966843E9</v>
      </c>
      <c r="I2911" s="11" t="s">
        <v>82</v>
      </c>
      <c r="J2911" s="11" t="s">
        <v>83</v>
      </c>
      <c r="K2911" s="11" t="s">
        <v>72</v>
      </c>
      <c r="L2911" s="11" t="s">
        <v>131</v>
      </c>
      <c r="M2911" s="11" t="s">
        <v>15793</v>
      </c>
      <c r="N2911" s="11" t="s">
        <v>86</v>
      </c>
      <c r="O2911" s="11" t="s">
        <v>71</v>
      </c>
      <c r="P2911" s="11" t="s">
        <v>15794</v>
      </c>
      <c r="Q2911" s="13" t="s">
        <v>15795</v>
      </c>
      <c r="R2911" s="14" t="str">
        <f>HYPERLINK("https://drive.google.com/file/d/1sj3a5SL3n1BfX44_60NTMHtqaGViKGas/view?usp=drivesdk","OFFER LETTER")</f>
        <v>OFFER LETTER</v>
      </c>
      <c r="S2911" s="11" t="s">
        <v>15790</v>
      </c>
    </row>
    <row r="2912" ht="22.5" customHeight="1">
      <c r="A2912" s="10">
        <v>46274.59998515046</v>
      </c>
      <c r="B2912" s="11" t="s">
        <v>15796</v>
      </c>
      <c r="C2912" s="11" t="s">
        <v>91</v>
      </c>
      <c r="D2912" s="11" t="s">
        <v>238</v>
      </c>
      <c r="E2912" s="12">
        <v>46045.0</v>
      </c>
      <c r="F2912" s="12">
        <v>46135.0</v>
      </c>
      <c r="G2912" s="11" t="s">
        <v>15797</v>
      </c>
      <c r="H2912" s="11">
        <v>8.32045207E9</v>
      </c>
      <c r="I2912" s="11" t="s">
        <v>82</v>
      </c>
      <c r="J2912" s="11" t="s">
        <v>71</v>
      </c>
      <c r="K2912" s="11" t="s">
        <v>72</v>
      </c>
      <c r="L2912" s="11" t="s">
        <v>73</v>
      </c>
      <c r="M2912" s="11" t="s">
        <v>15798</v>
      </c>
      <c r="N2912" s="11" t="s">
        <v>198</v>
      </c>
      <c r="O2912" s="11" t="s">
        <v>71</v>
      </c>
      <c r="P2912" s="11" t="s">
        <v>15799</v>
      </c>
      <c r="Q2912" s="13" t="s">
        <v>15800</v>
      </c>
      <c r="R2912" s="14" t="str">
        <f>HYPERLINK("https://drive.google.com/file/d/1iWwG5B4XdIAfVFV1GuYiArisGDo_zWrY/view?usp=drivesdk","OFFER LETTER")</f>
        <v>OFFER LETTER</v>
      </c>
      <c r="S2912" s="11" t="s">
        <v>15801</v>
      </c>
    </row>
    <row r="2913" ht="22.5" customHeight="1">
      <c r="A2913" s="10">
        <v>46274.60064226852</v>
      </c>
      <c r="B2913" s="11" t="s">
        <v>15802</v>
      </c>
      <c r="C2913" s="11" t="s">
        <v>91</v>
      </c>
      <c r="D2913" s="11" t="s">
        <v>68</v>
      </c>
      <c r="E2913" s="12">
        <v>46274.0</v>
      </c>
      <c r="F2913" s="12">
        <v>46274.0</v>
      </c>
      <c r="G2913" s="11" t="s">
        <v>15803</v>
      </c>
      <c r="H2913" s="11">
        <v>6.301596693E9</v>
      </c>
      <c r="I2913" s="11" t="s">
        <v>70</v>
      </c>
      <c r="J2913" s="11" t="s">
        <v>71</v>
      </c>
      <c r="K2913" s="11" t="s">
        <v>72</v>
      </c>
      <c r="L2913" s="11" t="s">
        <v>84</v>
      </c>
      <c r="M2913" s="11" t="s">
        <v>15804</v>
      </c>
      <c r="N2913" s="11" t="s">
        <v>226</v>
      </c>
      <c r="O2913" s="11" t="s">
        <v>71</v>
      </c>
      <c r="P2913" s="11" t="s">
        <v>15805</v>
      </c>
      <c r="Q2913" s="13" t="s">
        <v>15806</v>
      </c>
      <c r="R2913" s="14" t="str">
        <f>HYPERLINK("https://drive.google.com/file/d/1nY2LIgpOSSeZIjvdbrievou2CbIC8whR/view?usp=drivesdk","OFFER LETTER")</f>
        <v>OFFER LETTER</v>
      </c>
      <c r="S2913" s="11" t="s">
        <v>15807</v>
      </c>
    </row>
    <row r="2914" ht="22.5" customHeight="1">
      <c r="A2914" s="10">
        <v>46274.602307696754</v>
      </c>
      <c r="B2914" s="11" t="s">
        <v>15786</v>
      </c>
      <c r="C2914" s="11" t="s">
        <v>173</v>
      </c>
      <c r="D2914" s="11" t="s">
        <v>68</v>
      </c>
      <c r="E2914" s="12">
        <v>46243.0</v>
      </c>
      <c r="F2914" s="12">
        <v>46274.0</v>
      </c>
      <c r="G2914" s="11" t="s">
        <v>15787</v>
      </c>
      <c r="H2914" s="11">
        <v>8.056092456E9</v>
      </c>
      <c r="I2914" s="11" t="s">
        <v>82</v>
      </c>
      <c r="J2914" s="11" t="s">
        <v>130</v>
      </c>
      <c r="K2914" s="11" t="s">
        <v>72</v>
      </c>
      <c r="L2914" s="11" t="s">
        <v>73</v>
      </c>
      <c r="M2914" s="11" t="s">
        <v>15257</v>
      </c>
      <c r="N2914" s="11" t="s">
        <v>86</v>
      </c>
      <c r="O2914" s="11" t="s">
        <v>71</v>
      </c>
      <c r="P2914" s="11" t="s">
        <v>15808</v>
      </c>
      <c r="Q2914" s="13" t="s">
        <v>15809</v>
      </c>
      <c r="R2914" s="14" t="str">
        <f>HYPERLINK("https://drive.google.com/file/d/1NgTBl2canPl3sV6l0sLINCMRabbQ5av8/view?usp=drivesdk","OFFER LETTER")</f>
        <v>OFFER LETTER</v>
      </c>
      <c r="S2914" s="11" t="s">
        <v>15810</v>
      </c>
    </row>
    <row r="2915" ht="22.5" customHeight="1">
      <c r="A2915" s="10">
        <v>46274.60394221065</v>
      </c>
      <c r="B2915" s="11" t="s">
        <v>15811</v>
      </c>
      <c r="C2915" s="11" t="s">
        <v>173</v>
      </c>
      <c r="D2915" s="11" t="s">
        <v>68</v>
      </c>
      <c r="E2915" s="12">
        <v>46274.0</v>
      </c>
      <c r="F2915" s="12">
        <v>46304.0</v>
      </c>
      <c r="G2915" s="11" t="s">
        <v>15812</v>
      </c>
      <c r="H2915" s="11">
        <v>9.236695565E9</v>
      </c>
      <c r="I2915" s="11" t="s">
        <v>82</v>
      </c>
      <c r="J2915" s="11" t="s">
        <v>71</v>
      </c>
      <c r="K2915" s="11" t="s">
        <v>110</v>
      </c>
      <c r="L2915" s="11" t="s">
        <v>73</v>
      </c>
      <c r="M2915" s="11" t="s">
        <v>1871</v>
      </c>
      <c r="N2915" s="11" t="s">
        <v>226</v>
      </c>
      <c r="O2915" s="11" t="s">
        <v>71</v>
      </c>
      <c r="P2915" s="11" t="s">
        <v>15813</v>
      </c>
      <c r="Q2915" s="13" t="s">
        <v>15814</v>
      </c>
      <c r="R2915" s="14" t="str">
        <f>HYPERLINK("https://drive.google.com/file/d/11-B_Ihck1by-UUoptpCGdHEn5ETojlfx/view?usp=drivesdk","OFFER LETTER")</f>
        <v>OFFER LETTER</v>
      </c>
      <c r="S2915" s="11" t="s">
        <v>15815</v>
      </c>
    </row>
    <row r="2916" ht="22.5" customHeight="1">
      <c r="A2916" s="10">
        <v>46274.60675734954</v>
      </c>
      <c r="B2916" s="11" t="s">
        <v>15816</v>
      </c>
      <c r="C2916" s="11" t="s">
        <v>91</v>
      </c>
      <c r="D2916" s="11" t="s">
        <v>68</v>
      </c>
      <c r="E2916" s="12">
        <v>46243.0</v>
      </c>
      <c r="F2916" s="12">
        <v>46243.0</v>
      </c>
      <c r="G2916" s="11" t="s">
        <v>15803</v>
      </c>
      <c r="H2916" s="11">
        <v>6.301596693E9</v>
      </c>
      <c r="I2916" s="11" t="s">
        <v>70</v>
      </c>
      <c r="J2916" s="11" t="s">
        <v>71</v>
      </c>
      <c r="K2916" s="11" t="s">
        <v>72</v>
      </c>
      <c r="L2916" s="11" t="s">
        <v>84</v>
      </c>
      <c r="M2916" s="11" t="s">
        <v>15804</v>
      </c>
      <c r="N2916" s="11" t="s">
        <v>226</v>
      </c>
      <c r="O2916" s="11" t="s">
        <v>71</v>
      </c>
      <c r="P2916" s="11" t="s">
        <v>15817</v>
      </c>
      <c r="Q2916" s="13" t="s">
        <v>15818</v>
      </c>
      <c r="R2916" s="14" t="str">
        <f>HYPERLINK("https://drive.google.com/file/d/1MZqavWlAoZueezj6OpepBBlI0tMB1kbr/view?usp=drivesdk","OFFER LETTER")</f>
        <v>OFFER LETTER</v>
      </c>
      <c r="S2916" s="11" t="s">
        <v>15819</v>
      </c>
    </row>
    <row r="2917" ht="22.5" customHeight="1">
      <c r="A2917" s="10">
        <v>46274.606965</v>
      </c>
      <c r="B2917" s="11" t="s">
        <v>15820</v>
      </c>
      <c r="C2917" s="11" t="s">
        <v>91</v>
      </c>
      <c r="D2917" s="11" t="s">
        <v>68</v>
      </c>
      <c r="E2917" s="12">
        <v>46273.0</v>
      </c>
      <c r="F2917" s="12">
        <v>46274.0</v>
      </c>
      <c r="G2917" s="11" t="s">
        <v>15821</v>
      </c>
      <c r="H2917" s="11">
        <v>7.330790665E9</v>
      </c>
      <c r="I2917" s="11" t="s">
        <v>70</v>
      </c>
      <c r="J2917" s="11" t="s">
        <v>71</v>
      </c>
      <c r="K2917" s="11" t="s">
        <v>72</v>
      </c>
      <c r="L2917" s="11" t="s">
        <v>84</v>
      </c>
      <c r="M2917" s="11" t="s">
        <v>15822</v>
      </c>
      <c r="N2917" s="11" t="s">
        <v>226</v>
      </c>
      <c r="O2917" s="11" t="s">
        <v>71</v>
      </c>
      <c r="P2917" s="11" t="s">
        <v>15823</v>
      </c>
      <c r="Q2917" s="13" t="s">
        <v>15824</v>
      </c>
      <c r="R2917" s="14" t="str">
        <f>HYPERLINK("https://drive.google.com/file/d/1-PM48BJFT-fMxPhyBJUfa7QrA5AErp61/view?usp=drivesdk","OFFER LETTER")</f>
        <v>OFFER LETTER</v>
      </c>
      <c r="S2917" s="11" t="s">
        <v>15819</v>
      </c>
    </row>
    <row r="2918" ht="22.5" customHeight="1">
      <c r="A2918" s="10">
        <v>46274.60834373842</v>
      </c>
      <c r="B2918" s="11" t="s">
        <v>15825</v>
      </c>
      <c r="C2918" s="11" t="s">
        <v>80</v>
      </c>
      <c r="D2918" s="11" t="s">
        <v>68</v>
      </c>
      <c r="E2918" s="12">
        <v>46274.0</v>
      </c>
      <c r="F2918" s="12">
        <v>46304.0</v>
      </c>
      <c r="G2918" s="11" t="s">
        <v>15826</v>
      </c>
      <c r="H2918" s="11">
        <v>8.01527664E9</v>
      </c>
      <c r="I2918" s="11" t="s">
        <v>70</v>
      </c>
      <c r="J2918" s="11" t="s">
        <v>71</v>
      </c>
      <c r="K2918" s="11" t="s">
        <v>72</v>
      </c>
      <c r="L2918" s="11" t="s">
        <v>84</v>
      </c>
      <c r="M2918" s="11" t="s">
        <v>609</v>
      </c>
      <c r="N2918" s="11" t="s">
        <v>1872</v>
      </c>
      <c r="O2918" s="11" t="s">
        <v>71</v>
      </c>
      <c r="P2918" s="11" t="s">
        <v>15827</v>
      </c>
      <c r="Q2918" s="13" t="s">
        <v>15828</v>
      </c>
      <c r="R2918" s="14" t="str">
        <f>HYPERLINK("https://drive.google.com/file/d/1F6mpeij1Br-NZhI4DYfpE2NxVqVQ15UF/view?usp=drivesdk","OFFER LETTER")</f>
        <v>OFFER LETTER</v>
      </c>
      <c r="S2918" s="11" t="s">
        <v>15829</v>
      </c>
    </row>
    <row r="2919" ht="22.5" customHeight="1">
      <c r="A2919" s="10">
        <v>46274.60854108796</v>
      </c>
      <c r="B2919" s="11" t="s">
        <v>15816</v>
      </c>
      <c r="C2919" s="11" t="s">
        <v>91</v>
      </c>
      <c r="D2919" s="11" t="s">
        <v>68</v>
      </c>
      <c r="E2919" s="12">
        <v>46243.0</v>
      </c>
      <c r="F2919" s="12">
        <v>46274.0</v>
      </c>
      <c r="G2919" s="11" t="s">
        <v>15803</v>
      </c>
      <c r="H2919" s="11">
        <v>6.301596693E9</v>
      </c>
      <c r="I2919" s="11" t="s">
        <v>70</v>
      </c>
      <c r="J2919" s="11" t="s">
        <v>71</v>
      </c>
      <c r="K2919" s="11" t="s">
        <v>72</v>
      </c>
      <c r="L2919" s="11" t="s">
        <v>84</v>
      </c>
      <c r="M2919" s="11" t="s">
        <v>15804</v>
      </c>
      <c r="N2919" s="11" t="s">
        <v>226</v>
      </c>
      <c r="O2919" s="11" t="s">
        <v>71</v>
      </c>
      <c r="P2919" s="11" t="s">
        <v>15830</v>
      </c>
      <c r="Q2919" s="13" t="s">
        <v>15831</v>
      </c>
      <c r="R2919" s="14" t="str">
        <f>HYPERLINK("https://drive.google.com/file/d/1-AYIS0H9si7uMGIJ_Mgm_E-OiYEMWDi3/view?usp=drivesdk","OFFER LETTER")</f>
        <v>OFFER LETTER</v>
      </c>
      <c r="S2919" s="11" t="s">
        <v>15829</v>
      </c>
    </row>
    <row r="2920" ht="22.5" customHeight="1">
      <c r="A2920" s="10">
        <v>46274.60865300926</v>
      </c>
      <c r="B2920" s="11" t="s">
        <v>15786</v>
      </c>
      <c r="C2920" s="11" t="s">
        <v>173</v>
      </c>
      <c r="D2920" s="11" t="s">
        <v>68</v>
      </c>
      <c r="E2920" s="12">
        <v>46243.0</v>
      </c>
      <c r="F2920" s="12">
        <v>46274.0</v>
      </c>
      <c r="G2920" s="11" t="s">
        <v>15787</v>
      </c>
      <c r="H2920" s="11">
        <v>8.056092456E9</v>
      </c>
      <c r="I2920" s="11" t="s">
        <v>82</v>
      </c>
      <c r="J2920" s="11" t="s">
        <v>130</v>
      </c>
      <c r="K2920" s="11" t="s">
        <v>72</v>
      </c>
      <c r="L2920" s="11" t="s">
        <v>73</v>
      </c>
      <c r="M2920" s="11" t="s">
        <v>15257</v>
      </c>
      <c r="N2920" s="11" t="s">
        <v>15832</v>
      </c>
      <c r="O2920" s="11" t="s">
        <v>71</v>
      </c>
      <c r="P2920" s="11" t="s">
        <v>15833</v>
      </c>
      <c r="Q2920" s="13" t="s">
        <v>15834</v>
      </c>
      <c r="R2920" s="14" t="str">
        <f>HYPERLINK("https://drive.google.com/file/d/1Q672a_OYJVDSOnn1o3MXu-r5b5WiGJMD/view?usp=drivesdk","OFFER LETTER")</f>
        <v>OFFER LETTER</v>
      </c>
      <c r="S2920" s="11" t="s">
        <v>15829</v>
      </c>
    </row>
    <row r="2921" ht="22.5" customHeight="1">
      <c r="A2921" s="10">
        <v>46274.61146197916</v>
      </c>
      <c r="B2921" s="11" t="s">
        <v>15835</v>
      </c>
      <c r="C2921" s="11" t="s">
        <v>91</v>
      </c>
      <c r="D2921" s="11" t="s">
        <v>68</v>
      </c>
      <c r="E2921" s="12">
        <v>46243.0</v>
      </c>
      <c r="F2921" s="12">
        <v>46274.0</v>
      </c>
      <c r="G2921" s="11" t="s">
        <v>15821</v>
      </c>
      <c r="H2921" s="11">
        <v>7.330790665E9</v>
      </c>
      <c r="I2921" s="11" t="s">
        <v>70</v>
      </c>
      <c r="J2921" s="11" t="s">
        <v>71</v>
      </c>
      <c r="K2921" s="11" t="s">
        <v>72</v>
      </c>
      <c r="L2921" s="11" t="s">
        <v>84</v>
      </c>
      <c r="M2921" s="11" t="s">
        <v>15822</v>
      </c>
      <c r="N2921" s="11" t="s">
        <v>226</v>
      </c>
      <c r="O2921" s="11" t="s">
        <v>71</v>
      </c>
      <c r="P2921" s="11" t="s">
        <v>15836</v>
      </c>
      <c r="Q2921" s="13" t="s">
        <v>15837</v>
      </c>
      <c r="R2921" s="14" t="str">
        <f>HYPERLINK("https://drive.google.com/file/d/1MupzBimn_UAZA4lVwDAYy7VXlAzezj8N/view?usp=drivesdk","OFFER LETTER")</f>
        <v>OFFER LETTER</v>
      </c>
      <c r="S2921" s="11" t="s">
        <v>15838</v>
      </c>
    </row>
    <row r="2922" ht="22.5" customHeight="1">
      <c r="A2922" s="10">
        <v>46274.6149071875</v>
      </c>
      <c r="B2922" s="11" t="s">
        <v>15839</v>
      </c>
      <c r="C2922" s="11" t="s">
        <v>173</v>
      </c>
      <c r="D2922" s="11" t="s">
        <v>68</v>
      </c>
      <c r="E2922" s="12">
        <v>46275.0</v>
      </c>
      <c r="F2922" s="12">
        <v>46306.0</v>
      </c>
      <c r="G2922" s="11" t="s">
        <v>15840</v>
      </c>
      <c r="H2922" s="11">
        <v>9.026172438E9</v>
      </c>
      <c r="I2922" s="11" t="s">
        <v>82</v>
      </c>
      <c r="J2922" s="11" t="s">
        <v>83</v>
      </c>
      <c r="K2922" s="11" t="s">
        <v>110</v>
      </c>
      <c r="L2922" s="11" t="s">
        <v>73</v>
      </c>
      <c r="M2922" s="11" t="s">
        <v>15841</v>
      </c>
      <c r="N2922" s="11" t="s">
        <v>8937</v>
      </c>
      <c r="O2922" s="11" t="s">
        <v>263</v>
      </c>
      <c r="P2922" s="11" t="s">
        <v>15842</v>
      </c>
      <c r="Q2922" s="13" t="s">
        <v>15843</v>
      </c>
      <c r="R2922" s="14" t="str">
        <f>HYPERLINK("https://drive.google.com/file/d/1Pl9zCJIL86i_NJ34tEwHmEdVdn2aXi5U/view?usp=drivesdk","OFFER LETTER")</f>
        <v>OFFER LETTER</v>
      </c>
      <c r="S2922" s="11" t="s">
        <v>15844</v>
      </c>
    </row>
    <row r="2923" ht="22.5" customHeight="1">
      <c r="A2923" s="10">
        <v>46274.620680057866</v>
      </c>
      <c r="B2923" s="11" t="s">
        <v>15845</v>
      </c>
      <c r="C2923" s="11" t="s">
        <v>80</v>
      </c>
      <c r="D2923" s="11" t="s">
        <v>68</v>
      </c>
      <c r="E2923" s="12">
        <v>46274.0</v>
      </c>
      <c r="F2923" s="12">
        <v>46304.0</v>
      </c>
      <c r="G2923" s="11" t="s">
        <v>15826</v>
      </c>
      <c r="H2923" s="11">
        <v>8.01527664E9</v>
      </c>
      <c r="I2923" s="11" t="s">
        <v>70</v>
      </c>
      <c r="J2923" s="11" t="s">
        <v>71</v>
      </c>
      <c r="K2923" s="11" t="s">
        <v>72</v>
      </c>
      <c r="L2923" s="11" t="s">
        <v>84</v>
      </c>
      <c r="M2923" s="11" t="s">
        <v>85</v>
      </c>
      <c r="N2923" s="11" t="s">
        <v>86</v>
      </c>
      <c r="O2923" s="11" t="s">
        <v>71</v>
      </c>
      <c r="P2923" s="11" t="s">
        <v>15846</v>
      </c>
      <c r="Q2923" s="13" t="s">
        <v>15847</v>
      </c>
      <c r="R2923" s="14" t="str">
        <f>HYPERLINK("https://drive.google.com/file/d/11uBNy-7G6iWl4pUOujsiCZT0M6lgQoU5/view?usp=drivesdk","OFFER LETTER")</f>
        <v>OFFER LETTER</v>
      </c>
      <c r="S2923" s="11" t="s">
        <v>15848</v>
      </c>
    </row>
    <row r="2924" ht="22.5" customHeight="1">
      <c r="A2924" s="10">
        <v>46274.6251203125</v>
      </c>
      <c r="B2924" s="11" t="s">
        <v>15849</v>
      </c>
      <c r="C2924" s="11" t="s">
        <v>91</v>
      </c>
      <c r="D2924" s="11" t="s">
        <v>238</v>
      </c>
      <c r="E2924" s="12">
        <v>45792.0</v>
      </c>
      <c r="F2924" s="12">
        <v>45889.0</v>
      </c>
      <c r="G2924" s="11" t="s">
        <v>15850</v>
      </c>
      <c r="H2924" s="11">
        <v>9.178690907E9</v>
      </c>
      <c r="I2924" s="11" t="s">
        <v>82</v>
      </c>
      <c r="J2924" s="11" t="s">
        <v>71</v>
      </c>
      <c r="K2924" s="11" t="s">
        <v>72</v>
      </c>
      <c r="L2924" s="11" t="s">
        <v>73</v>
      </c>
      <c r="M2924" s="11" t="s">
        <v>15851</v>
      </c>
      <c r="N2924" s="11" t="s">
        <v>75</v>
      </c>
      <c r="O2924" s="11" t="s">
        <v>71</v>
      </c>
      <c r="P2924" s="11" t="s">
        <v>15852</v>
      </c>
      <c r="Q2924" s="13" t="s">
        <v>15853</v>
      </c>
      <c r="R2924" s="14" t="str">
        <f>HYPERLINK("https://drive.google.com/file/d/16iKu4D1NAngNCgjbOPTW1QhcjBxOmLXE/view?usp=drivesdk","OFFER LETTER")</f>
        <v>OFFER LETTER</v>
      </c>
      <c r="S2924" s="11" t="s">
        <v>15854</v>
      </c>
    </row>
    <row r="2925" ht="22.5" customHeight="1">
      <c r="A2925" s="10">
        <v>46274.63043837963</v>
      </c>
      <c r="B2925" s="11" t="s">
        <v>15855</v>
      </c>
      <c r="C2925" s="11" t="s">
        <v>107</v>
      </c>
      <c r="D2925" s="11" t="s">
        <v>68</v>
      </c>
      <c r="E2925" s="12">
        <v>46274.0</v>
      </c>
      <c r="F2925" s="12">
        <v>46303.0</v>
      </c>
      <c r="G2925" s="11" t="s">
        <v>15856</v>
      </c>
      <c r="H2925" s="11">
        <v>9.454118591E9</v>
      </c>
      <c r="I2925" s="11" t="s">
        <v>82</v>
      </c>
      <c r="J2925" s="11" t="s">
        <v>71</v>
      </c>
      <c r="K2925" s="11" t="s">
        <v>72</v>
      </c>
      <c r="L2925" s="11" t="s">
        <v>131</v>
      </c>
      <c r="M2925" s="11" t="s">
        <v>15857</v>
      </c>
      <c r="N2925" s="11" t="s">
        <v>86</v>
      </c>
      <c r="O2925" s="11" t="s">
        <v>71</v>
      </c>
      <c r="P2925" s="11" t="s">
        <v>15858</v>
      </c>
      <c r="Q2925" s="13" t="s">
        <v>15859</v>
      </c>
      <c r="R2925" s="14" t="str">
        <f>HYPERLINK("https://drive.google.com/file/d/1SX2CV6Ul9kVrMf0akDZHH-v4cc84Gi_L/view?usp=drivesdk","OFFER LETTER")</f>
        <v>OFFER LETTER</v>
      </c>
      <c r="S2925" s="11" t="s">
        <v>15860</v>
      </c>
    </row>
    <row r="2926" ht="22.5" customHeight="1">
      <c r="A2926" s="10">
        <v>46274.63104532407</v>
      </c>
      <c r="B2926" s="11" t="s">
        <v>15861</v>
      </c>
      <c r="C2926" s="11" t="s">
        <v>107</v>
      </c>
      <c r="D2926" s="11" t="s">
        <v>238</v>
      </c>
      <c r="E2926" s="12">
        <v>46275.0</v>
      </c>
      <c r="F2926" s="12">
        <v>46366.0</v>
      </c>
      <c r="G2926" s="11" t="s">
        <v>15862</v>
      </c>
      <c r="H2926" s="11">
        <v>8.210515463E9</v>
      </c>
      <c r="I2926" s="11" t="s">
        <v>82</v>
      </c>
      <c r="J2926" s="11" t="s">
        <v>71</v>
      </c>
      <c r="K2926" s="11" t="s">
        <v>72</v>
      </c>
      <c r="L2926" s="11" t="s">
        <v>131</v>
      </c>
      <c r="M2926" s="11" t="s">
        <v>15863</v>
      </c>
      <c r="N2926" s="11" t="s">
        <v>86</v>
      </c>
      <c r="O2926" s="11" t="s">
        <v>71</v>
      </c>
      <c r="P2926" s="11" t="s">
        <v>15864</v>
      </c>
      <c r="Q2926" s="13" t="s">
        <v>15865</v>
      </c>
      <c r="R2926" s="14" t="str">
        <f>HYPERLINK("https://drive.google.com/file/d/1gkhNJ1EVy9udEu4gTE9Udvr9FLj6F1kw/view?usp=drivesdk","OFFER LETTER")</f>
        <v>OFFER LETTER</v>
      </c>
      <c r="S2926" s="11" t="s">
        <v>15866</v>
      </c>
    </row>
    <row r="2927" ht="22.5" customHeight="1">
      <c r="A2927" s="10">
        <v>46274.63341207176</v>
      </c>
      <c r="B2927" s="11" t="s">
        <v>15867</v>
      </c>
      <c r="C2927" s="11" t="s">
        <v>237</v>
      </c>
      <c r="D2927" s="11" t="s">
        <v>68</v>
      </c>
      <c r="E2927" s="12">
        <v>46175.0</v>
      </c>
      <c r="F2927" s="12">
        <v>46205.0</v>
      </c>
      <c r="G2927" s="11" t="s">
        <v>15868</v>
      </c>
      <c r="H2927" s="11">
        <v>7.988006213E9</v>
      </c>
      <c r="I2927" s="11" t="s">
        <v>70</v>
      </c>
      <c r="J2927" s="11" t="s">
        <v>71</v>
      </c>
      <c r="K2927" s="11" t="s">
        <v>72</v>
      </c>
      <c r="L2927" s="11" t="s">
        <v>131</v>
      </c>
      <c r="M2927" s="11" t="s">
        <v>15869</v>
      </c>
      <c r="N2927" s="11" t="s">
        <v>241</v>
      </c>
      <c r="O2927" s="11" t="s">
        <v>71</v>
      </c>
      <c r="P2927" s="11" t="s">
        <v>15870</v>
      </c>
      <c r="Q2927" s="13" t="s">
        <v>15871</v>
      </c>
      <c r="R2927" s="14" t="str">
        <f>HYPERLINK("https://drive.google.com/file/d/1i94YXhJMiw3ZH8ygRdRmaDGizy83bI7F/view?usp=drivesdk","OFFER LETTER")</f>
        <v>OFFER LETTER</v>
      </c>
      <c r="S2927" s="11" t="s">
        <v>15872</v>
      </c>
    </row>
    <row r="2928" ht="22.5" customHeight="1">
      <c r="A2928" s="10">
        <v>46274.644762199074</v>
      </c>
      <c r="B2928" s="11" t="s">
        <v>9778</v>
      </c>
      <c r="C2928" s="11" t="s">
        <v>1320</v>
      </c>
      <c r="D2928" s="11" t="s">
        <v>108</v>
      </c>
      <c r="E2928" s="12">
        <v>46181.0</v>
      </c>
      <c r="F2928" s="12">
        <v>46241.0</v>
      </c>
      <c r="G2928" s="11" t="s">
        <v>15873</v>
      </c>
      <c r="H2928" s="11">
        <v>7.52102232E9</v>
      </c>
      <c r="I2928" s="11" t="s">
        <v>82</v>
      </c>
      <c r="J2928" s="11" t="s">
        <v>71</v>
      </c>
      <c r="K2928" s="11" t="s">
        <v>72</v>
      </c>
      <c r="L2928" s="11" t="s">
        <v>131</v>
      </c>
      <c r="M2928" s="11" t="s">
        <v>15874</v>
      </c>
      <c r="N2928" s="11" t="s">
        <v>75</v>
      </c>
      <c r="O2928" s="11" t="s">
        <v>71</v>
      </c>
      <c r="P2928" s="11" t="s">
        <v>15875</v>
      </c>
      <c r="Q2928" s="13" t="s">
        <v>15876</v>
      </c>
      <c r="R2928" s="14" t="str">
        <f>HYPERLINK("https://drive.google.com/file/d/1u3yXeFtmuabkRgTrQKQZARGthmuXgOvH/view?usp=drivesdk","OFFER LETTER")</f>
        <v>OFFER LETTER</v>
      </c>
      <c r="S2928" s="11" t="s">
        <v>15877</v>
      </c>
    </row>
    <row r="2929" ht="22.5" customHeight="1">
      <c r="A2929" s="10">
        <v>46274.65762</v>
      </c>
      <c r="B2929" s="11" t="s">
        <v>15878</v>
      </c>
      <c r="C2929" s="11" t="s">
        <v>107</v>
      </c>
      <c r="D2929" s="11" t="s">
        <v>68</v>
      </c>
      <c r="E2929" s="12">
        <v>46274.0</v>
      </c>
      <c r="F2929" s="12">
        <v>46275.0</v>
      </c>
      <c r="G2929" s="11" t="s">
        <v>15879</v>
      </c>
      <c r="H2929" s="11">
        <v>8.010295375E9</v>
      </c>
      <c r="I2929" s="11" t="s">
        <v>70</v>
      </c>
      <c r="J2929" s="11" t="s">
        <v>71</v>
      </c>
      <c r="K2929" s="11" t="s">
        <v>110</v>
      </c>
      <c r="L2929" s="11" t="s">
        <v>73</v>
      </c>
      <c r="M2929" s="11" t="s">
        <v>15880</v>
      </c>
      <c r="N2929" s="11" t="s">
        <v>75</v>
      </c>
      <c r="O2929" s="11" t="s">
        <v>71</v>
      </c>
      <c r="P2929" s="11" t="s">
        <v>15881</v>
      </c>
      <c r="Q2929" s="13" t="s">
        <v>15882</v>
      </c>
      <c r="R2929" s="14" t="str">
        <f>HYPERLINK("https://drive.google.com/file/d/1DM41A_eRfY2g3Quu4iBLp0ZIoqbKxMMU/view?usp=drivesdk","OFFER LETTER")</f>
        <v>OFFER LETTER</v>
      </c>
      <c r="S2929" s="11" t="s">
        <v>15883</v>
      </c>
    </row>
    <row r="2930" ht="22.5" customHeight="1">
      <c r="A2930" s="10">
        <v>46274.67153383102</v>
      </c>
      <c r="B2930" s="11" t="s">
        <v>15884</v>
      </c>
      <c r="C2930" s="11" t="s">
        <v>173</v>
      </c>
      <c r="D2930" s="11" t="s">
        <v>68</v>
      </c>
      <c r="E2930" s="12">
        <v>46234.0</v>
      </c>
      <c r="F2930" s="12">
        <v>46264.0</v>
      </c>
      <c r="G2930" s="11" t="s">
        <v>15885</v>
      </c>
      <c r="H2930" s="11">
        <v>9.528847254E9</v>
      </c>
      <c r="I2930" s="11" t="s">
        <v>70</v>
      </c>
      <c r="J2930" s="11" t="s">
        <v>71</v>
      </c>
      <c r="K2930" s="11" t="s">
        <v>72</v>
      </c>
      <c r="L2930" s="11" t="s">
        <v>84</v>
      </c>
      <c r="M2930" s="11" t="s">
        <v>15886</v>
      </c>
      <c r="N2930" s="11" t="s">
        <v>155</v>
      </c>
      <c r="O2930" s="11" t="s">
        <v>71</v>
      </c>
      <c r="P2930" s="11" t="s">
        <v>15887</v>
      </c>
      <c r="Q2930" s="13" t="s">
        <v>15888</v>
      </c>
      <c r="R2930" s="14" t="str">
        <f>HYPERLINK("https://drive.google.com/file/d/18zUu7DqLEcwYVIpWDFDJq1Xr31jq62dk/view?usp=drivesdk","OFFER LETTER")</f>
        <v>OFFER LETTER</v>
      </c>
      <c r="S2930" s="11" t="s">
        <v>15889</v>
      </c>
    </row>
    <row r="2931" ht="22.5" customHeight="1">
      <c r="A2931" s="10">
        <v>46274.674657048614</v>
      </c>
      <c r="B2931" s="11" t="s">
        <v>15890</v>
      </c>
      <c r="C2931" s="11" t="s">
        <v>1320</v>
      </c>
      <c r="D2931" s="11" t="s">
        <v>238</v>
      </c>
      <c r="E2931" s="12">
        <v>46175.0</v>
      </c>
      <c r="F2931" s="12">
        <v>46267.0</v>
      </c>
      <c r="G2931" s="11" t="s">
        <v>15891</v>
      </c>
      <c r="H2931" s="11">
        <v>9.618601245E9</v>
      </c>
      <c r="I2931" s="11" t="s">
        <v>82</v>
      </c>
      <c r="J2931" s="11" t="s">
        <v>71</v>
      </c>
      <c r="K2931" s="11" t="s">
        <v>72</v>
      </c>
      <c r="L2931" s="11" t="s">
        <v>131</v>
      </c>
      <c r="M2931" s="11" t="s">
        <v>15892</v>
      </c>
      <c r="N2931" s="11" t="s">
        <v>155</v>
      </c>
      <c r="O2931" s="11" t="s">
        <v>71</v>
      </c>
      <c r="P2931" s="11" t="s">
        <v>15893</v>
      </c>
      <c r="Q2931" s="13" t="s">
        <v>15894</v>
      </c>
      <c r="R2931" s="14" t="str">
        <f>HYPERLINK("https://drive.google.com/file/d/1r9q0Hde3J3vVNhxFmK2Po5xaKv3-F-zp/view?usp=drivesdk","OFFER LETTER")</f>
        <v>OFFER LETTER</v>
      </c>
      <c r="S2931" s="11" t="s">
        <v>15895</v>
      </c>
    </row>
    <row r="2932" ht="22.5" customHeight="1">
      <c r="A2932" s="10">
        <v>46274.675918900466</v>
      </c>
      <c r="B2932" s="11" t="s">
        <v>15896</v>
      </c>
      <c r="C2932" s="11" t="s">
        <v>173</v>
      </c>
      <c r="D2932" s="11" t="s">
        <v>68</v>
      </c>
      <c r="E2932" s="12">
        <v>46183.0</v>
      </c>
      <c r="F2932" s="12">
        <v>46214.0</v>
      </c>
      <c r="G2932" s="11" t="s">
        <v>15897</v>
      </c>
      <c r="H2932" s="11">
        <v>7.382104876E9</v>
      </c>
      <c r="I2932" s="11" t="s">
        <v>82</v>
      </c>
      <c r="J2932" s="11" t="s">
        <v>71</v>
      </c>
      <c r="K2932" s="11" t="s">
        <v>72</v>
      </c>
      <c r="L2932" s="11" t="s">
        <v>73</v>
      </c>
      <c r="M2932" s="11" t="s">
        <v>6264</v>
      </c>
      <c r="N2932" s="11" t="s">
        <v>198</v>
      </c>
      <c r="O2932" s="11" t="s">
        <v>71</v>
      </c>
      <c r="P2932" s="11" t="s">
        <v>15898</v>
      </c>
      <c r="Q2932" s="13" t="s">
        <v>15899</v>
      </c>
      <c r="R2932" s="14" t="str">
        <f>HYPERLINK("https://drive.google.com/file/d/1-T80--880F8AYViz9yJjeb13N-ilbvd1/view?usp=drivesdk","OFFER LETTER")</f>
        <v>OFFER LETTER</v>
      </c>
      <c r="S2932" s="11" t="s">
        <v>15900</v>
      </c>
    </row>
    <row r="2933" ht="22.5" customHeight="1">
      <c r="A2933" s="10">
        <v>46274.67733387732</v>
      </c>
      <c r="B2933" s="11" t="s">
        <v>15901</v>
      </c>
      <c r="C2933" s="11" t="s">
        <v>195</v>
      </c>
      <c r="D2933" s="11" t="s">
        <v>68</v>
      </c>
      <c r="E2933" s="12">
        <v>46224.0</v>
      </c>
      <c r="F2933" s="12">
        <v>46255.0</v>
      </c>
      <c r="G2933" s="11" t="s">
        <v>15902</v>
      </c>
      <c r="H2933" s="11">
        <v>8.220158904E9</v>
      </c>
      <c r="I2933" s="11" t="s">
        <v>82</v>
      </c>
      <c r="J2933" s="11" t="s">
        <v>71</v>
      </c>
      <c r="K2933" s="11" t="s">
        <v>72</v>
      </c>
      <c r="L2933" s="11" t="s">
        <v>73</v>
      </c>
      <c r="M2933" s="11" t="s">
        <v>15257</v>
      </c>
      <c r="N2933" s="11" t="s">
        <v>198</v>
      </c>
      <c r="O2933" s="11" t="s">
        <v>71</v>
      </c>
      <c r="P2933" s="11" t="s">
        <v>15903</v>
      </c>
      <c r="Q2933" s="13" t="s">
        <v>15904</v>
      </c>
      <c r="R2933" s="14" t="str">
        <f>HYPERLINK("https://drive.google.com/file/d/15tJmHyneEzYdnmZYNfy4bm2w9mPozcSX/view?usp=drivesdk","OFFER LETTER")</f>
        <v>OFFER LETTER</v>
      </c>
      <c r="S2933" s="11" t="s">
        <v>15905</v>
      </c>
    </row>
    <row r="2934" ht="22.5" customHeight="1">
      <c r="A2934" s="10">
        <v>46274.677894340275</v>
      </c>
      <c r="B2934" s="11" t="s">
        <v>15906</v>
      </c>
      <c r="C2934" s="11" t="s">
        <v>259</v>
      </c>
      <c r="D2934" s="11" t="s">
        <v>108</v>
      </c>
      <c r="E2934" s="12">
        <v>46181.0</v>
      </c>
      <c r="F2934" s="12">
        <v>46241.0</v>
      </c>
      <c r="G2934" s="11" t="s">
        <v>15907</v>
      </c>
      <c r="H2934" s="11">
        <v>7.518939508E9</v>
      </c>
      <c r="I2934" s="11" t="s">
        <v>82</v>
      </c>
      <c r="J2934" s="11" t="s">
        <v>71</v>
      </c>
      <c r="K2934" s="11" t="s">
        <v>72</v>
      </c>
      <c r="L2934" s="11" t="s">
        <v>131</v>
      </c>
      <c r="M2934" s="11" t="s">
        <v>15908</v>
      </c>
      <c r="N2934" s="11" t="s">
        <v>86</v>
      </c>
      <c r="O2934" s="11" t="s">
        <v>71</v>
      </c>
      <c r="P2934" s="11" t="s">
        <v>15909</v>
      </c>
      <c r="Q2934" s="13" t="s">
        <v>15910</v>
      </c>
      <c r="R2934" s="14" t="str">
        <f>HYPERLINK("https://drive.google.com/file/d/1M1CYS9voVaDQ3cn-jSJCnIQ1Sjgm6H84/view?usp=drivesdk","OFFER LETTER")</f>
        <v>OFFER LETTER</v>
      </c>
      <c r="S2934" s="11" t="s">
        <v>15911</v>
      </c>
    </row>
    <row r="2935" ht="22.5" customHeight="1">
      <c r="A2935" s="10">
        <v>46274.67918910879</v>
      </c>
      <c r="B2935" s="11" t="s">
        <v>15912</v>
      </c>
      <c r="C2935" s="11" t="s">
        <v>298</v>
      </c>
      <c r="D2935" s="11" t="s">
        <v>68</v>
      </c>
      <c r="E2935" s="12">
        <v>46218.0</v>
      </c>
      <c r="F2935" s="12">
        <v>46251.0</v>
      </c>
      <c r="G2935" s="11" t="s">
        <v>15913</v>
      </c>
      <c r="H2935" s="11">
        <v>9.520963858E9</v>
      </c>
      <c r="I2935" s="11" t="s">
        <v>82</v>
      </c>
      <c r="J2935" s="11" t="s">
        <v>71</v>
      </c>
      <c r="K2935" s="11" t="s">
        <v>72</v>
      </c>
      <c r="L2935" s="11" t="s">
        <v>131</v>
      </c>
      <c r="M2935" s="11" t="s">
        <v>493</v>
      </c>
      <c r="N2935" s="11" t="s">
        <v>155</v>
      </c>
      <c r="O2935" s="11" t="s">
        <v>71</v>
      </c>
      <c r="P2935" s="11" t="s">
        <v>15914</v>
      </c>
      <c r="Q2935" s="13" t="s">
        <v>15915</v>
      </c>
      <c r="R2935" s="14" t="str">
        <f>HYPERLINK("https://drive.google.com/file/d/1C1FZFU8NIY4CtK7WwsRz574BjYldNAUZ/view?usp=drivesdk","OFFER LETTER")</f>
        <v>OFFER LETTER</v>
      </c>
      <c r="S2935" s="11" t="s">
        <v>15916</v>
      </c>
    </row>
    <row r="2936" ht="22.5" customHeight="1">
      <c r="A2936" s="10">
        <v>46274.689925706014</v>
      </c>
      <c r="B2936" s="11" t="s">
        <v>15917</v>
      </c>
      <c r="C2936" s="11" t="s">
        <v>107</v>
      </c>
      <c r="D2936" s="11" t="s">
        <v>108</v>
      </c>
      <c r="E2936" s="12">
        <v>46204.0</v>
      </c>
      <c r="F2936" s="12">
        <v>46265.0</v>
      </c>
      <c r="G2936" s="11" t="s">
        <v>15918</v>
      </c>
      <c r="H2936" s="11">
        <v>9.214277387E9</v>
      </c>
      <c r="I2936" s="11" t="s">
        <v>82</v>
      </c>
      <c r="J2936" s="11" t="s">
        <v>71</v>
      </c>
      <c r="K2936" s="11" t="s">
        <v>72</v>
      </c>
      <c r="L2936" s="11" t="s">
        <v>84</v>
      </c>
      <c r="M2936" s="11" t="s">
        <v>1322</v>
      </c>
      <c r="N2936" s="11" t="s">
        <v>86</v>
      </c>
      <c r="O2936" s="11" t="s">
        <v>71</v>
      </c>
      <c r="P2936" s="11" t="s">
        <v>15919</v>
      </c>
      <c r="Q2936" s="13" t="s">
        <v>15920</v>
      </c>
      <c r="R2936" s="14" t="str">
        <f>HYPERLINK("https://drive.google.com/file/d/1pQzXRzkO6XgFI2uCFGXhEanFIAj4UYaW/view?usp=drivesdk","OFFER LETTER")</f>
        <v>OFFER LETTER</v>
      </c>
      <c r="S2936" s="11" t="s">
        <v>15921</v>
      </c>
    </row>
    <row r="2937" ht="22.5" customHeight="1">
      <c r="A2937" s="10">
        <v>46274.69049599537</v>
      </c>
      <c r="B2937" s="11" t="s">
        <v>14784</v>
      </c>
      <c r="C2937" s="11" t="s">
        <v>195</v>
      </c>
      <c r="D2937" s="11" t="s">
        <v>68</v>
      </c>
      <c r="E2937" s="12">
        <v>46296.0</v>
      </c>
      <c r="F2937" s="12">
        <v>46326.0</v>
      </c>
      <c r="G2937" s="11" t="s">
        <v>14785</v>
      </c>
      <c r="H2937" s="11">
        <v>8.999307539E9</v>
      </c>
      <c r="I2937" s="11" t="s">
        <v>70</v>
      </c>
      <c r="J2937" s="11" t="s">
        <v>71</v>
      </c>
      <c r="K2937" s="11" t="s">
        <v>72</v>
      </c>
      <c r="L2937" s="11" t="s">
        <v>73</v>
      </c>
      <c r="M2937" s="11" t="s">
        <v>14786</v>
      </c>
      <c r="N2937" s="11" t="s">
        <v>86</v>
      </c>
      <c r="O2937" s="11" t="s">
        <v>71</v>
      </c>
      <c r="P2937" s="11" t="s">
        <v>15922</v>
      </c>
      <c r="Q2937" s="13" t="s">
        <v>15923</v>
      </c>
      <c r="R2937" s="14" t="str">
        <f>HYPERLINK("https://drive.google.com/file/d/1PbAdvpXEib1gMoSZuVKdO090Oo2EG_6D/view?usp=drivesdk","OFFER LETTER")</f>
        <v>OFFER LETTER</v>
      </c>
      <c r="S2937" s="11" t="s">
        <v>15924</v>
      </c>
    </row>
    <row r="2938" ht="22.5" customHeight="1">
      <c r="A2938" s="10">
        <v>46274.703230011575</v>
      </c>
      <c r="B2938" s="11" t="s">
        <v>15925</v>
      </c>
      <c r="C2938" s="11" t="s">
        <v>173</v>
      </c>
      <c r="D2938" s="11" t="s">
        <v>68</v>
      </c>
      <c r="E2938" s="12">
        <v>46243.0</v>
      </c>
      <c r="F2938" s="12">
        <v>46274.0</v>
      </c>
      <c r="G2938" s="11" t="s">
        <v>15926</v>
      </c>
      <c r="H2938" s="11" t="s">
        <v>15927</v>
      </c>
      <c r="I2938" s="11" t="s">
        <v>70</v>
      </c>
      <c r="J2938" s="11" t="s">
        <v>130</v>
      </c>
      <c r="K2938" s="11" t="s">
        <v>72</v>
      </c>
      <c r="L2938" s="11" t="s">
        <v>73</v>
      </c>
      <c r="M2938" s="11" t="s">
        <v>15257</v>
      </c>
      <c r="N2938" s="11" t="s">
        <v>86</v>
      </c>
      <c r="O2938" s="11" t="s">
        <v>130</v>
      </c>
      <c r="P2938" s="11" t="s">
        <v>15928</v>
      </c>
      <c r="Q2938" s="13" t="s">
        <v>15929</v>
      </c>
      <c r="R2938" s="14" t="str">
        <f>HYPERLINK("https://drive.google.com/file/d/1XC9MJ1sQ0ZDBxW7TYrpMPhwZerBj9YNt/view?usp=drivesdk","OFFER LETTER")</f>
        <v>OFFER LETTER</v>
      </c>
      <c r="S2938" s="11" t="s">
        <v>15930</v>
      </c>
    </row>
    <row r="2939" ht="22.5" customHeight="1">
      <c r="A2939" s="10">
        <v>46274.71705689815</v>
      </c>
      <c r="B2939" s="11" t="s">
        <v>15931</v>
      </c>
      <c r="C2939" s="11" t="s">
        <v>195</v>
      </c>
      <c r="D2939" s="11" t="s">
        <v>68</v>
      </c>
      <c r="E2939" s="12">
        <v>46174.0</v>
      </c>
      <c r="F2939" s="12">
        <v>46203.0</v>
      </c>
      <c r="G2939" s="11" t="s">
        <v>15932</v>
      </c>
      <c r="H2939" s="11">
        <v>9.821114005E9</v>
      </c>
      <c r="I2939" s="11" t="s">
        <v>70</v>
      </c>
      <c r="J2939" s="11" t="s">
        <v>71</v>
      </c>
      <c r="K2939" s="11" t="s">
        <v>72</v>
      </c>
      <c r="L2939" s="11" t="s">
        <v>84</v>
      </c>
      <c r="M2939" s="11" t="s">
        <v>5124</v>
      </c>
      <c r="N2939" s="11" t="s">
        <v>75</v>
      </c>
      <c r="O2939" s="11" t="s">
        <v>71</v>
      </c>
      <c r="P2939" s="11" t="s">
        <v>15933</v>
      </c>
      <c r="Q2939" s="13" t="s">
        <v>15934</v>
      </c>
      <c r="R2939" s="14" t="str">
        <f>HYPERLINK("https://drive.google.com/file/d/1Op4HmVDibZOVGavc6O1xs-DsBfXiN13Z/view?usp=drivesdk","OFFER LETTER")</f>
        <v>OFFER LETTER</v>
      </c>
      <c r="S2939" s="11" t="s">
        <v>15935</v>
      </c>
    </row>
    <row r="2940" ht="22.5" customHeight="1">
      <c r="A2940" s="10">
        <v>46274.71716252315</v>
      </c>
      <c r="B2940" s="11" t="s">
        <v>15936</v>
      </c>
      <c r="C2940" s="11" t="s">
        <v>195</v>
      </c>
      <c r="D2940" s="11" t="s">
        <v>68</v>
      </c>
      <c r="E2940" s="12">
        <v>46174.0</v>
      </c>
      <c r="F2940" s="12">
        <v>46203.0</v>
      </c>
      <c r="G2940" s="11" t="s">
        <v>15937</v>
      </c>
      <c r="H2940" s="11">
        <v>8.882028519E9</v>
      </c>
      <c r="I2940" s="11" t="s">
        <v>82</v>
      </c>
      <c r="J2940" s="11" t="s">
        <v>83</v>
      </c>
      <c r="K2940" s="11" t="s">
        <v>72</v>
      </c>
      <c r="L2940" s="11" t="s">
        <v>84</v>
      </c>
      <c r="M2940" s="11" t="s">
        <v>2655</v>
      </c>
      <c r="N2940" s="11" t="s">
        <v>86</v>
      </c>
      <c r="O2940" s="11" t="s">
        <v>71</v>
      </c>
      <c r="P2940" s="11" t="s">
        <v>15938</v>
      </c>
      <c r="Q2940" s="13" t="s">
        <v>15939</v>
      </c>
      <c r="R2940" s="14" t="str">
        <f>HYPERLINK("https://drive.google.com/file/d/1HsUacmsBkUjOqrAILnRZDoG-Tai3q_KS/view?usp=drivesdk","OFFER LETTER")</f>
        <v>OFFER LETTER</v>
      </c>
      <c r="S2940" s="11" t="s">
        <v>15940</v>
      </c>
    </row>
    <row r="2941" ht="22.5" customHeight="1">
      <c r="A2941" s="10">
        <v>46274.726565254634</v>
      </c>
      <c r="B2941" s="11" t="s">
        <v>15941</v>
      </c>
      <c r="C2941" s="11" t="s">
        <v>195</v>
      </c>
      <c r="D2941" s="11" t="s">
        <v>108</v>
      </c>
      <c r="E2941" s="12">
        <v>46274.0</v>
      </c>
      <c r="F2941" s="12">
        <v>46335.0</v>
      </c>
      <c r="G2941" s="11" t="s">
        <v>15942</v>
      </c>
      <c r="H2941" s="11">
        <v>8.897741136E9</v>
      </c>
      <c r="I2941" s="11" t="s">
        <v>70</v>
      </c>
      <c r="J2941" s="11" t="s">
        <v>83</v>
      </c>
      <c r="K2941" s="11" t="s">
        <v>2045</v>
      </c>
      <c r="L2941" s="11" t="s">
        <v>357</v>
      </c>
      <c r="M2941" s="11" t="s">
        <v>15943</v>
      </c>
      <c r="N2941" s="11" t="s">
        <v>155</v>
      </c>
      <c r="O2941" s="11" t="s">
        <v>71</v>
      </c>
      <c r="P2941" s="11" t="s">
        <v>15944</v>
      </c>
      <c r="Q2941" s="13" t="s">
        <v>15945</v>
      </c>
      <c r="R2941" s="14" t="str">
        <f>HYPERLINK("https://drive.google.com/file/d/1YbN-t2WhMdvOlsbMksyKu3aOnSbSjH2J/view?usp=drivesdk","OFFER LETTER")</f>
        <v>OFFER LETTER</v>
      </c>
      <c r="S2941" s="11" t="s">
        <v>15946</v>
      </c>
    </row>
    <row r="2942" ht="22.5" customHeight="1">
      <c r="A2942" s="10">
        <v>46274.730902048614</v>
      </c>
      <c r="B2942" s="11" t="s">
        <v>15947</v>
      </c>
      <c r="C2942" s="11" t="s">
        <v>128</v>
      </c>
      <c r="D2942" s="11" t="s">
        <v>68</v>
      </c>
      <c r="E2942" s="12">
        <v>46236.0</v>
      </c>
      <c r="F2942" s="12">
        <v>46274.0</v>
      </c>
      <c r="G2942" s="11" t="s">
        <v>15948</v>
      </c>
      <c r="H2942" s="11">
        <v>9.69304349E9</v>
      </c>
      <c r="I2942" s="11" t="s">
        <v>82</v>
      </c>
      <c r="J2942" s="11" t="s">
        <v>71</v>
      </c>
      <c r="K2942" s="11" t="s">
        <v>72</v>
      </c>
      <c r="L2942" s="11" t="s">
        <v>84</v>
      </c>
      <c r="M2942" s="11" t="s">
        <v>10007</v>
      </c>
      <c r="N2942" s="11" t="s">
        <v>86</v>
      </c>
      <c r="O2942" s="11" t="s">
        <v>71</v>
      </c>
      <c r="P2942" s="11" t="s">
        <v>15949</v>
      </c>
      <c r="Q2942" s="13" t="s">
        <v>15950</v>
      </c>
      <c r="R2942" s="14" t="str">
        <f>HYPERLINK("https://drive.google.com/file/d/1Mfp11lPbP3VBJ4VFrsPAysxK30V-qFF4/view?usp=drivesdk","OFFER LETTER")</f>
        <v>OFFER LETTER</v>
      </c>
      <c r="S2942" s="11" t="s">
        <v>15951</v>
      </c>
    </row>
    <row r="2943" ht="22.5" customHeight="1">
      <c r="A2943" s="10">
        <v>46274.73316513889</v>
      </c>
      <c r="B2943" s="11" t="s">
        <v>15952</v>
      </c>
      <c r="C2943" s="11" t="s">
        <v>80</v>
      </c>
      <c r="D2943" s="11" t="s">
        <v>68</v>
      </c>
      <c r="E2943" s="12">
        <v>46237.0</v>
      </c>
      <c r="F2943" s="12">
        <v>46267.0</v>
      </c>
      <c r="G2943" s="11" t="s">
        <v>8187</v>
      </c>
      <c r="H2943" s="11">
        <v>7.82947529E9</v>
      </c>
      <c r="I2943" s="11" t="s">
        <v>82</v>
      </c>
      <c r="J2943" s="11" t="s">
        <v>71</v>
      </c>
      <c r="K2943" s="11" t="s">
        <v>72</v>
      </c>
      <c r="L2943" s="11" t="s">
        <v>73</v>
      </c>
      <c r="M2943" s="11" t="s">
        <v>8188</v>
      </c>
      <c r="N2943" s="11" t="s">
        <v>226</v>
      </c>
      <c r="O2943" s="11" t="s">
        <v>71</v>
      </c>
      <c r="P2943" s="11" t="s">
        <v>15953</v>
      </c>
      <c r="Q2943" s="13" t="s">
        <v>15954</v>
      </c>
      <c r="R2943" s="14" t="str">
        <f>HYPERLINK("https://drive.google.com/file/d/1ZUz26n0-mJAiDiBw_1v7lmp8lgYDP3NX/view?usp=drivesdk","OFFER LETTER")</f>
        <v>OFFER LETTER</v>
      </c>
      <c r="S2943" s="11" t="s">
        <v>15955</v>
      </c>
    </row>
    <row r="2944" ht="22.5" customHeight="1">
      <c r="A2944" s="10">
        <v>46274.736141076384</v>
      </c>
      <c r="B2944" s="11" t="s">
        <v>15956</v>
      </c>
      <c r="C2944" s="11" t="s">
        <v>195</v>
      </c>
      <c r="D2944" s="11" t="s">
        <v>68</v>
      </c>
      <c r="E2944" s="12">
        <v>46259.0</v>
      </c>
      <c r="F2944" s="12">
        <v>46290.0</v>
      </c>
      <c r="G2944" s="11" t="s">
        <v>15957</v>
      </c>
      <c r="H2944" s="11">
        <v>7.500420006E9</v>
      </c>
      <c r="I2944" s="11" t="s">
        <v>70</v>
      </c>
      <c r="J2944" s="11" t="s">
        <v>71</v>
      </c>
      <c r="K2944" s="11" t="s">
        <v>72</v>
      </c>
      <c r="L2944" s="11" t="s">
        <v>84</v>
      </c>
      <c r="M2944" s="11" t="s">
        <v>437</v>
      </c>
      <c r="N2944" s="11" t="s">
        <v>86</v>
      </c>
      <c r="O2944" s="11" t="s">
        <v>71</v>
      </c>
      <c r="P2944" s="11" t="s">
        <v>15958</v>
      </c>
      <c r="Q2944" s="13" t="s">
        <v>15959</v>
      </c>
      <c r="R2944" s="14" t="str">
        <f>HYPERLINK("https://drive.google.com/file/d/13NZ2cAtCeh4eiQ2v2RGBId16CJ1I2JB1/view?usp=drivesdk","OFFER LETTER")</f>
        <v>OFFER LETTER</v>
      </c>
      <c r="S2944" s="11" t="s">
        <v>15960</v>
      </c>
    </row>
    <row r="2945" ht="22.5" customHeight="1">
      <c r="A2945" s="10">
        <v>46274.743670358795</v>
      </c>
      <c r="B2945" s="11" t="s">
        <v>15961</v>
      </c>
      <c r="C2945" s="11" t="s">
        <v>173</v>
      </c>
      <c r="D2945" s="11" t="s">
        <v>68</v>
      </c>
      <c r="E2945" s="12">
        <v>46274.0</v>
      </c>
      <c r="F2945" s="12">
        <v>46304.0</v>
      </c>
      <c r="G2945" s="11" t="s">
        <v>15962</v>
      </c>
      <c r="H2945" s="11">
        <v>8.870800419E9</v>
      </c>
      <c r="I2945" s="11" t="s">
        <v>82</v>
      </c>
      <c r="J2945" s="11" t="s">
        <v>71</v>
      </c>
      <c r="K2945" s="11" t="s">
        <v>72</v>
      </c>
      <c r="L2945" s="11" t="s">
        <v>131</v>
      </c>
      <c r="M2945" s="11" t="s">
        <v>15963</v>
      </c>
      <c r="N2945" s="11" t="s">
        <v>75</v>
      </c>
      <c r="O2945" s="11" t="s">
        <v>71</v>
      </c>
      <c r="P2945" s="11" t="s">
        <v>15964</v>
      </c>
      <c r="Q2945" s="13" t="s">
        <v>15965</v>
      </c>
      <c r="R2945" s="14" t="str">
        <f>HYPERLINK("https://drive.google.com/file/d/17nwXO-cLw07Q7CGPZcHJ5T2dKXNmEJ05/view?usp=drivesdk","OFFER LETTER")</f>
        <v>OFFER LETTER</v>
      </c>
      <c r="S2945" s="11" t="s">
        <v>15966</v>
      </c>
    </row>
    <row r="2946" ht="22.5" customHeight="1">
      <c r="A2946" s="10">
        <v>46274.75155777778</v>
      </c>
      <c r="B2946" s="11" t="s">
        <v>12581</v>
      </c>
      <c r="C2946" s="11" t="s">
        <v>173</v>
      </c>
      <c r="D2946" s="11" t="s">
        <v>68</v>
      </c>
      <c r="E2946" s="12">
        <v>46181.0</v>
      </c>
      <c r="F2946" s="12">
        <v>46211.0</v>
      </c>
      <c r="G2946" s="11" t="s">
        <v>15967</v>
      </c>
      <c r="H2946" s="11">
        <v>9.919615225E9</v>
      </c>
      <c r="I2946" s="11" t="s">
        <v>82</v>
      </c>
      <c r="J2946" s="11" t="s">
        <v>71</v>
      </c>
      <c r="K2946" s="11" t="s">
        <v>72</v>
      </c>
      <c r="L2946" s="11" t="s">
        <v>84</v>
      </c>
      <c r="M2946" s="11" t="s">
        <v>886</v>
      </c>
      <c r="N2946" s="11" t="s">
        <v>86</v>
      </c>
      <c r="O2946" s="11" t="s">
        <v>71</v>
      </c>
      <c r="P2946" s="11" t="s">
        <v>15968</v>
      </c>
      <c r="Q2946" s="13" t="s">
        <v>15969</v>
      </c>
      <c r="R2946" s="14" t="str">
        <f>HYPERLINK("https://drive.google.com/file/d/1AkShidLpyDrEE1izAo9m3iXDCQH0Ftip/view?usp=drivesdk","OFFER LETTER")</f>
        <v>OFFER LETTER</v>
      </c>
      <c r="S2946" s="11" t="s">
        <v>15970</v>
      </c>
    </row>
    <row r="2947" ht="22.5" customHeight="1">
      <c r="A2947" s="10">
        <v>46274.75490185185</v>
      </c>
      <c r="B2947" s="11" t="s">
        <v>15971</v>
      </c>
      <c r="C2947" s="11" t="s">
        <v>195</v>
      </c>
      <c r="D2947" s="11" t="s">
        <v>68</v>
      </c>
      <c r="E2947" s="12">
        <v>46202.0</v>
      </c>
      <c r="F2947" s="12">
        <v>46233.0</v>
      </c>
      <c r="G2947" s="11" t="s">
        <v>15972</v>
      </c>
      <c r="H2947" s="11">
        <v>9.911958106E9</v>
      </c>
      <c r="I2947" s="11" t="s">
        <v>82</v>
      </c>
      <c r="J2947" s="11" t="s">
        <v>71</v>
      </c>
      <c r="K2947" s="11" t="s">
        <v>72</v>
      </c>
      <c r="L2947" s="11" t="s">
        <v>84</v>
      </c>
      <c r="M2947" s="11" t="s">
        <v>808</v>
      </c>
      <c r="N2947" s="11" t="s">
        <v>86</v>
      </c>
      <c r="O2947" s="11" t="s">
        <v>71</v>
      </c>
      <c r="P2947" s="11" t="s">
        <v>15973</v>
      </c>
      <c r="Q2947" s="13" t="s">
        <v>15974</v>
      </c>
      <c r="R2947" s="14" t="str">
        <f>HYPERLINK("https://drive.google.com/file/d/1ORuyfauR5B8tlDwnwtSaFbXgR5TnQd_w/view?usp=drivesdk","OFFER LETTER")</f>
        <v>OFFER LETTER</v>
      </c>
      <c r="S2947" s="11" t="s">
        <v>15975</v>
      </c>
    </row>
    <row r="2948" ht="22.5" customHeight="1">
      <c r="A2948" s="10">
        <v>46274.764230960645</v>
      </c>
      <c r="B2948" s="11" t="s">
        <v>15976</v>
      </c>
      <c r="C2948" s="11" t="s">
        <v>80</v>
      </c>
      <c r="D2948" s="11" t="s">
        <v>68</v>
      </c>
      <c r="E2948" s="12">
        <v>46274.0</v>
      </c>
      <c r="F2948" s="12">
        <v>46304.0</v>
      </c>
      <c r="G2948" s="11" t="s">
        <v>15977</v>
      </c>
      <c r="H2948" s="11">
        <v>6.295626426E9</v>
      </c>
      <c r="I2948" s="11" t="s">
        <v>70</v>
      </c>
      <c r="J2948" s="11" t="s">
        <v>71</v>
      </c>
      <c r="K2948" s="11" t="s">
        <v>72</v>
      </c>
      <c r="L2948" s="11" t="s">
        <v>131</v>
      </c>
      <c r="M2948" s="11" t="s">
        <v>15978</v>
      </c>
      <c r="N2948" s="11" t="s">
        <v>75</v>
      </c>
      <c r="O2948" s="11" t="s">
        <v>71</v>
      </c>
      <c r="P2948" s="11" t="s">
        <v>15979</v>
      </c>
      <c r="Q2948" s="13" t="s">
        <v>15980</v>
      </c>
      <c r="R2948" s="14" t="str">
        <f>HYPERLINK("https://drive.google.com/file/d/1SBM-ep68LKiAhrG-WisqgmS4ZI47YjyA/view?usp=drivesdk","OFFER LETTER")</f>
        <v>OFFER LETTER</v>
      </c>
      <c r="S2948" s="11" t="s">
        <v>15981</v>
      </c>
    </row>
    <row r="2949" ht="22.5" customHeight="1">
      <c r="A2949" s="10">
        <v>46274.76726995371</v>
      </c>
      <c r="B2949" s="11" t="s">
        <v>15982</v>
      </c>
      <c r="C2949" s="11" t="s">
        <v>195</v>
      </c>
      <c r="D2949" s="11" t="s">
        <v>68</v>
      </c>
      <c r="E2949" s="12">
        <v>46256.0</v>
      </c>
      <c r="F2949" s="12">
        <v>46317.0</v>
      </c>
      <c r="G2949" s="11" t="s">
        <v>15983</v>
      </c>
      <c r="H2949" s="11">
        <v>7.482087585E9</v>
      </c>
      <c r="I2949" s="11" t="s">
        <v>82</v>
      </c>
      <c r="J2949" s="11" t="s">
        <v>71</v>
      </c>
      <c r="K2949" s="11" t="s">
        <v>110</v>
      </c>
      <c r="L2949" s="11" t="s">
        <v>357</v>
      </c>
      <c r="M2949" s="11" t="s">
        <v>15984</v>
      </c>
      <c r="N2949" s="11" t="s">
        <v>198</v>
      </c>
      <c r="O2949" s="11" t="s">
        <v>71</v>
      </c>
      <c r="P2949" s="11" t="s">
        <v>15985</v>
      </c>
      <c r="Q2949" s="13" t="s">
        <v>15986</v>
      </c>
      <c r="R2949" s="14" t="str">
        <f>HYPERLINK("https://drive.google.com/file/d/1tgDbMAJIUczUyA_tXf8lgPB-OXP6qOk_/view?usp=drivesdk","OFFER LETTER")</f>
        <v>OFFER LETTER</v>
      </c>
      <c r="S2949" s="11" t="s">
        <v>15987</v>
      </c>
    </row>
    <row r="2950" ht="22.5" customHeight="1">
      <c r="A2950" s="10">
        <v>46274.772368101854</v>
      </c>
      <c r="B2950" s="11" t="s">
        <v>15988</v>
      </c>
      <c r="C2950" s="11" t="s">
        <v>195</v>
      </c>
      <c r="D2950" s="11" t="s">
        <v>68</v>
      </c>
      <c r="E2950" s="12">
        <v>46224.0</v>
      </c>
      <c r="F2950" s="12">
        <v>46255.0</v>
      </c>
      <c r="G2950" s="11" t="s">
        <v>15989</v>
      </c>
      <c r="H2950" s="11">
        <v>9.790247648E9</v>
      </c>
      <c r="I2950" s="11" t="s">
        <v>70</v>
      </c>
      <c r="J2950" s="11" t="s">
        <v>71</v>
      </c>
      <c r="K2950" s="11" t="s">
        <v>72</v>
      </c>
      <c r="L2950" s="11" t="s">
        <v>73</v>
      </c>
      <c r="M2950" s="11" t="s">
        <v>15990</v>
      </c>
      <c r="N2950" s="11" t="s">
        <v>198</v>
      </c>
      <c r="O2950" s="11" t="s">
        <v>71</v>
      </c>
      <c r="P2950" s="11" t="s">
        <v>15991</v>
      </c>
      <c r="Q2950" s="13" t="s">
        <v>15992</v>
      </c>
      <c r="R2950" s="14" t="str">
        <f>HYPERLINK("https://drive.google.com/file/d/19OtqeJ8ICUN9wv_5EqWIl24ybTPK7vjQ/view?usp=drivesdk","OFFER LETTER")</f>
        <v>OFFER LETTER</v>
      </c>
      <c r="S2950" s="11" t="s">
        <v>15993</v>
      </c>
    </row>
    <row r="2951" ht="22.5" customHeight="1">
      <c r="A2951" s="10">
        <v>46274.77929583333</v>
      </c>
      <c r="B2951" s="11" t="s">
        <v>15994</v>
      </c>
      <c r="C2951" s="11" t="s">
        <v>195</v>
      </c>
      <c r="D2951" s="11" t="s">
        <v>68</v>
      </c>
      <c r="E2951" s="12">
        <v>46235.0</v>
      </c>
      <c r="F2951" s="12">
        <v>46266.0</v>
      </c>
      <c r="G2951" s="11" t="s">
        <v>15995</v>
      </c>
      <c r="H2951" s="11">
        <v>6.207301553E9</v>
      </c>
      <c r="I2951" s="11" t="s">
        <v>82</v>
      </c>
      <c r="J2951" s="11" t="s">
        <v>71</v>
      </c>
      <c r="K2951" s="11" t="s">
        <v>72</v>
      </c>
      <c r="L2951" s="11" t="s">
        <v>84</v>
      </c>
      <c r="M2951" s="11" t="s">
        <v>2535</v>
      </c>
      <c r="N2951" s="11" t="s">
        <v>86</v>
      </c>
      <c r="O2951" s="11" t="s">
        <v>71</v>
      </c>
      <c r="P2951" s="11" t="s">
        <v>15996</v>
      </c>
      <c r="Q2951" s="13" t="s">
        <v>15997</v>
      </c>
      <c r="R2951" s="14" t="str">
        <f>HYPERLINK("https://drive.google.com/file/d/1714dLtFakxmfuaXTdsaluFLpertMNyIi/view?usp=drivesdk","OFFER LETTER")</f>
        <v>OFFER LETTER</v>
      </c>
      <c r="S2951" s="11" t="s">
        <v>15998</v>
      </c>
    </row>
    <row r="2952" ht="22.5" customHeight="1">
      <c r="A2952" s="10">
        <v>46274.78545296296</v>
      </c>
      <c r="B2952" s="11" t="s">
        <v>15999</v>
      </c>
      <c r="C2952" s="11" t="s">
        <v>173</v>
      </c>
      <c r="D2952" s="11" t="s">
        <v>68</v>
      </c>
      <c r="E2952" s="12">
        <v>46170.0</v>
      </c>
      <c r="F2952" s="12">
        <v>46216.0</v>
      </c>
      <c r="G2952" s="11" t="s">
        <v>16000</v>
      </c>
      <c r="H2952" s="11">
        <v>9.887402182E9</v>
      </c>
      <c r="I2952" s="11" t="s">
        <v>82</v>
      </c>
      <c r="J2952" s="11" t="s">
        <v>71</v>
      </c>
      <c r="K2952" s="11" t="s">
        <v>72</v>
      </c>
      <c r="L2952" s="11" t="s">
        <v>84</v>
      </c>
      <c r="M2952" s="11" t="s">
        <v>16001</v>
      </c>
      <c r="N2952" s="11" t="s">
        <v>198</v>
      </c>
      <c r="O2952" s="11" t="s">
        <v>71</v>
      </c>
      <c r="P2952" s="11" t="s">
        <v>16002</v>
      </c>
      <c r="Q2952" s="13" t="s">
        <v>16003</v>
      </c>
      <c r="R2952" s="14" t="str">
        <f>HYPERLINK("https://drive.google.com/file/d/1C1_rD4NuGplEgX0bCf0-Zz7DzlvaJwbS/view?usp=drivesdk","OFFER LETTER")</f>
        <v>OFFER LETTER</v>
      </c>
      <c r="S2952" s="11" t="s">
        <v>16004</v>
      </c>
    </row>
    <row r="2953" ht="22.5" customHeight="1">
      <c r="A2953" s="10">
        <v>46274.78564996528</v>
      </c>
      <c r="B2953" s="11" t="s">
        <v>16005</v>
      </c>
      <c r="C2953" s="11" t="s">
        <v>195</v>
      </c>
      <c r="D2953" s="11" t="s">
        <v>68</v>
      </c>
      <c r="E2953" s="12">
        <v>46261.0</v>
      </c>
      <c r="F2953" s="12">
        <v>46298.0</v>
      </c>
      <c r="G2953" s="11" t="s">
        <v>16006</v>
      </c>
      <c r="H2953" s="11">
        <v>6.363834794E9</v>
      </c>
      <c r="I2953" s="11" t="s">
        <v>82</v>
      </c>
      <c r="J2953" s="11" t="s">
        <v>83</v>
      </c>
      <c r="K2953" s="11" t="s">
        <v>2045</v>
      </c>
      <c r="L2953" s="11" t="s">
        <v>84</v>
      </c>
      <c r="M2953" s="11" t="s">
        <v>8330</v>
      </c>
      <c r="N2953" s="11" t="s">
        <v>86</v>
      </c>
      <c r="O2953" s="11" t="s">
        <v>71</v>
      </c>
      <c r="P2953" s="11" t="s">
        <v>16007</v>
      </c>
      <c r="Q2953" s="13" t="s">
        <v>16008</v>
      </c>
      <c r="R2953" s="14" t="str">
        <f>HYPERLINK("https://drive.google.com/file/d/1GpLfbNQ3xIFAfTzPgTf--cOTNIBltP1x/view?usp=drivesdk","OFFER LETTER")</f>
        <v>OFFER LETTER</v>
      </c>
      <c r="S2953" s="11" t="s">
        <v>16004</v>
      </c>
    </row>
    <row r="2954" ht="22.5" customHeight="1">
      <c r="A2954" s="10">
        <v>46274.78953635417</v>
      </c>
      <c r="B2954" s="11" t="s">
        <v>16009</v>
      </c>
      <c r="C2954" s="11" t="s">
        <v>91</v>
      </c>
      <c r="D2954" s="11" t="s">
        <v>68</v>
      </c>
      <c r="E2954" s="12">
        <v>46273.0</v>
      </c>
      <c r="F2954" s="12">
        <v>46242.0</v>
      </c>
      <c r="G2954" s="11" t="s">
        <v>16010</v>
      </c>
      <c r="H2954" s="11">
        <v>9.621759828E9</v>
      </c>
      <c r="I2954" s="11" t="s">
        <v>82</v>
      </c>
      <c r="J2954" s="11" t="s">
        <v>71</v>
      </c>
      <c r="K2954" s="11" t="s">
        <v>72</v>
      </c>
      <c r="L2954" s="11" t="s">
        <v>73</v>
      </c>
      <c r="M2954" s="11" t="s">
        <v>16011</v>
      </c>
      <c r="N2954" s="11" t="s">
        <v>655</v>
      </c>
      <c r="O2954" s="11" t="s">
        <v>71</v>
      </c>
      <c r="P2954" s="11" t="s">
        <v>16012</v>
      </c>
      <c r="Q2954" s="13" t="s">
        <v>16013</v>
      </c>
      <c r="R2954" s="14" t="str">
        <f>HYPERLINK("https://drive.google.com/file/d/1RQA8P_AgkCTvvh-IEccFaYGM2xIJDWrS/view?usp=drivesdk","OFFER LETTER")</f>
        <v>OFFER LETTER</v>
      </c>
      <c r="S2954" s="11" t="s">
        <v>16014</v>
      </c>
    </row>
    <row r="2955" ht="22.5" customHeight="1">
      <c r="A2955" s="10">
        <v>46274.79086605324</v>
      </c>
      <c r="B2955" s="11" t="s">
        <v>16015</v>
      </c>
      <c r="C2955" s="11" t="s">
        <v>128</v>
      </c>
      <c r="D2955" s="11" t="s">
        <v>68</v>
      </c>
      <c r="E2955" s="12">
        <v>46204.0</v>
      </c>
      <c r="F2955" s="12">
        <v>46233.0</v>
      </c>
      <c r="G2955" s="11" t="s">
        <v>16016</v>
      </c>
      <c r="H2955" s="11">
        <v>9.963028212E9</v>
      </c>
      <c r="I2955" s="11" t="s">
        <v>82</v>
      </c>
      <c r="J2955" s="11" t="s">
        <v>71</v>
      </c>
      <c r="K2955" s="11" t="s">
        <v>72</v>
      </c>
      <c r="L2955" s="11" t="s">
        <v>73</v>
      </c>
      <c r="M2955" s="11" t="s">
        <v>16017</v>
      </c>
      <c r="N2955" s="11" t="s">
        <v>226</v>
      </c>
      <c r="O2955" s="11" t="s">
        <v>71</v>
      </c>
      <c r="P2955" s="11" t="s">
        <v>16018</v>
      </c>
      <c r="Q2955" s="13" t="s">
        <v>16019</v>
      </c>
      <c r="R2955" s="14" t="str">
        <f>HYPERLINK("https://drive.google.com/file/d/1_Wmu-2-zbG7_-O6-LhvL8nuhCOELZr-G/view?usp=drivesdk","OFFER LETTER")</f>
        <v>OFFER LETTER</v>
      </c>
      <c r="S2955" s="11" t="s">
        <v>16020</v>
      </c>
    </row>
    <row r="2956" ht="22.5" customHeight="1">
      <c r="A2956" s="10">
        <v>46274.79381498843</v>
      </c>
      <c r="B2956" s="11" t="s">
        <v>16021</v>
      </c>
      <c r="C2956" s="11" t="s">
        <v>128</v>
      </c>
      <c r="D2956" s="11" t="s">
        <v>68</v>
      </c>
      <c r="E2956" s="12">
        <v>46204.0</v>
      </c>
      <c r="F2956" s="12">
        <v>46233.0</v>
      </c>
      <c r="G2956" s="11" t="s">
        <v>16016</v>
      </c>
      <c r="H2956" s="11">
        <v>9.963028212E9</v>
      </c>
      <c r="I2956" s="11" t="s">
        <v>82</v>
      </c>
      <c r="J2956" s="11" t="s">
        <v>71</v>
      </c>
      <c r="K2956" s="11" t="s">
        <v>72</v>
      </c>
      <c r="L2956" s="11" t="s">
        <v>73</v>
      </c>
      <c r="M2956" s="11" t="s">
        <v>16017</v>
      </c>
      <c r="N2956" s="11" t="s">
        <v>226</v>
      </c>
      <c r="O2956" s="11" t="s">
        <v>263</v>
      </c>
      <c r="P2956" s="11" t="s">
        <v>16022</v>
      </c>
      <c r="Q2956" s="13" t="s">
        <v>16023</v>
      </c>
      <c r="R2956" s="14" t="str">
        <f>HYPERLINK("https://drive.google.com/file/d/1WXTqhxEbD9dhXezKG9fJxnhi-UsixslF/view?usp=drivesdk","OFFER LETTER")</f>
        <v>OFFER LETTER</v>
      </c>
      <c r="S2956" s="11" t="s">
        <v>16024</v>
      </c>
    </row>
    <row r="2957" ht="22.5" customHeight="1">
      <c r="A2957" s="10">
        <v>46274.79411188657</v>
      </c>
      <c r="B2957" s="11" t="s">
        <v>16025</v>
      </c>
      <c r="C2957" s="11" t="s">
        <v>173</v>
      </c>
      <c r="D2957" s="11" t="s">
        <v>68</v>
      </c>
      <c r="E2957" s="12">
        <v>46170.0</v>
      </c>
      <c r="F2957" s="12">
        <v>46216.0</v>
      </c>
      <c r="G2957" s="11" t="s">
        <v>16026</v>
      </c>
      <c r="H2957" s="11">
        <v>6.350073557E9</v>
      </c>
      <c r="I2957" s="11" t="s">
        <v>82</v>
      </c>
      <c r="J2957" s="11" t="s">
        <v>71</v>
      </c>
      <c r="K2957" s="11" t="s">
        <v>72</v>
      </c>
      <c r="L2957" s="11" t="s">
        <v>73</v>
      </c>
      <c r="M2957" s="11" t="s">
        <v>16027</v>
      </c>
      <c r="N2957" s="11" t="s">
        <v>198</v>
      </c>
      <c r="O2957" s="11" t="s">
        <v>71</v>
      </c>
      <c r="P2957" s="11" t="s">
        <v>16028</v>
      </c>
      <c r="Q2957" s="13" t="s">
        <v>16029</v>
      </c>
      <c r="R2957" s="14" t="str">
        <f>HYPERLINK("https://drive.google.com/file/d/1zXxcu6hPEqQLumiqiBpLBvsdg3JimcA0/view?usp=drivesdk","OFFER LETTER")</f>
        <v>OFFER LETTER</v>
      </c>
      <c r="S2957" s="11" t="s">
        <v>16024</v>
      </c>
    </row>
    <row r="2958" ht="22.5" customHeight="1">
      <c r="A2958" s="10">
        <v>46274.79586844907</v>
      </c>
      <c r="B2958" s="11" t="s">
        <v>16030</v>
      </c>
      <c r="C2958" s="11" t="s">
        <v>173</v>
      </c>
      <c r="D2958" s="11" t="s">
        <v>68</v>
      </c>
      <c r="E2958" s="12">
        <v>46220.0</v>
      </c>
      <c r="F2958" s="12">
        <v>46251.0</v>
      </c>
      <c r="G2958" s="11" t="s">
        <v>16031</v>
      </c>
      <c r="H2958" s="11">
        <v>8.05698725E8</v>
      </c>
      <c r="I2958" s="11" t="s">
        <v>82</v>
      </c>
      <c r="J2958" s="11" t="s">
        <v>71</v>
      </c>
      <c r="K2958" s="11" t="s">
        <v>72</v>
      </c>
      <c r="L2958" s="11" t="s">
        <v>73</v>
      </c>
      <c r="M2958" s="11" t="s">
        <v>16032</v>
      </c>
      <c r="N2958" s="11" t="s">
        <v>86</v>
      </c>
      <c r="O2958" s="11" t="s">
        <v>71</v>
      </c>
      <c r="P2958" s="11" t="s">
        <v>16033</v>
      </c>
      <c r="Q2958" s="13" t="s">
        <v>16034</v>
      </c>
      <c r="R2958" s="14" t="str">
        <f>HYPERLINK("https://drive.google.com/file/d/1SfoGlvyBCSo-0Ek-EUbvinEnDqcGRo-v/view?usp=drivesdk","OFFER LETTER")</f>
        <v>OFFER LETTER</v>
      </c>
      <c r="S2958" s="11" t="s">
        <v>16035</v>
      </c>
    </row>
    <row r="2959" ht="22.5" customHeight="1">
      <c r="A2959" s="10">
        <v>46274.79699094908</v>
      </c>
      <c r="B2959" s="11" t="s">
        <v>16036</v>
      </c>
      <c r="C2959" s="11" t="s">
        <v>107</v>
      </c>
      <c r="D2959" s="11" t="s">
        <v>238</v>
      </c>
      <c r="E2959" s="12">
        <v>46279.0</v>
      </c>
      <c r="F2959" s="12">
        <v>46279.0</v>
      </c>
      <c r="G2959" s="11" t="s">
        <v>13821</v>
      </c>
      <c r="H2959" s="11">
        <v>9.149226153E9</v>
      </c>
      <c r="I2959" s="11" t="s">
        <v>70</v>
      </c>
      <c r="J2959" s="11" t="s">
        <v>71</v>
      </c>
      <c r="K2959" s="11" t="s">
        <v>110</v>
      </c>
      <c r="L2959" s="11" t="s">
        <v>84</v>
      </c>
      <c r="M2959" s="11" t="s">
        <v>1532</v>
      </c>
      <c r="N2959" s="11" t="s">
        <v>1641</v>
      </c>
      <c r="O2959" s="11" t="s">
        <v>71</v>
      </c>
      <c r="P2959" s="11" t="s">
        <v>16037</v>
      </c>
      <c r="Q2959" s="13" t="s">
        <v>16038</v>
      </c>
      <c r="R2959" s="14" t="str">
        <f>HYPERLINK("https://drive.google.com/file/d/1T8v4RGMqIWGZACihThctAhKjz9Bzpahq/view?usp=drivesdk","OFFER LETTER")</f>
        <v>OFFER LETTER</v>
      </c>
      <c r="S2959" s="11" t="s">
        <v>16039</v>
      </c>
    </row>
    <row r="2960" ht="22.5" customHeight="1">
      <c r="A2960" s="10">
        <v>46274.80130101852</v>
      </c>
      <c r="B2960" s="11" t="s">
        <v>16040</v>
      </c>
      <c r="C2960" s="11" t="s">
        <v>195</v>
      </c>
      <c r="D2960" s="11" t="s">
        <v>68</v>
      </c>
      <c r="E2960" s="12">
        <v>46236.0</v>
      </c>
      <c r="F2960" s="12">
        <v>46268.0</v>
      </c>
      <c r="G2960" s="11" t="s">
        <v>16041</v>
      </c>
      <c r="H2960" s="11">
        <v>8.341278925E9</v>
      </c>
      <c r="I2960" s="11" t="s">
        <v>70</v>
      </c>
      <c r="J2960" s="11" t="s">
        <v>71</v>
      </c>
      <c r="K2960" s="11" t="s">
        <v>72</v>
      </c>
      <c r="L2960" s="11" t="s">
        <v>73</v>
      </c>
      <c r="M2960" s="11" t="s">
        <v>16042</v>
      </c>
      <c r="N2960" s="11" t="s">
        <v>86</v>
      </c>
      <c r="O2960" s="11" t="s">
        <v>71</v>
      </c>
      <c r="P2960" s="11" t="s">
        <v>16043</v>
      </c>
      <c r="Q2960" s="13" t="s">
        <v>16044</v>
      </c>
      <c r="R2960" s="14" t="str">
        <f>HYPERLINK("https://drive.google.com/file/d/1iy1ZqLj_jOtWCHWXN3daP71prDP0pobv/view?usp=drivesdk","OFFER LETTER")</f>
        <v>OFFER LETTER</v>
      </c>
      <c r="S2960" s="11" t="s">
        <v>16045</v>
      </c>
    </row>
    <row r="2961" ht="22.5" customHeight="1">
      <c r="A2961" s="10">
        <v>46274.80198215278</v>
      </c>
      <c r="B2961" s="11" t="s">
        <v>16046</v>
      </c>
      <c r="C2961" s="11" t="s">
        <v>237</v>
      </c>
      <c r="D2961" s="11" t="s">
        <v>68</v>
      </c>
      <c r="E2961" s="12">
        <v>46237.0</v>
      </c>
      <c r="F2961" s="12">
        <v>46266.0</v>
      </c>
      <c r="G2961" s="11" t="s">
        <v>16047</v>
      </c>
      <c r="H2961" s="11">
        <v>9.376190304E9</v>
      </c>
      <c r="I2961" s="11" t="s">
        <v>82</v>
      </c>
      <c r="J2961" s="11" t="s">
        <v>83</v>
      </c>
      <c r="K2961" s="11" t="s">
        <v>72</v>
      </c>
      <c r="L2961" s="11" t="s">
        <v>131</v>
      </c>
      <c r="M2961" s="11" t="s">
        <v>16048</v>
      </c>
      <c r="N2961" s="11" t="s">
        <v>86</v>
      </c>
      <c r="O2961" s="11" t="s">
        <v>71</v>
      </c>
      <c r="P2961" s="11" t="s">
        <v>16049</v>
      </c>
      <c r="Q2961" s="13" t="s">
        <v>16050</v>
      </c>
      <c r="R2961" s="14" t="str">
        <f>HYPERLINK("https://drive.google.com/file/d/1Lp0Wubitck7RQTgTUnFH-9k2e0_jrN57/view?usp=drivesdk","OFFER LETTER")</f>
        <v>OFFER LETTER</v>
      </c>
      <c r="S2961" s="11" t="s">
        <v>16051</v>
      </c>
    </row>
    <row r="2962" ht="22.5" customHeight="1">
      <c r="A2962" s="10">
        <v>46274.80325331019</v>
      </c>
      <c r="B2962" s="11" t="s">
        <v>16052</v>
      </c>
      <c r="C2962" s="11" t="s">
        <v>173</v>
      </c>
      <c r="D2962" s="11" t="s">
        <v>108</v>
      </c>
      <c r="E2962" s="12">
        <v>46274.0</v>
      </c>
      <c r="F2962" s="12">
        <v>46335.0</v>
      </c>
      <c r="G2962" s="11" t="s">
        <v>16053</v>
      </c>
      <c r="H2962" s="11">
        <v>9.84474271E9</v>
      </c>
      <c r="I2962" s="11" t="s">
        <v>82</v>
      </c>
      <c r="J2962" s="11" t="s">
        <v>71</v>
      </c>
      <c r="K2962" s="11" t="s">
        <v>110</v>
      </c>
      <c r="L2962" s="11" t="s">
        <v>73</v>
      </c>
      <c r="M2962" s="11" t="s">
        <v>16054</v>
      </c>
      <c r="N2962" s="11" t="s">
        <v>86</v>
      </c>
      <c r="O2962" s="11" t="s">
        <v>71</v>
      </c>
      <c r="P2962" s="11" t="s">
        <v>16055</v>
      </c>
      <c r="Q2962" s="13" t="s">
        <v>16056</v>
      </c>
      <c r="R2962" s="14" t="str">
        <f>HYPERLINK("https://drive.google.com/file/d/1yRrEe0X3g7a3lvzV_MBPNHIe73XsrJbj/view?usp=drivesdk","OFFER LETTER")</f>
        <v>OFFER LETTER</v>
      </c>
      <c r="S2962" s="11" t="s">
        <v>16057</v>
      </c>
    </row>
    <row r="2963" ht="22.5" customHeight="1">
      <c r="A2963" s="10">
        <v>46274.80331112268</v>
      </c>
      <c r="B2963" s="11" t="s">
        <v>16058</v>
      </c>
      <c r="C2963" s="11" t="s">
        <v>195</v>
      </c>
      <c r="D2963" s="11" t="s">
        <v>68</v>
      </c>
      <c r="E2963" s="12">
        <v>46162.0</v>
      </c>
      <c r="F2963" s="12">
        <v>46193.0</v>
      </c>
      <c r="G2963" s="11" t="s">
        <v>16059</v>
      </c>
      <c r="H2963" s="11">
        <v>7.708541857E9</v>
      </c>
      <c r="I2963" s="11" t="s">
        <v>82</v>
      </c>
      <c r="J2963" s="11" t="s">
        <v>71</v>
      </c>
      <c r="K2963" s="11" t="s">
        <v>72</v>
      </c>
      <c r="L2963" s="11" t="s">
        <v>73</v>
      </c>
      <c r="M2963" s="11" t="s">
        <v>15257</v>
      </c>
      <c r="N2963" s="11" t="s">
        <v>86</v>
      </c>
      <c r="O2963" s="11" t="s">
        <v>71</v>
      </c>
      <c r="P2963" s="11" t="s">
        <v>16060</v>
      </c>
      <c r="Q2963" s="13" t="s">
        <v>16061</v>
      </c>
      <c r="R2963" s="14" t="str">
        <f>HYPERLINK("https://drive.google.com/file/d/1p3UKBbgLAORrxa-tHgMBAc7K2_0KCvd6/view?usp=drivesdk","OFFER LETTER")</f>
        <v>OFFER LETTER</v>
      </c>
      <c r="S2963" s="11" t="s">
        <v>16057</v>
      </c>
    </row>
    <row r="2964" ht="22.5" customHeight="1">
      <c r="A2964" s="10">
        <v>46274.80692479167</v>
      </c>
      <c r="B2964" s="11" t="s">
        <v>16062</v>
      </c>
      <c r="C2964" s="11" t="s">
        <v>195</v>
      </c>
      <c r="D2964" s="11" t="s">
        <v>68</v>
      </c>
      <c r="E2964" s="12">
        <v>46181.0</v>
      </c>
      <c r="F2964" s="12">
        <v>46211.0</v>
      </c>
      <c r="G2964" s="11" t="s">
        <v>16063</v>
      </c>
      <c r="H2964" s="11" t="s">
        <v>16064</v>
      </c>
      <c r="I2964" s="11" t="s">
        <v>82</v>
      </c>
      <c r="J2964" s="11" t="s">
        <v>71</v>
      </c>
      <c r="K2964" s="11" t="s">
        <v>72</v>
      </c>
      <c r="L2964" s="11" t="s">
        <v>84</v>
      </c>
      <c r="M2964" s="11" t="s">
        <v>1779</v>
      </c>
      <c r="N2964" s="11" t="s">
        <v>226</v>
      </c>
      <c r="O2964" s="11" t="s">
        <v>71</v>
      </c>
      <c r="P2964" s="11" t="s">
        <v>16065</v>
      </c>
      <c r="Q2964" s="13" t="s">
        <v>16066</v>
      </c>
      <c r="R2964" s="14" t="str">
        <f>HYPERLINK("https://drive.google.com/file/d/1pVGZ4MtN-yxvPE3fpMouR5yvqWdtir4s/view?usp=drivesdk","OFFER LETTER")</f>
        <v>OFFER LETTER</v>
      </c>
      <c r="S2964" s="11" t="s">
        <v>16067</v>
      </c>
    </row>
    <row r="2965" ht="22.5" customHeight="1">
      <c r="A2965" s="10">
        <v>46274.80926538195</v>
      </c>
      <c r="B2965" s="11" t="s">
        <v>16068</v>
      </c>
      <c r="C2965" s="11" t="s">
        <v>1200</v>
      </c>
      <c r="D2965" s="11" t="s">
        <v>238</v>
      </c>
      <c r="E2965" s="12">
        <v>46193.0</v>
      </c>
      <c r="F2965" s="12">
        <v>46285.0</v>
      </c>
      <c r="G2965" s="11" t="s">
        <v>16069</v>
      </c>
      <c r="H2965" s="17" t="s">
        <v>16070</v>
      </c>
      <c r="I2965" s="11" t="s">
        <v>70</v>
      </c>
      <c r="J2965" s="11" t="s">
        <v>71</v>
      </c>
      <c r="K2965" s="11" t="s">
        <v>110</v>
      </c>
      <c r="L2965" s="11" t="s">
        <v>73</v>
      </c>
      <c r="M2965" s="11" t="s">
        <v>16071</v>
      </c>
      <c r="N2965" s="11" t="s">
        <v>198</v>
      </c>
      <c r="O2965" s="11" t="s">
        <v>71</v>
      </c>
      <c r="P2965" s="11" t="s">
        <v>16072</v>
      </c>
      <c r="Q2965" s="13" t="s">
        <v>16073</v>
      </c>
      <c r="R2965" s="14" t="str">
        <f>HYPERLINK("https://drive.google.com/file/d/1JPpoJZehProGATgj1tQ89JStkgyR7dla/view?usp=drivesdk","OFFER LETTER")</f>
        <v>OFFER LETTER</v>
      </c>
      <c r="S2965" s="11" t="s">
        <v>16074</v>
      </c>
    </row>
    <row r="2966" ht="22.5" customHeight="1">
      <c r="A2966" s="10">
        <v>46274.80929329861</v>
      </c>
      <c r="B2966" s="11" t="s">
        <v>16075</v>
      </c>
      <c r="C2966" s="11" t="s">
        <v>237</v>
      </c>
      <c r="D2966" s="11" t="s">
        <v>238</v>
      </c>
      <c r="E2966" s="12">
        <v>46274.0</v>
      </c>
      <c r="F2966" s="12">
        <v>46365.0</v>
      </c>
      <c r="G2966" s="11" t="s">
        <v>16076</v>
      </c>
      <c r="H2966" s="11">
        <v>9.963232572E9</v>
      </c>
      <c r="I2966" s="11" t="s">
        <v>82</v>
      </c>
      <c r="J2966" s="11" t="s">
        <v>71</v>
      </c>
      <c r="K2966" s="11" t="s">
        <v>72</v>
      </c>
      <c r="L2966" s="11" t="s">
        <v>73</v>
      </c>
      <c r="M2966" s="11" t="s">
        <v>16077</v>
      </c>
      <c r="N2966" s="11" t="s">
        <v>86</v>
      </c>
      <c r="O2966" s="11" t="s">
        <v>71</v>
      </c>
      <c r="P2966" s="11" t="s">
        <v>16078</v>
      </c>
      <c r="Q2966" s="13" t="s">
        <v>16079</v>
      </c>
      <c r="R2966" s="14" t="str">
        <f>HYPERLINK("https://drive.google.com/file/d/1yuKz1zZrAhPgrUN9v4s4Vcewc2PbOKaQ/view?usp=drivesdk","OFFER LETTER")</f>
        <v>OFFER LETTER</v>
      </c>
      <c r="S2966" s="11" t="s">
        <v>16080</v>
      </c>
    </row>
    <row r="2967" ht="22.5" customHeight="1">
      <c r="A2967" s="10">
        <v>46274.80948361111</v>
      </c>
      <c r="B2967" s="11" t="s">
        <v>16081</v>
      </c>
      <c r="C2967" s="11" t="s">
        <v>742</v>
      </c>
      <c r="D2967" s="11" t="s">
        <v>68</v>
      </c>
      <c r="E2967" s="12">
        <v>46227.0</v>
      </c>
      <c r="F2967" s="12">
        <v>46258.0</v>
      </c>
      <c r="G2967" s="11" t="s">
        <v>16082</v>
      </c>
      <c r="H2967" s="11">
        <v>8.220158904E9</v>
      </c>
      <c r="I2967" s="11" t="s">
        <v>82</v>
      </c>
      <c r="J2967" s="11" t="s">
        <v>71</v>
      </c>
      <c r="K2967" s="11" t="s">
        <v>72</v>
      </c>
      <c r="L2967" s="11" t="s">
        <v>73</v>
      </c>
      <c r="M2967" s="11" t="s">
        <v>15257</v>
      </c>
      <c r="N2967" s="11" t="s">
        <v>198</v>
      </c>
      <c r="O2967" s="11" t="s">
        <v>71</v>
      </c>
      <c r="P2967" s="11" t="s">
        <v>16083</v>
      </c>
      <c r="Q2967" s="13" t="s">
        <v>16084</v>
      </c>
      <c r="R2967" s="14" t="str">
        <f>HYPERLINK("https://drive.google.com/file/d/1bpm2ivm3G0vayFMFK-uch4lifvEvrg-u/view?usp=drivesdk","OFFER LETTER")</f>
        <v>OFFER LETTER</v>
      </c>
      <c r="S2967" s="11" t="s">
        <v>16074</v>
      </c>
    </row>
    <row r="2968" ht="22.5" customHeight="1">
      <c r="A2968" s="10">
        <v>46274.81010324074</v>
      </c>
      <c r="B2968" s="11" t="s">
        <v>16085</v>
      </c>
      <c r="C2968" s="11" t="s">
        <v>91</v>
      </c>
      <c r="D2968" s="11" t="s">
        <v>68</v>
      </c>
      <c r="E2968" s="12">
        <v>46228.0</v>
      </c>
      <c r="F2968" s="12">
        <v>46259.0</v>
      </c>
      <c r="G2968" s="11" t="s">
        <v>16086</v>
      </c>
      <c r="H2968" s="11">
        <v>9.790142977E9</v>
      </c>
      <c r="I2968" s="11" t="s">
        <v>82</v>
      </c>
      <c r="J2968" s="11" t="s">
        <v>71</v>
      </c>
      <c r="K2968" s="11" t="s">
        <v>72</v>
      </c>
      <c r="L2968" s="11" t="s">
        <v>73</v>
      </c>
      <c r="M2968" s="11" t="s">
        <v>16087</v>
      </c>
      <c r="N2968" s="11" t="s">
        <v>86</v>
      </c>
      <c r="O2968" s="11" t="s">
        <v>71</v>
      </c>
      <c r="P2968" s="11" t="s">
        <v>16088</v>
      </c>
      <c r="Q2968" s="13" t="s">
        <v>16089</v>
      </c>
      <c r="R2968" s="14" t="str">
        <f>HYPERLINK("https://drive.google.com/file/d/1WpQ-gQjHI5y3l7fOO4jEspLGGMEyrYIw/view?usp=drivesdk","OFFER LETTER")</f>
        <v>OFFER LETTER</v>
      </c>
      <c r="S2968" s="11" t="s">
        <v>16080</v>
      </c>
    </row>
    <row r="2969" ht="22.5" customHeight="1">
      <c r="A2969" s="10">
        <v>46274.81138326389</v>
      </c>
      <c r="B2969" s="11" t="s">
        <v>16090</v>
      </c>
      <c r="C2969" s="11" t="s">
        <v>195</v>
      </c>
      <c r="D2969" s="11" t="s">
        <v>68</v>
      </c>
      <c r="E2969" s="12">
        <v>46181.0</v>
      </c>
      <c r="F2969" s="12">
        <v>46211.0</v>
      </c>
      <c r="G2969" s="11" t="s">
        <v>16063</v>
      </c>
      <c r="H2969" s="11" t="s">
        <v>11475</v>
      </c>
      <c r="I2969" s="11" t="s">
        <v>82</v>
      </c>
      <c r="J2969" s="11" t="s">
        <v>71</v>
      </c>
      <c r="K2969" s="11" t="s">
        <v>72</v>
      </c>
      <c r="L2969" s="11" t="s">
        <v>84</v>
      </c>
      <c r="M2969" s="11" t="s">
        <v>1779</v>
      </c>
      <c r="N2969" s="11" t="s">
        <v>226</v>
      </c>
      <c r="O2969" s="11" t="s">
        <v>71</v>
      </c>
      <c r="P2969" s="11" t="s">
        <v>16091</v>
      </c>
      <c r="Q2969" s="13" t="s">
        <v>16092</v>
      </c>
      <c r="R2969" s="14" t="str">
        <f>HYPERLINK("https://drive.google.com/file/d/1HSHhJy7z0wzBZr2VNIW6IkgW2EuPlTua/view?usp=drivesdk","OFFER LETTER")</f>
        <v>OFFER LETTER</v>
      </c>
      <c r="S2969" s="11" t="s">
        <v>16093</v>
      </c>
    </row>
    <row r="2970" ht="22.5" customHeight="1">
      <c r="A2970" s="10">
        <v>46274.81184981481</v>
      </c>
      <c r="B2970" s="11" t="s">
        <v>16094</v>
      </c>
      <c r="C2970" s="11" t="s">
        <v>195</v>
      </c>
      <c r="D2970" s="11" t="s">
        <v>68</v>
      </c>
      <c r="E2970" s="12">
        <v>46275.0</v>
      </c>
      <c r="F2970" s="12">
        <v>46305.0</v>
      </c>
      <c r="G2970" s="11" t="s">
        <v>16095</v>
      </c>
      <c r="H2970" s="11">
        <v>7.983328329E9</v>
      </c>
      <c r="I2970" s="11" t="s">
        <v>70</v>
      </c>
      <c r="J2970" s="11" t="s">
        <v>71</v>
      </c>
      <c r="K2970" s="11" t="s">
        <v>72</v>
      </c>
      <c r="L2970" s="11" t="s">
        <v>131</v>
      </c>
      <c r="M2970" s="11" t="s">
        <v>16096</v>
      </c>
      <c r="N2970" s="11" t="s">
        <v>155</v>
      </c>
      <c r="O2970" s="11" t="s">
        <v>71</v>
      </c>
      <c r="P2970" s="11" t="s">
        <v>16097</v>
      </c>
      <c r="Q2970" s="13" t="s">
        <v>16098</v>
      </c>
      <c r="R2970" s="14" t="str">
        <f>HYPERLINK("https://drive.google.com/file/d/19oJU2tjEvqBiT2VBAXWh4YBr3vPhaJ7N/view?usp=drivesdk","OFFER LETTER")</f>
        <v>OFFER LETTER</v>
      </c>
      <c r="S2970" s="11" t="s">
        <v>16093</v>
      </c>
    </row>
    <row r="2971" ht="22.5" customHeight="1">
      <c r="A2971" s="10">
        <v>46274.81230627315</v>
      </c>
      <c r="B2971" s="11" t="s">
        <v>16099</v>
      </c>
      <c r="C2971" s="11" t="s">
        <v>195</v>
      </c>
      <c r="D2971" s="11" t="s">
        <v>68</v>
      </c>
      <c r="E2971" s="12">
        <v>46266.0</v>
      </c>
      <c r="F2971" s="12">
        <v>46296.0</v>
      </c>
      <c r="G2971" s="11" t="s">
        <v>16100</v>
      </c>
      <c r="H2971" s="11">
        <v>7.500699545E9</v>
      </c>
      <c r="I2971" s="11" t="s">
        <v>70</v>
      </c>
      <c r="J2971" s="11" t="s">
        <v>71</v>
      </c>
      <c r="K2971" s="11" t="s">
        <v>72</v>
      </c>
      <c r="L2971" s="11" t="s">
        <v>84</v>
      </c>
      <c r="M2971" s="11" t="s">
        <v>16101</v>
      </c>
      <c r="N2971" s="11" t="s">
        <v>6212</v>
      </c>
      <c r="O2971" s="11" t="s">
        <v>71</v>
      </c>
      <c r="P2971" s="11" t="s">
        <v>16102</v>
      </c>
      <c r="Q2971" s="13" t="s">
        <v>16103</v>
      </c>
      <c r="R2971" s="14" t="str">
        <f>HYPERLINK("https://drive.google.com/file/d/14vPE5sfTq2GDFILG881twfa8j1Zbdj12/view?usp=drivesdk","OFFER LETTER")</f>
        <v>OFFER LETTER</v>
      </c>
      <c r="S2971" s="11" t="s">
        <v>16104</v>
      </c>
    </row>
    <row r="2972" ht="22.5" customHeight="1">
      <c r="A2972" s="10">
        <v>46274.813701817126</v>
      </c>
      <c r="B2972" s="11" t="s">
        <v>16090</v>
      </c>
      <c r="C2972" s="11" t="s">
        <v>195</v>
      </c>
      <c r="D2972" s="11" t="s">
        <v>68</v>
      </c>
      <c r="E2972" s="12">
        <v>46181.0</v>
      </c>
      <c r="F2972" s="12">
        <v>46211.0</v>
      </c>
      <c r="G2972" s="11" t="s">
        <v>16063</v>
      </c>
      <c r="H2972" s="11" t="s">
        <v>16064</v>
      </c>
      <c r="I2972" s="11" t="s">
        <v>82</v>
      </c>
      <c r="J2972" s="11" t="s">
        <v>71</v>
      </c>
      <c r="K2972" s="11" t="s">
        <v>72</v>
      </c>
      <c r="L2972" s="11" t="s">
        <v>84</v>
      </c>
      <c r="M2972" s="11" t="s">
        <v>1779</v>
      </c>
      <c r="N2972" s="11" t="s">
        <v>226</v>
      </c>
      <c r="O2972" s="11" t="s">
        <v>71</v>
      </c>
      <c r="P2972" s="11" t="s">
        <v>16105</v>
      </c>
      <c r="Q2972" s="13" t="s">
        <v>16106</v>
      </c>
      <c r="R2972" s="14" t="str">
        <f>HYPERLINK("https://drive.google.com/file/d/1wrumVBM6CYFP3fgRjZdNRvYADOxQCiT6/view?usp=drivesdk","OFFER LETTER")</f>
        <v>OFFER LETTER</v>
      </c>
      <c r="S2972" s="11" t="s">
        <v>16107</v>
      </c>
    </row>
    <row r="2973" ht="22.5" customHeight="1">
      <c r="A2973" s="10">
        <v>46274.81454641203</v>
      </c>
      <c r="B2973" s="11" t="s">
        <v>16108</v>
      </c>
      <c r="C2973" s="11" t="s">
        <v>237</v>
      </c>
      <c r="D2973" s="11" t="s">
        <v>68</v>
      </c>
      <c r="E2973" s="12">
        <v>46221.0</v>
      </c>
      <c r="F2973" s="12">
        <v>46252.0</v>
      </c>
      <c r="G2973" s="11" t="s">
        <v>16109</v>
      </c>
      <c r="H2973" s="11">
        <v>9.25856481E9</v>
      </c>
      <c r="I2973" s="11" t="s">
        <v>82</v>
      </c>
      <c r="K2973" s="11" t="s">
        <v>72</v>
      </c>
      <c r="L2973" s="11" t="s">
        <v>84</v>
      </c>
      <c r="M2973" s="11" t="s">
        <v>2535</v>
      </c>
      <c r="N2973" s="11" t="s">
        <v>86</v>
      </c>
      <c r="O2973" s="11" t="s">
        <v>71</v>
      </c>
      <c r="P2973" s="11" t="s">
        <v>16110</v>
      </c>
      <c r="Q2973" s="13" t="s">
        <v>16111</v>
      </c>
      <c r="R2973" s="14" t="str">
        <f>HYPERLINK("https://drive.google.com/file/d/1ed-1SI6PIFXrR4-AzK5AKChPntEprbNY/view?usp=drivesdk","OFFER LETTER")</f>
        <v>OFFER LETTER</v>
      </c>
      <c r="S2973" s="11" t="s">
        <v>16112</v>
      </c>
    </row>
    <row r="2974" ht="22.5" customHeight="1">
      <c r="A2974" s="10">
        <v>46274.8231219213</v>
      </c>
      <c r="B2974" s="11" t="s">
        <v>16113</v>
      </c>
      <c r="C2974" s="11" t="s">
        <v>237</v>
      </c>
      <c r="D2974" s="11" t="s">
        <v>68</v>
      </c>
      <c r="E2974" s="12">
        <v>46274.0</v>
      </c>
      <c r="F2974" s="12">
        <v>46304.0</v>
      </c>
      <c r="G2974" s="11" t="s">
        <v>16114</v>
      </c>
      <c r="H2974" s="11">
        <v>8.431494575E9</v>
      </c>
      <c r="I2974" s="11" t="s">
        <v>82</v>
      </c>
      <c r="J2974" s="11" t="s">
        <v>71</v>
      </c>
      <c r="K2974" s="11" t="s">
        <v>72</v>
      </c>
      <c r="L2974" s="11" t="s">
        <v>131</v>
      </c>
      <c r="M2974" s="11" t="s">
        <v>16115</v>
      </c>
      <c r="N2974" s="11" t="s">
        <v>5840</v>
      </c>
      <c r="O2974" s="11" t="s">
        <v>71</v>
      </c>
      <c r="P2974" s="11" t="s">
        <v>16116</v>
      </c>
      <c r="Q2974" s="13" t="s">
        <v>16117</v>
      </c>
      <c r="R2974" s="14" t="str">
        <f>HYPERLINK("https://drive.google.com/file/d/1DE6366Pla9Wyd5V_o4vMaE-mU9iE_sXz/view?usp=drivesdk","OFFER LETTER")</f>
        <v>OFFER LETTER</v>
      </c>
      <c r="S2974" s="11" t="s">
        <v>16118</v>
      </c>
    </row>
    <row r="2975" ht="22.5" customHeight="1">
      <c r="A2975" s="10">
        <v>46274.823617800925</v>
      </c>
      <c r="B2975" s="11" t="s">
        <v>16119</v>
      </c>
      <c r="C2975" s="11" t="s">
        <v>173</v>
      </c>
      <c r="D2975" s="11" t="s">
        <v>68</v>
      </c>
      <c r="E2975" s="12">
        <v>46174.0</v>
      </c>
      <c r="F2975" s="12">
        <v>46206.0</v>
      </c>
      <c r="G2975" s="11" t="s">
        <v>16120</v>
      </c>
      <c r="H2975" s="11">
        <v>9.523892101E9</v>
      </c>
      <c r="I2975" s="11" t="s">
        <v>82</v>
      </c>
      <c r="J2975" s="11" t="s">
        <v>130</v>
      </c>
      <c r="K2975" s="11" t="s">
        <v>72</v>
      </c>
      <c r="L2975" s="11" t="s">
        <v>84</v>
      </c>
      <c r="M2975" s="11" t="s">
        <v>2535</v>
      </c>
      <c r="N2975" s="11" t="s">
        <v>86</v>
      </c>
      <c r="O2975" s="11" t="s">
        <v>71</v>
      </c>
      <c r="P2975" s="11" t="s">
        <v>16121</v>
      </c>
      <c r="Q2975" s="13" t="s">
        <v>16122</v>
      </c>
      <c r="R2975" s="14" t="str">
        <f>HYPERLINK("https://drive.google.com/file/d/1kqHuYAr3tdDglj9Xq5BH_zDI9M4SsCmW/view?usp=drivesdk","OFFER LETTER")</f>
        <v>OFFER LETTER</v>
      </c>
      <c r="S2975" s="11" t="s">
        <v>16123</v>
      </c>
    </row>
    <row r="2976" ht="22.5" customHeight="1">
      <c r="A2976" s="10">
        <v>46274.82580127315</v>
      </c>
      <c r="B2976" s="11" t="s">
        <v>16124</v>
      </c>
      <c r="C2976" s="11" t="s">
        <v>195</v>
      </c>
      <c r="D2976" s="11" t="s">
        <v>68</v>
      </c>
      <c r="E2976" s="12">
        <v>46235.0</v>
      </c>
      <c r="F2976" s="12">
        <v>46266.0</v>
      </c>
      <c r="G2976" s="11" t="s">
        <v>15995</v>
      </c>
      <c r="H2976" s="11">
        <v>6.207301553E9</v>
      </c>
      <c r="I2976" s="11" t="s">
        <v>82</v>
      </c>
      <c r="J2976" s="11" t="s">
        <v>71</v>
      </c>
      <c r="K2976" s="11" t="s">
        <v>72</v>
      </c>
      <c r="L2976" s="11" t="s">
        <v>84</v>
      </c>
      <c r="M2976" s="11" t="s">
        <v>886</v>
      </c>
      <c r="N2976" s="11" t="s">
        <v>86</v>
      </c>
      <c r="O2976" s="11" t="s">
        <v>71</v>
      </c>
      <c r="P2976" s="11" t="s">
        <v>16125</v>
      </c>
      <c r="Q2976" s="13" t="s">
        <v>16126</v>
      </c>
      <c r="R2976" s="14" t="str">
        <f>HYPERLINK("https://drive.google.com/file/d/15pNPuq8zKaFX1ryl7oipVXkGm3gvcPoa/view?usp=drivesdk","OFFER LETTER")</f>
        <v>OFFER LETTER</v>
      </c>
      <c r="S2976" s="11" t="s">
        <v>16127</v>
      </c>
    </row>
    <row r="2977" ht="22.5" customHeight="1">
      <c r="A2977" s="10">
        <v>46274.82994304398</v>
      </c>
      <c r="B2977" s="11" t="s">
        <v>16113</v>
      </c>
      <c r="C2977" s="11" t="s">
        <v>237</v>
      </c>
      <c r="D2977" s="11" t="s">
        <v>68</v>
      </c>
      <c r="E2977" s="12">
        <v>46274.0</v>
      </c>
      <c r="F2977" s="12">
        <v>46275.0</v>
      </c>
      <c r="G2977" s="11" t="s">
        <v>16114</v>
      </c>
      <c r="H2977" s="11">
        <v>8.431494575E9</v>
      </c>
      <c r="I2977" s="11" t="s">
        <v>82</v>
      </c>
      <c r="J2977" s="11" t="s">
        <v>71</v>
      </c>
      <c r="K2977" s="11" t="s">
        <v>72</v>
      </c>
      <c r="L2977" s="11" t="s">
        <v>131</v>
      </c>
      <c r="M2977" s="11" t="s">
        <v>16115</v>
      </c>
      <c r="N2977" s="11" t="s">
        <v>86</v>
      </c>
      <c r="O2977" s="11" t="s">
        <v>71</v>
      </c>
      <c r="P2977" s="11" t="s">
        <v>16128</v>
      </c>
      <c r="Q2977" s="13" t="s">
        <v>16129</v>
      </c>
      <c r="R2977" s="14" t="str">
        <f>HYPERLINK("https://drive.google.com/file/d/1ySbEVPBwHv3q8hqnQVfnvSDjUn0zKk2B/view?usp=drivesdk","OFFER LETTER")</f>
        <v>OFFER LETTER</v>
      </c>
      <c r="S2977" s="11" t="s">
        <v>16130</v>
      </c>
    </row>
    <row r="2978" ht="22.5" customHeight="1">
      <c r="A2978" s="10">
        <v>46274.83002675926</v>
      </c>
      <c r="B2978" s="11" t="s">
        <v>16131</v>
      </c>
      <c r="C2978" s="11" t="s">
        <v>91</v>
      </c>
      <c r="D2978" s="11" t="s">
        <v>68</v>
      </c>
      <c r="E2978" s="12">
        <v>46219.0</v>
      </c>
      <c r="F2978" s="12">
        <v>46250.0</v>
      </c>
      <c r="G2978" s="11" t="s">
        <v>16132</v>
      </c>
      <c r="H2978" s="11">
        <v>8.754033347E9</v>
      </c>
      <c r="I2978" s="11" t="s">
        <v>70</v>
      </c>
      <c r="J2978" s="11" t="s">
        <v>71</v>
      </c>
      <c r="K2978" s="11" t="s">
        <v>72</v>
      </c>
      <c r="L2978" s="11" t="s">
        <v>73</v>
      </c>
      <c r="M2978" s="11" t="s">
        <v>16087</v>
      </c>
      <c r="N2978" s="11" t="s">
        <v>86</v>
      </c>
      <c r="O2978" s="11" t="s">
        <v>71</v>
      </c>
      <c r="P2978" s="11" t="s">
        <v>16133</v>
      </c>
      <c r="Q2978" s="13" t="s">
        <v>16134</v>
      </c>
      <c r="R2978" s="14" t="str">
        <f>HYPERLINK("https://drive.google.com/file/d/1u9W8IMxZ_wGR3SFRU5jZVP95JKZS-iOj/view?usp=drivesdk","OFFER LETTER")</f>
        <v>OFFER LETTER</v>
      </c>
      <c r="S2978" s="11" t="s">
        <v>16130</v>
      </c>
    </row>
    <row r="2979" ht="22.5" customHeight="1">
      <c r="A2979" s="10">
        <v>46274.83246666667</v>
      </c>
      <c r="B2979" s="11" t="s">
        <v>16135</v>
      </c>
      <c r="C2979" s="11" t="s">
        <v>173</v>
      </c>
      <c r="D2979" s="11" t="s">
        <v>68</v>
      </c>
      <c r="E2979" s="12">
        <v>46228.0</v>
      </c>
      <c r="F2979" s="12">
        <v>46259.0</v>
      </c>
      <c r="G2979" s="11" t="s">
        <v>16136</v>
      </c>
      <c r="H2979" s="11">
        <v>9.153857886E9</v>
      </c>
      <c r="I2979" s="11" t="s">
        <v>82</v>
      </c>
      <c r="J2979" s="11" t="s">
        <v>71</v>
      </c>
      <c r="K2979" s="11" t="s">
        <v>72</v>
      </c>
      <c r="L2979" s="11" t="s">
        <v>84</v>
      </c>
      <c r="M2979" s="11" t="s">
        <v>2655</v>
      </c>
      <c r="N2979" s="11" t="s">
        <v>12144</v>
      </c>
      <c r="O2979" s="11" t="s">
        <v>71</v>
      </c>
      <c r="P2979" s="11" t="s">
        <v>16137</v>
      </c>
      <c r="Q2979" s="13" t="s">
        <v>16138</v>
      </c>
      <c r="R2979" s="14" t="str">
        <f>HYPERLINK("https://drive.google.com/file/d/1KnMCAVRLHGPXLtixfcJmZqoh3AXjzZg9/view?usp=drivesdk","OFFER LETTER")</f>
        <v>OFFER LETTER</v>
      </c>
      <c r="S2979" s="11" t="s">
        <v>16139</v>
      </c>
    </row>
    <row r="2980" ht="22.5" customHeight="1">
      <c r="A2980" s="10">
        <v>46274.83488520833</v>
      </c>
      <c r="B2980" s="11" t="s">
        <v>16140</v>
      </c>
      <c r="C2980" s="11" t="s">
        <v>128</v>
      </c>
      <c r="D2980" s="11" t="s">
        <v>68</v>
      </c>
      <c r="E2980" s="12">
        <v>46274.0</v>
      </c>
      <c r="F2980" s="12">
        <v>46304.0</v>
      </c>
      <c r="G2980" s="11" t="s">
        <v>16141</v>
      </c>
      <c r="H2980" s="11">
        <v>7.9959586E9</v>
      </c>
      <c r="I2980" s="11" t="s">
        <v>70</v>
      </c>
      <c r="J2980" s="11" t="s">
        <v>71</v>
      </c>
      <c r="K2980" s="11" t="s">
        <v>72</v>
      </c>
      <c r="L2980" s="11" t="s">
        <v>73</v>
      </c>
      <c r="M2980" s="11" t="s">
        <v>16142</v>
      </c>
      <c r="N2980" s="11" t="s">
        <v>86</v>
      </c>
      <c r="O2980" s="11" t="s">
        <v>71</v>
      </c>
      <c r="P2980" s="11" t="s">
        <v>16143</v>
      </c>
      <c r="Q2980" s="13" t="s">
        <v>16144</v>
      </c>
      <c r="R2980" s="14" t="str">
        <f>HYPERLINK("https://drive.google.com/file/d/11NXbdHwKuzkN3qLmx5TzIP-lpVu6oDA4/view?usp=drivesdk","OFFER LETTER")</f>
        <v>OFFER LETTER</v>
      </c>
      <c r="S2980" s="11" t="s">
        <v>16145</v>
      </c>
    </row>
    <row r="2981" ht="22.5" customHeight="1">
      <c r="A2981" s="10">
        <v>46274.83737940972</v>
      </c>
      <c r="B2981" s="11" t="s">
        <v>16140</v>
      </c>
      <c r="C2981" s="11" t="s">
        <v>128</v>
      </c>
      <c r="D2981" s="11" t="s">
        <v>68</v>
      </c>
      <c r="E2981" s="12">
        <v>46274.0</v>
      </c>
      <c r="F2981" s="12">
        <v>46304.0</v>
      </c>
      <c r="G2981" s="11" t="s">
        <v>16141</v>
      </c>
      <c r="H2981" s="11">
        <v>7.9959586E9</v>
      </c>
      <c r="I2981" s="11" t="s">
        <v>70</v>
      </c>
      <c r="J2981" s="11" t="s">
        <v>71</v>
      </c>
      <c r="K2981" s="11" t="s">
        <v>72</v>
      </c>
      <c r="L2981" s="11" t="s">
        <v>73</v>
      </c>
      <c r="M2981" s="11" t="s">
        <v>16146</v>
      </c>
      <c r="N2981" s="11" t="s">
        <v>86</v>
      </c>
      <c r="O2981" s="11" t="s">
        <v>263</v>
      </c>
      <c r="P2981" s="11" t="s">
        <v>16147</v>
      </c>
      <c r="Q2981" s="13" t="s">
        <v>16148</v>
      </c>
      <c r="R2981" s="14" t="str">
        <f>HYPERLINK("https://drive.google.com/file/d/1FdtP8zFKw2j2u09xChLn3mYg2N6nm5y1/view?usp=drivesdk","OFFER LETTER")</f>
        <v>OFFER LETTER</v>
      </c>
      <c r="S2981" s="11" t="s">
        <v>16149</v>
      </c>
    </row>
    <row r="2982" ht="22.5" customHeight="1">
      <c r="A2982" s="10">
        <v>46274.84026699074</v>
      </c>
      <c r="B2982" s="11" t="s">
        <v>16150</v>
      </c>
      <c r="C2982" s="11" t="s">
        <v>195</v>
      </c>
      <c r="D2982" s="11" t="s">
        <v>68</v>
      </c>
      <c r="E2982" s="12">
        <v>46233.0</v>
      </c>
      <c r="F2982" s="12">
        <v>46264.0</v>
      </c>
      <c r="G2982" s="11" t="s">
        <v>16151</v>
      </c>
      <c r="H2982" s="11">
        <v>8.360750837E9</v>
      </c>
      <c r="I2982" s="11" t="s">
        <v>82</v>
      </c>
      <c r="J2982" s="11" t="s">
        <v>130</v>
      </c>
      <c r="K2982" s="11" t="s">
        <v>72</v>
      </c>
      <c r="L2982" s="11" t="s">
        <v>84</v>
      </c>
      <c r="M2982" s="11" t="s">
        <v>2535</v>
      </c>
      <c r="N2982" s="11" t="s">
        <v>86</v>
      </c>
      <c r="O2982" s="11" t="s">
        <v>71</v>
      </c>
      <c r="P2982" s="11" t="s">
        <v>16152</v>
      </c>
      <c r="Q2982" s="13" t="s">
        <v>16153</v>
      </c>
      <c r="R2982" s="14" t="str">
        <f>HYPERLINK("https://drive.google.com/file/d/1ZAZChb-pQYN8tszv-20RJpzAJM-m0K8F/view?usp=drivesdk","OFFER LETTER")</f>
        <v>OFFER LETTER</v>
      </c>
      <c r="S2982" s="11" t="s">
        <v>16154</v>
      </c>
    </row>
    <row r="2983" ht="22.5" customHeight="1">
      <c r="A2983" s="10">
        <v>46274.8411615625</v>
      </c>
      <c r="B2983" s="11" t="s">
        <v>16155</v>
      </c>
      <c r="C2983" s="11" t="s">
        <v>173</v>
      </c>
      <c r="D2983" s="11" t="s">
        <v>68</v>
      </c>
      <c r="E2983" s="12">
        <v>46182.0</v>
      </c>
      <c r="F2983" s="12">
        <v>46212.0</v>
      </c>
      <c r="G2983" s="11" t="s">
        <v>16156</v>
      </c>
      <c r="H2983" s="11">
        <v>9.952450542E9</v>
      </c>
      <c r="I2983" s="11" t="s">
        <v>82</v>
      </c>
      <c r="J2983" s="11" t="s">
        <v>71</v>
      </c>
      <c r="K2983" s="11" t="s">
        <v>72</v>
      </c>
      <c r="L2983" s="11" t="s">
        <v>73</v>
      </c>
      <c r="M2983" s="11" t="s">
        <v>16157</v>
      </c>
      <c r="N2983" s="11" t="s">
        <v>86</v>
      </c>
      <c r="O2983" s="11" t="s">
        <v>71</v>
      </c>
      <c r="P2983" s="11" t="s">
        <v>16158</v>
      </c>
      <c r="Q2983" s="13" t="s">
        <v>16159</v>
      </c>
      <c r="R2983" s="14" t="str">
        <f>HYPERLINK("https://drive.google.com/file/d/17qs4wE3J4oxF357G28LZu2B3n84fQYfK/view?usp=drivesdk","OFFER LETTER")</f>
        <v>OFFER LETTER</v>
      </c>
      <c r="S2983" s="11" t="s">
        <v>16160</v>
      </c>
    </row>
    <row r="2984" ht="22.5" customHeight="1">
      <c r="A2984" s="10">
        <v>46274.8502153588</v>
      </c>
      <c r="B2984" s="11" t="s">
        <v>16161</v>
      </c>
      <c r="C2984" s="11" t="s">
        <v>195</v>
      </c>
      <c r="D2984" s="11" t="s">
        <v>68</v>
      </c>
      <c r="E2984" s="12">
        <v>46205.0</v>
      </c>
      <c r="F2984" s="12">
        <v>46236.0</v>
      </c>
      <c r="G2984" s="11" t="s">
        <v>16162</v>
      </c>
      <c r="H2984" s="11">
        <v>7.607446303E9</v>
      </c>
      <c r="I2984" s="11" t="s">
        <v>82</v>
      </c>
      <c r="J2984" s="11" t="s">
        <v>83</v>
      </c>
      <c r="K2984" s="11" t="s">
        <v>72</v>
      </c>
      <c r="L2984" s="11" t="s">
        <v>84</v>
      </c>
      <c r="M2984" s="11" t="s">
        <v>16163</v>
      </c>
      <c r="N2984" s="11" t="s">
        <v>155</v>
      </c>
      <c r="O2984" s="11" t="s">
        <v>71</v>
      </c>
      <c r="P2984" s="11" t="s">
        <v>16164</v>
      </c>
      <c r="Q2984" s="13" t="s">
        <v>16165</v>
      </c>
      <c r="R2984" s="14" t="str">
        <f>HYPERLINK("https://drive.google.com/file/d/1KXBbUsRI0lvOkPf8y6GKZvPbzHsZx84K/view?usp=drivesdk","OFFER LETTER")</f>
        <v>OFFER LETTER</v>
      </c>
      <c r="S2984" s="11" t="s">
        <v>16166</v>
      </c>
    </row>
    <row r="2985" ht="22.5" customHeight="1">
      <c r="A2985" s="10">
        <v>46274.85139675926</v>
      </c>
      <c r="B2985" s="11" t="s">
        <v>16167</v>
      </c>
      <c r="C2985" s="11" t="s">
        <v>195</v>
      </c>
      <c r="D2985" s="11" t="s">
        <v>68</v>
      </c>
      <c r="E2985" s="12">
        <v>46275.0</v>
      </c>
      <c r="F2985" s="12">
        <v>46305.0</v>
      </c>
      <c r="G2985" s="11" t="s">
        <v>16168</v>
      </c>
      <c r="H2985" s="11">
        <v>9.150231185E9</v>
      </c>
      <c r="I2985" s="11" t="s">
        <v>70</v>
      </c>
      <c r="J2985" s="11" t="s">
        <v>71</v>
      </c>
      <c r="K2985" s="11" t="s">
        <v>72</v>
      </c>
      <c r="L2985" s="11" t="s">
        <v>73</v>
      </c>
      <c r="M2985" s="11" t="s">
        <v>16169</v>
      </c>
      <c r="N2985" s="11" t="s">
        <v>75</v>
      </c>
      <c r="O2985" s="11" t="s">
        <v>263</v>
      </c>
      <c r="P2985" s="11" t="s">
        <v>16170</v>
      </c>
      <c r="Q2985" s="13" t="s">
        <v>16171</v>
      </c>
      <c r="R2985" s="14" t="str">
        <f>HYPERLINK("https://drive.google.com/file/d/1ldLb3rW3FkSBZ0syiYhwKCW206RhCW94/view?usp=drivesdk","OFFER LETTER")</f>
        <v>OFFER LETTER</v>
      </c>
      <c r="S2985" s="11" t="s">
        <v>16172</v>
      </c>
    </row>
    <row r="2986" ht="22.5" customHeight="1">
      <c r="A2986" s="10">
        <v>46274.851850266205</v>
      </c>
      <c r="B2986" s="11" t="s">
        <v>16173</v>
      </c>
      <c r="C2986" s="11" t="s">
        <v>91</v>
      </c>
      <c r="D2986" s="11" t="s">
        <v>68</v>
      </c>
      <c r="E2986" s="12">
        <v>46241.0</v>
      </c>
      <c r="F2986" s="12">
        <v>46272.0</v>
      </c>
      <c r="G2986" s="11" t="s">
        <v>16174</v>
      </c>
      <c r="H2986" s="11">
        <v>8.904077181E9</v>
      </c>
      <c r="I2986" s="11" t="s">
        <v>82</v>
      </c>
      <c r="J2986" s="11" t="s">
        <v>71</v>
      </c>
      <c r="K2986" s="11" t="s">
        <v>110</v>
      </c>
      <c r="L2986" s="11" t="s">
        <v>73</v>
      </c>
      <c r="M2986" s="11" t="s">
        <v>16175</v>
      </c>
      <c r="N2986" s="11" t="s">
        <v>86</v>
      </c>
      <c r="O2986" s="11" t="s">
        <v>71</v>
      </c>
      <c r="P2986" s="11" t="s">
        <v>16176</v>
      </c>
      <c r="Q2986" s="13" t="s">
        <v>16177</v>
      </c>
      <c r="R2986" s="14" t="str">
        <f>HYPERLINK("https://drive.google.com/file/d/137UAjGe2E8bWf4yUJmGptbhJ0800wG8c/view?usp=drivesdk","OFFER LETTER")</f>
        <v>OFFER LETTER</v>
      </c>
      <c r="S2986" s="11" t="s">
        <v>16178</v>
      </c>
    </row>
    <row r="2987" ht="22.5" customHeight="1">
      <c r="A2987" s="10">
        <v>46274.85280604167</v>
      </c>
      <c r="B2987" s="11" t="s">
        <v>16179</v>
      </c>
      <c r="C2987" s="11" t="s">
        <v>173</v>
      </c>
      <c r="D2987" s="11" t="s">
        <v>68</v>
      </c>
      <c r="E2987" s="12">
        <v>46205.0</v>
      </c>
      <c r="F2987" s="12">
        <v>46236.0</v>
      </c>
      <c r="G2987" s="11" t="s">
        <v>16180</v>
      </c>
      <c r="H2987" s="11">
        <v>8.923229883E9</v>
      </c>
      <c r="I2987" s="11" t="s">
        <v>82</v>
      </c>
      <c r="J2987" s="11" t="s">
        <v>71</v>
      </c>
      <c r="K2987" s="11" t="s">
        <v>72</v>
      </c>
      <c r="L2987" s="11" t="s">
        <v>84</v>
      </c>
      <c r="M2987" s="11" t="s">
        <v>5710</v>
      </c>
      <c r="N2987" s="11" t="s">
        <v>155</v>
      </c>
      <c r="O2987" s="11" t="s">
        <v>71</v>
      </c>
      <c r="P2987" s="11" t="s">
        <v>16181</v>
      </c>
      <c r="Q2987" s="13" t="s">
        <v>16182</v>
      </c>
      <c r="R2987" s="14" t="str">
        <f>HYPERLINK("https://drive.google.com/file/d/1bIHbWFP0cb7S4AOtwRfEsBcuBaXgXPzv/view?usp=drivesdk","OFFER LETTER")</f>
        <v>OFFER LETTER</v>
      </c>
      <c r="S2987" s="11" t="s">
        <v>16183</v>
      </c>
    </row>
    <row r="2988" ht="22.5" customHeight="1">
      <c r="A2988" s="10">
        <v>46274.853855486115</v>
      </c>
      <c r="B2988" s="11" t="s">
        <v>16184</v>
      </c>
      <c r="C2988" s="11" t="s">
        <v>596</v>
      </c>
      <c r="D2988" s="11" t="s">
        <v>68</v>
      </c>
      <c r="E2988" s="12">
        <v>46204.0</v>
      </c>
      <c r="F2988" s="12">
        <v>46235.0</v>
      </c>
      <c r="G2988" s="11" t="s">
        <v>16185</v>
      </c>
      <c r="H2988" s="11">
        <v>6.201901344E9</v>
      </c>
      <c r="I2988" s="11" t="s">
        <v>82</v>
      </c>
      <c r="J2988" s="11" t="s">
        <v>83</v>
      </c>
      <c r="K2988" s="11" t="s">
        <v>72</v>
      </c>
      <c r="L2988" s="11" t="s">
        <v>84</v>
      </c>
      <c r="M2988" s="11" t="s">
        <v>5124</v>
      </c>
      <c r="N2988" s="11" t="s">
        <v>75</v>
      </c>
      <c r="O2988" s="11" t="s">
        <v>71</v>
      </c>
      <c r="P2988" s="11" t="s">
        <v>16186</v>
      </c>
      <c r="Q2988" s="13" t="s">
        <v>16187</v>
      </c>
      <c r="R2988" s="14" t="str">
        <f>HYPERLINK("https://drive.google.com/file/d/1thYdK18xJTw_VNcTgc_RPSAMrcIzWDNv/view?usp=drivesdk","OFFER LETTER")</f>
        <v>OFFER LETTER</v>
      </c>
      <c r="S2988" s="11" t="s">
        <v>16188</v>
      </c>
    </row>
    <row r="2989" ht="22.5" customHeight="1">
      <c r="A2989" s="10">
        <v>46274.857681064816</v>
      </c>
      <c r="B2989" s="11" t="s">
        <v>16189</v>
      </c>
      <c r="C2989" s="11" t="s">
        <v>173</v>
      </c>
      <c r="D2989" s="11" t="s">
        <v>68</v>
      </c>
      <c r="E2989" s="12">
        <v>46219.0</v>
      </c>
      <c r="F2989" s="12">
        <v>46250.0</v>
      </c>
      <c r="G2989" s="11" t="s">
        <v>16190</v>
      </c>
      <c r="H2989" s="11">
        <v>8.056522557E9</v>
      </c>
      <c r="I2989" s="11" t="s">
        <v>70</v>
      </c>
      <c r="J2989" s="11" t="s">
        <v>71</v>
      </c>
      <c r="K2989" s="11" t="s">
        <v>72</v>
      </c>
      <c r="L2989" s="11" t="s">
        <v>73</v>
      </c>
      <c r="M2989" s="11" t="s">
        <v>16087</v>
      </c>
      <c r="N2989" s="11" t="s">
        <v>86</v>
      </c>
      <c r="O2989" s="11" t="s">
        <v>71</v>
      </c>
      <c r="P2989" s="11" t="s">
        <v>16191</v>
      </c>
      <c r="Q2989" s="13" t="s">
        <v>16192</v>
      </c>
      <c r="R2989" s="14" t="str">
        <f>HYPERLINK("https://drive.google.com/file/d/1vR5vAcrElLoJiImsavJfnxkoqhh0-U9t/view?usp=drivesdk","OFFER LETTER")</f>
        <v>OFFER LETTER</v>
      </c>
      <c r="S2989" s="11" t="s">
        <v>16193</v>
      </c>
    </row>
    <row r="2990" ht="22.5" customHeight="1">
      <c r="A2990" s="10">
        <v>46274.85844131945</v>
      </c>
      <c r="B2990" s="11" t="s">
        <v>16194</v>
      </c>
      <c r="C2990" s="11" t="s">
        <v>173</v>
      </c>
      <c r="D2990" s="11" t="s">
        <v>68</v>
      </c>
      <c r="E2990" s="12">
        <v>46206.0</v>
      </c>
      <c r="F2990" s="12">
        <v>46237.0</v>
      </c>
      <c r="G2990" s="11" t="s">
        <v>16195</v>
      </c>
      <c r="H2990" s="11">
        <v>9.003465824E9</v>
      </c>
      <c r="I2990" s="11" t="s">
        <v>82</v>
      </c>
      <c r="J2990" s="11" t="s">
        <v>71</v>
      </c>
      <c r="K2990" s="11" t="s">
        <v>72</v>
      </c>
      <c r="L2990" s="11" t="s">
        <v>73</v>
      </c>
      <c r="M2990" s="11" t="s">
        <v>14881</v>
      </c>
      <c r="N2990" s="11" t="s">
        <v>198</v>
      </c>
      <c r="O2990" s="11" t="s">
        <v>71</v>
      </c>
      <c r="P2990" s="11" t="s">
        <v>16196</v>
      </c>
      <c r="Q2990" s="13" t="s">
        <v>16197</v>
      </c>
      <c r="R2990" s="14" t="str">
        <f>HYPERLINK("https://drive.google.com/file/d/1Pk08K4EhcS3Y5okUtQFmAKCYINSzrf6Z/view?usp=drivesdk","OFFER LETTER")</f>
        <v>OFFER LETTER</v>
      </c>
      <c r="S2990" s="11" t="s">
        <v>16198</v>
      </c>
    </row>
    <row r="2991" ht="22.5" customHeight="1">
      <c r="A2991" s="10">
        <v>46274.858799803245</v>
      </c>
      <c r="B2991" s="11" t="s">
        <v>16179</v>
      </c>
      <c r="C2991" s="11" t="s">
        <v>173</v>
      </c>
      <c r="D2991" s="11" t="s">
        <v>68</v>
      </c>
      <c r="E2991" s="12">
        <v>46205.0</v>
      </c>
      <c r="F2991" s="12">
        <v>46236.0</v>
      </c>
      <c r="G2991" s="11" t="s">
        <v>16180</v>
      </c>
      <c r="H2991" s="11">
        <v>8.923229883E9</v>
      </c>
      <c r="I2991" s="11" t="s">
        <v>82</v>
      </c>
      <c r="J2991" s="11" t="s">
        <v>71</v>
      </c>
      <c r="K2991" s="11" t="s">
        <v>72</v>
      </c>
      <c r="L2991" s="11" t="s">
        <v>84</v>
      </c>
      <c r="M2991" s="11" t="s">
        <v>8316</v>
      </c>
      <c r="N2991" s="11" t="s">
        <v>155</v>
      </c>
      <c r="O2991" s="11" t="s">
        <v>71</v>
      </c>
      <c r="P2991" s="11" t="s">
        <v>16199</v>
      </c>
      <c r="Q2991" s="13" t="s">
        <v>16200</v>
      </c>
      <c r="R2991" s="14" t="str">
        <f>HYPERLINK("https://drive.google.com/file/d/1p6p0hj4Un-hfObiD6QllokJCxfxVFO2w/view?usp=drivesdk","OFFER LETTER")</f>
        <v>OFFER LETTER</v>
      </c>
      <c r="S2991" s="11" t="s">
        <v>16201</v>
      </c>
    </row>
    <row r="2992" ht="22.5" customHeight="1">
      <c r="A2992" s="10">
        <v>46274.860842650465</v>
      </c>
      <c r="B2992" s="11" t="s">
        <v>16189</v>
      </c>
      <c r="C2992" s="11" t="s">
        <v>173</v>
      </c>
      <c r="D2992" s="11" t="s">
        <v>68</v>
      </c>
      <c r="E2992" s="12">
        <v>46219.0</v>
      </c>
      <c r="F2992" s="12">
        <v>46250.0</v>
      </c>
      <c r="G2992" s="11" t="s">
        <v>16190</v>
      </c>
      <c r="H2992" s="11">
        <v>8.056522557E9</v>
      </c>
      <c r="I2992" s="11" t="s">
        <v>70</v>
      </c>
      <c r="J2992" s="11" t="s">
        <v>71</v>
      </c>
      <c r="K2992" s="11" t="s">
        <v>72</v>
      </c>
      <c r="L2992" s="11" t="s">
        <v>73</v>
      </c>
      <c r="M2992" s="11" t="s">
        <v>16087</v>
      </c>
      <c r="N2992" s="11" t="s">
        <v>86</v>
      </c>
      <c r="O2992" s="11" t="s">
        <v>71</v>
      </c>
      <c r="P2992" s="11" t="s">
        <v>16202</v>
      </c>
      <c r="Q2992" s="13" t="s">
        <v>16203</v>
      </c>
      <c r="R2992" s="14" t="str">
        <f>HYPERLINK("https://drive.google.com/file/d/1EzeZoEg4oxpHaUMle9Kc3GATphuzXxq3/view?usp=drivesdk","OFFER LETTER")</f>
        <v>OFFER LETTER</v>
      </c>
      <c r="S2992" s="11" t="s">
        <v>16204</v>
      </c>
    </row>
    <row r="2993" ht="22.5" customHeight="1">
      <c r="A2993" s="10">
        <v>46274.86446494213</v>
      </c>
      <c r="B2993" s="11" t="s">
        <v>16205</v>
      </c>
      <c r="C2993" s="11" t="s">
        <v>128</v>
      </c>
      <c r="D2993" s="11" t="s">
        <v>68</v>
      </c>
      <c r="E2993" s="12">
        <v>46183.0</v>
      </c>
      <c r="F2993" s="12">
        <v>46213.0</v>
      </c>
      <c r="G2993" s="11" t="s">
        <v>16206</v>
      </c>
      <c r="H2993" s="11">
        <v>8.90077819E9</v>
      </c>
      <c r="I2993" s="11" t="s">
        <v>70</v>
      </c>
      <c r="J2993" s="11" t="s">
        <v>71</v>
      </c>
      <c r="K2993" s="11" t="s">
        <v>72</v>
      </c>
      <c r="L2993" s="11" t="s">
        <v>84</v>
      </c>
      <c r="M2993" s="11" t="s">
        <v>5088</v>
      </c>
      <c r="N2993" s="11" t="s">
        <v>75</v>
      </c>
      <c r="O2993" s="11" t="s">
        <v>71</v>
      </c>
      <c r="P2993" s="11" t="s">
        <v>16207</v>
      </c>
      <c r="Q2993" s="13" t="s">
        <v>16208</v>
      </c>
      <c r="R2993" s="14" t="str">
        <f>HYPERLINK("https://drive.google.com/file/d/1kmm4xZFNSKNu51bQSBXJ8pFP3EWugFZC/view?usp=drivesdk","OFFER LETTER")</f>
        <v>OFFER LETTER</v>
      </c>
      <c r="S2993" s="11" t="s">
        <v>16209</v>
      </c>
    </row>
    <row r="2994" ht="22.5" customHeight="1">
      <c r="A2994" s="10">
        <v>46274.866514560184</v>
      </c>
      <c r="B2994" s="11" t="s">
        <v>16210</v>
      </c>
      <c r="C2994" s="11" t="s">
        <v>195</v>
      </c>
      <c r="D2994" s="11" t="s">
        <v>68</v>
      </c>
      <c r="E2994" s="12">
        <v>46204.0</v>
      </c>
      <c r="F2994" s="12">
        <v>46235.0</v>
      </c>
      <c r="G2994" s="11" t="s">
        <v>16211</v>
      </c>
      <c r="H2994" s="11">
        <v>8.858880982E9</v>
      </c>
      <c r="I2994" s="11" t="s">
        <v>82</v>
      </c>
      <c r="J2994" s="11" t="s">
        <v>71</v>
      </c>
      <c r="K2994" s="11" t="s">
        <v>72</v>
      </c>
      <c r="L2994" s="11" t="s">
        <v>84</v>
      </c>
      <c r="M2994" s="11" t="s">
        <v>16212</v>
      </c>
      <c r="N2994" s="11" t="s">
        <v>75</v>
      </c>
      <c r="O2994" s="11" t="s">
        <v>71</v>
      </c>
      <c r="P2994" s="11" t="s">
        <v>16213</v>
      </c>
      <c r="Q2994" s="13" t="s">
        <v>16214</v>
      </c>
      <c r="R2994" s="14" t="str">
        <f>HYPERLINK("https://drive.google.com/file/d/1U2BYr2CMEnPUbgw708s1LK1nY1QbgA8m/view?usp=drivesdk","OFFER LETTER")</f>
        <v>OFFER LETTER</v>
      </c>
      <c r="S2994" s="11" t="s">
        <v>16215</v>
      </c>
    </row>
    <row r="2995" ht="22.5" customHeight="1">
      <c r="A2995" s="10">
        <v>46274.86799021991</v>
      </c>
      <c r="B2995" s="11" t="s">
        <v>16216</v>
      </c>
      <c r="C2995" s="11" t="s">
        <v>1320</v>
      </c>
      <c r="D2995" s="11" t="s">
        <v>108</v>
      </c>
      <c r="E2995" s="12">
        <v>46183.0</v>
      </c>
      <c r="F2995" s="12">
        <v>46244.0</v>
      </c>
      <c r="G2995" s="11" t="s">
        <v>16217</v>
      </c>
      <c r="H2995" s="11" t="s">
        <v>16218</v>
      </c>
      <c r="I2995" s="11" t="s">
        <v>82</v>
      </c>
      <c r="J2995" s="11" t="s">
        <v>83</v>
      </c>
      <c r="K2995" s="11" t="s">
        <v>72</v>
      </c>
      <c r="L2995" s="11" t="s">
        <v>73</v>
      </c>
      <c r="M2995" s="11" t="s">
        <v>16219</v>
      </c>
      <c r="N2995" s="11" t="s">
        <v>75</v>
      </c>
      <c r="O2995" s="11" t="s">
        <v>71</v>
      </c>
      <c r="P2995" s="11" t="s">
        <v>16220</v>
      </c>
      <c r="Q2995" s="13" t="s">
        <v>16221</v>
      </c>
      <c r="R2995" s="14" t="str">
        <f>HYPERLINK("https://drive.google.com/file/d/1vq-wtsQClNSrPmtBrRGYOMnZ-r0BHFcn/view?usp=drivesdk","OFFER LETTER")</f>
        <v>OFFER LETTER</v>
      </c>
      <c r="S2995" s="11" t="s">
        <v>16222</v>
      </c>
    </row>
    <row r="2996" ht="22.5" customHeight="1">
      <c r="A2996" s="10">
        <v>46274.86887513888</v>
      </c>
      <c r="B2996" s="11" t="s">
        <v>16223</v>
      </c>
      <c r="C2996" s="11" t="s">
        <v>417</v>
      </c>
      <c r="D2996" s="11" t="s">
        <v>68</v>
      </c>
      <c r="E2996" s="12">
        <v>46219.0</v>
      </c>
      <c r="F2996" s="12">
        <v>46250.0</v>
      </c>
      <c r="G2996" s="11" t="s">
        <v>16224</v>
      </c>
      <c r="H2996" s="11">
        <v>9.626691551E9</v>
      </c>
      <c r="I2996" s="11" t="s">
        <v>70</v>
      </c>
      <c r="J2996" s="11" t="s">
        <v>71</v>
      </c>
      <c r="K2996" s="11" t="s">
        <v>72</v>
      </c>
      <c r="L2996" s="11" t="s">
        <v>73</v>
      </c>
      <c r="M2996" s="11" t="s">
        <v>16087</v>
      </c>
      <c r="N2996" s="11" t="s">
        <v>86</v>
      </c>
      <c r="O2996" s="11" t="s">
        <v>71</v>
      </c>
      <c r="P2996" s="11" t="s">
        <v>16225</v>
      </c>
      <c r="Q2996" s="13" t="s">
        <v>16226</v>
      </c>
      <c r="R2996" s="14" t="str">
        <f>HYPERLINK("https://drive.google.com/file/d/17HZhWE2PHeBxBc1n5Q0naK0E2u-xDwnO/view?usp=drivesdk","OFFER LETTER")</f>
        <v>OFFER LETTER</v>
      </c>
      <c r="S2996" s="11" t="s">
        <v>16227</v>
      </c>
    </row>
    <row r="2997" ht="22.5" customHeight="1">
      <c r="A2997" s="10">
        <v>46274.869641909725</v>
      </c>
      <c r="B2997" s="11" t="s">
        <v>2094</v>
      </c>
      <c r="C2997" s="11" t="s">
        <v>195</v>
      </c>
      <c r="D2997" s="11" t="s">
        <v>68</v>
      </c>
      <c r="E2997" s="12">
        <v>38880.0</v>
      </c>
      <c r="F2997" s="12">
        <v>46215.0</v>
      </c>
      <c r="G2997" s="11" t="s">
        <v>2095</v>
      </c>
      <c r="H2997" s="11">
        <v>9.992893702E9</v>
      </c>
      <c r="I2997" s="11" t="s">
        <v>82</v>
      </c>
      <c r="J2997" s="11" t="s">
        <v>71</v>
      </c>
      <c r="K2997" s="11" t="s">
        <v>72</v>
      </c>
      <c r="L2997" s="11" t="s">
        <v>84</v>
      </c>
      <c r="M2997" s="11" t="s">
        <v>886</v>
      </c>
      <c r="N2997" s="11" t="s">
        <v>86</v>
      </c>
      <c r="O2997" s="11" t="s">
        <v>71</v>
      </c>
      <c r="P2997" s="11" t="s">
        <v>16228</v>
      </c>
      <c r="Q2997" s="13" t="s">
        <v>16229</v>
      </c>
      <c r="R2997" s="14" t="str">
        <f>HYPERLINK("https://drive.google.com/file/d/1laVRxvv-ZsLiJWF5A6mAqtd5HF89Vx4r/view?usp=drivesdk","OFFER LETTER")</f>
        <v>OFFER LETTER</v>
      </c>
      <c r="S2997" s="11" t="s">
        <v>16230</v>
      </c>
    </row>
    <row r="2998" ht="22.5" customHeight="1">
      <c r="A2998" s="10">
        <v>46274.86986659722</v>
      </c>
      <c r="B2998" s="11" t="s">
        <v>16231</v>
      </c>
      <c r="C2998" s="11" t="s">
        <v>128</v>
      </c>
      <c r="D2998" s="11" t="s">
        <v>68</v>
      </c>
      <c r="E2998" s="12">
        <v>46271.0</v>
      </c>
      <c r="F2998" s="12">
        <v>46305.0</v>
      </c>
      <c r="G2998" s="11" t="s">
        <v>13139</v>
      </c>
      <c r="H2998" s="11">
        <v>7.093304665E9</v>
      </c>
      <c r="I2998" s="11" t="s">
        <v>82</v>
      </c>
      <c r="J2998" s="11" t="s">
        <v>71</v>
      </c>
      <c r="K2998" s="11" t="s">
        <v>72</v>
      </c>
      <c r="L2998" s="11" t="s">
        <v>73</v>
      </c>
      <c r="M2998" s="11" t="s">
        <v>16232</v>
      </c>
      <c r="N2998" s="11" t="s">
        <v>75</v>
      </c>
      <c r="O2998" s="11" t="s">
        <v>71</v>
      </c>
      <c r="P2998" s="11" t="s">
        <v>16233</v>
      </c>
      <c r="Q2998" s="13" t="s">
        <v>16234</v>
      </c>
      <c r="R2998" s="14" t="str">
        <f>HYPERLINK("https://drive.google.com/file/d/14VpIKTHQRSMkrjhAEms1upSxLEVzx8Ht/view?usp=drivesdk","OFFER LETTER")</f>
        <v>OFFER LETTER</v>
      </c>
      <c r="S2998" s="11" t="s">
        <v>16235</v>
      </c>
    </row>
    <row r="2999" ht="22.5" customHeight="1">
      <c r="A2999" s="10">
        <v>46274.87211328704</v>
      </c>
      <c r="B2999" s="11" t="s">
        <v>16236</v>
      </c>
      <c r="C2999" s="11" t="s">
        <v>80</v>
      </c>
      <c r="D2999" s="11" t="s">
        <v>108</v>
      </c>
      <c r="E2999" s="12">
        <v>46210.0</v>
      </c>
      <c r="F2999" s="12">
        <v>46272.0</v>
      </c>
      <c r="G2999" s="11" t="s">
        <v>16237</v>
      </c>
      <c r="H2999" s="11" t="s">
        <v>16238</v>
      </c>
      <c r="I2999" s="11" t="s">
        <v>82</v>
      </c>
      <c r="J2999" s="11" t="s">
        <v>71</v>
      </c>
      <c r="K2999" s="11" t="s">
        <v>72</v>
      </c>
      <c r="L2999" s="11" t="s">
        <v>131</v>
      </c>
      <c r="M2999" s="11" t="s">
        <v>2901</v>
      </c>
      <c r="N2999" s="11" t="s">
        <v>155</v>
      </c>
      <c r="O2999" s="11" t="s">
        <v>71</v>
      </c>
      <c r="P2999" s="11" t="s">
        <v>16239</v>
      </c>
      <c r="Q2999" s="13" t="s">
        <v>16240</v>
      </c>
      <c r="R2999" s="14" t="str">
        <f>HYPERLINK("https://drive.google.com/file/d/1IeP9d-dNo4gMsdIKjo4BCnZYFLSwIKme/view?usp=drivesdk","OFFER LETTER")</f>
        <v>OFFER LETTER</v>
      </c>
      <c r="S2999" s="11" t="s">
        <v>16241</v>
      </c>
    </row>
    <row r="3000" ht="22.5" customHeight="1">
      <c r="A3000" s="10">
        <v>46274.872283680554</v>
      </c>
      <c r="B3000" s="11" t="s">
        <v>2170</v>
      </c>
      <c r="C3000" s="11" t="s">
        <v>107</v>
      </c>
      <c r="D3000" s="11" t="s">
        <v>68</v>
      </c>
      <c r="E3000" s="12">
        <v>46257.0</v>
      </c>
      <c r="F3000" s="12">
        <v>46288.0</v>
      </c>
      <c r="G3000" s="11" t="s">
        <v>2171</v>
      </c>
      <c r="H3000" s="11">
        <v>9.889340054E9</v>
      </c>
      <c r="I3000" s="11" t="s">
        <v>70</v>
      </c>
      <c r="J3000" s="11" t="s">
        <v>71</v>
      </c>
      <c r="K3000" s="11" t="s">
        <v>110</v>
      </c>
      <c r="L3000" s="11" t="s">
        <v>84</v>
      </c>
      <c r="M3000" s="11" t="s">
        <v>16242</v>
      </c>
      <c r="N3000" s="11" t="s">
        <v>75</v>
      </c>
      <c r="O3000" s="11" t="s">
        <v>71</v>
      </c>
      <c r="P3000" s="11" t="s">
        <v>16243</v>
      </c>
      <c r="Q3000" s="13" t="s">
        <v>16244</v>
      </c>
      <c r="R3000" s="14" t="str">
        <f>HYPERLINK("https://drive.google.com/file/d/1rQQWiSEyYQP_o6zR-7qiNo3tV2Sk5V07/view?usp=drivesdk","OFFER LETTER")</f>
        <v>OFFER LETTER</v>
      </c>
      <c r="S3000" s="11" t="s">
        <v>16245</v>
      </c>
    </row>
    <row r="3001" ht="22.5" customHeight="1">
      <c r="A3001" s="10">
        <v>46274.87381394676</v>
      </c>
      <c r="B3001" s="11" t="s">
        <v>16246</v>
      </c>
      <c r="C3001" s="11" t="s">
        <v>195</v>
      </c>
      <c r="D3001" s="11" t="s">
        <v>68</v>
      </c>
      <c r="E3001" s="12">
        <v>46204.0</v>
      </c>
      <c r="F3001" s="12">
        <v>46234.0</v>
      </c>
      <c r="G3001" s="11" t="s">
        <v>16247</v>
      </c>
      <c r="H3001" s="11">
        <v>8.920434066E9</v>
      </c>
      <c r="I3001" s="11" t="s">
        <v>82</v>
      </c>
      <c r="J3001" s="11" t="s">
        <v>83</v>
      </c>
      <c r="K3001" s="11" t="s">
        <v>72</v>
      </c>
      <c r="L3001" s="11" t="s">
        <v>84</v>
      </c>
      <c r="M3001" s="11" t="s">
        <v>2655</v>
      </c>
      <c r="N3001" s="11" t="s">
        <v>86</v>
      </c>
      <c r="O3001" s="11" t="s">
        <v>71</v>
      </c>
      <c r="P3001" s="11" t="s">
        <v>16248</v>
      </c>
      <c r="Q3001" s="13" t="s">
        <v>16249</v>
      </c>
      <c r="R3001" s="14" t="str">
        <f>HYPERLINK("https://drive.google.com/file/d/1xHElHH_sSvUBmXc3gzLAErvJpcJvFBzT/view?usp=drivesdk","OFFER LETTER")</f>
        <v>OFFER LETTER</v>
      </c>
      <c r="S3001" s="11" t="s">
        <v>16250</v>
      </c>
    </row>
    <row r="3002" ht="22.5" customHeight="1">
      <c r="A3002" s="10">
        <v>46274.87664077546</v>
      </c>
      <c r="B3002" s="11" t="s">
        <v>16251</v>
      </c>
      <c r="C3002" s="11" t="s">
        <v>80</v>
      </c>
      <c r="D3002" s="11" t="s">
        <v>108</v>
      </c>
      <c r="E3002" s="12">
        <v>46216.0</v>
      </c>
      <c r="F3002" s="12">
        <v>46278.0</v>
      </c>
      <c r="G3002" s="11" t="s">
        <v>16252</v>
      </c>
      <c r="H3002" s="11">
        <v>9.390526206E9</v>
      </c>
      <c r="I3002" s="11" t="s">
        <v>82</v>
      </c>
      <c r="J3002" s="11" t="s">
        <v>71</v>
      </c>
      <c r="K3002" s="11" t="s">
        <v>72</v>
      </c>
      <c r="L3002" s="11" t="s">
        <v>131</v>
      </c>
      <c r="M3002" s="11" t="s">
        <v>2901</v>
      </c>
      <c r="N3002" s="11" t="s">
        <v>155</v>
      </c>
      <c r="O3002" s="11" t="s">
        <v>71</v>
      </c>
      <c r="P3002" s="11" t="s">
        <v>16253</v>
      </c>
      <c r="Q3002" s="13" t="s">
        <v>16254</v>
      </c>
      <c r="R3002" s="14" t="str">
        <f>HYPERLINK("https://drive.google.com/file/d/1Y6Ga0YCjmeDagm7qsvpWz6MCpSBZ9DxN/view?usp=drivesdk","OFFER LETTER")</f>
        <v>OFFER LETTER</v>
      </c>
      <c r="S3002" s="11" t="s">
        <v>16255</v>
      </c>
    </row>
    <row r="3003" ht="22.5" customHeight="1">
      <c r="A3003" s="10">
        <v>46274.87814697917</v>
      </c>
      <c r="B3003" s="11" t="s">
        <v>16256</v>
      </c>
      <c r="C3003" s="11" t="s">
        <v>195</v>
      </c>
      <c r="D3003" s="11" t="s">
        <v>68</v>
      </c>
      <c r="E3003" s="12">
        <v>46204.0</v>
      </c>
      <c r="F3003" s="12">
        <v>46235.0</v>
      </c>
      <c r="G3003" s="11" t="s">
        <v>16211</v>
      </c>
      <c r="H3003" s="11">
        <v>8.858880982E9</v>
      </c>
      <c r="I3003" s="11" t="s">
        <v>82</v>
      </c>
      <c r="J3003" s="11" t="s">
        <v>71</v>
      </c>
      <c r="K3003" s="11" t="s">
        <v>72</v>
      </c>
      <c r="L3003" s="11" t="s">
        <v>84</v>
      </c>
      <c r="M3003" s="11" t="s">
        <v>6934</v>
      </c>
      <c r="N3003" s="11" t="s">
        <v>75</v>
      </c>
      <c r="O3003" s="11" t="s">
        <v>71</v>
      </c>
      <c r="P3003" s="11" t="s">
        <v>16257</v>
      </c>
      <c r="Q3003" s="13" t="s">
        <v>16258</v>
      </c>
      <c r="R3003" s="14" t="str">
        <f>HYPERLINK("https://drive.google.com/file/d/15FsedT_BpmUWaWNrBiJlMoEPjLHDUw7x/view?usp=drivesdk","OFFER LETTER")</f>
        <v>OFFER LETTER</v>
      </c>
      <c r="S3003" s="11" t="s">
        <v>16259</v>
      </c>
    </row>
    <row r="3004" ht="22.5" customHeight="1">
      <c r="A3004" s="10">
        <v>46274.879226793986</v>
      </c>
      <c r="B3004" s="11" t="s">
        <v>16260</v>
      </c>
      <c r="C3004" s="11" t="s">
        <v>195</v>
      </c>
      <c r="D3004" s="11" t="s">
        <v>68</v>
      </c>
      <c r="E3004" s="12">
        <v>46198.0</v>
      </c>
      <c r="F3004" s="12">
        <v>46228.0</v>
      </c>
      <c r="G3004" s="11" t="s">
        <v>16261</v>
      </c>
      <c r="H3004" s="11" t="s">
        <v>16262</v>
      </c>
      <c r="I3004" s="11" t="s">
        <v>82</v>
      </c>
      <c r="J3004" s="11" t="s">
        <v>71</v>
      </c>
      <c r="K3004" s="11" t="s">
        <v>72</v>
      </c>
      <c r="L3004" s="11" t="s">
        <v>84</v>
      </c>
      <c r="M3004" s="11" t="s">
        <v>1779</v>
      </c>
      <c r="N3004" s="11" t="s">
        <v>226</v>
      </c>
      <c r="O3004" s="11" t="s">
        <v>71</v>
      </c>
      <c r="P3004" s="11" t="s">
        <v>16263</v>
      </c>
      <c r="Q3004" s="13" t="s">
        <v>16264</v>
      </c>
      <c r="R3004" s="14" t="str">
        <f>HYPERLINK("https://drive.google.com/file/d/1d9PrbCFUuTThZArZJb6C29ZF_KVxcBXV/view?usp=drivesdk","OFFER LETTER")</f>
        <v>OFFER LETTER</v>
      </c>
      <c r="S3004" s="11" t="s">
        <v>16265</v>
      </c>
    </row>
    <row r="3005" ht="22.5" customHeight="1">
      <c r="A3005" s="10">
        <v>46274.88220641203</v>
      </c>
      <c r="B3005" s="11" t="s">
        <v>16266</v>
      </c>
      <c r="C3005" s="11" t="s">
        <v>195</v>
      </c>
      <c r="D3005" s="11" t="s">
        <v>108</v>
      </c>
      <c r="E3005" s="12">
        <v>46174.0</v>
      </c>
      <c r="F3005" s="12">
        <v>46235.0</v>
      </c>
      <c r="G3005" s="11" t="s">
        <v>16267</v>
      </c>
      <c r="H3005" s="11">
        <v>8.126598732E9</v>
      </c>
      <c r="I3005" s="11" t="s">
        <v>82</v>
      </c>
      <c r="J3005" s="11" t="s">
        <v>71</v>
      </c>
      <c r="K3005" s="11" t="s">
        <v>72</v>
      </c>
      <c r="L3005" s="11" t="s">
        <v>84</v>
      </c>
      <c r="M3005" s="11" t="s">
        <v>7283</v>
      </c>
      <c r="N3005" s="11" t="s">
        <v>75</v>
      </c>
      <c r="O3005" s="11" t="s">
        <v>71</v>
      </c>
      <c r="P3005" s="11" t="s">
        <v>16268</v>
      </c>
      <c r="Q3005" s="13" t="s">
        <v>16269</v>
      </c>
      <c r="R3005" s="14" t="str">
        <f>HYPERLINK("https://drive.google.com/file/d/1w3aP05EGUF7qmty_duXJiKRWWFJfk5Yu/view?usp=drivesdk","OFFER LETTER")</f>
        <v>OFFER LETTER</v>
      </c>
      <c r="S3005" s="11" t="s">
        <v>16270</v>
      </c>
    </row>
    <row r="3006" ht="22.5" customHeight="1">
      <c r="A3006" s="10">
        <v>46274.88399564815</v>
      </c>
      <c r="B3006" s="11" t="s">
        <v>16271</v>
      </c>
      <c r="C3006" s="11" t="s">
        <v>195</v>
      </c>
      <c r="D3006" s="11" t="s">
        <v>68</v>
      </c>
      <c r="E3006" s="12">
        <v>46274.0</v>
      </c>
      <c r="F3006" s="12">
        <v>46304.0</v>
      </c>
      <c r="G3006" s="11" t="s">
        <v>16272</v>
      </c>
      <c r="H3006" s="11">
        <v>9.151123189E9</v>
      </c>
      <c r="I3006" s="11" t="s">
        <v>82</v>
      </c>
      <c r="J3006" s="11" t="s">
        <v>71</v>
      </c>
      <c r="K3006" s="11" t="s">
        <v>72</v>
      </c>
      <c r="L3006" s="11" t="s">
        <v>84</v>
      </c>
      <c r="M3006" s="11" t="s">
        <v>16273</v>
      </c>
      <c r="N3006" s="11" t="s">
        <v>16274</v>
      </c>
      <c r="O3006" s="11" t="s">
        <v>263</v>
      </c>
      <c r="P3006" s="11" t="s">
        <v>16275</v>
      </c>
      <c r="Q3006" s="13" t="s">
        <v>16276</v>
      </c>
      <c r="R3006" s="14" t="str">
        <f>HYPERLINK("https://drive.google.com/file/d/1VnGepRRJZrud_MNuC134rHOSe-gmnEcy/view?usp=drivesdk","OFFER LETTER")</f>
        <v>OFFER LETTER</v>
      </c>
      <c r="S3006" s="11" t="s">
        <v>16277</v>
      </c>
    </row>
    <row r="3007" ht="22.5" customHeight="1">
      <c r="A3007" s="10">
        <v>46274.886480127316</v>
      </c>
      <c r="B3007" s="11" t="s">
        <v>16278</v>
      </c>
      <c r="C3007" s="11" t="s">
        <v>195</v>
      </c>
      <c r="D3007" s="11" t="s">
        <v>68</v>
      </c>
      <c r="E3007" s="12">
        <v>46183.0</v>
      </c>
      <c r="F3007" s="12">
        <v>46213.0</v>
      </c>
      <c r="G3007" s="11" t="s">
        <v>16279</v>
      </c>
      <c r="H3007" s="11">
        <v>7.980940751E9</v>
      </c>
      <c r="I3007" s="11" t="s">
        <v>82</v>
      </c>
      <c r="J3007" s="11" t="s">
        <v>71</v>
      </c>
      <c r="K3007" s="11" t="s">
        <v>72</v>
      </c>
      <c r="L3007" s="11" t="s">
        <v>84</v>
      </c>
      <c r="M3007" s="11" t="s">
        <v>5088</v>
      </c>
      <c r="N3007" s="11" t="s">
        <v>75</v>
      </c>
      <c r="O3007" s="11" t="s">
        <v>71</v>
      </c>
      <c r="P3007" s="11" t="s">
        <v>16280</v>
      </c>
      <c r="Q3007" s="13" t="s">
        <v>16281</v>
      </c>
      <c r="R3007" s="14" t="str">
        <f>HYPERLINK("https://drive.google.com/file/d/1OATpVFH7nYgEYVYZV60EcdOqXtd7XDmx/view?usp=drivesdk","OFFER LETTER")</f>
        <v>OFFER LETTER</v>
      </c>
      <c r="S3007" s="11" t="s">
        <v>16282</v>
      </c>
    </row>
    <row r="3008" ht="22.5" customHeight="1">
      <c r="A3008" s="10">
        <v>46274.888393402776</v>
      </c>
      <c r="B3008" s="11" t="s">
        <v>16283</v>
      </c>
      <c r="C3008" s="11" t="s">
        <v>195</v>
      </c>
      <c r="D3008" s="11" t="s">
        <v>68</v>
      </c>
      <c r="E3008" s="12">
        <v>46204.0</v>
      </c>
      <c r="F3008" s="12">
        <v>46235.0</v>
      </c>
      <c r="G3008" s="11" t="s">
        <v>16284</v>
      </c>
      <c r="H3008" s="11">
        <v>9.508224268E9</v>
      </c>
      <c r="I3008" s="11" t="s">
        <v>82</v>
      </c>
      <c r="J3008" s="11" t="s">
        <v>71</v>
      </c>
      <c r="K3008" s="11" t="s">
        <v>72</v>
      </c>
      <c r="L3008" s="11" t="s">
        <v>84</v>
      </c>
      <c r="M3008" s="11" t="s">
        <v>7748</v>
      </c>
      <c r="N3008" s="11" t="s">
        <v>86</v>
      </c>
      <c r="O3008" s="11" t="s">
        <v>71</v>
      </c>
      <c r="P3008" s="11" t="s">
        <v>16285</v>
      </c>
      <c r="Q3008" s="13" t="s">
        <v>16286</v>
      </c>
      <c r="R3008" s="14" t="str">
        <f>HYPERLINK("https://drive.google.com/file/d/1gVOdoVjc3GUnV1hRxXUlrf-8Hnqo6PHz/view?usp=drivesdk","OFFER LETTER")</f>
        <v>OFFER LETTER</v>
      </c>
      <c r="S3008" s="11" t="s">
        <v>16287</v>
      </c>
    </row>
    <row r="3009" ht="22.5" customHeight="1">
      <c r="A3009" s="10">
        <v>46274.89065751157</v>
      </c>
      <c r="B3009" s="11" t="s">
        <v>10498</v>
      </c>
      <c r="C3009" s="11" t="s">
        <v>128</v>
      </c>
      <c r="D3009" s="11" t="s">
        <v>68</v>
      </c>
      <c r="E3009" s="12">
        <v>46233.0</v>
      </c>
      <c r="F3009" s="12">
        <v>46264.0</v>
      </c>
      <c r="G3009" s="11" t="s">
        <v>10499</v>
      </c>
      <c r="H3009" s="11">
        <v>7.27690017E9</v>
      </c>
      <c r="I3009" s="11" t="s">
        <v>82</v>
      </c>
      <c r="J3009" s="11" t="s">
        <v>71</v>
      </c>
      <c r="K3009" s="11" t="s">
        <v>72</v>
      </c>
      <c r="L3009" s="11" t="s">
        <v>84</v>
      </c>
      <c r="M3009" s="11" t="s">
        <v>886</v>
      </c>
      <c r="N3009" s="11" t="s">
        <v>86</v>
      </c>
      <c r="O3009" s="11" t="s">
        <v>71</v>
      </c>
      <c r="P3009" s="11" t="s">
        <v>16288</v>
      </c>
      <c r="Q3009" s="13" t="s">
        <v>16289</v>
      </c>
      <c r="R3009" s="14" t="str">
        <f>HYPERLINK("https://drive.google.com/file/d/1Ml4H4Nbmvq_gQ-uUsGfF_0HaYahmTs7t/view?usp=drivesdk","OFFER LETTER")</f>
        <v>OFFER LETTER</v>
      </c>
      <c r="S3009" s="11" t="s">
        <v>16290</v>
      </c>
    </row>
    <row r="3010" ht="22.5" customHeight="1">
      <c r="A3010" s="10">
        <v>46274.89196712963</v>
      </c>
      <c r="B3010" s="11" t="s">
        <v>16291</v>
      </c>
      <c r="C3010" s="11" t="s">
        <v>195</v>
      </c>
      <c r="D3010" s="11" t="s">
        <v>68</v>
      </c>
      <c r="E3010" s="12">
        <v>46239.0</v>
      </c>
      <c r="F3010" s="12">
        <v>46270.0</v>
      </c>
      <c r="G3010" s="11" t="s">
        <v>16292</v>
      </c>
      <c r="H3010" s="11">
        <v>9.01428393E9</v>
      </c>
      <c r="I3010" s="11" t="s">
        <v>82</v>
      </c>
      <c r="J3010" s="11" t="s">
        <v>71</v>
      </c>
      <c r="K3010" s="11" t="s">
        <v>72</v>
      </c>
      <c r="L3010" s="11" t="s">
        <v>84</v>
      </c>
      <c r="M3010" s="11" t="s">
        <v>16293</v>
      </c>
      <c r="N3010" s="11" t="s">
        <v>15055</v>
      </c>
      <c r="O3010" s="11" t="s">
        <v>71</v>
      </c>
      <c r="P3010" s="11" t="s">
        <v>16294</v>
      </c>
      <c r="Q3010" s="13" t="s">
        <v>16295</v>
      </c>
      <c r="R3010" s="14" t="str">
        <f>HYPERLINK("https://drive.google.com/file/d/1R4TkhiwuxfC56p2OWMqsgGdOHGDCyr2h/view?usp=drivesdk","OFFER LETTER")</f>
        <v>OFFER LETTER</v>
      </c>
      <c r="S3010" s="11" t="s">
        <v>16296</v>
      </c>
    </row>
    <row r="3011" ht="22.5" customHeight="1">
      <c r="A3011" s="10">
        <v>46274.89273565973</v>
      </c>
      <c r="B3011" s="11" t="s">
        <v>16297</v>
      </c>
      <c r="C3011" s="11" t="s">
        <v>107</v>
      </c>
      <c r="D3011" s="11" t="s">
        <v>68</v>
      </c>
      <c r="E3011" s="12">
        <v>46275.0</v>
      </c>
      <c r="F3011" s="12">
        <v>46305.0</v>
      </c>
      <c r="G3011" s="11" t="s">
        <v>16298</v>
      </c>
      <c r="H3011" s="11">
        <v>8.851585781E9</v>
      </c>
      <c r="I3011" s="11" t="s">
        <v>82</v>
      </c>
      <c r="J3011" s="11" t="s">
        <v>71</v>
      </c>
      <c r="K3011" s="11" t="s">
        <v>110</v>
      </c>
      <c r="L3011" s="11" t="s">
        <v>73</v>
      </c>
      <c r="M3011" s="11" t="s">
        <v>16299</v>
      </c>
      <c r="N3011" s="11" t="s">
        <v>219</v>
      </c>
      <c r="O3011" s="11" t="s">
        <v>71</v>
      </c>
      <c r="P3011" s="11" t="s">
        <v>16300</v>
      </c>
      <c r="Q3011" s="13" t="s">
        <v>16301</v>
      </c>
      <c r="R3011" s="14" t="str">
        <f>HYPERLINK("https://drive.google.com/file/d/1ZtGefjgrC6u6v5FyBS_a-_Y2jKN_s8ql/view?usp=drivesdk","OFFER LETTER")</f>
        <v>OFFER LETTER</v>
      </c>
      <c r="S3011" s="11" t="s">
        <v>16302</v>
      </c>
    </row>
    <row r="3012" ht="22.5" customHeight="1">
      <c r="A3012" s="10">
        <v>46274.89567599537</v>
      </c>
      <c r="B3012" s="11" t="s">
        <v>16303</v>
      </c>
      <c r="C3012" s="11" t="s">
        <v>298</v>
      </c>
      <c r="D3012" s="11" t="s">
        <v>68</v>
      </c>
      <c r="E3012" s="12">
        <v>46210.0</v>
      </c>
      <c r="F3012" s="12">
        <v>46241.0</v>
      </c>
      <c r="G3012" s="11" t="s">
        <v>16304</v>
      </c>
      <c r="H3012" s="11" t="s">
        <v>16305</v>
      </c>
      <c r="I3012" s="11" t="s">
        <v>82</v>
      </c>
      <c r="J3012" s="11" t="s">
        <v>71</v>
      </c>
      <c r="K3012" s="11" t="s">
        <v>72</v>
      </c>
      <c r="L3012" s="11" t="s">
        <v>73</v>
      </c>
      <c r="M3012" s="11" t="s">
        <v>15257</v>
      </c>
      <c r="N3012" s="11" t="s">
        <v>198</v>
      </c>
      <c r="O3012" s="11" t="s">
        <v>71</v>
      </c>
      <c r="P3012" s="11" t="s">
        <v>16306</v>
      </c>
      <c r="Q3012" s="13" t="s">
        <v>16307</v>
      </c>
      <c r="R3012" s="14" t="str">
        <f>HYPERLINK("https://drive.google.com/file/d/1zJkyn9gK1q4_a2bUioKPPzKWOukQpP8u/view?usp=drivesdk","OFFER LETTER")</f>
        <v>OFFER LETTER</v>
      </c>
      <c r="S3012" s="11" t="s">
        <v>16308</v>
      </c>
    </row>
    <row r="3013" ht="22.5" customHeight="1">
      <c r="A3013" s="10">
        <v>46274.89767181713</v>
      </c>
      <c r="B3013" s="11" t="s">
        <v>16309</v>
      </c>
      <c r="C3013" s="11" t="s">
        <v>80</v>
      </c>
      <c r="D3013" s="11" t="s">
        <v>68</v>
      </c>
      <c r="E3013" s="12">
        <v>38683.0</v>
      </c>
      <c r="F3013" s="12">
        <v>46304.0</v>
      </c>
      <c r="G3013" s="11" t="s">
        <v>16310</v>
      </c>
      <c r="H3013" s="11">
        <v>8.46882747E9</v>
      </c>
      <c r="I3013" s="11" t="s">
        <v>70</v>
      </c>
      <c r="J3013" s="11" t="s">
        <v>71</v>
      </c>
      <c r="K3013" s="11" t="s">
        <v>72</v>
      </c>
      <c r="L3013" s="11" t="s">
        <v>131</v>
      </c>
      <c r="M3013" s="11" t="s">
        <v>16311</v>
      </c>
      <c r="N3013" s="11" t="s">
        <v>75</v>
      </c>
      <c r="O3013" s="11" t="s">
        <v>71</v>
      </c>
      <c r="P3013" s="11" t="s">
        <v>16312</v>
      </c>
      <c r="Q3013" s="13" t="s">
        <v>16313</v>
      </c>
      <c r="R3013" s="14" t="str">
        <f>HYPERLINK("https://drive.google.com/file/d/1n00gkAe-bW9_dpqR-8lU7eM3HIK-1MBj/view?usp=drivesdk","OFFER LETTER")</f>
        <v>OFFER LETTER</v>
      </c>
      <c r="S3013" s="11" t="s">
        <v>16314</v>
      </c>
    </row>
    <row r="3014" ht="22.5" customHeight="1">
      <c r="A3014" s="10">
        <v>46274.907129259256</v>
      </c>
      <c r="B3014" s="11" t="s">
        <v>16315</v>
      </c>
      <c r="C3014" s="11" t="s">
        <v>128</v>
      </c>
      <c r="D3014" s="11" t="s">
        <v>68</v>
      </c>
      <c r="E3014" s="12">
        <v>46276.0</v>
      </c>
      <c r="F3014" s="12">
        <v>46306.0</v>
      </c>
      <c r="G3014" s="11" t="s">
        <v>16316</v>
      </c>
      <c r="H3014" s="17" t="s">
        <v>16317</v>
      </c>
      <c r="I3014" s="11" t="s">
        <v>82</v>
      </c>
      <c r="J3014" s="11" t="s">
        <v>71</v>
      </c>
      <c r="K3014" s="11" t="s">
        <v>110</v>
      </c>
      <c r="L3014" s="11" t="s">
        <v>73</v>
      </c>
      <c r="M3014" s="11" t="s">
        <v>16318</v>
      </c>
      <c r="N3014" s="11" t="s">
        <v>133</v>
      </c>
      <c r="O3014" s="11" t="s">
        <v>71</v>
      </c>
      <c r="P3014" s="11" t="s">
        <v>16319</v>
      </c>
      <c r="Q3014" s="13" t="s">
        <v>16320</v>
      </c>
      <c r="R3014" s="14" t="str">
        <f>HYPERLINK("https://drive.google.com/file/d/1So5CQBizMiymp4z6iuPi7XFCpDsOsfJk/view?usp=drivesdk","OFFER LETTER")</f>
        <v>OFFER LETTER</v>
      </c>
      <c r="S3014" s="11" t="s">
        <v>16321</v>
      </c>
    </row>
    <row r="3015" ht="22.5" customHeight="1">
      <c r="A3015" s="10">
        <v>46274.90832099537</v>
      </c>
      <c r="B3015" s="11" t="s">
        <v>16322</v>
      </c>
      <c r="C3015" s="11" t="s">
        <v>128</v>
      </c>
      <c r="D3015" s="11" t="s">
        <v>68</v>
      </c>
      <c r="E3015" s="12">
        <v>46275.0</v>
      </c>
      <c r="F3015" s="12">
        <v>46305.0</v>
      </c>
      <c r="G3015" s="11" t="s">
        <v>16323</v>
      </c>
      <c r="H3015" s="11">
        <v>9.238617056E9</v>
      </c>
      <c r="I3015" s="11" t="s">
        <v>82</v>
      </c>
      <c r="J3015" s="11" t="s">
        <v>71</v>
      </c>
      <c r="K3015" s="11" t="s">
        <v>110</v>
      </c>
      <c r="L3015" s="11" t="s">
        <v>73</v>
      </c>
      <c r="M3015" s="11" t="s">
        <v>16324</v>
      </c>
      <c r="N3015" s="11" t="s">
        <v>86</v>
      </c>
      <c r="O3015" s="11" t="s">
        <v>71</v>
      </c>
      <c r="P3015" s="11" t="s">
        <v>16325</v>
      </c>
      <c r="Q3015" s="13" t="s">
        <v>16326</v>
      </c>
      <c r="R3015" s="14" t="str">
        <f>HYPERLINK("https://drive.google.com/file/d/1l1ffiUwTXh93qQKbR8Jr1PoXxfL5MZIg/view?usp=drivesdk","OFFER LETTER")</f>
        <v>OFFER LETTER</v>
      </c>
      <c r="S3015" s="11" t="s">
        <v>16327</v>
      </c>
    </row>
    <row r="3016" ht="22.5" customHeight="1">
      <c r="A3016" s="10">
        <v>46274.91484449074</v>
      </c>
      <c r="B3016" s="11" t="s">
        <v>16328</v>
      </c>
      <c r="C3016" s="11" t="s">
        <v>195</v>
      </c>
      <c r="D3016" s="11" t="s">
        <v>68</v>
      </c>
      <c r="E3016" s="12">
        <v>46183.0</v>
      </c>
      <c r="F3016" s="12">
        <v>46213.0</v>
      </c>
      <c r="G3016" s="11" t="s">
        <v>16329</v>
      </c>
      <c r="H3016" s="11">
        <v>9.840720414E9</v>
      </c>
      <c r="I3016" s="11" t="s">
        <v>70</v>
      </c>
      <c r="J3016" s="11" t="s">
        <v>83</v>
      </c>
      <c r="K3016" s="11" t="s">
        <v>72</v>
      </c>
      <c r="L3016" s="11" t="s">
        <v>131</v>
      </c>
      <c r="M3016" s="11" t="s">
        <v>16330</v>
      </c>
      <c r="N3016" s="11" t="s">
        <v>86</v>
      </c>
      <c r="O3016" s="11" t="s">
        <v>71</v>
      </c>
      <c r="P3016" s="11" t="s">
        <v>16331</v>
      </c>
      <c r="Q3016" s="13" t="s">
        <v>16332</v>
      </c>
      <c r="R3016" s="14" t="str">
        <f>HYPERLINK("https://drive.google.com/file/d/1mxwtubFriOTalWtijHjmciN-GLobCuIx/view?usp=drivesdk","OFFER LETTER")</f>
        <v>OFFER LETTER</v>
      </c>
      <c r="S3016" s="11" t="s">
        <v>16333</v>
      </c>
    </row>
    <row r="3017" ht="22.5" customHeight="1">
      <c r="A3017" s="10">
        <v>46274.915448263884</v>
      </c>
      <c r="B3017" s="11" t="s">
        <v>16334</v>
      </c>
      <c r="C3017" s="11" t="s">
        <v>298</v>
      </c>
      <c r="D3017" s="11" t="s">
        <v>238</v>
      </c>
      <c r="E3017" s="12">
        <v>46152.0</v>
      </c>
      <c r="F3017" s="12">
        <v>46245.0</v>
      </c>
      <c r="G3017" s="11" t="s">
        <v>16335</v>
      </c>
      <c r="H3017" s="11">
        <v>9.930457131E9</v>
      </c>
      <c r="I3017" s="11" t="s">
        <v>82</v>
      </c>
      <c r="J3017" s="11" t="s">
        <v>71</v>
      </c>
      <c r="K3017" s="13" t="s">
        <v>443</v>
      </c>
      <c r="L3017" s="11" t="s">
        <v>73</v>
      </c>
      <c r="M3017" s="11" t="s">
        <v>16336</v>
      </c>
      <c r="N3017" s="11" t="s">
        <v>86</v>
      </c>
      <c r="O3017" s="11" t="s">
        <v>71</v>
      </c>
      <c r="P3017" s="11" t="s">
        <v>16337</v>
      </c>
      <c r="Q3017" s="13" t="s">
        <v>16338</v>
      </c>
      <c r="R3017" s="14" t="str">
        <f>HYPERLINK("https://drive.google.com/file/d/1ccpMoX86-jaCEZcDl_Y-2V86GIoNkW5P/view?usp=drivesdk","OFFER LETTER")</f>
        <v>OFFER LETTER</v>
      </c>
      <c r="S3017" s="11" t="s">
        <v>16339</v>
      </c>
    </row>
    <row r="3018" ht="22.5" customHeight="1">
      <c r="A3018" s="10">
        <v>46274.91716143518</v>
      </c>
      <c r="B3018" s="11" t="s">
        <v>16340</v>
      </c>
      <c r="C3018" s="11" t="s">
        <v>195</v>
      </c>
      <c r="D3018" s="11" t="s">
        <v>68</v>
      </c>
      <c r="E3018" s="12">
        <v>46183.0</v>
      </c>
      <c r="F3018" s="12">
        <v>46213.0</v>
      </c>
      <c r="G3018" s="11" t="s">
        <v>16341</v>
      </c>
      <c r="H3018" s="11">
        <v>9.123198499E9</v>
      </c>
      <c r="I3018" s="11" t="s">
        <v>82</v>
      </c>
      <c r="J3018" s="11" t="s">
        <v>71</v>
      </c>
      <c r="K3018" s="11" t="s">
        <v>72</v>
      </c>
      <c r="L3018" s="11" t="s">
        <v>84</v>
      </c>
      <c r="M3018" s="11" t="s">
        <v>849</v>
      </c>
      <c r="N3018" s="11" t="s">
        <v>86</v>
      </c>
      <c r="O3018" s="11" t="s">
        <v>71</v>
      </c>
      <c r="P3018" s="11" t="s">
        <v>16342</v>
      </c>
      <c r="Q3018" s="13" t="s">
        <v>16343</v>
      </c>
      <c r="R3018" s="14" t="str">
        <f>HYPERLINK("https://drive.google.com/file/d/1dYOEjm-cFuo__u0PJCrtwLZskuu31k2o/view?usp=drivesdk","OFFER LETTER")</f>
        <v>OFFER LETTER</v>
      </c>
      <c r="S3018" s="11" t="s">
        <v>16344</v>
      </c>
    </row>
    <row r="3019" ht="22.5" customHeight="1">
      <c r="A3019" s="10">
        <v>46274.91925027777</v>
      </c>
      <c r="B3019" s="11" t="s">
        <v>7485</v>
      </c>
      <c r="C3019" s="11" t="s">
        <v>173</v>
      </c>
      <c r="D3019" s="11" t="s">
        <v>68</v>
      </c>
      <c r="E3019" s="12">
        <v>46235.0</v>
      </c>
      <c r="F3019" s="12">
        <v>46264.0</v>
      </c>
      <c r="G3019" s="11" t="s">
        <v>16345</v>
      </c>
      <c r="H3019" s="11">
        <v>9.693812464E9</v>
      </c>
      <c r="I3019" s="11" t="s">
        <v>82</v>
      </c>
      <c r="J3019" s="11" t="s">
        <v>71</v>
      </c>
      <c r="K3019" s="11" t="s">
        <v>72</v>
      </c>
      <c r="L3019" s="11" t="s">
        <v>84</v>
      </c>
      <c r="M3019" s="11" t="s">
        <v>1217</v>
      </c>
      <c r="N3019" s="11" t="s">
        <v>86</v>
      </c>
      <c r="O3019" s="11" t="s">
        <v>71</v>
      </c>
      <c r="P3019" s="11" t="s">
        <v>16346</v>
      </c>
      <c r="Q3019" s="13" t="s">
        <v>16347</v>
      </c>
      <c r="R3019" s="14" t="str">
        <f>HYPERLINK("https://drive.google.com/file/d/1jMG2uqtprVl-toOjpCOkxPocDze35Vwa/view?usp=drivesdk","OFFER LETTER")</f>
        <v>OFFER LETTER</v>
      </c>
      <c r="S3019" s="11" t="s">
        <v>16348</v>
      </c>
    </row>
    <row r="3020" ht="22.5" customHeight="1">
      <c r="A3020" s="10">
        <v>46274.92250526621</v>
      </c>
      <c r="B3020" s="11" t="s">
        <v>4362</v>
      </c>
      <c r="C3020" s="11" t="s">
        <v>1200</v>
      </c>
      <c r="D3020" s="11" t="s">
        <v>68</v>
      </c>
      <c r="E3020" s="12">
        <v>46235.0</v>
      </c>
      <c r="F3020" s="12">
        <v>46265.0</v>
      </c>
      <c r="G3020" s="11" t="s">
        <v>16349</v>
      </c>
      <c r="H3020" s="11">
        <v>8.813963212E9</v>
      </c>
      <c r="I3020" s="11" t="s">
        <v>82</v>
      </c>
      <c r="J3020" s="11" t="s">
        <v>71</v>
      </c>
      <c r="K3020" s="11" t="s">
        <v>72</v>
      </c>
      <c r="L3020" s="11" t="s">
        <v>84</v>
      </c>
      <c r="M3020" s="11" t="s">
        <v>5088</v>
      </c>
      <c r="N3020" s="11" t="s">
        <v>86</v>
      </c>
      <c r="O3020" s="11" t="s">
        <v>71</v>
      </c>
      <c r="P3020" s="11" t="s">
        <v>16350</v>
      </c>
      <c r="Q3020" s="13" t="s">
        <v>16351</v>
      </c>
      <c r="R3020" s="14" t="str">
        <f>HYPERLINK("https://drive.google.com/file/d/1yR019lfBYCAiyFej7e-nKNkbzhQMht-i/view?usp=drivesdk","OFFER LETTER")</f>
        <v>OFFER LETTER</v>
      </c>
      <c r="S3020" s="11" t="s">
        <v>16352</v>
      </c>
    </row>
    <row r="3021" ht="22.5" customHeight="1">
      <c r="A3021" s="10">
        <v>46274.92341472222</v>
      </c>
      <c r="B3021" s="11" t="s">
        <v>16353</v>
      </c>
      <c r="C3021" s="11" t="s">
        <v>195</v>
      </c>
      <c r="D3021" s="11" t="s">
        <v>68</v>
      </c>
      <c r="E3021" s="12">
        <v>46205.0</v>
      </c>
      <c r="F3021" s="12">
        <v>46236.0</v>
      </c>
      <c r="G3021" s="11" t="s">
        <v>16354</v>
      </c>
      <c r="H3021" s="17" t="s">
        <v>16355</v>
      </c>
      <c r="I3021" s="11" t="s">
        <v>70</v>
      </c>
      <c r="J3021" s="11" t="s">
        <v>83</v>
      </c>
      <c r="K3021" s="11" t="s">
        <v>72</v>
      </c>
      <c r="L3021" s="11" t="s">
        <v>73</v>
      </c>
      <c r="M3021" s="11" t="s">
        <v>15257</v>
      </c>
      <c r="N3021" s="11" t="s">
        <v>86</v>
      </c>
      <c r="O3021" s="11" t="s">
        <v>263</v>
      </c>
      <c r="P3021" s="11" t="s">
        <v>16356</v>
      </c>
      <c r="Q3021" s="13" t="s">
        <v>16357</v>
      </c>
      <c r="R3021" s="14" t="str">
        <f>HYPERLINK("https://drive.google.com/file/d/1zl9iXjfat3P7TxdqopdKvZM5PY1lHsSN/view?usp=drivesdk","OFFER LETTER")</f>
        <v>OFFER LETTER</v>
      </c>
      <c r="S3021" s="11" t="s">
        <v>16358</v>
      </c>
    </row>
    <row r="3022" ht="22.5" customHeight="1">
      <c r="A3022" s="10">
        <v>46274.92412300926</v>
      </c>
      <c r="B3022" s="11" t="s">
        <v>16359</v>
      </c>
      <c r="C3022" s="11" t="s">
        <v>195</v>
      </c>
      <c r="D3022" s="11" t="s">
        <v>68</v>
      </c>
      <c r="E3022" s="12">
        <v>46210.0</v>
      </c>
      <c r="F3022" s="12">
        <v>46240.0</v>
      </c>
      <c r="G3022" s="11" t="s">
        <v>16360</v>
      </c>
      <c r="H3022" s="11">
        <v>8.860104317E9</v>
      </c>
      <c r="I3022" s="11" t="s">
        <v>82</v>
      </c>
      <c r="J3022" s="11" t="s">
        <v>71</v>
      </c>
      <c r="K3022" s="11" t="s">
        <v>72</v>
      </c>
      <c r="L3022" s="11" t="s">
        <v>73</v>
      </c>
      <c r="M3022" s="11" t="s">
        <v>5124</v>
      </c>
      <c r="N3022" s="11" t="s">
        <v>75</v>
      </c>
      <c r="O3022" s="11" t="s">
        <v>71</v>
      </c>
      <c r="P3022" s="11" t="s">
        <v>16361</v>
      </c>
      <c r="Q3022" s="13" t="s">
        <v>16362</v>
      </c>
      <c r="R3022" s="14" t="str">
        <f>HYPERLINK("https://drive.google.com/file/d/1-59TdJcgQ6ZM5nyoRt7DgpD2dw25sZPT/view?usp=drivesdk","OFFER LETTER")</f>
        <v>OFFER LETTER</v>
      </c>
      <c r="S3022" s="11" t="s">
        <v>16363</v>
      </c>
    </row>
    <row r="3023" ht="22.5" customHeight="1">
      <c r="A3023" s="10">
        <v>46274.93216650463</v>
      </c>
      <c r="B3023" s="11" t="s">
        <v>16364</v>
      </c>
      <c r="C3023" s="11" t="s">
        <v>1200</v>
      </c>
      <c r="D3023" s="11" t="s">
        <v>68</v>
      </c>
      <c r="E3023" s="12">
        <v>46274.0</v>
      </c>
      <c r="F3023" s="12">
        <v>46304.0</v>
      </c>
      <c r="G3023" s="11" t="s">
        <v>16365</v>
      </c>
      <c r="H3023" s="11">
        <v>8.144136798E9</v>
      </c>
      <c r="I3023" s="11" t="s">
        <v>82</v>
      </c>
      <c r="J3023" s="11" t="s">
        <v>71</v>
      </c>
      <c r="K3023" s="11" t="s">
        <v>72</v>
      </c>
      <c r="L3023" s="11" t="s">
        <v>84</v>
      </c>
      <c r="M3023" s="11" t="s">
        <v>16366</v>
      </c>
      <c r="N3023" s="11" t="s">
        <v>86</v>
      </c>
      <c r="O3023" s="11" t="s">
        <v>71</v>
      </c>
      <c r="P3023" s="11" t="s">
        <v>16367</v>
      </c>
      <c r="Q3023" s="13" t="s">
        <v>16368</v>
      </c>
      <c r="R3023" s="14" t="str">
        <f>HYPERLINK("https://drive.google.com/file/d/19bVLbISTcjVTdSnd-nidFtMY6pzy8Kzz/view?usp=drivesdk","OFFER LETTER")</f>
        <v>OFFER LETTER</v>
      </c>
      <c r="S3023" s="11" t="s">
        <v>16369</v>
      </c>
    </row>
    <row r="3024" ht="22.5" customHeight="1">
      <c r="A3024" s="10">
        <v>46274.9363037963</v>
      </c>
      <c r="B3024" s="11" t="s">
        <v>16370</v>
      </c>
      <c r="C3024" s="11" t="s">
        <v>173</v>
      </c>
      <c r="D3024" s="11" t="s">
        <v>68</v>
      </c>
      <c r="E3024" s="12">
        <v>46274.0</v>
      </c>
      <c r="F3024" s="12">
        <v>46303.0</v>
      </c>
      <c r="G3024" s="11" t="s">
        <v>16371</v>
      </c>
      <c r="H3024" s="11">
        <v>8.639419467E9</v>
      </c>
      <c r="I3024" s="11" t="s">
        <v>82</v>
      </c>
      <c r="J3024" s="11" t="s">
        <v>71</v>
      </c>
      <c r="K3024" s="11" t="s">
        <v>72</v>
      </c>
      <c r="L3024" s="11" t="s">
        <v>84</v>
      </c>
      <c r="M3024" s="11" t="s">
        <v>15822</v>
      </c>
      <c r="N3024" s="11" t="s">
        <v>155</v>
      </c>
      <c r="O3024" s="11" t="s">
        <v>71</v>
      </c>
      <c r="P3024" s="11" t="s">
        <v>16372</v>
      </c>
      <c r="Q3024" s="13" t="s">
        <v>16373</v>
      </c>
      <c r="R3024" s="14" t="str">
        <f>HYPERLINK("https://drive.google.com/file/d/1D5tOUz7G4BGNemTtBqNuT_XldQzHWhWh/view?usp=drivesdk","OFFER LETTER")</f>
        <v>OFFER LETTER</v>
      </c>
      <c r="S3024" s="11" t="s">
        <v>16374</v>
      </c>
    </row>
    <row r="3025" ht="22.5" customHeight="1">
      <c r="A3025" s="10">
        <v>46274.94229730324</v>
      </c>
      <c r="B3025" s="11" t="s">
        <v>16375</v>
      </c>
      <c r="C3025" s="11" t="s">
        <v>195</v>
      </c>
      <c r="D3025" s="11" t="s">
        <v>108</v>
      </c>
      <c r="E3025" s="12">
        <v>46176.0</v>
      </c>
      <c r="F3025" s="12">
        <v>46237.0</v>
      </c>
      <c r="G3025" s="11" t="s">
        <v>16376</v>
      </c>
      <c r="H3025" s="11">
        <v>8.179979753E9</v>
      </c>
      <c r="I3025" s="11" t="s">
        <v>82</v>
      </c>
      <c r="J3025" s="11" t="s">
        <v>130</v>
      </c>
      <c r="K3025" s="11" t="s">
        <v>72</v>
      </c>
      <c r="L3025" s="11" t="s">
        <v>73</v>
      </c>
      <c r="M3025" s="11" t="s">
        <v>16377</v>
      </c>
      <c r="N3025" s="11" t="s">
        <v>226</v>
      </c>
      <c r="O3025" s="11" t="s">
        <v>71</v>
      </c>
      <c r="P3025" s="11" t="s">
        <v>16378</v>
      </c>
      <c r="Q3025" s="13" t="s">
        <v>16379</v>
      </c>
      <c r="R3025" s="14" t="str">
        <f>HYPERLINK("https://drive.google.com/file/d/1KTEl-Da_d-xXyzi5U_rI-cnnmVm5NPzs/view?usp=drivesdk","OFFER LETTER")</f>
        <v>OFFER LETTER</v>
      </c>
      <c r="S3025" s="11" t="s">
        <v>16380</v>
      </c>
    </row>
    <row r="3026" ht="22.5" customHeight="1">
      <c r="A3026" s="10">
        <v>46274.94236418982</v>
      </c>
      <c r="B3026" s="11" t="s">
        <v>16364</v>
      </c>
      <c r="C3026" s="11" t="s">
        <v>1200</v>
      </c>
      <c r="D3026" s="11" t="s">
        <v>68</v>
      </c>
      <c r="E3026" s="12">
        <v>46243.0</v>
      </c>
      <c r="F3026" s="12">
        <v>46274.0</v>
      </c>
      <c r="G3026" s="11" t="s">
        <v>16365</v>
      </c>
      <c r="H3026" s="11">
        <v>8.144136798E9</v>
      </c>
      <c r="I3026" s="11" t="s">
        <v>82</v>
      </c>
      <c r="J3026" s="11" t="s">
        <v>71</v>
      </c>
      <c r="K3026" s="11" t="s">
        <v>72</v>
      </c>
      <c r="L3026" s="11" t="s">
        <v>84</v>
      </c>
      <c r="M3026" s="11" t="s">
        <v>16381</v>
      </c>
      <c r="N3026" s="11" t="s">
        <v>86</v>
      </c>
      <c r="O3026" s="11" t="s">
        <v>71</v>
      </c>
      <c r="P3026" s="11" t="s">
        <v>16382</v>
      </c>
      <c r="Q3026" s="13" t="s">
        <v>16383</v>
      </c>
      <c r="R3026" s="14" t="str">
        <f>HYPERLINK("https://drive.google.com/file/d/1dTnbZ0nwem584jcdRXU4GEF4d4I39V-_/view?usp=drivesdk","OFFER LETTER")</f>
        <v>OFFER LETTER</v>
      </c>
      <c r="S3026" s="11" t="s">
        <v>16384</v>
      </c>
    </row>
    <row r="3027" ht="22.5" customHeight="1">
      <c r="A3027" s="10">
        <v>46274.94281871528</v>
      </c>
      <c r="B3027" s="11" t="s">
        <v>16385</v>
      </c>
      <c r="C3027" s="11" t="s">
        <v>195</v>
      </c>
      <c r="D3027" s="11" t="s">
        <v>108</v>
      </c>
      <c r="E3027" s="12">
        <v>46274.0</v>
      </c>
      <c r="F3027" s="12">
        <v>46335.0</v>
      </c>
      <c r="G3027" s="11" t="s">
        <v>16386</v>
      </c>
      <c r="H3027" s="11">
        <v>9.707465042E9</v>
      </c>
      <c r="I3027" s="11" t="s">
        <v>82</v>
      </c>
      <c r="J3027" s="11" t="s">
        <v>71</v>
      </c>
      <c r="K3027" s="13" t="s">
        <v>443</v>
      </c>
      <c r="L3027" s="11" t="s">
        <v>73</v>
      </c>
      <c r="M3027" s="11" t="s">
        <v>16387</v>
      </c>
      <c r="N3027" s="11" t="s">
        <v>86</v>
      </c>
      <c r="O3027" s="11" t="s">
        <v>71</v>
      </c>
      <c r="P3027" s="11" t="s">
        <v>16388</v>
      </c>
      <c r="Q3027" s="13" t="s">
        <v>16389</v>
      </c>
      <c r="R3027" s="14" t="str">
        <f>HYPERLINK("https://drive.google.com/file/d/1dtb0owB0MA0XXkUuf73r_mpEHSy4tx6I/view?usp=drivesdk","OFFER LETTER")</f>
        <v>OFFER LETTER</v>
      </c>
      <c r="S3027" s="11" t="s">
        <v>16390</v>
      </c>
    </row>
    <row r="3028" ht="22.5" customHeight="1">
      <c r="A3028" s="10">
        <v>46274.94733761574</v>
      </c>
      <c r="B3028" s="11" t="s">
        <v>16391</v>
      </c>
      <c r="C3028" s="11" t="s">
        <v>1200</v>
      </c>
      <c r="D3028" s="11" t="s">
        <v>68</v>
      </c>
      <c r="E3028" s="12">
        <v>46235.0</v>
      </c>
      <c r="F3028" s="12">
        <v>46265.0</v>
      </c>
      <c r="G3028" s="11" t="s">
        <v>16392</v>
      </c>
      <c r="H3028" s="11" t="s">
        <v>16393</v>
      </c>
      <c r="I3028" s="11" t="s">
        <v>82</v>
      </c>
      <c r="J3028" s="11" t="s">
        <v>71</v>
      </c>
      <c r="K3028" s="11" t="s">
        <v>72</v>
      </c>
      <c r="L3028" s="11" t="s">
        <v>84</v>
      </c>
      <c r="M3028" s="11" t="s">
        <v>5088</v>
      </c>
      <c r="N3028" s="11" t="s">
        <v>86</v>
      </c>
      <c r="O3028" s="11" t="s">
        <v>71</v>
      </c>
      <c r="P3028" s="11" t="s">
        <v>16394</v>
      </c>
      <c r="Q3028" s="13" t="s">
        <v>16395</v>
      </c>
      <c r="R3028" s="14" t="str">
        <f>HYPERLINK("https://drive.google.com/file/d/1KuUG8iktHtEe4K08bOt0EYg06wk9AvOe/view?usp=drivesdk","OFFER LETTER")</f>
        <v>OFFER LETTER</v>
      </c>
      <c r="S3028" s="11" t="s">
        <v>16396</v>
      </c>
    </row>
    <row r="3029" ht="22.5" customHeight="1">
      <c r="A3029" s="10">
        <v>46274.953286585645</v>
      </c>
      <c r="B3029" s="11" t="s">
        <v>16397</v>
      </c>
      <c r="C3029" s="11" t="s">
        <v>165</v>
      </c>
      <c r="D3029" s="11" t="s">
        <v>108</v>
      </c>
      <c r="E3029" s="12">
        <v>46181.0</v>
      </c>
      <c r="F3029" s="12">
        <v>46242.0</v>
      </c>
      <c r="G3029" s="11" t="s">
        <v>16398</v>
      </c>
      <c r="H3029" s="11">
        <v>7.209076986E9</v>
      </c>
      <c r="I3029" s="11" t="s">
        <v>82</v>
      </c>
      <c r="J3029" s="11" t="s">
        <v>71</v>
      </c>
      <c r="K3029" s="11" t="s">
        <v>167</v>
      </c>
      <c r="L3029" s="11" t="s">
        <v>73</v>
      </c>
      <c r="M3029" s="11" t="s">
        <v>1211</v>
      </c>
      <c r="N3029" s="11" t="s">
        <v>86</v>
      </c>
      <c r="O3029" s="11" t="s">
        <v>71</v>
      </c>
      <c r="P3029" s="11" t="s">
        <v>16399</v>
      </c>
      <c r="Q3029" s="13" t="s">
        <v>16400</v>
      </c>
      <c r="R3029" s="14" t="str">
        <f>HYPERLINK("https://drive.google.com/file/d/1tC9bRheGHU7Z6LlUfyquS5nUU8UQo6TQ/view?usp=drivesdk","OFFER LETTER")</f>
        <v>OFFER LETTER</v>
      </c>
      <c r="S3029" s="11" t="s">
        <v>16401</v>
      </c>
    </row>
    <row r="3030" ht="22.5" customHeight="1">
      <c r="A3030" s="10">
        <v>46274.9542497338</v>
      </c>
      <c r="B3030" s="11" t="s">
        <v>16402</v>
      </c>
      <c r="C3030" s="11" t="s">
        <v>195</v>
      </c>
      <c r="D3030" s="11" t="s">
        <v>68</v>
      </c>
      <c r="E3030" s="12">
        <v>46274.0</v>
      </c>
      <c r="F3030" s="12">
        <v>46304.0</v>
      </c>
      <c r="G3030" s="11" t="s">
        <v>16403</v>
      </c>
      <c r="H3030" s="11">
        <v>6.381732875E9</v>
      </c>
      <c r="I3030" s="11" t="s">
        <v>70</v>
      </c>
      <c r="J3030" s="11" t="s">
        <v>71</v>
      </c>
      <c r="K3030" s="11" t="s">
        <v>72</v>
      </c>
      <c r="L3030" s="11" t="s">
        <v>84</v>
      </c>
      <c r="M3030" s="11" t="s">
        <v>16404</v>
      </c>
      <c r="N3030" s="11" t="s">
        <v>75</v>
      </c>
      <c r="O3030" s="11" t="s">
        <v>71</v>
      </c>
      <c r="P3030" s="11" t="s">
        <v>16405</v>
      </c>
      <c r="Q3030" s="13" t="s">
        <v>16406</v>
      </c>
      <c r="R3030" s="14" t="str">
        <f>HYPERLINK("https://drive.google.com/file/d/1f0J46FqgI5ga4GMpgXxG_tFtRBrmWCPm/view?usp=drivesdk","OFFER LETTER")</f>
        <v>OFFER LETTER</v>
      </c>
      <c r="S3030" s="11" t="s">
        <v>16407</v>
      </c>
    </row>
    <row r="3031" ht="22.5" customHeight="1">
      <c r="A3031" s="10">
        <v>46274.95642696759</v>
      </c>
      <c r="B3031" s="11" t="s">
        <v>14177</v>
      </c>
      <c r="C3031" s="11" t="s">
        <v>107</v>
      </c>
      <c r="D3031" s="11" t="s">
        <v>68</v>
      </c>
      <c r="E3031" s="12">
        <v>46240.0</v>
      </c>
      <c r="F3031" s="12">
        <v>46271.0</v>
      </c>
      <c r="G3031" s="11" t="s">
        <v>14178</v>
      </c>
      <c r="H3031" s="11">
        <v>9.902677291E9</v>
      </c>
      <c r="I3031" s="11" t="s">
        <v>70</v>
      </c>
      <c r="J3031" s="11" t="s">
        <v>71</v>
      </c>
      <c r="K3031" s="11" t="s">
        <v>72</v>
      </c>
      <c r="L3031" s="11" t="s">
        <v>73</v>
      </c>
      <c r="M3031" s="11" t="s">
        <v>16408</v>
      </c>
      <c r="N3031" s="11" t="s">
        <v>75</v>
      </c>
      <c r="O3031" s="11" t="s">
        <v>71</v>
      </c>
      <c r="P3031" s="11" t="s">
        <v>16409</v>
      </c>
      <c r="Q3031" s="13" t="s">
        <v>16410</v>
      </c>
      <c r="R3031" s="14" t="str">
        <f>HYPERLINK("https://drive.google.com/file/d/12tFDzlDS4D5bwj61V-e9t_TMeke3e2Ra/view?usp=drivesdk","OFFER LETTER")</f>
        <v>OFFER LETTER</v>
      </c>
      <c r="S3031" s="11" t="s">
        <v>16411</v>
      </c>
    </row>
    <row r="3032" ht="22.5" customHeight="1">
      <c r="A3032" s="10">
        <v>46274.95880627315</v>
      </c>
      <c r="B3032" s="11" t="s">
        <v>16412</v>
      </c>
      <c r="C3032" s="11" t="s">
        <v>173</v>
      </c>
      <c r="D3032" s="11" t="s">
        <v>68</v>
      </c>
      <c r="E3032" s="12">
        <v>46235.0</v>
      </c>
      <c r="F3032" s="12">
        <v>46264.0</v>
      </c>
      <c r="G3032" s="11" t="s">
        <v>16413</v>
      </c>
      <c r="H3032" s="11">
        <v>8.797634851E9</v>
      </c>
      <c r="I3032" s="11" t="s">
        <v>82</v>
      </c>
      <c r="J3032" s="11" t="s">
        <v>71</v>
      </c>
      <c r="K3032" s="11" t="s">
        <v>72</v>
      </c>
      <c r="L3032" s="11" t="s">
        <v>84</v>
      </c>
      <c r="M3032" s="11" t="s">
        <v>2655</v>
      </c>
      <c r="N3032" s="11" t="s">
        <v>12144</v>
      </c>
      <c r="O3032" s="11" t="s">
        <v>71</v>
      </c>
      <c r="P3032" s="11" t="s">
        <v>16414</v>
      </c>
      <c r="Q3032" s="13" t="s">
        <v>16415</v>
      </c>
      <c r="R3032" s="14" t="str">
        <f>HYPERLINK("https://drive.google.com/file/d/14fOg9Ke68fCdH1u2TXWNqIC4exBb_SMb/view?usp=drivesdk","OFFER LETTER")</f>
        <v>OFFER LETTER</v>
      </c>
      <c r="S3032" s="11" t="s">
        <v>16416</v>
      </c>
    </row>
    <row r="3033" ht="22.5" customHeight="1">
      <c r="A3033" s="10">
        <v>46274.95884126157</v>
      </c>
      <c r="B3033" s="11" t="s">
        <v>8979</v>
      </c>
      <c r="C3033" s="11" t="s">
        <v>195</v>
      </c>
      <c r="D3033" s="11" t="s">
        <v>68</v>
      </c>
      <c r="E3033" s="12">
        <v>46178.0</v>
      </c>
      <c r="F3033" s="12">
        <v>46331.0</v>
      </c>
      <c r="G3033" s="11" t="s">
        <v>16417</v>
      </c>
      <c r="H3033" s="11" t="s">
        <v>16418</v>
      </c>
      <c r="I3033" s="11" t="s">
        <v>82</v>
      </c>
      <c r="J3033" s="11" t="s">
        <v>71</v>
      </c>
      <c r="K3033" s="11" t="s">
        <v>72</v>
      </c>
      <c r="L3033" s="11" t="s">
        <v>84</v>
      </c>
      <c r="M3033" s="11" t="s">
        <v>560</v>
      </c>
      <c r="N3033" s="11" t="s">
        <v>155</v>
      </c>
      <c r="O3033" s="11" t="s">
        <v>71</v>
      </c>
      <c r="P3033" s="11" t="s">
        <v>16419</v>
      </c>
      <c r="Q3033" s="13" t="s">
        <v>16420</v>
      </c>
      <c r="R3033" s="14" t="str">
        <f>HYPERLINK("https://drive.google.com/file/d/11nTf7IQbr78bTbUMUT9ntXp5FasNtQjF/view?usp=drivesdk","OFFER LETTER")</f>
        <v>OFFER LETTER</v>
      </c>
      <c r="S3033" s="11" t="s">
        <v>16421</v>
      </c>
    </row>
    <row r="3034" ht="22.5" customHeight="1">
      <c r="A3034" s="10">
        <v>46274.959886481476</v>
      </c>
      <c r="B3034" s="11" t="s">
        <v>16422</v>
      </c>
      <c r="C3034" s="11" t="s">
        <v>195</v>
      </c>
      <c r="D3034" s="11" t="s">
        <v>68</v>
      </c>
      <c r="E3034" s="12">
        <v>46231.0</v>
      </c>
      <c r="F3034" s="12">
        <v>46262.0</v>
      </c>
      <c r="G3034" s="11" t="s">
        <v>16423</v>
      </c>
      <c r="H3034" s="11">
        <v>7.048929556E9</v>
      </c>
      <c r="I3034" s="11" t="s">
        <v>82</v>
      </c>
      <c r="J3034" s="11" t="s">
        <v>71</v>
      </c>
      <c r="K3034" s="11" t="s">
        <v>72</v>
      </c>
      <c r="L3034" s="11" t="s">
        <v>84</v>
      </c>
      <c r="M3034" s="11" t="s">
        <v>1217</v>
      </c>
      <c r="N3034" s="11" t="s">
        <v>86</v>
      </c>
      <c r="O3034" s="11" t="s">
        <v>71</v>
      </c>
      <c r="P3034" s="11" t="s">
        <v>16424</v>
      </c>
      <c r="Q3034" s="13" t="s">
        <v>16425</v>
      </c>
      <c r="R3034" s="14" t="str">
        <f>HYPERLINK("https://drive.google.com/file/d/175sk20BZQOqmYkxOTGs3IDo6NYs0vVIN/view?usp=drivesdk","OFFER LETTER")</f>
        <v>OFFER LETTER</v>
      </c>
      <c r="S3034" s="11" t="s">
        <v>16426</v>
      </c>
    </row>
    <row r="3035" ht="22.5" customHeight="1">
      <c r="A3035" s="10">
        <v>46274.960481111106</v>
      </c>
      <c r="B3035" s="11" t="s">
        <v>16427</v>
      </c>
      <c r="C3035" s="11" t="s">
        <v>107</v>
      </c>
      <c r="D3035" s="11" t="s">
        <v>238</v>
      </c>
      <c r="E3035" s="12">
        <v>46274.0</v>
      </c>
      <c r="F3035" s="12">
        <v>46365.0</v>
      </c>
      <c r="G3035" s="11" t="s">
        <v>16428</v>
      </c>
      <c r="H3035" s="17" t="s">
        <v>16429</v>
      </c>
      <c r="I3035" s="11" t="s">
        <v>82</v>
      </c>
      <c r="J3035" s="11" t="s">
        <v>71</v>
      </c>
      <c r="K3035" s="11" t="s">
        <v>72</v>
      </c>
      <c r="L3035" s="11" t="s">
        <v>73</v>
      </c>
      <c r="M3035" s="11" t="s">
        <v>16430</v>
      </c>
      <c r="N3035" s="11" t="s">
        <v>241</v>
      </c>
      <c r="O3035" s="11" t="s">
        <v>71</v>
      </c>
      <c r="P3035" s="11" t="s">
        <v>16431</v>
      </c>
      <c r="Q3035" s="13" t="s">
        <v>16432</v>
      </c>
      <c r="R3035" s="14" t="str">
        <f>HYPERLINK("https://drive.google.com/file/d/1y_T-sgDOMBqM8u7ViuluzuLyi-bGd1R8/view?usp=drivesdk","OFFER LETTER")</f>
        <v>OFFER LETTER</v>
      </c>
      <c r="S3035" s="11" t="s">
        <v>16433</v>
      </c>
    </row>
    <row r="3036" ht="22.5" customHeight="1">
      <c r="A3036" s="10">
        <v>46274.96456046296</v>
      </c>
      <c r="B3036" s="11" t="s">
        <v>16434</v>
      </c>
      <c r="C3036" s="11" t="s">
        <v>298</v>
      </c>
      <c r="D3036" s="11" t="s">
        <v>68</v>
      </c>
      <c r="E3036" s="12">
        <v>46274.0</v>
      </c>
      <c r="F3036" s="12">
        <v>46304.0</v>
      </c>
      <c r="G3036" s="11" t="s">
        <v>16435</v>
      </c>
      <c r="H3036" s="11">
        <v>9.912853364E9</v>
      </c>
      <c r="I3036" s="11" t="s">
        <v>82</v>
      </c>
      <c r="J3036" s="11" t="s">
        <v>71</v>
      </c>
      <c r="K3036" s="11" t="s">
        <v>72</v>
      </c>
      <c r="L3036" s="11" t="s">
        <v>84</v>
      </c>
      <c r="M3036" s="11" t="s">
        <v>16436</v>
      </c>
      <c r="N3036" s="11" t="s">
        <v>8637</v>
      </c>
      <c r="O3036" s="11" t="s">
        <v>71</v>
      </c>
      <c r="P3036" s="11" t="s">
        <v>16437</v>
      </c>
      <c r="Q3036" s="13" t="s">
        <v>16438</v>
      </c>
      <c r="R3036" s="14" t="str">
        <f>HYPERLINK("https://drive.google.com/file/d/13mziWPXWTzhTMcHH6KBxBMki8nGbnwmq/view?usp=drivesdk","OFFER LETTER")</f>
        <v>OFFER LETTER</v>
      </c>
      <c r="S3036" s="11" t="s">
        <v>16439</v>
      </c>
    </row>
    <row r="3037" ht="22.5" customHeight="1">
      <c r="A3037" s="10">
        <v>46274.965413680555</v>
      </c>
      <c r="B3037" s="11" t="s">
        <v>16440</v>
      </c>
      <c r="C3037" s="11" t="s">
        <v>173</v>
      </c>
      <c r="D3037" s="11" t="s">
        <v>68</v>
      </c>
      <c r="E3037" s="12">
        <v>46235.0</v>
      </c>
      <c r="F3037" s="12">
        <v>46264.0</v>
      </c>
      <c r="G3037" s="11" t="s">
        <v>16441</v>
      </c>
      <c r="H3037" s="11">
        <v>7.903915471E9</v>
      </c>
      <c r="I3037" s="11" t="s">
        <v>82</v>
      </c>
      <c r="J3037" s="11" t="s">
        <v>71</v>
      </c>
      <c r="K3037" s="11" t="s">
        <v>72</v>
      </c>
      <c r="L3037" s="11" t="s">
        <v>84</v>
      </c>
      <c r="M3037" s="11" t="s">
        <v>2535</v>
      </c>
      <c r="N3037" s="11" t="s">
        <v>86</v>
      </c>
      <c r="O3037" s="11" t="s">
        <v>71</v>
      </c>
      <c r="P3037" s="11" t="s">
        <v>16442</v>
      </c>
      <c r="Q3037" s="13" t="s">
        <v>16443</v>
      </c>
      <c r="R3037" s="14" t="str">
        <f>HYPERLINK("https://drive.google.com/file/d/1sQ_keXKVcein_yh_iGLgp7FKLu0fg1lD/view?usp=drivesdk","OFFER LETTER")</f>
        <v>OFFER LETTER</v>
      </c>
      <c r="S3037" s="11" t="s">
        <v>16444</v>
      </c>
    </row>
    <row r="3038" ht="22.5" customHeight="1">
      <c r="A3038" s="10">
        <v>46274.965609872685</v>
      </c>
      <c r="B3038" s="11" t="s">
        <v>16445</v>
      </c>
      <c r="C3038" s="11" t="s">
        <v>195</v>
      </c>
      <c r="D3038" s="11" t="s">
        <v>68</v>
      </c>
      <c r="E3038" s="12">
        <v>46193.0</v>
      </c>
      <c r="F3038" s="12">
        <v>46225.0</v>
      </c>
      <c r="G3038" s="11" t="s">
        <v>16446</v>
      </c>
      <c r="H3038" s="11">
        <v>9.119723188E9</v>
      </c>
      <c r="I3038" s="11" t="s">
        <v>82</v>
      </c>
      <c r="J3038" s="11" t="s">
        <v>71</v>
      </c>
      <c r="K3038" s="11" t="s">
        <v>72</v>
      </c>
      <c r="L3038" s="11" t="s">
        <v>84</v>
      </c>
      <c r="M3038" s="11" t="s">
        <v>1217</v>
      </c>
      <c r="N3038" s="11" t="s">
        <v>86</v>
      </c>
      <c r="O3038" s="11" t="s">
        <v>71</v>
      </c>
      <c r="P3038" s="11" t="s">
        <v>16447</v>
      </c>
      <c r="Q3038" s="13" t="s">
        <v>16448</v>
      </c>
      <c r="R3038" s="14" t="str">
        <f>HYPERLINK("https://drive.google.com/file/d/1AYnTaW2xJgilDXGn20TDq1eNzq6AArLM/view?usp=drivesdk","OFFER LETTER")</f>
        <v>OFFER LETTER</v>
      </c>
      <c r="S3038" s="11" t="s">
        <v>16449</v>
      </c>
    </row>
    <row r="3039" ht="22.5" customHeight="1">
      <c r="A3039" s="10">
        <v>46274.96807934028</v>
      </c>
      <c r="B3039" s="11" t="s">
        <v>16450</v>
      </c>
      <c r="C3039" s="11" t="s">
        <v>298</v>
      </c>
      <c r="D3039" s="11" t="s">
        <v>68</v>
      </c>
      <c r="E3039" s="12">
        <v>46274.0</v>
      </c>
      <c r="F3039" s="12">
        <v>46300.0</v>
      </c>
      <c r="G3039" s="11" t="s">
        <v>16435</v>
      </c>
      <c r="H3039" s="11">
        <v>9.912853364E9</v>
      </c>
      <c r="I3039" s="11" t="s">
        <v>82</v>
      </c>
      <c r="J3039" s="11" t="s">
        <v>71</v>
      </c>
      <c r="K3039" s="11" t="s">
        <v>72</v>
      </c>
      <c r="L3039" s="11" t="s">
        <v>84</v>
      </c>
      <c r="M3039" s="11" t="s">
        <v>16436</v>
      </c>
      <c r="N3039" s="11" t="s">
        <v>226</v>
      </c>
      <c r="O3039" s="11" t="s">
        <v>71</v>
      </c>
      <c r="P3039" s="11" t="s">
        <v>16451</v>
      </c>
      <c r="Q3039" s="13" t="s">
        <v>16452</v>
      </c>
      <c r="R3039" s="14" t="str">
        <f>HYPERLINK("https://drive.google.com/file/d/1yNCSw5XkxAQnEPIjOsY-SDYlKIhMxyrG/view?usp=drivesdk","OFFER LETTER")</f>
        <v>OFFER LETTER</v>
      </c>
      <c r="S3039" s="11" t="s">
        <v>16453</v>
      </c>
    </row>
    <row r="3040" ht="22.5" customHeight="1">
      <c r="A3040" s="10">
        <v>46274.97415729167</v>
      </c>
      <c r="B3040" s="11" t="s">
        <v>16454</v>
      </c>
      <c r="C3040" s="11" t="s">
        <v>259</v>
      </c>
      <c r="D3040" s="11" t="s">
        <v>68</v>
      </c>
      <c r="E3040" s="12">
        <v>46206.0</v>
      </c>
      <c r="F3040" s="12">
        <v>46238.0</v>
      </c>
      <c r="G3040" s="11" t="s">
        <v>16156</v>
      </c>
      <c r="H3040" s="11">
        <v>9.952450542E9</v>
      </c>
      <c r="I3040" s="11" t="s">
        <v>82</v>
      </c>
      <c r="J3040" s="11" t="s">
        <v>71</v>
      </c>
      <c r="K3040" s="11" t="s">
        <v>72</v>
      </c>
      <c r="L3040" s="11" t="s">
        <v>73</v>
      </c>
      <c r="M3040" s="11" t="s">
        <v>16157</v>
      </c>
      <c r="N3040" s="11" t="s">
        <v>86</v>
      </c>
      <c r="O3040" s="11" t="s">
        <v>71</v>
      </c>
      <c r="P3040" s="11" t="s">
        <v>16455</v>
      </c>
      <c r="Q3040" s="13" t="s">
        <v>16456</v>
      </c>
      <c r="R3040" s="14" t="str">
        <f>HYPERLINK("https://drive.google.com/file/d/1XK9SJ_TDoSnjTgL9iJLTWPiuViOQoDGo/view?usp=drivesdk","OFFER LETTER")</f>
        <v>OFFER LETTER</v>
      </c>
      <c r="S3040" s="11" t="s">
        <v>16457</v>
      </c>
    </row>
    <row r="3041" ht="22.5" customHeight="1">
      <c r="A3041" s="10">
        <v>46274.99181659722</v>
      </c>
      <c r="B3041" s="11" t="s">
        <v>16458</v>
      </c>
      <c r="C3041" s="11" t="s">
        <v>173</v>
      </c>
      <c r="D3041" s="11" t="s">
        <v>68</v>
      </c>
      <c r="E3041" s="12">
        <v>46235.0</v>
      </c>
      <c r="F3041" s="12">
        <v>46265.0</v>
      </c>
      <c r="G3041" s="11" t="s">
        <v>16459</v>
      </c>
      <c r="H3041" s="11">
        <v>9.128763961E9</v>
      </c>
      <c r="I3041" s="11" t="s">
        <v>82</v>
      </c>
      <c r="J3041" s="11" t="s">
        <v>71</v>
      </c>
      <c r="K3041" s="11" t="s">
        <v>72</v>
      </c>
      <c r="L3041" s="11" t="s">
        <v>84</v>
      </c>
      <c r="M3041" s="11" t="s">
        <v>16460</v>
      </c>
      <c r="N3041" s="11" t="s">
        <v>86</v>
      </c>
      <c r="O3041" s="11" t="s">
        <v>71</v>
      </c>
      <c r="P3041" s="11" t="s">
        <v>16461</v>
      </c>
      <c r="Q3041" s="13" t="s">
        <v>16462</v>
      </c>
      <c r="R3041" s="14" t="str">
        <f>HYPERLINK("https://drive.google.com/file/d/1A2vps1yHcnHkZynV74u5Nq-6i16Sj5YY/view?usp=drivesdk","OFFER LETTER")</f>
        <v>OFFER LETTER</v>
      </c>
      <c r="S3041" s="11" t="s">
        <v>16463</v>
      </c>
    </row>
    <row r="3042" ht="22.5" customHeight="1">
      <c r="A3042" s="10">
        <v>46275.00204885416</v>
      </c>
      <c r="B3042" s="11" t="s">
        <v>16464</v>
      </c>
      <c r="C3042" s="11" t="s">
        <v>195</v>
      </c>
      <c r="D3042" s="11" t="s">
        <v>68</v>
      </c>
      <c r="E3042" s="12">
        <v>46274.0</v>
      </c>
      <c r="F3042" s="12">
        <v>46304.0</v>
      </c>
      <c r="G3042" s="11" t="s">
        <v>16465</v>
      </c>
      <c r="H3042" s="11">
        <v>8.979872428E9</v>
      </c>
      <c r="I3042" s="11" t="s">
        <v>70</v>
      </c>
      <c r="J3042" s="11" t="s">
        <v>71</v>
      </c>
      <c r="K3042" s="11" t="s">
        <v>72</v>
      </c>
      <c r="L3042" s="11" t="s">
        <v>84</v>
      </c>
      <c r="M3042" s="11" t="s">
        <v>16466</v>
      </c>
      <c r="N3042" s="11" t="s">
        <v>86</v>
      </c>
      <c r="O3042" s="11" t="s">
        <v>71</v>
      </c>
      <c r="P3042" s="11" t="s">
        <v>16467</v>
      </c>
      <c r="Q3042" s="13" t="s">
        <v>16468</v>
      </c>
      <c r="R3042" s="14" t="str">
        <f>HYPERLINK("https://drive.google.com/file/d/1g6qUERE7pbRHXI9I7Z5d11HM5vNFmcT_/view?usp=drivesdk","OFFER LETTER")</f>
        <v>OFFER LETTER</v>
      </c>
      <c r="S3042" s="11" t="s">
        <v>16469</v>
      </c>
    </row>
    <row r="3043" ht="22.5" customHeight="1">
      <c r="A3043" s="10">
        <v>46275.00966390046</v>
      </c>
      <c r="B3043" s="11" t="s">
        <v>16470</v>
      </c>
      <c r="C3043" s="11" t="s">
        <v>173</v>
      </c>
      <c r="D3043" s="11" t="s">
        <v>68</v>
      </c>
      <c r="E3043" s="12">
        <v>46217.0</v>
      </c>
      <c r="F3043" s="12">
        <v>46248.0</v>
      </c>
      <c r="G3043" s="11" t="s">
        <v>16471</v>
      </c>
      <c r="H3043" s="11">
        <v>7.307493632E9</v>
      </c>
      <c r="I3043" s="11" t="s">
        <v>82</v>
      </c>
      <c r="J3043" s="11" t="s">
        <v>71</v>
      </c>
      <c r="K3043" s="11" t="s">
        <v>72</v>
      </c>
      <c r="L3043" s="11" t="s">
        <v>84</v>
      </c>
      <c r="M3043" s="11" t="s">
        <v>8202</v>
      </c>
      <c r="N3043" s="11" t="s">
        <v>86</v>
      </c>
      <c r="O3043" s="11" t="s">
        <v>71</v>
      </c>
      <c r="P3043" s="11" t="s">
        <v>16472</v>
      </c>
      <c r="Q3043" s="13" t="s">
        <v>16473</v>
      </c>
      <c r="R3043" s="14" t="str">
        <f>HYPERLINK("https://drive.google.com/file/d/1XLgUmRg7WNIHMiaV4QqtAOMNH3rvbk-9/view?usp=drivesdk","OFFER LETTER")</f>
        <v>OFFER LETTER</v>
      </c>
      <c r="S3043" s="11" t="s">
        <v>16474</v>
      </c>
    </row>
    <row r="3044" ht="22.5" customHeight="1">
      <c r="A3044" s="10">
        <v>46275.01156611111</v>
      </c>
      <c r="B3044" s="11" t="s">
        <v>2806</v>
      </c>
      <c r="C3044" s="11" t="s">
        <v>128</v>
      </c>
      <c r="D3044" s="11" t="s">
        <v>68</v>
      </c>
      <c r="E3044" s="12">
        <v>46204.0</v>
      </c>
      <c r="F3044" s="12">
        <v>46235.0</v>
      </c>
      <c r="G3044" s="11" t="s">
        <v>16475</v>
      </c>
      <c r="H3044" s="11">
        <v>7.63291343E9</v>
      </c>
      <c r="I3044" s="11" t="s">
        <v>82</v>
      </c>
      <c r="J3044" s="11" t="s">
        <v>71</v>
      </c>
      <c r="K3044" s="11" t="s">
        <v>72</v>
      </c>
      <c r="L3044" s="11" t="s">
        <v>84</v>
      </c>
      <c r="M3044" s="11" t="s">
        <v>886</v>
      </c>
      <c r="N3044" s="11" t="s">
        <v>75</v>
      </c>
      <c r="O3044" s="11" t="s">
        <v>71</v>
      </c>
      <c r="P3044" s="11" t="s">
        <v>16476</v>
      </c>
      <c r="Q3044" s="13" t="s">
        <v>16477</v>
      </c>
      <c r="R3044" s="14" t="str">
        <f>HYPERLINK("https://drive.google.com/file/d/18NJljk08on9Q0dplJUq7hcxgFDUgXJ6b/view?usp=drivesdk","OFFER LETTER")</f>
        <v>OFFER LETTER</v>
      </c>
      <c r="S3044" s="11" t="s">
        <v>16478</v>
      </c>
    </row>
    <row r="3045" ht="22.5" customHeight="1">
      <c r="A3045" s="10">
        <v>46275.042142199076</v>
      </c>
      <c r="B3045" s="11" t="s">
        <v>16479</v>
      </c>
      <c r="C3045" s="11" t="s">
        <v>107</v>
      </c>
      <c r="D3045" s="11" t="s">
        <v>108</v>
      </c>
      <c r="E3045" s="12">
        <v>46178.0</v>
      </c>
      <c r="F3045" s="12">
        <v>46239.0</v>
      </c>
      <c r="G3045" s="11" t="s">
        <v>16480</v>
      </c>
      <c r="H3045" s="11">
        <v>7.398721892E9</v>
      </c>
      <c r="I3045" s="11" t="s">
        <v>82</v>
      </c>
      <c r="J3045" s="11" t="s">
        <v>71</v>
      </c>
      <c r="K3045" s="11" t="s">
        <v>167</v>
      </c>
      <c r="L3045" s="11" t="s">
        <v>73</v>
      </c>
      <c r="M3045" s="11" t="s">
        <v>6646</v>
      </c>
      <c r="N3045" s="11" t="s">
        <v>75</v>
      </c>
      <c r="O3045" s="11" t="s">
        <v>71</v>
      </c>
      <c r="P3045" s="11" t="s">
        <v>16481</v>
      </c>
      <c r="Q3045" s="13" t="s">
        <v>16482</v>
      </c>
      <c r="R3045" s="14" t="str">
        <f>HYPERLINK("https://drive.google.com/file/d/19elyRfP8ZQ3Xu5j3dd48OgR-dXaQA8pK/view?usp=drivesdk","OFFER LETTER")</f>
        <v>OFFER LETTER</v>
      </c>
      <c r="S3045" s="11" t="s">
        <v>16483</v>
      </c>
    </row>
    <row r="3046" ht="22.5" customHeight="1">
      <c r="A3046" s="10">
        <v>46275.062159560184</v>
      </c>
      <c r="B3046" s="11" t="s">
        <v>16484</v>
      </c>
      <c r="C3046" s="11" t="s">
        <v>237</v>
      </c>
      <c r="D3046" s="11" t="s">
        <v>238</v>
      </c>
      <c r="E3046" s="12">
        <v>46279.0</v>
      </c>
      <c r="F3046" s="12">
        <v>46370.0</v>
      </c>
      <c r="G3046" s="11" t="s">
        <v>16485</v>
      </c>
      <c r="H3046" s="11">
        <v>9.87337343E9</v>
      </c>
      <c r="I3046" s="11" t="s">
        <v>82</v>
      </c>
      <c r="J3046" s="11" t="s">
        <v>71</v>
      </c>
      <c r="K3046" s="11" t="s">
        <v>72</v>
      </c>
      <c r="L3046" s="11" t="s">
        <v>131</v>
      </c>
      <c r="M3046" s="11" t="s">
        <v>16486</v>
      </c>
      <c r="N3046" s="11" t="s">
        <v>226</v>
      </c>
      <c r="O3046" s="11" t="s">
        <v>263</v>
      </c>
      <c r="P3046" s="11" t="s">
        <v>16487</v>
      </c>
      <c r="Q3046" s="13" t="s">
        <v>16488</v>
      </c>
      <c r="R3046" s="14" t="str">
        <f>HYPERLINK("https://drive.google.com/file/d/1q7n9ZaiY-Kq9JbfePVGFrbcTtrxyxOCp/view?usp=drivesdk","OFFER LETTER")</f>
        <v>OFFER LETTER</v>
      </c>
      <c r="S3046" s="11" t="s">
        <v>16489</v>
      </c>
    </row>
    <row r="3047" ht="22.5" customHeight="1">
      <c r="A3047" s="10">
        <v>46275.06504342593</v>
      </c>
      <c r="B3047" s="11" t="s">
        <v>16490</v>
      </c>
      <c r="C3047" s="11" t="s">
        <v>237</v>
      </c>
      <c r="D3047" s="11" t="s">
        <v>68</v>
      </c>
      <c r="E3047" s="12">
        <v>46182.0</v>
      </c>
      <c r="F3047" s="12">
        <v>46213.0</v>
      </c>
      <c r="G3047" s="11" t="s">
        <v>16491</v>
      </c>
      <c r="H3047" s="11">
        <v>8.368885776E9</v>
      </c>
      <c r="I3047" s="11" t="s">
        <v>82</v>
      </c>
      <c r="J3047" s="11" t="s">
        <v>71</v>
      </c>
      <c r="K3047" s="11" t="s">
        <v>72</v>
      </c>
      <c r="L3047" s="11" t="s">
        <v>84</v>
      </c>
      <c r="M3047" s="11" t="s">
        <v>6934</v>
      </c>
      <c r="N3047" s="11" t="s">
        <v>8937</v>
      </c>
      <c r="O3047" s="11" t="s">
        <v>71</v>
      </c>
      <c r="P3047" s="11" t="s">
        <v>16492</v>
      </c>
      <c r="Q3047" s="13" t="s">
        <v>16493</v>
      </c>
      <c r="R3047" s="14" t="str">
        <f>HYPERLINK("https://drive.google.com/file/d/1yj9cvYyPQhBYt-zsKU_M4OwFnfL9BVwC/view?usp=drivesdk","OFFER LETTER")</f>
        <v>OFFER LETTER</v>
      </c>
      <c r="S3047" s="11" t="s">
        <v>16494</v>
      </c>
    </row>
    <row r="3048" ht="22.5" customHeight="1">
      <c r="A3048" s="10">
        <v>46275.06828641203</v>
      </c>
      <c r="B3048" s="11" t="s">
        <v>16495</v>
      </c>
      <c r="C3048" s="11" t="s">
        <v>128</v>
      </c>
      <c r="D3048" s="11" t="s">
        <v>68</v>
      </c>
      <c r="E3048" s="12">
        <v>46183.0</v>
      </c>
      <c r="F3048" s="12">
        <v>46213.0</v>
      </c>
      <c r="G3048" s="11" t="s">
        <v>16496</v>
      </c>
      <c r="H3048" s="11">
        <v>8.340141587E9</v>
      </c>
      <c r="I3048" s="11" t="s">
        <v>82</v>
      </c>
      <c r="J3048" s="11" t="s">
        <v>71</v>
      </c>
      <c r="K3048" s="11" t="s">
        <v>72</v>
      </c>
      <c r="L3048" s="11" t="s">
        <v>357</v>
      </c>
      <c r="M3048" s="11" t="s">
        <v>8316</v>
      </c>
      <c r="N3048" s="11" t="s">
        <v>86</v>
      </c>
      <c r="O3048" s="11" t="s">
        <v>71</v>
      </c>
      <c r="P3048" s="11" t="s">
        <v>16497</v>
      </c>
      <c r="Q3048" s="13" t="s">
        <v>16498</v>
      </c>
      <c r="R3048" s="14" t="str">
        <f>HYPERLINK("https://drive.google.com/file/d/1SGFGq7RGj9Y3j9dxsSFZv16vsE3GPDHu/view?usp=drivesdk","OFFER LETTER")</f>
        <v>OFFER LETTER</v>
      </c>
      <c r="S3048" s="11" t="s">
        <v>16499</v>
      </c>
    </row>
    <row r="3049" ht="22.5" customHeight="1">
      <c r="A3049" s="10">
        <v>46275.06922871528</v>
      </c>
      <c r="B3049" s="11" t="s">
        <v>16484</v>
      </c>
      <c r="C3049" s="11" t="s">
        <v>237</v>
      </c>
      <c r="D3049" s="11" t="s">
        <v>68</v>
      </c>
      <c r="E3049" s="12">
        <v>46266.0</v>
      </c>
      <c r="F3049" s="12">
        <v>46296.0</v>
      </c>
      <c r="G3049" s="11" t="s">
        <v>16485</v>
      </c>
      <c r="H3049" s="11">
        <v>9.87337342E9</v>
      </c>
      <c r="I3049" s="11" t="s">
        <v>82</v>
      </c>
      <c r="J3049" s="11" t="s">
        <v>130</v>
      </c>
      <c r="K3049" s="11" t="s">
        <v>72</v>
      </c>
      <c r="L3049" s="11" t="s">
        <v>131</v>
      </c>
      <c r="M3049" s="11" t="s">
        <v>16486</v>
      </c>
      <c r="N3049" s="11" t="s">
        <v>226</v>
      </c>
      <c r="O3049" s="11" t="s">
        <v>71</v>
      </c>
      <c r="P3049" s="11" t="s">
        <v>16500</v>
      </c>
      <c r="Q3049" s="13" t="s">
        <v>16501</v>
      </c>
      <c r="R3049" s="14" t="str">
        <f>HYPERLINK("https://drive.google.com/file/d/1fXLbvVegekAwPTxQCNO9PnBU4bwG8qfy/view?usp=drivesdk","OFFER LETTER")</f>
        <v>OFFER LETTER</v>
      </c>
      <c r="S3049" s="11" t="s">
        <v>16502</v>
      </c>
    </row>
    <row r="3050" ht="22.5" customHeight="1">
      <c r="A3050" s="10">
        <v>46275.07279818287</v>
      </c>
      <c r="B3050" s="11" t="s">
        <v>16503</v>
      </c>
      <c r="C3050" s="11" t="s">
        <v>2591</v>
      </c>
      <c r="D3050" s="11" t="s">
        <v>68</v>
      </c>
      <c r="E3050" s="12">
        <v>46238.0</v>
      </c>
      <c r="F3050" s="12">
        <v>46269.0</v>
      </c>
      <c r="G3050" s="11" t="s">
        <v>16504</v>
      </c>
      <c r="H3050" s="11">
        <v>9.470613689E9</v>
      </c>
      <c r="I3050" s="11" t="s">
        <v>82</v>
      </c>
      <c r="J3050" s="11" t="s">
        <v>71</v>
      </c>
      <c r="K3050" s="11" t="s">
        <v>72</v>
      </c>
      <c r="L3050" s="11" t="s">
        <v>84</v>
      </c>
      <c r="M3050" s="11" t="s">
        <v>16366</v>
      </c>
      <c r="N3050" s="11" t="s">
        <v>86</v>
      </c>
      <c r="O3050" s="11" t="s">
        <v>71</v>
      </c>
      <c r="P3050" s="11" t="s">
        <v>16505</v>
      </c>
      <c r="Q3050" s="13" t="s">
        <v>16506</v>
      </c>
      <c r="R3050" s="14" t="str">
        <f>HYPERLINK("https://drive.google.com/file/d/19ZLM3fVAKCED5PtB4KGa6tTmn8RwwajR/view?usp=drivesdk","OFFER LETTER")</f>
        <v>OFFER LETTER</v>
      </c>
      <c r="S3050" s="11" t="s">
        <v>16507</v>
      </c>
    </row>
    <row r="3051" ht="22.5" customHeight="1">
      <c r="A3051" s="10">
        <v>46275.097024780094</v>
      </c>
      <c r="B3051" s="11" t="s">
        <v>16503</v>
      </c>
      <c r="C3051" s="11" t="s">
        <v>128</v>
      </c>
      <c r="D3051" s="11" t="s">
        <v>68</v>
      </c>
      <c r="E3051" s="12">
        <v>46238.0</v>
      </c>
      <c r="F3051" s="12">
        <v>46269.0</v>
      </c>
      <c r="G3051" s="11" t="s">
        <v>16504</v>
      </c>
      <c r="H3051" s="11">
        <v>9.470613689E9</v>
      </c>
      <c r="I3051" s="11" t="s">
        <v>82</v>
      </c>
      <c r="J3051" s="11" t="s">
        <v>71</v>
      </c>
      <c r="K3051" s="11" t="s">
        <v>72</v>
      </c>
      <c r="L3051" s="11" t="s">
        <v>84</v>
      </c>
      <c r="M3051" s="11" t="s">
        <v>16366</v>
      </c>
      <c r="N3051" s="11" t="s">
        <v>86</v>
      </c>
      <c r="O3051" s="11" t="s">
        <v>71</v>
      </c>
      <c r="P3051" s="11" t="s">
        <v>16508</v>
      </c>
      <c r="Q3051" s="13" t="s">
        <v>16509</v>
      </c>
      <c r="R3051" s="14" t="str">
        <f>HYPERLINK("https://drive.google.com/file/d/1UB56oUzs4VclLAOR5EgLfmZ12XW_ulvL/view?usp=drivesdk","OFFER LETTER")</f>
        <v>OFFER LETTER</v>
      </c>
      <c r="S3051" s="11" t="s">
        <v>16510</v>
      </c>
    </row>
    <row r="3052" ht="22.5" customHeight="1">
      <c r="A3052" s="10">
        <v>46275.13507371528</v>
      </c>
      <c r="B3052" s="11" t="s">
        <v>16511</v>
      </c>
      <c r="C3052" s="11" t="s">
        <v>195</v>
      </c>
      <c r="D3052" s="11" t="s">
        <v>108</v>
      </c>
      <c r="E3052" s="12">
        <v>46082.0</v>
      </c>
      <c r="F3052" s="12">
        <v>46142.0</v>
      </c>
      <c r="G3052" s="11" t="s">
        <v>16512</v>
      </c>
      <c r="H3052" s="11">
        <v>8.595829062E9</v>
      </c>
      <c r="I3052" s="11" t="s">
        <v>82</v>
      </c>
      <c r="J3052" s="11" t="s">
        <v>71</v>
      </c>
      <c r="K3052" s="11" t="s">
        <v>110</v>
      </c>
      <c r="L3052" s="11" t="s">
        <v>73</v>
      </c>
      <c r="M3052" s="11" t="s">
        <v>16513</v>
      </c>
      <c r="N3052" s="11" t="s">
        <v>86</v>
      </c>
      <c r="O3052" s="11" t="s">
        <v>71</v>
      </c>
      <c r="P3052" s="11" t="s">
        <v>16514</v>
      </c>
      <c r="Q3052" s="13" t="s">
        <v>16515</v>
      </c>
      <c r="R3052" s="14" t="str">
        <f>HYPERLINK("https://drive.google.com/file/d/1YankMZgewt-y45h2OXWTmTScIQ5bOh4b/view?usp=drivesdk","OFFER LETTER")</f>
        <v>OFFER LETTER</v>
      </c>
      <c r="S3052" s="11" t="s">
        <v>16516</v>
      </c>
    </row>
    <row r="3053" ht="22.5" customHeight="1">
      <c r="A3053" s="10">
        <v>46275.29376502315</v>
      </c>
      <c r="B3053" s="11" t="s">
        <v>16517</v>
      </c>
      <c r="C3053" s="11" t="s">
        <v>91</v>
      </c>
      <c r="D3053" s="11" t="s">
        <v>68</v>
      </c>
      <c r="E3053" s="12">
        <v>46260.0</v>
      </c>
      <c r="F3053" s="12">
        <v>46291.0</v>
      </c>
      <c r="G3053" s="11" t="s">
        <v>16518</v>
      </c>
      <c r="H3053" s="11">
        <v>8.929091943E9</v>
      </c>
      <c r="I3053" s="11" t="s">
        <v>82</v>
      </c>
      <c r="J3053" s="11" t="s">
        <v>71</v>
      </c>
      <c r="K3053" s="11" t="s">
        <v>72</v>
      </c>
      <c r="L3053" s="11" t="s">
        <v>84</v>
      </c>
      <c r="M3053" s="11" t="s">
        <v>1217</v>
      </c>
      <c r="N3053" s="11" t="s">
        <v>133</v>
      </c>
      <c r="O3053" s="11" t="s">
        <v>71</v>
      </c>
      <c r="P3053" s="11" t="s">
        <v>16519</v>
      </c>
      <c r="Q3053" s="13" t="s">
        <v>16520</v>
      </c>
      <c r="R3053" s="14" t="str">
        <f>HYPERLINK("https://drive.google.com/file/d/13_71H2INNhNcw6I9w7tDLxcjLZ6BNdA1/view?usp=drivesdk","OFFER LETTER")</f>
        <v>OFFER LETTER</v>
      </c>
      <c r="S3053" s="11" t="s">
        <v>16521</v>
      </c>
    </row>
    <row r="3054" ht="22.5" customHeight="1">
      <c r="A3054" s="10">
        <v>46275.341227453704</v>
      </c>
      <c r="B3054" s="11" t="s">
        <v>16522</v>
      </c>
      <c r="C3054" s="11" t="s">
        <v>173</v>
      </c>
      <c r="D3054" s="11" t="s">
        <v>108</v>
      </c>
      <c r="E3054" s="12">
        <v>46146.0</v>
      </c>
      <c r="F3054" s="12">
        <v>46207.0</v>
      </c>
      <c r="G3054" s="11" t="s">
        <v>16523</v>
      </c>
      <c r="H3054" s="11">
        <v>9.460179159E9</v>
      </c>
      <c r="I3054" s="11" t="s">
        <v>82</v>
      </c>
      <c r="J3054" s="11" t="s">
        <v>83</v>
      </c>
      <c r="K3054" s="11" t="s">
        <v>110</v>
      </c>
      <c r="L3054" s="11" t="s">
        <v>73</v>
      </c>
      <c r="M3054" s="11" t="s">
        <v>16524</v>
      </c>
      <c r="N3054" s="11" t="s">
        <v>86</v>
      </c>
      <c r="O3054" s="11" t="s">
        <v>71</v>
      </c>
      <c r="P3054" s="11" t="s">
        <v>16525</v>
      </c>
      <c r="Q3054" s="13" t="s">
        <v>16526</v>
      </c>
      <c r="R3054" s="14" t="str">
        <f>HYPERLINK("https://drive.google.com/file/d/1OwzwkS5hCx0GeDSHmvGMz-z-Wj6GKY7I/view?usp=drivesdk","OFFER LETTER")</f>
        <v>OFFER LETTER</v>
      </c>
      <c r="S3054" s="11" t="s">
        <v>16527</v>
      </c>
    </row>
    <row r="3055" ht="22.5" customHeight="1">
      <c r="A3055" s="10">
        <v>46275.356959780096</v>
      </c>
      <c r="B3055" s="11" t="s">
        <v>1301</v>
      </c>
      <c r="C3055" s="11" t="s">
        <v>91</v>
      </c>
      <c r="D3055" s="11" t="s">
        <v>238</v>
      </c>
      <c r="E3055" s="12">
        <v>46275.0</v>
      </c>
      <c r="F3055" s="12">
        <v>46336.0</v>
      </c>
      <c r="G3055" s="11" t="s">
        <v>16528</v>
      </c>
      <c r="H3055" s="11">
        <v>7.631308865E9</v>
      </c>
      <c r="I3055" s="11" t="s">
        <v>82</v>
      </c>
      <c r="J3055" s="11" t="s">
        <v>71</v>
      </c>
      <c r="K3055" s="11" t="s">
        <v>72</v>
      </c>
      <c r="L3055" s="11" t="s">
        <v>131</v>
      </c>
      <c r="M3055" s="11" t="s">
        <v>16529</v>
      </c>
      <c r="N3055" s="11" t="s">
        <v>86</v>
      </c>
      <c r="O3055" s="11" t="s">
        <v>71</v>
      </c>
      <c r="P3055" s="11" t="s">
        <v>16530</v>
      </c>
      <c r="Q3055" s="13" t="s">
        <v>16531</v>
      </c>
      <c r="R3055" s="14" t="str">
        <f>HYPERLINK("https://drive.google.com/file/d/1zIXwG67516ePRrd0ly6WzETCCBENfXuM/view?usp=drivesdk","OFFER LETTER")</f>
        <v>OFFER LETTER</v>
      </c>
      <c r="S3055" s="11" t="s">
        <v>16532</v>
      </c>
    </row>
    <row r="3056" ht="22.5" customHeight="1">
      <c r="A3056" s="10">
        <v>46275.36069046296</v>
      </c>
      <c r="B3056" s="11" t="s">
        <v>16533</v>
      </c>
      <c r="C3056" s="11" t="s">
        <v>128</v>
      </c>
      <c r="D3056" s="11" t="s">
        <v>68</v>
      </c>
      <c r="E3056" s="12">
        <v>46197.0</v>
      </c>
      <c r="F3056" s="12">
        <v>46228.0</v>
      </c>
      <c r="G3056" s="11" t="s">
        <v>16534</v>
      </c>
      <c r="H3056" s="11">
        <v>9.003622344E9</v>
      </c>
      <c r="I3056" s="11" t="s">
        <v>82</v>
      </c>
      <c r="J3056" s="11" t="s">
        <v>71</v>
      </c>
      <c r="K3056" s="11" t="s">
        <v>72</v>
      </c>
      <c r="L3056" s="11" t="s">
        <v>73</v>
      </c>
      <c r="M3056" s="11" t="s">
        <v>16535</v>
      </c>
      <c r="N3056" s="11" t="s">
        <v>86</v>
      </c>
      <c r="O3056" s="11" t="s">
        <v>71</v>
      </c>
      <c r="P3056" s="11" t="s">
        <v>16536</v>
      </c>
      <c r="Q3056" s="13" t="s">
        <v>16537</v>
      </c>
      <c r="R3056" s="14" t="str">
        <f>HYPERLINK("https://drive.google.com/file/d/1Ebu0AD7HGsVfl70j6cig5UbDEbS4Gf9O/view?usp=drivesdk","OFFER LETTER")</f>
        <v>OFFER LETTER</v>
      </c>
      <c r="S3056" s="11" t="s">
        <v>16538</v>
      </c>
    </row>
    <row r="3057" ht="22.5" customHeight="1">
      <c r="A3057" s="10">
        <v>46275.36330185185</v>
      </c>
      <c r="B3057" s="11" t="s">
        <v>16539</v>
      </c>
      <c r="C3057" s="11" t="s">
        <v>128</v>
      </c>
      <c r="D3057" s="11" t="s">
        <v>68</v>
      </c>
      <c r="E3057" s="12">
        <v>46197.0</v>
      </c>
      <c r="F3057" s="12">
        <v>46228.0</v>
      </c>
      <c r="G3057" s="11" t="s">
        <v>16534</v>
      </c>
      <c r="H3057" s="11">
        <v>9.003622344E9</v>
      </c>
      <c r="I3057" s="11" t="s">
        <v>82</v>
      </c>
      <c r="J3057" s="11" t="s">
        <v>71</v>
      </c>
      <c r="K3057" s="11" t="s">
        <v>72</v>
      </c>
      <c r="L3057" s="11" t="s">
        <v>73</v>
      </c>
      <c r="M3057" s="11" t="s">
        <v>16540</v>
      </c>
      <c r="N3057" s="11" t="s">
        <v>86</v>
      </c>
      <c r="O3057" s="11" t="s">
        <v>71</v>
      </c>
      <c r="P3057" s="11" t="s">
        <v>16541</v>
      </c>
      <c r="Q3057" s="13" t="s">
        <v>16542</v>
      </c>
      <c r="R3057" s="14" t="str">
        <f>HYPERLINK("https://drive.google.com/file/d/1WnWVc2lkgFQkz4ohkilhgI81m8Xx2ZXY/view?usp=drivesdk","OFFER LETTER")</f>
        <v>OFFER LETTER</v>
      </c>
      <c r="S3057" s="11" t="s">
        <v>16543</v>
      </c>
    </row>
    <row r="3058" ht="22.5" customHeight="1">
      <c r="A3058" s="10">
        <v>46275.36734592593</v>
      </c>
      <c r="B3058" s="11" t="s">
        <v>16544</v>
      </c>
      <c r="C3058" s="11" t="s">
        <v>128</v>
      </c>
      <c r="D3058" s="11" t="s">
        <v>108</v>
      </c>
      <c r="E3058" s="12">
        <v>46275.0</v>
      </c>
      <c r="F3058" s="12">
        <v>46336.0</v>
      </c>
      <c r="G3058" s="11" t="s">
        <v>16545</v>
      </c>
      <c r="H3058" s="11">
        <v>8.303177572E9</v>
      </c>
      <c r="I3058" s="11" t="s">
        <v>70</v>
      </c>
      <c r="J3058" s="11" t="s">
        <v>71</v>
      </c>
      <c r="K3058" s="11" t="s">
        <v>110</v>
      </c>
      <c r="L3058" s="11" t="s">
        <v>73</v>
      </c>
      <c r="M3058" s="11" t="s">
        <v>16546</v>
      </c>
      <c r="N3058" s="11" t="s">
        <v>75</v>
      </c>
      <c r="O3058" s="11" t="s">
        <v>71</v>
      </c>
      <c r="P3058" s="11" t="s">
        <v>16547</v>
      </c>
      <c r="Q3058" s="13" t="s">
        <v>16548</v>
      </c>
      <c r="R3058" s="14" t="str">
        <f>HYPERLINK("https://drive.google.com/file/d/1MGwboA2XHGW1ZXYxY-pPd_vs2Don0Gve/view?usp=drivesdk","OFFER LETTER")</f>
        <v>OFFER LETTER</v>
      </c>
      <c r="S3058" s="11" t="s">
        <v>16549</v>
      </c>
    </row>
    <row r="3059" ht="22.5" customHeight="1">
      <c r="A3059" s="10">
        <v>46275.371968692125</v>
      </c>
      <c r="B3059" s="11" t="s">
        <v>16550</v>
      </c>
      <c r="C3059" s="11" t="s">
        <v>128</v>
      </c>
      <c r="D3059" s="11" t="s">
        <v>68</v>
      </c>
      <c r="E3059" s="12">
        <v>46174.0</v>
      </c>
      <c r="F3059" s="12">
        <v>46203.0</v>
      </c>
      <c r="G3059" s="11" t="s">
        <v>16551</v>
      </c>
      <c r="H3059" s="11">
        <v>8.98631926E9</v>
      </c>
      <c r="I3059" s="11" t="s">
        <v>82</v>
      </c>
      <c r="J3059" s="11" t="s">
        <v>83</v>
      </c>
      <c r="K3059" s="11" t="s">
        <v>72</v>
      </c>
      <c r="L3059" s="11" t="s">
        <v>84</v>
      </c>
      <c r="M3059" s="11" t="s">
        <v>15505</v>
      </c>
      <c r="N3059" s="11" t="s">
        <v>198</v>
      </c>
      <c r="O3059" s="11" t="s">
        <v>71</v>
      </c>
      <c r="P3059" s="11" t="s">
        <v>16552</v>
      </c>
      <c r="Q3059" s="13" t="s">
        <v>16553</v>
      </c>
      <c r="R3059" s="14" t="str">
        <f>HYPERLINK("https://drive.google.com/file/d/1DA2Z8wCshwFACrkJrWxL6ljJLtjPAma1/view?usp=drivesdk","OFFER LETTER")</f>
        <v>OFFER LETTER</v>
      </c>
      <c r="S3059" s="11" t="s">
        <v>16554</v>
      </c>
    </row>
    <row r="3060" ht="22.5" customHeight="1">
      <c r="A3060" s="10">
        <v>46275.3796390625</v>
      </c>
      <c r="B3060" s="11" t="s">
        <v>16353</v>
      </c>
      <c r="C3060" s="11" t="s">
        <v>195</v>
      </c>
      <c r="D3060" s="11" t="s">
        <v>68</v>
      </c>
      <c r="E3060" s="12">
        <v>46206.0</v>
      </c>
      <c r="F3060" s="12">
        <v>46237.0</v>
      </c>
      <c r="G3060" s="11" t="s">
        <v>16354</v>
      </c>
      <c r="H3060" s="17" t="s">
        <v>16355</v>
      </c>
      <c r="I3060" s="11" t="s">
        <v>70</v>
      </c>
      <c r="J3060" s="11" t="s">
        <v>71</v>
      </c>
      <c r="K3060" s="11" t="s">
        <v>72</v>
      </c>
      <c r="L3060" s="11" t="s">
        <v>73</v>
      </c>
      <c r="M3060" s="11" t="s">
        <v>14925</v>
      </c>
      <c r="N3060" s="11" t="s">
        <v>241</v>
      </c>
      <c r="O3060" s="11" t="s">
        <v>71</v>
      </c>
      <c r="P3060" s="11" t="s">
        <v>16555</v>
      </c>
      <c r="Q3060" s="13" t="s">
        <v>16556</v>
      </c>
      <c r="R3060" s="14" t="str">
        <f>HYPERLINK("https://drive.google.com/file/d/1IFtyuACGW_kegUiMVZMQ3fT_m5DZKmdQ/view?usp=drivesdk","OFFER LETTER")</f>
        <v>OFFER LETTER</v>
      </c>
      <c r="S3060" s="11" t="s">
        <v>16557</v>
      </c>
    </row>
    <row r="3061" ht="22.5" customHeight="1">
      <c r="A3061" s="10">
        <v>46275.39631965278</v>
      </c>
      <c r="B3061" s="11" t="s">
        <v>14148</v>
      </c>
      <c r="C3061" s="11" t="s">
        <v>195</v>
      </c>
      <c r="D3061" s="11" t="s">
        <v>238</v>
      </c>
      <c r="E3061" s="12">
        <v>46204.0</v>
      </c>
      <c r="F3061" s="12">
        <v>46295.0</v>
      </c>
      <c r="G3061" s="11" t="s">
        <v>14149</v>
      </c>
      <c r="H3061" s="11">
        <v>7.093231658E9</v>
      </c>
      <c r="I3061" s="11" t="s">
        <v>82</v>
      </c>
      <c r="J3061" s="11" t="s">
        <v>71</v>
      </c>
      <c r="K3061" s="11" t="s">
        <v>72</v>
      </c>
      <c r="L3061" s="11" t="s">
        <v>247</v>
      </c>
      <c r="M3061" s="11" t="s">
        <v>14150</v>
      </c>
      <c r="N3061" s="11" t="s">
        <v>241</v>
      </c>
      <c r="O3061" s="11" t="s">
        <v>71</v>
      </c>
      <c r="P3061" s="11" t="s">
        <v>16558</v>
      </c>
      <c r="Q3061" s="13" t="s">
        <v>16559</v>
      </c>
      <c r="R3061" s="14" t="str">
        <f>HYPERLINK("https://drive.google.com/file/d/1-tSgEgmNx0_cz1qKZH2kwmIIXkfaA0cT/view?usp=drivesdk","OFFER LETTER")</f>
        <v>OFFER LETTER</v>
      </c>
      <c r="S3061" s="11" t="s">
        <v>16560</v>
      </c>
    </row>
    <row r="3062" ht="22.5" customHeight="1">
      <c r="A3062" s="10">
        <v>46275.40220163194</v>
      </c>
      <c r="B3062" s="11" t="s">
        <v>8255</v>
      </c>
      <c r="C3062" s="11" t="s">
        <v>354</v>
      </c>
      <c r="D3062" s="11" t="s">
        <v>68</v>
      </c>
      <c r="E3062" s="12">
        <v>46243.0</v>
      </c>
      <c r="F3062" s="12">
        <v>46275.0</v>
      </c>
      <c r="G3062" s="11" t="s">
        <v>16561</v>
      </c>
      <c r="H3062" s="11">
        <v>6.299935294E9</v>
      </c>
      <c r="I3062" s="11" t="s">
        <v>82</v>
      </c>
      <c r="J3062" s="11" t="s">
        <v>83</v>
      </c>
      <c r="K3062" s="11" t="s">
        <v>72</v>
      </c>
      <c r="L3062" s="11" t="s">
        <v>84</v>
      </c>
      <c r="M3062" s="11" t="s">
        <v>16562</v>
      </c>
      <c r="N3062" s="11" t="s">
        <v>86</v>
      </c>
      <c r="O3062" s="11" t="s">
        <v>71</v>
      </c>
      <c r="P3062" s="11" t="s">
        <v>16563</v>
      </c>
      <c r="Q3062" s="13" t="s">
        <v>16564</v>
      </c>
      <c r="R3062" s="14" t="str">
        <f>HYPERLINK("https://drive.google.com/file/d/1FW_c-2FBN6YU736ZuPpSAJ12WZI3Do_f/view?usp=drivesdk","OFFER LETTER")</f>
        <v>OFFER LETTER</v>
      </c>
      <c r="S3062" s="11" t="s">
        <v>16565</v>
      </c>
    </row>
    <row r="3063" ht="22.5" customHeight="1">
      <c r="A3063" s="10">
        <v>46275.41197075231</v>
      </c>
      <c r="B3063" s="11" t="s">
        <v>16566</v>
      </c>
      <c r="C3063" s="11" t="s">
        <v>195</v>
      </c>
      <c r="D3063" s="11" t="s">
        <v>68</v>
      </c>
      <c r="E3063" s="12">
        <v>46244.0</v>
      </c>
      <c r="F3063" s="12">
        <v>46275.0</v>
      </c>
      <c r="G3063" s="11" t="s">
        <v>16567</v>
      </c>
      <c r="H3063" s="11">
        <v>8.650119646E9</v>
      </c>
      <c r="I3063" s="11" t="s">
        <v>82</v>
      </c>
      <c r="J3063" s="11" t="s">
        <v>71</v>
      </c>
      <c r="K3063" s="11" t="s">
        <v>72</v>
      </c>
      <c r="L3063" s="11" t="s">
        <v>84</v>
      </c>
      <c r="M3063" s="11" t="s">
        <v>197</v>
      </c>
      <c r="N3063" s="11" t="s">
        <v>198</v>
      </c>
      <c r="O3063" s="11" t="s">
        <v>71</v>
      </c>
      <c r="P3063" s="11" t="s">
        <v>16568</v>
      </c>
      <c r="Q3063" s="13" t="s">
        <v>16569</v>
      </c>
      <c r="R3063" s="14" t="str">
        <f>HYPERLINK("https://drive.google.com/file/d/1klJlft4m5-VoOxlUecPA6tnHZ_1oZS39/view?usp=drivesdk","OFFER LETTER")</f>
        <v>OFFER LETTER</v>
      </c>
      <c r="S3063" s="11" t="s">
        <v>16570</v>
      </c>
    </row>
    <row r="3064" ht="22.5" customHeight="1">
      <c r="A3064" s="10">
        <v>46275.41623891203</v>
      </c>
      <c r="B3064" s="11" t="s">
        <v>16571</v>
      </c>
      <c r="C3064" s="11" t="s">
        <v>173</v>
      </c>
      <c r="D3064" s="11" t="s">
        <v>68</v>
      </c>
      <c r="E3064" s="12">
        <v>46177.0</v>
      </c>
      <c r="F3064" s="12">
        <v>46207.0</v>
      </c>
      <c r="G3064" s="11" t="s">
        <v>16572</v>
      </c>
      <c r="H3064" s="11">
        <v>7.845911806E9</v>
      </c>
      <c r="I3064" s="11" t="s">
        <v>82</v>
      </c>
      <c r="J3064" s="11" t="s">
        <v>71</v>
      </c>
      <c r="K3064" s="11" t="s">
        <v>72</v>
      </c>
      <c r="L3064" s="11" t="s">
        <v>84</v>
      </c>
      <c r="M3064" s="11" t="s">
        <v>10490</v>
      </c>
      <c r="N3064" s="11" t="s">
        <v>75</v>
      </c>
      <c r="O3064" s="11" t="s">
        <v>71</v>
      </c>
      <c r="P3064" s="11" t="s">
        <v>16573</v>
      </c>
      <c r="Q3064" s="13" t="s">
        <v>16574</v>
      </c>
      <c r="R3064" s="14" t="str">
        <f>HYPERLINK("https://drive.google.com/file/d/17TynEFTbG8axtncXLF5REtYCZ3SG45Pc/view?usp=drivesdk","OFFER LETTER")</f>
        <v>OFFER LETTER</v>
      </c>
      <c r="S3064" s="11" t="s">
        <v>16575</v>
      </c>
    </row>
    <row r="3065" ht="22.5" customHeight="1">
      <c r="A3065" s="10">
        <v>46275.41710784722</v>
      </c>
      <c r="B3065" s="11" t="s">
        <v>16576</v>
      </c>
      <c r="C3065" s="11" t="s">
        <v>91</v>
      </c>
      <c r="D3065" s="11" t="s">
        <v>68</v>
      </c>
      <c r="E3065" s="12">
        <v>46174.0</v>
      </c>
      <c r="F3065" s="12">
        <v>46204.0</v>
      </c>
      <c r="G3065" s="11" t="s">
        <v>16577</v>
      </c>
      <c r="H3065" s="11">
        <v>7.060364116E9</v>
      </c>
      <c r="I3065" s="11" t="s">
        <v>82</v>
      </c>
      <c r="J3065" s="11" t="s">
        <v>71</v>
      </c>
      <c r="K3065" s="11" t="s">
        <v>110</v>
      </c>
      <c r="L3065" s="11" t="s">
        <v>73</v>
      </c>
      <c r="M3065" s="11" t="s">
        <v>16578</v>
      </c>
      <c r="N3065" s="11" t="s">
        <v>219</v>
      </c>
      <c r="O3065" s="11" t="s">
        <v>71</v>
      </c>
      <c r="P3065" s="11" t="s">
        <v>16579</v>
      </c>
      <c r="Q3065" s="13" t="s">
        <v>16580</v>
      </c>
      <c r="R3065" s="14" t="str">
        <f>HYPERLINK("https://drive.google.com/file/d/1vGnFUD9k7BZpNvb-XmKlZfkWFIX9KrfJ/view?usp=drivesdk","OFFER LETTER")</f>
        <v>OFFER LETTER</v>
      </c>
      <c r="S3065" s="11" t="s">
        <v>16581</v>
      </c>
    </row>
    <row r="3066" ht="22.5" customHeight="1">
      <c r="A3066" s="10">
        <v>46275.41846083333</v>
      </c>
      <c r="B3066" s="11" t="s">
        <v>16582</v>
      </c>
      <c r="C3066" s="11" t="s">
        <v>91</v>
      </c>
      <c r="D3066" s="11" t="s">
        <v>238</v>
      </c>
      <c r="E3066" s="12">
        <v>45992.0</v>
      </c>
      <c r="F3066" s="12">
        <v>46082.0</v>
      </c>
      <c r="G3066" s="11" t="s">
        <v>16583</v>
      </c>
      <c r="H3066" s="11">
        <v>9.790879149E9</v>
      </c>
      <c r="I3066" s="11" t="s">
        <v>82</v>
      </c>
      <c r="J3066" s="11" t="s">
        <v>71</v>
      </c>
      <c r="K3066" s="11" t="s">
        <v>72</v>
      </c>
      <c r="L3066" s="11" t="s">
        <v>131</v>
      </c>
      <c r="M3066" s="11" t="s">
        <v>16584</v>
      </c>
      <c r="N3066" s="11" t="s">
        <v>75</v>
      </c>
      <c r="O3066" s="11" t="s">
        <v>71</v>
      </c>
      <c r="P3066" s="11" t="s">
        <v>16585</v>
      </c>
      <c r="Q3066" s="13" t="s">
        <v>16586</v>
      </c>
      <c r="R3066" s="14" t="str">
        <f>HYPERLINK("https://drive.google.com/file/d/1NWhUKGUnhVpyhjkqEz0rWrtBalOUekWD/view?usp=drivesdk","OFFER LETTER")</f>
        <v>OFFER LETTER</v>
      </c>
      <c r="S3066" s="11" t="s">
        <v>16587</v>
      </c>
    </row>
    <row r="3067" ht="22.5" customHeight="1">
      <c r="A3067" s="10">
        <v>46275.42097133102</v>
      </c>
      <c r="B3067" s="11" t="s">
        <v>3429</v>
      </c>
      <c r="C3067" s="11" t="s">
        <v>107</v>
      </c>
      <c r="D3067" s="11" t="s">
        <v>68</v>
      </c>
      <c r="E3067" s="12">
        <v>46178.0</v>
      </c>
      <c r="F3067" s="12">
        <v>46208.0</v>
      </c>
      <c r="G3067" s="11" t="s">
        <v>14433</v>
      </c>
      <c r="H3067" s="11">
        <v>9.376281924E9</v>
      </c>
      <c r="I3067" s="11" t="s">
        <v>82</v>
      </c>
      <c r="J3067" s="11" t="s">
        <v>71</v>
      </c>
      <c r="K3067" s="11" t="s">
        <v>72</v>
      </c>
      <c r="L3067" s="11" t="s">
        <v>84</v>
      </c>
      <c r="M3067" s="11" t="s">
        <v>8796</v>
      </c>
      <c r="N3067" s="11" t="s">
        <v>630</v>
      </c>
      <c r="O3067" s="11" t="s">
        <v>71</v>
      </c>
      <c r="P3067" s="11" t="s">
        <v>16588</v>
      </c>
      <c r="Q3067" s="13" t="s">
        <v>16589</v>
      </c>
      <c r="R3067" s="14" t="str">
        <f>HYPERLINK("https://drive.google.com/file/d/1iHzy12-xKMlOXHyyXaMi_V3fMZdKqvs-/view?usp=drivesdk","OFFER LETTER")</f>
        <v>OFFER LETTER</v>
      </c>
      <c r="S3067" s="11" t="s">
        <v>16590</v>
      </c>
    </row>
    <row r="3068" ht="22.5" customHeight="1">
      <c r="A3068" s="10">
        <v>46275.4219069213</v>
      </c>
      <c r="B3068" s="11" t="s">
        <v>16591</v>
      </c>
      <c r="C3068" s="11" t="s">
        <v>173</v>
      </c>
      <c r="D3068" s="11" t="s">
        <v>68</v>
      </c>
      <c r="E3068" s="12">
        <v>46149.0</v>
      </c>
      <c r="F3068" s="12">
        <v>46181.0</v>
      </c>
      <c r="G3068" s="11" t="s">
        <v>16592</v>
      </c>
      <c r="H3068" s="11">
        <v>9.488258762E9</v>
      </c>
      <c r="I3068" s="11" t="s">
        <v>82</v>
      </c>
      <c r="J3068" s="11" t="s">
        <v>71</v>
      </c>
      <c r="K3068" s="11" t="s">
        <v>72</v>
      </c>
      <c r="L3068" s="11" t="s">
        <v>84</v>
      </c>
      <c r="M3068" s="11" t="s">
        <v>6592</v>
      </c>
      <c r="N3068" s="11" t="s">
        <v>16593</v>
      </c>
      <c r="O3068" s="11" t="s">
        <v>71</v>
      </c>
      <c r="P3068" s="11" t="s">
        <v>16594</v>
      </c>
      <c r="Q3068" s="13" t="s">
        <v>16595</v>
      </c>
      <c r="R3068" s="14" t="str">
        <f>HYPERLINK("https://drive.google.com/file/d/1fiBwlipsezO_jpBE78tL0m47ku1d-UGU/view?usp=drivesdk","OFFER LETTER")</f>
        <v>OFFER LETTER</v>
      </c>
      <c r="S3068" s="11" t="s">
        <v>16596</v>
      </c>
    </row>
    <row r="3069" ht="22.5" customHeight="1">
      <c r="A3069" s="10">
        <v>46275.42292001157</v>
      </c>
      <c r="B3069" s="11" t="s">
        <v>16597</v>
      </c>
      <c r="C3069" s="11" t="s">
        <v>237</v>
      </c>
      <c r="D3069" s="11" t="s">
        <v>68</v>
      </c>
      <c r="E3069" s="12">
        <v>46275.0</v>
      </c>
      <c r="F3069" s="12">
        <v>46305.0</v>
      </c>
      <c r="G3069" s="11" t="s">
        <v>16598</v>
      </c>
      <c r="H3069" s="11">
        <v>8.824575396E9</v>
      </c>
      <c r="I3069" s="11" t="s">
        <v>82</v>
      </c>
      <c r="J3069" s="11" t="s">
        <v>71</v>
      </c>
      <c r="K3069" s="11" t="s">
        <v>72</v>
      </c>
      <c r="L3069" s="11" t="s">
        <v>131</v>
      </c>
      <c r="M3069" s="11" t="s">
        <v>16599</v>
      </c>
      <c r="N3069" s="11" t="s">
        <v>155</v>
      </c>
      <c r="O3069" s="11" t="s">
        <v>71</v>
      </c>
      <c r="P3069" s="11" t="s">
        <v>16600</v>
      </c>
      <c r="Q3069" s="13" t="s">
        <v>16601</v>
      </c>
      <c r="R3069" s="14" t="str">
        <f>HYPERLINK("https://drive.google.com/file/d/1-uqYNV4MA4WCEb_60La4gw-sIK35mc96/view?usp=drivesdk","OFFER LETTER")</f>
        <v>OFFER LETTER</v>
      </c>
      <c r="S3069" s="11" t="s">
        <v>16602</v>
      </c>
    </row>
    <row r="3070" ht="22.5" customHeight="1">
      <c r="A3070" s="10">
        <v>46275.43068402778</v>
      </c>
      <c r="B3070" s="11" t="s">
        <v>4646</v>
      </c>
      <c r="C3070" s="11" t="s">
        <v>195</v>
      </c>
      <c r="D3070" s="11" t="s">
        <v>68</v>
      </c>
      <c r="E3070" s="12">
        <v>46275.0</v>
      </c>
      <c r="F3070" s="12">
        <v>46305.0</v>
      </c>
      <c r="G3070" s="11" t="s">
        <v>16603</v>
      </c>
      <c r="H3070" s="11">
        <v>8.287211034E9</v>
      </c>
      <c r="I3070" s="11" t="s">
        <v>82</v>
      </c>
      <c r="J3070" s="11" t="s">
        <v>71</v>
      </c>
      <c r="K3070" s="11" t="s">
        <v>72</v>
      </c>
      <c r="L3070" s="11" t="s">
        <v>84</v>
      </c>
      <c r="M3070" s="11" t="s">
        <v>886</v>
      </c>
      <c r="N3070" s="11" t="s">
        <v>86</v>
      </c>
      <c r="O3070" s="11" t="s">
        <v>71</v>
      </c>
      <c r="P3070" s="11" t="s">
        <v>16604</v>
      </c>
      <c r="Q3070" s="13" t="s">
        <v>16605</v>
      </c>
      <c r="R3070" s="14" t="str">
        <f>HYPERLINK("https://drive.google.com/file/d/1zRB0mQpy6fo9YqPHnJdn9dTiINUGZJiU/view?usp=drivesdk","OFFER LETTER")</f>
        <v>OFFER LETTER</v>
      </c>
      <c r="S3070" s="11" t="s">
        <v>16606</v>
      </c>
    </row>
    <row r="3071" ht="22.5" customHeight="1">
      <c r="A3071" s="10">
        <v>46275.43458423611</v>
      </c>
      <c r="B3071" s="11" t="s">
        <v>16607</v>
      </c>
      <c r="C3071" s="11" t="s">
        <v>4544</v>
      </c>
      <c r="D3071" s="11" t="s">
        <v>108</v>
      </c>
      <c r="E3071" s="12">
        <v>46270.0</v>
      </c>
      <c r="F3071" s="12">
        <v>46331.0</v>
      </c>
      <c r="G3071" s="11" t="s">
        <v>16608</v>
      </c>
      <c r="H3071" s="11">
        <v>8.60013373E9</v>
      </c>
      <c r="I3071" s="11" t="s">
        <v>82</v>
      </c>
      <c r="J3071" s="11" t="s">
        <v>71</v>
      </c>
      <c r="K3071" s="11" t="s">
        <v>72</v>
      </c>
      <c r="L3071" s="11" t="s">
        <v>131</v>
      </c>
      <c r="M3071" s="11" t="s">
        <v>16609</v>
      </c>
      <c r="N3071" s="11" t="s">
        <v>198</v>
      </c>
      <c r="O3071" s="11" t="s">
        <v>71</v>
      </c>
      <c r="P3071" s="11" t="s">
        <v>16610</v>
      </c>
      <c r="Q3071" s="13" t="s">
        <v>16611</v>
      </c>
      <c r="R3071" s="14" t="str">
        <f>HYPERLINK("https://drive.google.com/file/d/1VdHx_gXkgwd1aSr7h16HvMQO11gv_PBk/view?usp=drivesdk","OFFER LETTER")</f>
        <v>OFFER LETTER</v>
      </c>
      <c r="S3071" s="11" t="s">
        <v>16612</v>
      </c>
    </row>
    <row r="3072" ht="22.5" customHeight="1">
      <c r="A3072" s="10">
        <v>46275.436932129625</v>
      </c>
      <c r="B3072" s="11" t="s">
        <v>16613</v>
      </c>
      <c r="C3072" s="11" t="s">
        <v>195</v>
      </c>
      <c r="D3072" s="11" t="s">
        <v>68</v>
      </c>
      <c r="E3072" s="12">
        <v>46266.0</v>
      </c>
      <c r="F3072" s="12">
        <v>46296.0</v>
      </c>
      <c r="G3072" s="11" t="s">
        <v>16614</v>
      </c>
      <c r="H3072" s="11">
        <v>7.520666133E9</v>
      </c>
      <c r="I3072" s="11" t="s">
        <v>70</v>
      </c>
      <c r="J3072" s="11" t="s">
        <v>71</v>
      </c>
      <c r="K3072" s="11" t="s">
        <v>72</v>
      </c>
      <c r="L3072" s="11" t="s">
        <v>84</v>
      </c>
      <c r="M3072" s="11" t="s">
        <v>197</v>
      </c>
      <c r="N3072" s="11" t="s">
        <v>226</v>
      </c>
      <c r="O3072" s="11" t="s">
        <v>71</v>
      </c>
      <c r="P3072" s="11" t="s">
        <v>16615</v>
      </c>
      <c r="Q3072" s="13" t="s">
        <v>16616</v>
      </c>
      <c r="R3072" s="14" t="str">
        <f>HYPERLINK("https://drive.google.com/file/d/1qvCKaJbNPiUCnngxFF9h0cTvEHZ1_h_y/view?usp=drivesdk","OFFER LETTER")</f>
        <v>OFFER LETTER</v>
      </c>
      <c r="S3072" s="11" t="s">
        <v>16617</v>
      </c>
    </row>
    <row r="3073" ht="22.5" customHeight="1">
      <c r="A3073" s="10">
        <v>46275.4379334838</v>
      </c>
      <c r="B3073" s="11" t="s">
        <v>16618</v>
      </c>
      <c r="C3073" s="11" t="s">
        <v>195</v>
      </c>
      <c r="D3073" s="11" t="s">
        <v>68</v>
      </c>
      <c r="E3073" s="12">
        <v>46233.0</v>
      </c>
      <c r="F3073" s="12">
        <v>46264.0</v>
      </c>
      <c r="G3073" s="11" t="s">
        <v>16619</v>
      </c>
      <c r="H3073" s="11">
        <v>9.044832422E9</v>
      </c>
      <c r="I3073" s="11" t="s">
        <v>82</v>
      </c>
      <c r="J3073" s="11" t="s">
        <v>71</v>
      </c>
      <c r="K3073" s="11" t="s">
        <v>72</v>
      </c>
      <c r="L3073" s="11" t="s">
        <v>84</v>
      </c>
      <c r="M3073" s="11" t="s">
        <v>560</v>
      </c>
      <c r="N3073" s="11" t="s">
        <v>75</v>
      </c>
      <c r="O3073" s="11" t="s">
        <v>71</v>
      </c>
      <c r="P3073" s="11" t="s">
        <v>16620</v>
      </c>
      <c r="Q3073" s="13" t="s">
        <v>16621</v>
      </c>
      <c r="R3073" s="14" t="str">
        <f>HYPERLINK("https://drive.google.com/file/d/1__6oG7XSDir9_7It8NH9nottWctfuW4e/view?usp=drivesdk","OFFER LETTER")</f>
        <v>OFFER LETTER</v>
      </c>
      <c r="S3073" s="11" t="s">
        <v>16622</v>
      </c>
    </row>
    <row r="3074" ht="22.5" customHeight="1">
      <c r="A3074" s="10">
        <v>46275.43796060185</v>
      </c>
      <c r="B3074" s="11" t="s">
        <v>16623</v>
      </c>
      <c r="C3074" s="11" t="s">
        <v>195</v>
      </c>
      <c r="D3074" s="11" t="s">
        <v>108</v>
      </c>
      <c r="E3074" s="12">
        <v>46174.0</v>
      </c>
      <c r="F3074" s="12">
        <v>46235.0</v>
      </c>
      <c r="G3074" s="11" t="s">
        <v>16624</v>
      </c>
      <c r="H3074" s="11">
        <v>9.6506624E9</v>
      </c>
      <c r="I3074" s="11" t="s">
        <v>82</v>
      </c>
      <c r="J3074" s="11" t="s">
        <v>71</v>
      </c>
      <c r="K3074" s="11" t="s">
        <v>72</v>
      </c>
      <c r="L3074" s="11" t="s">
        <v>84</v>
      </c>
      <c r="M3074" s="11" t="s">
        <v>2535</v>
      </c>
      <c r="N3074" s="11" t="s">
        <v>86</v>
      </c>
      <c r="O3074" s="11" t="s">
        <v>71</v>
      </c>
      <c r="P3074" s="11" t="s">
        <v>16625</v>
      </c>
      <c r="Q3074" s="13" t="s">
        <v>16626</v>
      </c>
      <c r="R3074" s="14" t="str">
        <f>HYPERLINK("https://drive.google.com/file/d/1FSwIdSnyxzrvMtQsbpNvY7a0e64cjquQ/view?usp=drivesdk","OFFER LETTER")</f>
        <v>OFFER LETTER</v>
      </c>
      <c r="S3074" s="11" t="s">
        <v>16627</v>
      </c>
    </row>
    <row r="3075" ht="22.5" customHeight="1">
      <c r="A3075" s="10">
        <v>46275.44949254629</v>
      </c>
      <c r="B3075" s="11" t="s">
        <v>16210</v>
      </c>
      <c r="C3075" s="11" t="s">
        <v>195</v>
      </c>
      <c r="D3075" s="11" t="s">
        <v>68</v>
      </c>
      <c r="E3075" s="12">
        <v>46204.0</v>
      </c>
      <c r="F3075" s="12">
        <v>46234.0</v>
      </c>
      <c r="G3075" s="11" t="s">
        <v>16211</v>
      </c>
      <c r="H3075" s="11">
        <v>8.858880982E9</v>
      </c>
      <c r="I3075" s="11" t="s">
        <v>82</v>
      </c>
      <c r="J3075" s="11" t="s">
        <v>71</v>
      </c>
      <c r="K3075" s="11" t="s">
        <v>72</v>
      </c>
      <c r="L3075" s="11" t="s">
        <v>84</v>
      </c>
      <c r="M3075" s="11" t="s">
        <v>6934</v>
      </c>
      <c r="N3075" s="11" t="s">
        <v>75</v>
      </c>
      <c r="O3075" s="11" t="s">
        <v>71</v>
      </c>
      <c r="P3075" s="11" t="s">
        <v>16628</v>
      </c>
      <c r="Q3075" s="13" t="s">
        <v>16629</v>
      </c>
      <c r="R3075" s="14" t="str">
        <f>HYPERLINK("https://drive.google.com/file/d/16Ktm843SFQNx39xezP52HwXqBaU9y7xk/view?usp=drivesdk","OFFER LETTER")</f>
        <v>OFFER LETTER</v>
      </c>
      <c r="S3075" s="11" t="s">
        <v>16630</v>
      </c>
    </row>
    <row r="3076" ht="22.5" customHeight="1">
      <c r="A3076" s="10">
        <v>46275.457148182875</v>
      </c>
      <c r="B3076" s="11" t="s">
        <v>16631</v>
      </c>
      <c r="C3076" s="11" t="s">
        <v>173</v>
      </c>
      <c r="D3076" s="11" t="s">
        <v>68</v>
      </c>
      <c r="E3076" s="12">
        <v>46204.0</v>
      </c>
      <c r="F3076" s="12">
        <v>46235.0</v>
      </c>
      <c r="G3076" s="11" t="s">
        <v>16632</v>
      </c>
      <c r="H3076" s="11">
        <v>7.266849908E9</v>
      </c>
      <c r="I3076" s="11" t="s">
        <v>82</v>
      </c>
      <c r="J3076" s="11" t="s">
        <v>71</v>
      </c>
      <c r="K3076" s="11" t="s">
        <v>72</v>
      </c>
      <c r="L3076" s="11" t="s">
        <v>84</v>
      </c>
      <c r="M3076" s="11" t="s">
        <v>16633</v>
      </c>
      <c r="N3076" s="11" t="s">
        <v>155</v>
      </c>
      <c r="O3076" s="11" t="s">
        <v>71</v>
      </c>
      <c r="P3076" s="11" t="s">
        <v>16634</v>
      </c>
      <c r="Q3076" s="13" t="s">
        <v>16635</v>
      </c>
      <c r="R3076" s="14" t="str">
        <f>HYPERLINK("https://drive.google.com/file/d/1NeLAfOlRqh_tPCxMloovL77_2HSZ0Ss-/view?usp=drivesdk","OFFER LETTER")</f>
        <v>OFFER LETTER</v>
      </c>
      <c r="S3076" s="11" t="s">
        <v>16636</v>
      </c>
    </row>
    <row r="3077" ht="22.5" customHeight="1">
      <c r="A3077" s="10">
        <v>46275.458510474535</v>
      </c>
      <c r="B3077" s="11" t="s">
        <v>16637</v>
      </c>
      <c r="C3077" s="11" t="s">
        <v>173</v>
      </c>
      <c r="D3077" s="11" t="s">
        <v>68</v>
      </c>
      <c r="E3077" s="12">
        <v>46235.0</v>
      </c>
      <c r="F3077" s="12">
        <v>46264.0</v>
      </c>
      <c r="G3077" s="11" t="s">
        <v>16638</v>
      </c>
      <c r="H3077" s="11">
        <v>6.307166109E9</v>
      </c>
      <c r="I3077" s="11" t="s">
        <v>82</v>
      </c>
      <c r="J3077" s="11" t="s">
        <v>71</v>
      </c>
      <c r="K3077" s="11" t="s">
        <v>72</v>
      </c>
      <c r="L3077" s="11" t="s">
        <v>84</v>
      </c>
      <c r="M3077" s="11" t="s">
        <v>886</v>
      </c>
      <c r="N3077" s="11" t="s">
        <v>75</v>
      </c>
      <c r="O3077" s="11" t="s">
        <v>71</v>
      </c>
      <c r="P3077" s="11" t="s">
        <v>16639</v>
      </c>
      <c r="Q3077" s="13" t="s">
        <v>16640</v>
      </c>
      <c r="R3077" s="14" t="str">
        <f>HYPERLINK("https://drive.google.com/file/d/1JYsphHPQWNGxl1pUojSGNZ5oBBW23VOO/view?usp=drivesdk","OFFER LETTER")</f>
        <v>OFFER LETTER</v>
      </c>
      <c r="S3077" s="11" t="s">
        <v>16641</v>
      </c>
    </row>
    <row r="3078" ht="22.5" customHeight="1">
      <c r="A3078" s="10">
        <v>46275.463039062495</v>
      </c>
      <c r="B3078" s="11" t="s">
        <v>16642</v>
      </c>
      <c r="C3078" s="11" t="s">
        <v>298</v>
      </c>
      <c r="D3078" s="11" t="s">
        <v>68</v>
      </c>
      <c r="E3078" s="12">
        <v>46275.0</v>
      </c>
      <c r="F3078" s="12">
        <v>46304.0</v>
      </c>
      <c r="G3078" s="11" t="s">
        <v>16643</v>
      </c>
      <c r="H3078" s="11">
        <v>6.303494656E9</v>
      </c>
      <c r="I3078" s="11" t="s">
        <v>82</v>
      </c>
      <c r="J3078" s="11" t="s">
        <v>71</v>
      </c>
      <c r="K3078" s="11" t="s">
        <v>72</v>
      </c>
      <c r="L3078" s="11" t="s">
        <v>84</v>
      </c>
      <c r="M3078" s="11" t="s">
        <v>16644</v>
      </c>
      <c r="N3078" s="11" t="s">
        <v>86</v>
      </c>
      <c r="O3078" s="11" t="s">
        <v>71</v>
      </c>
      <c r="P3078" s="11" t="s">
        <v>16645</v>
      </c>
      <c r="Q3078" s="13" t="s">
        <v>16646</v>
      </c>
      <c r="R3078" s="14" t="str">
        <f>HYPERLINK("https://drive.google.com/file/d/1meWXTK3dcDKm_U31HnJwRpU3i72SJJa5/view?usp=drivesdk","OFFER LETTER")</f>
        <v>OFFER LETTER</v>
      </c>
      <c r="S3078" s="11" t="s">
        <v>16647</v>
      </c>
    </row>
    <row r="3079" ht="22.5" customHeight="1">
      <c r="A3079" s="10">
        <v>46275.46732355324</v>
      </c>
      <c r="B3079" s="11" t="s">
        <v>16648</v>
      </c>
      <c r="C3079" s="11" t="s">
        <v>173</v>
      </c>
      <c r="D3079" s="11" t="s">
        <v>68</v>
      </c>
      <c r="E3079" s="12">
        <v>46204.0</v>
      </c>
      <c r="F3079" s="12">
        <v>46237.0</v>
      </c>
      <c r="G3079" s="11" t="s">
        <v>16649</v>
      </c>
      <c r="H3079" s="11" t="s">
        <v>16650</v>
      </c>
      <c r="I3079" s="11" t="s">
        <v>82</v>
      </c>
      <c r="J3079" s="11" t="s">
        <v>130</v>
      </c>
      <c r="K3079" s="11" t="s">
        <v>72</v>
      </c>
      <c r="L3079" s="11" t="s">
        <v>73</v>
      </c>
      <c r="M3079" s="11" t="s">
        <v>15477</v>
      </c>
      <c r="N3079" s="11" t="s">
        <v>86</v>
      </c>
      <c r="O3079" s="11" t="s">
        <v>71</v>
      </c>
      <c r="P3079" s="11" t="s">
        <v>16651</v>
      </c>
      <c r="Q3079" s="13" t="s">
        <v>16652</v>
      </c>
      <c r="R3079" s="14" t="str">
        <f>HYPERLINK("https://drive.google.com/file/d/1VnC0OTGLm5QCDM5scWpqrHWoP6KOc2wM/view?usp=drivesdk","OFFER LETTER")</f>
        <v>OFFER LETTER</v>
      </c>
      <c r="S3079" s="11" t="s">
        <v>16653</v>
      </c>
    </row>
    <row r="3080" ht="22.5" customHeight="1">
      <c r="A3080" s="10">
        <v>46275.467816018514</v>
      </c>
      <c r="B3080" s="11" t="s">
        <v>16654</v>
      </c>
      <c r="C3080" s="11" t="s">
        <v>259</v>
      </c>
      <c r="D3080" s="11" t="s">
        <v>68</v>
      </c>
      <c r="E3080" s="12">
        <v>46193.0</v>
      </c>
      <c r="F3080" s="12">
        <v>46223.0</v>
      </c>
      <c r="G3080" s="11" t="s">
        <v>16655</v>
      </c>
      <c r="H3080" s="11">
        <v>9.878290193E9</v>
      </c>
      <c r="I3080" s="11" t="s">
        <v>82</v>
      </c>
      <c r="J3080" s="11" t="s">
        <v>71</v>
      </c>
      <c r="K3080" s="11" t="s">
        <v>72</v>
      </c>
      <c r="L3080" s="11" t="s">
        <v>84</v>
      </c>
      <c r="M3080" s="11" t="s">
        <v>1779</v>
      </c>
      <c r="N3080" s="11" t="s">
        <v>226</v>
      </c>
      <c r="O3080" s="11" t="s">
        <v>71</v>
      </c>
      <c r="P3080" s="11" t="s">
        <v>16656</v>
      </c>
      <c r="Q3080" s="13" t="s">
        <v>16657</v>
      </c>
      <c r="R3080" s="14" t="str">
        <f>HYPERLINK("https://drive.google.com/file/d/1ud7-BBUqyBGG_YoCfrOxzHBcDRwiiDUG/view?usp=drivesdk","OFFER LETTER")</f>
        <v>OFFER LETTER</v>
      </c>
      <c r="S3080" s="11" t="s">
        <v>16658</v>
      </c>
    </row>
    <row r="3081" ht="22.5" customHeight="1">
      <c r="A3081" s="10">
        <v>46275.46994563658</v>
      </c>
      <c r="B3081" s="11" t="s">
        <v>16659</v>
      </c>
      <c r="C3081" s="11" t="s">
        <v>91</v>
      </c>
      <c r="D3081" s="11" t="s">
        <v>68</v>
      </c>
      <c r="E3081" s="12">
        <v>46199.0</v>
      </c>
      <c r="F3081" s="12">
        <v>46229.0</v>
      </c>
      <c r="G3081" s="11" t="s">
        <v>16660</v>
      </c>
      <c r="H3081" s="11">
        <v>9.597667771E9</v>
      </c>
      <c r="I3081" s="11" t="s">
        <v>82</v>
      </c>
      <c r="J3081" s="11" t="s">
        <v>71</v>
      </c>
      <c r="K3081" s="11" t="s">
        <v>72</v>
      </c>
      <c r="L3081" s="11" t="s">
        <v>73</v>
      </c>
      <c r="M3081" s="11" t="s">
        <v>14925</v>
      </c>
      <c r="N3081" s="11" t="s">
        <v>86</v>
      </c>
      <c r="O3081" s="11" t="s">
        <v>71</v>
      </c>
      <c r="P3081" s="11" t="s">
        <v>16661</v>
      </c>
      <c r="Q3081" s="13" t="s">
        <v>16662</v>
      </c>
      <c r="R3081" s="14" t="str">
        <f>HYPERLINK("https://drive.google.com/file/d/1IvpaTI0HQvnnS1oRLdQZVsxkVluTSG5V/view?usp=drivesdk","OFFER LETTER")</f>
        <v>OFFER LETTER</v>
      </c>
      <c r="S3081" s="11" t="s">
        <v>16663</v>
      </c>
    </row>
    <row r="3082" ht="22.5" customHeight="1">
      <c r="A3082" s="10">
        <v>46275.47352716435</v>
      </c>
      <c r="B3082" s="11" t="s">
        <v>16664</v>
      </c>
      <c r="C3082" s="11" t="s">
        <v>298</v>
      </c>
      <c r="D3082" s="11" t="s">
        <v>68</v>
      </c>
      <c r="E3082" s="12">
        <v>46275.0</v>
      </c>
      <c r="F3082" s="12">
        <v>46274.0</v>
      </c>
      <c r="G3082" s="11" t="s">
        <v>16665</v>
      </c>
      <c r="H3082" s="11">
        <v>9.392493625E9</v>
      </c>
      <c r="I3082" s="11" t="s">
        <v>82</v>
      </c>
      <c r="J3082" s="11" t="s">
        <v>71</v>
      </c>
      <c r="K3082" s="11" t="s">
        <v>72</v>
      </c>
      <c r="L3082" s="11" t="s">
        <v>84</v>
      </c>
      <c r="M3082" s="11" t="s">
        <v>16666</v>
      </c>
      <c r="N3082" s="11" t="s">
        <v>86</v>
      </c>
      <c r="O3082" s="11" t="s">
        <v>71</v>
      </c>
      <c r="P3082" s="11" t="s">
        <v>16667</v>
      </c>
      <c r="Q3082" s="13" t="s">
        <v>16668</v>
      </c>
      <c r="R3082" s="14" t="str">
        <f>HYPERLINK("https://drive.google.com/file/d/1VdhZfcKaB_WsnQtWc2MWVS9bAL9_nN5X/view?usp=drivesdk","OFFER LETTER")</f>
        <v>OFFER LETTER</v>
      </c>
      <c r="S3082" s="11" t="s">
        <v>16669</v>
      </c>
    </row>
    <row r="3083" ht="22.5" customHeight="1">
      <c r="A3083" s="10">
        <v>46275.473603182865</v>
      </c>
      <c r="B3083" s="11" t="s">
        <v>16670</v>
      </c>
      <c r="C3083" s="11" t="s">
        <v>195</v>
      </c>
      <c r="D3083" s="11" t="s">
        <v>68</v>
      </c>
      <c r="E3083" s="12">
        <v>46225.0</v>
      </c>
      <c r="F3083" s="12">
        <v>46255.0</v>
      </c>
      <c r="G3083" s="11" t="s">
        <v>16671</v>
      </c>
      <c r="H3083" s="11">
        <v>6.299658875E9</v>
      </c>
      <c r="I3083" s="11" t="s">
        <v>70</v>
      </c>
      <c r="J3083" s="11" t="s">
        <v>71</v>
      </c>
      <c r="K3083" s="11" t="s">
        <v>72</v>
      </c>
      <c r="L3083" s="11" t="s">
        <v>84</v>
      </c>
      <c r="M3083" s="11" t="s">
        <v>2535</v>
      </c>
      <c r="N3083" s="11" t="s">
        <v>86</v>
      </c>
      <c r="O3083" s="11" t="s">
        <v>71</v>
      </c>
      <c r="P3083" s="11" t="s">
        <v>16672</v>
      </c>
      <c r="Q3083" s="13" t="s">
        <v>16673</v>
      </c>
      <c r="R3083" s="14" t="str">
        <f>HYPERLINK("https://drive.google.com/file/d/1UogGl9726fpzmVro3OHFqTpbl0-cgXwE/view?usp=drivesdk","OFFER LETTER")</f>
        <v>OFFER LETTER</v>
      </c>
      <c r="S3083" s="11" t="s">
        <v>16674</v>
      </c>
    </row>
    <row r="3084" ht="22.5" customHeight="1">
      <c r="A3084" s="10">
        <v>46275.475041365746</v>
      </c>
      <c r="B3084" s="11" t="s">
        <v>16675</v>
      </c>
      <c r="C3084" s="11" t="s">
        <v>195</v>
      </c>
      <c r="D3084" s="11" t="s">
        <v>68</v>
      </c>
      <c r="E3084" s="12">
        <v>46238.0</v>
      </c>
      <c r="F3084" s="12">
        <v>46269.0</v>
      </c>
      <c r="G3084" s="11" t="s">
        <v>16676</v>
      </c>
      <c r="H3084" s="11">
        <v>7.481857574E9</v>
      </c>
      <c r="I3084" s="11" t="s">
        <v>82</v>
      </c>
      <c r="J3084" s="11" t="s">
        <v>71</v>
      </c>
      <c r="K3084" s="11" t="s">
        <v>72</v>
      </c>
      <c r="L3084" s="11" t="s">
        <v>84</v>
      </c>
      <c r="M3084" s="11" t="s">
        <v>16677</v>
      </c>
      <c r="N3084" s="11" t="s">
        <v>86</v>
      </c>
      <c r="O3084" s="11" t="s">
        <v>71</v>
      </c>
      <c r="P3084" s="11" t="s">
        <v>16678</v>
      </c>
      <c r="Q3084" s="13" t="s">
        <v>16679</v>
      </c>
      <c r="R3084" s="14" t="str">
        <f>HYPERLINK("https://drive.google.com/file/d/152SeTTk8wWz5WDdwZqbfz_pSkTUZzzRM/view?usp=drivesdk","OFFER LETTER")</f>
        <v>OFFER LETTER</v>
      </c>
      <c r="S3084" s="11" t="s">
        <v>16680</v>
      </c>
    </row>
    <row r="3085" ht="22.5" customHeight="1">
      <c r="A3085" s="10">
        <v>46275.478629467594</v>
      </c>
      <c r="B3085" s="11" t="s">
        <v>16681</v>
      </c>
      <c r="C3085" s="11" t="s">
        <v>195</v>
      </c>
      <c r="D3085" s="11" t="s">
        <v>68</v>
      </c>
      <c r="E3085" s="12">
        <v>46183.0</v>
      </c>
      <c r="F3085" s="12">
        <v>46213.0</v>
      </c>
      <c r="G3085" s="11" t="s">
        <v>16682</v>
      </c>
      <c r="H3085" s="11" t="s">
        <v>16683</v>
      </c>
      <c r="I3085" s="11" t="s">
        <v>82</v>
      </c>
      <c r="J3085" s="11" t="s">
        <v>71</v>
      </c>
      <c r="K3085" s="11" t="s">
        <v>72</v>
      </c>
      <c r="L3085" s="11" t="s">
        <v>84</v>
      </c>
      <c r="M3085" s="11" t="s">
        <v>5088</v>
      </c>
      <c r="N3085" s="11" t="s">
        <v>75</v>
      </c>
      <c r="O3085" s="11" t="s">
        <v>71</v>
      </c>
      <c r="P3085" s="11" t="s">
        <v>16684</v>
      </c>
      <c r="Q3085" s="13" t="s">
        <v>16685</v>
      </c>
      <c r="R3085" s="14" t="str">
        <f>HYPERLINK("https://drive.google.com/file/d/17Cw2oueCnn2AGi4UwEDmOqhyxalMPJO0/view?usp=drivesdk","OFFER LETTER")</f>
        <v>OFFER LETTER</v>
      </c>
      <c r="S3085" s="11" t="s">
        <v>16686</v>
      </c>
    </row>
    <row r="3086" ht="22.5" customHeight="1">
      <c r="A3086" s="10">
        <v>46275.47989819445</v>
      </c>
      <c r="B3086" s="11" t="s">
        <v>16687</v>
      </c>
      <c r="C3086" s="11" t="s">
        <v>195</v>
      </c>
      <c r="D3086" s="11" t="s">
        <v>68</v>
      </c>
      <c r="E3086" s="12">
        <v>46275.0</v>
      </c>
      <c r="F3086" s="12">
        <v>46305.0</v>
      </c>
      <c r="G3086" s="11" t="s">
        <v>16688</v>
      </c>
      <c r="H3086" s="11">
        <v>8.882682096E9</v>
      </c>
      <c r="I3086" s="11" t="s">
        <v>82</v>
      </c>
      <c r="J3086" s="11" t="s">
        <v>71</v>
      </c>
      <c r="K3086" s="11" t="s">
        <v>72</v>
      </c>
      <c r="L3086" s="11" t="s">
        <v>84</v>
      </c>
      <c r="M3086" s="11" t="s">
        <v>5088</v>
      </c>
      <c r="N3086" s="11" t="s">
        <v>1722</v>
      </c>
      <c r="O3086" s="11" t="s">
        <v>71</v>
      </c>
      <c r="P3086" s="11" t="s">
        <v>16689</v>
      </c>
      <c r="Q3086" s="13" t="s">
        <v>16690</v>
      </c>
      <c r="R3086" s="14" t="str">
        <f>HYPERLINK("https://drive.google.com/file/d/1vjcUL1F1uYlRzW1Fs2EpJISaX0OBBQ7H/view?usp=drivesdk","OFFER LETTER")</f>
        <v>OFFER LETTER</v>
      </c>
      <c r="S3086" s="11" t="s">
        <v>16691</v>
      </c>
    </row>
    <row r="3087" ht="22.5" customHeight="1">
      <c r="A3087" s="10">
        <v>46275.48047792824</v>
      </c>
      <c r="B3087" s="11" t="s">
        <v>16692</v>
      </c>
      <c r="C3087" s="11" t="s">
        <v>195</v>
      </c>
      <c r="D3087" s="11" t="s">
        <v>68</v>
      </c>
      <c r="E3087" s="12">
        <v>46223.0</v>
      </c>
      <c r="F3087" s="12">
        <v>46253.0</v>
      </c>
      <c r="G3087" s="11" t="s">
        <v>16693</v>
      </c>
      <c r="H3087" s="11">
        <v>8.43466899E9</v>
      </c>
      <c r="I3087" s="11" t="s">
        <v>82</v>
      </c>
      <c r="J3087" s="11" t="s">
        <v>71</v>
      </c>
      <c r="K3087" s="11" t="s">
        <v>72</v>
      </c>
      <c r="L3087" s="11" t="s">
        <v>84</v>
      </c>
      <c r="M3087" s="11" t="s">
        <v>2535</v>
      </c>
      <c r="N3087" s="11" t="s">
        <v>86</v>
      </c>
      <c r="O3087" s="11" t="s">
        <v>71</v>
      </c>
      <c r="P3087" s="11" t="s">
        <v>16694</v>
      </c>
      <c r="Q3087" s="13" t="s">
        <v>16695</v>
      </c>
      <c r="R3087" s="14" t="str">
        <f>HYPERLINK("https://drive.google.com/file/d/1gx1jTil7H-mlL5PjwLe8vtdl5bPdxUtv/view?usp=drivesdk","OFFER LETTER")</f>
        <v>OFFER LETTER</v>
      </c>
      <c r="S3087" s="11" t="s">
        <v>16696</v>
      </c>
    </row>
    <row r="3088" ht="22.5" customHeight="1">
      <c r="A3088" s="10">
        <v>46275.482216805554</v>
      </c>
      <c r="B3088" s="11" t="s">
        <v>15941</v>
      </c>
      <c r="C3088" s="11" t="s">
        <v>195</v>
      </c>
      <c r="D3088" s="11" t="s">
        <v>108</v>
      </c>
      <c r="E3088" s="12">
        <v>46274.0</v>
      </c>
      <c r="F3088" s="12">
        <v>46335.0</v>
      </c>
      <c r="G3088" s="11" t="s">
        <v>15942</v>
      </c>
      <c r="H3088" s="11">
        <v>8.897741136E9</v>
      </c>
      <c r="I3088" s="11" t="s">
        <v>70</v>
      </c>
      <c r="J3088" s="11" t="s">
        <v>83</v>
      </c>
      <c r="K3088" s="11" t="s">
        <v>2045</v>
      </c>
      <c r="L3088" s="11" t="s">
        <v>357</v>
      </c>
      <c r="M3088" s="11" t="s">
        <v>15943</v>
      </c>
      <c r="N3088" s="11" t="s">
        <v>155</v>
      </c>
      <c r="O3088" s="11" t="s">
        <v>71</v>
      </c>
      <c r="P3088" s="11" t="s">
        <v>16697</v>
      </c>
      <c r="Q3088" s="13" t="s">
        <v>16698</v>
      </c>
      <c r="R3088" s="14" t="str">
        <f>HYPERLINK("https://drive.google.com/file/d/1rW64hKYE9GJBjHUM2De4uHFGcBy13UH_/view?usp=drivesdk","OFFER LETTER")</f>
        <v>OFFER LETTER</v>
      </c>
      <c r="S3088" s="11" t="s">
        <v>16699</v>
      </c>
    </row>
    <row r="3089" ht="22.5" customHeight="1">
      <c r="A3089" s="10">
        <v>46275.48225946759</v>
      </c>
      <c r="B3089" s="11" t="s">
        <v>16700</v>
      </c>
      <c r="C3089" s="11" t="s">
        <v>91</v>
      </c>
      <c r="D3089" s="11" t="s">
        <v>68</v>
      </c>
      <c r="E3089" s="12">
        <v>46228.0</v>
      </c>
      <c r="F3089" s="12">
        <v>46259.0</v>
      </c>
      <c r="G3089" s="11" t="s">
        <v>16518</v>
      </c>
      <c r="H3089" s="11">
        <v>8.929091943E9</v>
      </c>
      <c r="I3089" s="11" t="s">
        <v>82</v>
      </c>
      <c r="J3089" s="11" t="s">
        <v>71</v>
      </c>
      <c r="K3089" s="11" t="s">
        <v>72</v>
      </c>
      <c r="L3089" s="11" t="s">
        <v>84</v>
      </c>
      <c r="M3089" s="11" t="s">
        <v>1217</v>
      </c>
      <c r="N3089" s="11" t="s">
        <v>241</v>
      </c>
      <c r="O3089" s="11" t="s">
        <v>71</v>
      </c>
      <c r="P3089" s="11" t="s">
        <v>16701</v>
      </c>
      <c r="Q3089" s="13" t="s">
        <v>16702</v>
      </c>
      <c r="R3089" s="14" t="str">
        <f>HYPERLINK("https://drive.google.com/file/d/1KNhacl10Cs29JtOadk9v2UEhv_5UHV6n/view?usp=drivesdk","OFFER LETTER")</f>
        <v>OFFER LETTER</v>
      </c>
      <c r="S3089" s="11" t="s">
        <v>16703</v>
      </c>
    </row>
    <row r="3090" ht="22.5" customHeight="1">
      <c r="A3090" s="10">
        <v>46275.482933506944</v>
      </c>
      <c r="B3090" s="11" t="s">
        <v>16675</v>
      </c>
      <c r="C3090" s="11" t="s">
        <v>195</v>
      </c>
      <c r="D3090" s="11" t="s">
        <v>68</v>
      </c>
      <c r="E3090" s="12">
        <v>46238.0</v>
      </c>
      <c r="F3090" s="12">
        <v>46269.0</v>
      </c>
      <c r="G3090" s="11" t="s">
        <v>16676</v>
      </c>
      <c r="H3090" s="11">
        <v>7.481857574E9</v>
      </c>
      <c r="I3090" s="11" t="s">
        <v>82</v>
      </c>
      <c r="J3090" s="11" t="s">
        <v>71</v>
      </c>
      <c r="K3090" s="11" t="s">
        <v>72</v>
      </c>
      <c r="L3090" s="11" t="s">
        <v>84</v>
      </c>
      <c r="M3090" s="11" t="s">
        <v>16704</v>
      </c>
      <c r="N3090" s="11" t="s">
        <v>86</v>
      </c>
      <c r="O3090" s="11" t="s">
        <v>71</v>
      </c>
      <c r="P3090" s="11" t="s">
        <v>16705</v>
      </c>
      <c r="Q3090" s="13" t="s">
        <v>16706</v>
      </c>
      <c r="R3090" s="14" t="str">
        <f>HYPERLINK("https://drive.google.com/file/d/1WrISxzZg8XzhPnY9ruHIZlM3cGwQ1d0H/view?usp=drivesdk","OFFER LETTER")</f>
        <v>OFFER LETTER</v>
      </c>
      <c r="S3090" s="11" t="s">
        <v>16707</v>
      </c>
    </row>
    <row r="3091" ht="22.5" customHeight="1">
      <c r="A3091" s="10">
        <v>46275.48560726852</v>
      </c>
      <c r="B3091" s="11" t="s">
        <v>16708</v>
      </c>
      <c r="C3091" s="11" t="s">
        <v>128</v>
      </c>
      <c r="D3091" s="11" t="s">
        <v>68</v>
      </c>
      <c r="E3091" s="12">
        <v>46275.0</v>
      </c>
      <c r="F3091" s="12">
        <v>46305.0</v>
      </c>
      <c r="G3091" s="11" t="s">
        <v>16709</v>
      </c>
      <c r="H3091" s="11">
        <v>9.398468677E9</v>
      </c>
      <c r="I3091" s="11" t="s">
        <v>82</v>
      </c>
      <c r="J3091" s="11" t="s">
        <v>71</v>
      </c>
      <c r="K3091" s="11" t="s">
        <v>72</v>
      </c>
      <c r="L3091" s="11" t="s">
        <v>84</v>
      </c>
      <c r="M3091" s="11" t="s">
        <v>93</v>
      </c>
      <c r="N3091" s="11" t="s">
        <v>86</v>
      </c>
      <c r="O3091" s="11" t="s">
        <v>71</v>
      </c>
      <c r="P3091" s="11" t="s">
        <v>16710</v>
      </c>
      <c r="Q3091" s="13" t="s">
        <v>16711</v>
      </c>
      <c r="R3091" s="14" t="str">
        <f>HYPERLINK("https://drive.google.com/file/d/1oO4fErfclGWYLrKe2_BXX1QCRubpKYty/view?usp=drivesdk","OFFER LETTER")</f>
        <v>OFFER LETTER</v>
      </c>
      <c r="S3091" s="11" t="s">
        <v>16712</v>
      </c>
    </row>
    <row r="3092" ht="22.5" customHeight="1">
      <c r="A3092" s="10">
        <v>46275.487436875</v>
      </c>
      <c r="B3092" s="11" t="s">
        <v>16713</v>
      </c>
      <c r="C3092" s="11" t="s">
        <v>91</v>
      </c>
      <c r="D3092" s="11" t="s">
        <v>108</v>
      </c>
      <c r="E3092" s="12">
        <v>46241.0</v>
      </c>
      <c r="F3092" s="12">
        <v>46243.0</v>
      </c>
      <c r="G3092" s="11" t="s">
        <v>16714</v>
      </c>
      <c r="H3092" s="17" t="s">
        <v>16715</v>
      </c>
      <c r="I3092" s="11" t="s">
        <v>82</v>
      </c>
      <c r="J3092" s="11" t="s">
        <v>71</v>
      </c>
      <c r="K3092" s="11" t="s">
        <v>72</v>
      </c>
      <c r="L3092" s="11" t="s">
        <v>84</v>
      </c>
      <c r="M3092" s="11" t="s">
        <v>8310</v>
      </c>
      <c r="N3092" s="11" t="s">
        <v>655</v>
      </c>
      <c r="O3092" s="11" t="s">
        <v>71</v>
      </c>
      <c r="P3092" s="11" t="s">
        <v>16716</v>
      </c>
      <c r="Q3092" s="13" t="s">
        <v>16717</v>
      </c>
      <c r="R3092" s="14" t="str">
        <f>HYPERLINK("https://drive.google.com/file/d/1bDsRiySjNv_VCqdRIPtP7PLBgYVr1yg9/view?usp=drivesdk","OFFER LETTER")</f>
        <v>OFFER LETTER</v>
      </c>
      <c r="S3092" s="11" t="s">
        <v>16718</v>
      </c>
    </row>
    <row r="3093" ht="22.5" customHeight="1">
      <c r="A3093" s="10">
        <v>46275.48819304398</v>
      </c>
      <c r="B3093" s="11" t="s">
        <v>16719</v>
      </c>
      <c r="C3093" s="11" t="s">
        <v>1320</v>
      </c>
      <c r="D3093" s="11" t="s">
        <v>68</v>
      </c>
      <c r="E3093" s="12">
        <v>46225.0</v>
      </c>
      <c r="F3093" s="12">
        <v>46256.0</v>
      </c>
      <c r="G3093" s="11" t="s">
        <v>16660</v>
      </c>
      <c r="H3093" s="11">
        <v>9.597667771E9</v>
      </c>
      <c r="I3093" s="11" t="s">
        <v>82</v>
      </c>
      <c r="J3093" s="11" t="s">
        <v>71</v>
      </c>
      <c r="K3093" s="11" t="s">
        <v>72</v>
      </c>
      <c r="L3093" s="11" t="s">
        <v>73</v>
      </c>
      <c r="M3093" s="11" t="s">
        <v>14925</v>
      </c>
      <c r="N3093" s="11" t="s">
        <v>655</v>
      </c>
      <c r="O3093" s="11" t="s">
        <v>71</v>
      </c>
      <c r="P3093" s="11" t="s">
        <v>16720</v>
      </c>
      <c r="Q3093" s="13" t="s">
        <v>16721</v>
      </c>
      <c r="R3093" s="14" t="str">
        <f>HYPERLINK("https://drive.google.com/file/d/1eJvbNiGtrJw_byWgOzNcWGhGaZUVQ3HD/view?usp=drivesdk","OFFER LETTER")</f>
        <v>OFFER LETTER</v>
      </c>
      <c r="S3093" s="11" t="s">
        <v>16722</v>
      </c>
    </row>
    <row r="3094" ht="22.5" customHeight="1">
      <c r="A3094" s="10">
        <v>46275.48876266203</v>
      </c>
      <c r="B3094" s="11" t="s">
        <v>16723</v>
      </c>
      <c r="C3094" s="11" t="s">
        <v>298</v>
      </c>
      <c r="D3094" s="11" t="s">
        <v>68</v>
      </c>
      <c r="E3094" s="12">
        <v>46275.0</v>
      </c>
      <c r="F3094" s="12">
        <v>46305.0</v>
      </c>
      <c r="G3094" s="11" t="s">
        <v>16724</v>
      </c>
      <c r="H3094" s="11">
        <v>8.328039304E9</v>
      </c>
      <c r="I3094" s="11" t="s">
        <v>82</v>
      </c>
      <c r="J3094" s="11" t="s">
        <v>71</v>
      </c>
      <c r="K3094" s="11" t="s">
        <v>72</v>
      </c>
      <c r="L3094" s="11" t="s">
        <v>84</v>
      </c>
      <c r="M3094" s="11" t="s">
        <v>16725</v>
      </c>
      <c r="N3094" s="11" t="s">
        <v>86</v>
      </c>
      <c r="O3094" s="11" t="s">
        <v>71</v>
      </c>
      <c r="P3094" s="11" t="s">
        <v>16726</v>
      </c>
      <c r="Q3094" s="13" t="s">
        <v>16727</v>
      </c>
      <c r="R3094" s="14" t="str">
        <f>HYPERLINK("https://drive.google.com/file/d/1hyLMcNXaMJJzn9Pl3NNo_Sx-WV6v12uE/view?usp=drivesdk","OFFER LETTER")</f>
        <v>OFFER LETTER</v>
      </c>
      <c r="S3094" s="11" t="s">
        <v>16728</v>
      </c>
    </row>
    <row r="3095" ht="22.5" customHeight="1">
      <c r="A3095" s="10">
        <v>46275.48893695602</v>
      </c>
      <c r="B3095" s="11" t="s">
        <v>16729</v>
      </c>
      <c r="C3095" s="11" t="s">
        <v>91</v>
      </c>
      <c r="D3095" s="11" t="s">
        <v>108</v>
      </c>
      <c r="E3095" s="12">
        <v>46174.0</v>
      </c>
      <c r="F3095" s="12">
        <v>46234.0</v>
      </c>
      <c r="G3095" s="11" t="s">
        <v>16730</v>
      </c>
      <c r="H3095" s="11">
        <v>8.79974815E9</v>
      </c>
      <c r="I3095" s="11" t="s">
        <v>82</v>
      </c>
      <c r="J3095" s="11" t="s">
        <v>83</v>
      </c>
      <c r="K3095" s="11" t="s">
        <v>72</v>
      </c>
      <c r="L3095" s="11" t="s">
        <v>84</v>
      </c>
      <c r="M3095" s="11" t="s">
        <v>16731</v>
      </c>
      <c r="N3095" s="11" t="s">
        <v>86</v>
      </c>
      <c r="O3095" s="11" t="s">
        <v>71</v>
      </c>
      <c r="P3095" s="11" t="s">
        <v>16732</v>
      </c>
      <c r="Q3095" s="13" t="s">
        <v>16733</v>
      </c>
      <c r="R3095" s="14" t="str">
        <f>HYPERLINK("https://drive.google.com/file/d/1TOIczYEgnMo38nyWw1PwqHWhWjySf1PW/view?usp=drivesdk","OFFER LETTER")</f>
        <v>OFFER LETTER</v>
      </c>
      <c r="S3095" s="11" t="s">
        <v>16734</v>
      </c>
    </row>
    <row r="3096" ht="22.5" customHeight="1">
      <c r="A3096" s="10">
        <v>46275.49620355324</v>
      </c>
      <c r="B3096" s="11" t="s">
        <v>16735</v>
      </c>
      <c r="C3096" s="11" t="s">
        <v>298</v>
      </c>
      <c r="D3096" s="11" t="s">
        <v>68</v>
      </c>
      <c r="E3096" s="12">
        <v>46275.0</v>
      </c>
      <c r="F3096" s="12">
        <v>46305.0</v>
      </c>
      <c r="G3096" s="11" t="s">
        <v>16736</v>
      </c>
      <c r="H3096" s="11">
        <v>8.919595228E9</v>
      </c>
      <c r="I3096" s="11" t="s">
        <v>82</v>
      </c>
      <c r="J3096" s="11" t="s">
        <v>71</v>
      </c>
      <c r="K3096" s="11" t="s">
        <v>72</v>
      </c>
      <c r="L3096" s="11" t="s">
        <v>84</v>
      </c>
      <c r="M3096" s="11" t="s">
        <v>16737</v>
      </c>
      <c r="N3096" s="11" t="s">
        <v>86</v>
      </c>
      <c r="O3096" s="11" t="s">
        <v>71</v>
      </c>
      <c r="P3096" s="11" t="s">
        <v>16738</v>
      </c>
      <c r="Q3096" s="13" t="s">
        <v>16739</v>
      </c>
      <c r="R3096" s="14" t="str">
        <f>HYPERLINK("https://drive.google.com/file/d/19Htbt2YuT3d2fXZOiE_3o0xivl0iWdNS/view?usp=drivesdk","OFFER LETTER")</f>
        <v>OFFER LETTER</v>
      </c>
      <c r="S3096" s="11" t="s">
        <v>16740</v>
      </c>
    </row>
    <row r="3097" ht="22.5" customHeight="1">
      <c r="A3097" s="10">
        <v>46275.49936664352</v>
      </c>
      <c r="B3097" s="11" t="s">
        <v>16741</v>
      </c>
      <c r="C3097" s="11" t="s">
        <v>128</v>
      </c>
      <c r="D3097" s="11" t="s">
        <v>108</v>
      </c>
      <c r="E3097" s="12">
        <v>46213.0</v>
      </c>
      <c r="F3097" s="12">
        <v>46276.0</v>
      </c>
      <c r="G3097" s="11" t="s">
        <v>16742</v>
      </c>
      <c r="H3097" s="11">
        <v>9.368115423E9</v>
      </c>
      <c r="I3097" s="11" t="s">
        <v>82</v>
      </c>
      <c r="J3097" s="11" t="s">
        <v>71</v>
      </c>
      <c r="K3097" s="11" t="s">
        <v>110</v>
      </c>
      <c r="L3097" s="11" t="s">
        <v>73</v>
      </c>
      <c r="M3097" s="11" t="s">
        <v>16743</v>
      </c>
      <c r="N3097" s="11" t="s">
        <v>75</v>
      </c>
      <c r="O3097" s="11" t="s">
        <v>71</v>
      </c>
      <c r="P3097" s="11" t="s">
        <v>16744</v>
      </c>
      <c r="Q3097" s="13" t="s">
        <v>16745</v>
      </c>
      <c r="R3097" s="14" t="str">
        <f>HYPERLINK("https://drive.google.com/file/d/1k9fa6R6gNjcy6m7Fz22aO71GPJN9xsSd/view?usp=drivesdk","OFFER LETTER")</f>
        <v>OFFER LETTER</v>
      </c>
      <c r="S3097" s="11" t="s">
        <v>16746</v>
      </c>
    </row>
    <row r="3098" ht="22.5" customHeight="1">
      <c r="A3098" s="10">
        <v>46275.50553363426</v>
      </c>
      <c r="B3098" s="11" t="s">
        <v>16747</v>
      </c>
      <c r="C3098" s="11" t="s">
        <v>91</v>
      </c>
      <c r="D3098" s="11" t="s">
        <v>108</v>
      </c>
      <c r="E3098" s="12">
        <v>46174.0</v>
      </c>
      <c r="F3098" s="12">
        <v>46234.0</v>
      </c>
      <c r="G3098" s="11" t="s">
        <v>16748</v>
      </c>
      <c r="H3098" s="11">
        <v>8.115822571E9</v>
      </c>
      <c r="I3098" s="11" t="s">
        <v>82</v>
      </c>
      <c r="J3098" s="11" t="s">
        <v>83</v>
      </c>
      <c r="K3098" s="11" t="s">
        <v>72</v>
      </c>
      <c r="L3098" s="11" t="s">
        <v>84</v>
      </c>
      <c r="M3098" s="11" t="s">
        <v>16749</v>
      </c>
      <c r="N3098" s="11" t="s">
        <v>86</v>
      </c>
      <c r="O3098" s="11" t="s">
        <v>71</v>
      </c>
      <c r="P3098" s="11" t="s">
        <v>16750</v>
      </c>
      <c r="Q3098" s="13" t="s">
        <v>16751</v>
      </c>
      <c r="R3098" s="14" t="str">
        <f>HYPERLINK("https://drive.google.com/file/d/1Q4mlop9L-9-ewIw6ySbO_3ONFtcfXRzN/view?usp=drivesdk","OFFER LETTER")</f>
        <v>OFFER LETTER</v>
      </c>
      <c r="S3098" s="11" t="s">
        <v>16752</v>
      </c>
    </row>
    <row r="3099" ht="22.5" customHeight="1">
      <c r="A3099" s="10">
        <v>46275.50731378472</v>
      </c>
      <c r="B3099" s="11" t="s">
        <v>16753</v>
      </c>
      <c r="C3099" s="11" t="s">
        <v>259</v>
      </c>
      <c r="D3099" s="11" t="s">
        <v>108</v>
      </c>
      <c r="E3099" s="12">
        <v>46204.0</v>
      </c>
      <c r="F3099" s="12">
        <v>46249.0</v>
      </c>
      <c r="G3099" s="11" t="s">
        <v>16754</v>
      </c>
      <c r="H3099" s="11">
        <v>7.737914122E9</v>
      </c>
      <c r="I3099" s="11" t="s">
        <v>82</v>
      </c>
      <c r="J3099" s="11" t="s">
        <v>71</v>
      </c>
      <c r="K3099" s="11" t="s">
        <v>72</v>
      </c>
      <c r="L3099" s="11" t="s">
        <v>73</v>
      </c>
      <c r="M3099" s="11" t="s">
        <v>16755</v>
      </c>
      <c r="N3099" s="11" t="s">
        <v>86</v>
      </c>
      <c r="O3099" s="11" t="s">
        <v>71</v>
      </c>
      <c r="P3099" s="11" t="s">
        <v>16756</v>
      </c>
      <c r="Q3099" s="13" t="s">
        <v>16757</v>
      </c>
      <c r="R3099" s="14" t="str">
        <f>HYPERLINK("https://drive.google.com/file/d/136ngZ0wHkhnu6j2KfWqBMaBv3C3LMFDU/view?usp=drivesdk","OFFER LETTER")</f>
        <v>OFFER LETTER</v>
      </c>
      <c r="S3099" s="11" t="s">
        <v>16758</v>
      </c>
    </row>
    <row r="3100" ht="22.5" customHeight="1">
      <c r="A3100" s="10">
        <v>46275.51036511574</v>
      </c>
      <c r="B3100" s="11" t="s">
        <v>15931</v>
      </c>
      <c r="C3100" s="11" t="s">
        <v>195</v>
      </c>
      <c r="D3100" s="11" t="s">
        <v>68</v>
      </c>
      <c r="E3100" s="12">
        <v>46174.0</v>
      </c>
      <c r="F3100" s="12">
        <v>46203.0</v>
      </c>
      <c r="G3100" s="11" t="s">
        <v>15932</v>
      </c>
      <c r="H3100" s="11">
        <v>9.821114005E9</v>
      </c>
      <c r="I3100" s="11" t="s">
        <v>70</v>
      </c>
      <c r="J3100" s="11" t="s">
        <v>71</v>
      </c>
      <c r="K3100" s="11" t="s">
        <v>72</v>
      </c>
      <c r="L3100" s="11" t="s">
        <v>84</v>
      </c>
      <c r="M3100" s="11" t="s">
        <v>5124</v>
      </c>
      <c r="N3100" s="11" t="s">
        <v>75</v>
      </c>
      <c r="O3100" s="11" t="s">
        <v>71</v>
      </c>
      <c r="P3100" s="11" t="s">
        <v>16759</v>
      </c>
      <c r="Q3100" s="13" t="s">
        <v>16760</v>
      </c>
      <c r="R3100" s="14" t="str">
        <f>HYPERLINK("https://drive.google.com/file/d/1oY5k7nsKmykPdQj_acLbm5d2uXiF5N9m/view?usp=drivesdk","OFFER LETTER")</f>
        <v>OFFER LETTER</v>
      </c>
      <c r="S3100" s="11" t="s">
        <v>16761</v>
      </c>
    </row>
    <row r="3101" ht="22.5" customHeight="1">
      <c r="A3101" s="10">
        <v>46275.51747694444</v>
      </c>
      <c r="B3101" s="11" t="s">
        <v>16762</v>
      </c>
      <c r="C3101" s="11" t="s">
        <v>173</v>
      </c>
      <c r="D3101" s="11" t="s">
        <v>68</v>
      </c>
      <c r="E3101" s="12">
        <v>46175.0</v>
      </c>
      <c r="F3101" s="12">
        <v>46206.0</v>
      </c>
      <c r="G3101" s="11" t="s">
        <v>16763</v>
      </c>
      <c r="H3101" s="11">
        <v>9.266378948E9</v>
      </c>
      <c r="I3101" s="11" t="s">
        <v>82</v>
      </c>
      <c r="J3101" s="11" t="s">
        <v>71</v>
      </c>
      <c r="K3101" s="11" t="s">
        <v>72</v>
      </c>
      <c r="L3101" s="11" t="s">
        <v>357</v>
      </c>
      <c r="M3101" s="11" t="s">
        <v>1217</v>
      </c>
      <c r="N3101" s="11" t="s">
        <v>75</v>
      </c>
      <c r="O3101" s="11" t="s">
        <v>71</v>
      </c>
      <c r="P3101" s="11" t="s">
        <v>16764</v>
      </c>
      <c r="Q3101" s="13" t="s">
        <v>16765</v>
      </c>
      <c r="R3101" s="14" t="str">
        <f>HYPERLINK("https://drive.google.com/file/d/1D2Zu5ola003nAP1WN4d9PSgROLPJ2HRq/view?usp=drivesdk","OFFER LETTER")</f>
        <v>OFFER LETTER</v>
      </c>
      <c r="S3101" s="11" t="s">
        <v>16766</v>
      </c>
    </row>
    <row r="3102" ht="22.5" customHeight="1">
      <c r="A3102" s="10">
        <v>46275.527296064814</v>
      </c>
      <c r="B3102" s="11" t="s">
        <v>4087</v>
      </c>
      <c r="C3102" s="11" t="s">
        <v>107</v>
      </c>
      <c r="D3102" s="11" t="s">
        <v>68</v>
      </c>
      <c r="E3102" s="12">
        <v>46235.0</v>
      </c>
      <c r="F3102" s="12">
        <v>46265.0</v>
      </c>
      <c r="G3102" s="11" t="s">
        <v>16767</v>
      </c>
      <c r="H3102" s="11">
        <v>8.678821632E9</v>
      </c>
      <c r="I3102" s="11" t="s">
        <v>82</v>
      </c>
      <c r="J3102" s="11" t="s">
        <v>71</v>
      </c>
      <c r="K3102" s="11" t="s">
        <v>72</v>
      </c>
      <c r="L3102" s="11" t="s">
        <v>131</v>
      </c>
      <c r="M3102" s="11" t="s">
        <v>16768</v>
      </c>
      <c r="N3102" s="11" t="s">
        <v>86</v>
      </c>
      <c r="O3102" s="11" t="s">
        <v>71</v>
      </c>
      <c r="P3102" s="11" t="s">
        <v>16769</v>
      </c>
      <c r="Q3102" s="13" t="s">
        <v>16770</v>
      </c>
      <c r="R3102" s="14" t="str">
        <f>HYPERLINK("https://drive.google.com/file/d/11j5aopjf29_wOkop6JvYzwz_Ps0pQ1iJ/view?usp=drivesdk","OFFER LETTER")</f>
        <v>OFFER LETTER</v>
      </c>
      <c r="S3102" s="11" t="s">
        <v>16771</v>
      </c>
    </row>
    <row r="3103" ht="22.5" customHeight="1">
      <c r="A3103" s="10">
        <v>46275.529095555554</v>
      </c>
      <c r="B3103" s="11" t="s">
        <v>16772</v>
      </c>
      <c r="C3103" s="11" t="s">
        <v>195</v>
      </c>
      <c r="D3103" s="11" t="s">
        <v>68</v>
      </c>
      <c r="E3103" s="12">
        <v>46204.0</v>
      </c>
      <c r="F3103" s="12">
        <v>46235.0</v>
      </c>
      <c r="G3103" s="11" t="s">
        <v>16773</v>
      </c>
      <c r="H3103" s="11">
        <v>9.958949608E9</v>
      </c>
      <c r="I3103" s="11" t="s">
        <v>82</v>
      </c>
      <c r="J3103" s="11" t="s">
        <v>71</v>
      </c>
      <c r="K3103" s="11" t="s">
        <v>72</v>
      </c>
      <c r="L3103" s="11" t="s">
        <v>73</v>
      </c>
      <c r="M3103" s="11" t="s">
        <v>16774</v>
      </c>
      <c r="N3103" s="11" t="s">
        <v>75</v>
      </c>
      <c r="O3103" s="11" t="s">
        <v>71</v>
      </c>
      <c r="P3103" s="11" t="s">
        <v>16775</v>
      </c>
      <c r="Q3103" s="13" t="s">
        <v>16776</v>
      </c>
      <c r="R3103" s="14" t="str">
        <f>HYPERLINK("https://drive.google.com/file/d/1ezjE3XK1JSXM5IOX2iAY190-b_9lf-p3/view?usp=drivesdk","OFFER LETTER")</f>
        <v>OFFER LETTER</v>
      </c>
      <c r="S3103" s="11" t="s">
        <v>16777</v>
      </c>
    </row>
    <row r="3104" ht="22.5" customHeight="1">
      <c r="A3104" s="10">
        <v>46275.52923180556</v>
      </c>
      <c r="B3104" s="11" t="s">
        <v>16778</v>
      </c>
      <c r="C3104" s="11" t="s">
        <v>91</v>
      </c>
      <c r="D3104" s="11" t="s">
        <v>108</v>
      </c>
      <c r="E3104" s="12">
        <v>46174.0</v>
      </c>
      <c r="F3104" s="12">
        <v>46233.0</v>
      </c>
      <c r="G3104" s="11" t="s">
        <v>16779</v>
      </c>
      <c r="H3104" s="11">
        <v>9.62541526E9</v>
      </c>
      <c r="I3104" s="11" t="s">
        <v>82</v>
      </c>
      <c r="J3104" s="11" t="s">
        <v>83</v>
      </c>
      <c r="K3104" s="11" t="s">
        <v>72</v>
      </c>
      <c r="L3104" s="11" t="s">
        <v>84</v>
      </c>
      <c r="M3104" s="11" t="s">
        <v>1217</v>
      </c>
      <c r="N3104" s="11" t="s">
        <v>86</v>
      </c>
      <c r="O3104" s="11" t="s">
        <v>71</v>
      </c>
      <c r="P3104" s="11" t="s">
        <v>16780</v>
      </c>
      <c r="Q3104" s="13" t="s">
        <v>16781</v>
      </c>
      <c r="R3104" s="14" t="str">
        <f>HYPERLINK("https://drive.google.com/file/d/1mVjfglxY3YX5kO4ttjNzDmfFDwN1xKk5/view?usp=drivesdk","OFFER LETTER")</f>
        <v>OFFER LETTER</v>
      </c>
      <c r="S3104" s="11" t="s">
        <v>16782</v>
      </c>
    </row>
    <row r="3105" ht="22.5" customHeight="1">
      <c r="A3105" s="10">
        <v>46275.530225995375</v>
      </c>
      <c r="B3105" s="11" t="s">
        <v>16783</v>
      </c>
      <c r="C3105" s="11" t="s">
        <v>298</v>
      </c>
      <c r="D3105" s="11" t="s">
        <v>68</v>
      </c>
      <c r="E3105" s="12">
        <v>46275.0</v>
      </c>
      <c r="F3105" s="12">
        <v>46305.0</v>
      </c>
      <c r="G3105" s="11" t="s">
        <v>16784</v>
      </c>
      <c r="H3105" s="11">
        <v>8.309499903E9</v>
      </c>
      <c r="I3105" s="11" t="s">
        <v>82</v>
      </c>
      <c r="J3105" s="11" t="s">
        <v>71</v>
      </c>
      <c r="K3105" s="11" t="s">
        <v>72</v>
      </c>
      <c r="L3105" s="11" t="s">
        <v>84</v>
      </c>
      <c r="M3105" s="11" t="s">
        <v>15822</v>
      </c>
      <c r="N3105" s="11" t="s">
        <v>86</v>
      </c>
      <c r="O3105" s="11" t="s">
        <v>71</v>
      </c>
      <c r="P3105" s="11" t="s">
        <v>16785</v>
      </c>
      <c r="Q3105" s="13" t="s">
        <v>16786</v>
      </c>
      <c r="R3105" s="14" t="str">
        <f>HYPERLINK("https://drive.google.com/file/d/1cK_4wwrenrU2jYqJ7SRvAo8hxJzKToux/view?usp=drivesdk","OFFER LETTER")</f>
        <v>OFFER LETTER</v>
      </c>
      <c r="S3105" s="11" t="s">
        <v>16787</v>
      </c>
    </row>
    <row r="3106" ht="22.5" customHeight="1">
      <c r="A3106" s="10">
        <v>46275.532168564816</v>
      </c>
      <c r="B3106" s="11" t="s">
        <v>16783</v>
      </c>
      <c r="C3106" s="11" t="s">
        <v>298</v>
      </c>
      <c r="D3106" s="11" t="s">
        <v>68</v>
      </c>
      <c r="E3106" s="12">
        <v>46275.0</v>
      </c>
      <c r="F3106" s="12">
        <v>46305.0</v>
      </c>
      <c r="G3106" s="11" t="s">
        <v>16784</v>
      </c>
      <c r="H3106" s="11">
        <v>8.309499903E9</v>
      </c>
      <c r="I3106" s="11" t="s">
        <v>82</v>
      </c>
      <c r="J3106" s="11" t="s">
        <v>71</v>
      </c>
      <c r="K3106" s="11" t="s">
        <v>72</v>
      </c>
      <c r="L3106" s="11" t="s">
        <v>84</v>
      </c>
      <c r="M3106" s="11" t="s">
        <v>15822</v>
      </c>
      <c r="N3106" s="11" t="s">
        <v>86</v>
      </c>
      <c r="O3106" s="11" t="s">
        <v>71</v>
      </c>
      <c r="P3106" s="11" t="s">
        <v>16788</v>
      </c>
      <c r="Q3106" s="13" t="s">
        <v>16789</v>
      </c>
      <c r="R3106" s="14" t="str">
        <f>HYPERLINK("https://drive.google.com/file/d/1aI77kEtWC2wPRd1b1cmbfwvq11RdkMEC/view?usp=drivesdk","OFFER LETTER")</f>
        <v>OFFER LETTER</v>
      </c>
      <c r="S3106" s="11" t="s">
        <v>16790</v>
      </c>
    </row>
    <row r="3107" ht="22.5" customHeight="1">
      <c r="A3107" s="10">
        <v>46275.53659225695</v>
      </c>
      <c r="B3107" s="11" t="s">
        <v>16791</v>
      </c>
      <c r="C3107" s="11" t="s">
        <v>91</v>
      </c>
      <c r="D3107" s="11" t="s">
        <v>68</v>
      </c>
      <c r="E3107" s="12">
        <v>46277.0</v>
      </c>
      <c r="F3107" s="12">
        <v>46356.0</v>
      </c>
      <c r="G3107" s="11" t="s">
        <v>16792</v>
      </c>
      <c r="H3107" s="17" t="s">
        <v>16793</v>
      </c>
      <c r="I3107" s="11" t="s">
        <v>70</v>
      </c>
      <c r="J3107" s="11" t="s">
        <v>71</v>
      </c>
      <c r="K3107" s="11" t="s">
        <v>72</v>
      </c>
      <c r="L3107" s="11" t="s">
        <v>247</v>
      </c>
      <c r="M3107" s="11" t="s">
        <v>16794</v>
      </c>
      <c r="N3107" s="11" t="s">
        <v>226</v>
      </c>
      <c r="O3107" s="11" t="s">
        <v>263</v>
      </c>
      <c r="P3107" s="11" t="s">
        <v>16795</v>
      </c>
      <c r="Q3107" s="13" t="s">
        <v>16796</v>
      </c>
      <c r="R3107" s="14" t="str">
        <f>HYPERLINK("https://drive.google.com/file/d/1ynNHNp6ycBrfCslQVwxkLvJrdGy4B-qz/view?usp=drivesdk","OFFER LETTER")</f>
        <v>OFFER LETTER</v>
      </c>
      <c r="S3107" s="11" t="s">
        <v>16797</v>
      </c>
    </row>
    <row r="3108" ht="22.5" customHeight="1">
      <c r="A3108" s="10">
        <v>46275.54024353009</v>
      </c>
      <c r="B3108" s="11" t="s">
        <v>16798</v>
      </c>
      <c r="C3108" s="11" t="s">
        <v>1320</v>
      </c>
      <c r="D3108" s="11" t="s">
        <v>108</v>
      </c>
      <c r="E3108" s="12">
        <v>46167.0</v>
      </c>
      <c r="F3108" s="12">
        <v>46228.0</v>
      </c>
      <c r="G3108" s="11" t="s">
        <v>16799</v>
      </c>
      <c r="H3108" s="11">
        <v>8.085456201E9</v>
      </c>
      <c r="I3108" s="11" t="s">
        <v>70</v>
      </c>
      <c r="J3108" s="11" t="s">
        <v>71</v>
      </c>
      <c r="K3108" s="11" t="s">
        <v>72</v>
      </c>
      <c r="L3108" s="11" t="s">
        <v>73</v>
      </c>
      <c r="M3108" s="11" t="s">
        <v>13158</v>
      </c>
      <c r="N3108" s="11" t="s">
        <v>86</v>
      </c>
      <c r="O3108" s="11" t="s">
        <v>71</v>
      </c>
      <c r="P3108" s="11" t="s">
        <v>16800</v>
      </c>
      <c r="Q3108" s="13" t="s">
        <v>16801</v>
      </c>
      <c r="R3108" s="14" t="str">
        <f>HYPERLINK("https://drive.google.com/file/d/11QcdfBBk3xxIgPh-zrTESaiOfeMPODzW/view?usp=drivesdk","OFFER LETTER")</f>
        <v>OFFER LETTER</v>
      </c>
      <c r="S3108" s="11" t="s">
        <v>16802</v>
      </c>
    </row>
    <row r="3109" ht="22.5" customHeight="1">
      <c r="A3109" s="10">
        <v>46275.540272604165</v>
      </c>
      <c r="B3109" s="11" t="s">
        <v>16803</v>
      </c>
      <c r="C3109" s="11" t="s">
        <v>1320</v>
      </c>
      <c r="D3109" s="11" t="s">
        <v>108</v>
      </c>
      <c r="E3109" s="12">
        <v>46167.0</v>
      </c>
      <c r="F3109" s="12">
        <v>46228.0</v>
      </c>
      <c r="G3109" s="11" t="s">
        <v>16804</v>
      </c>
      <c r="H3109" s="11">
        <v>7.416726695E9</v>
      </c>
      <c r="I3109" s="11" t="s">
        <v>82</v>
      </c>
      <c r="J3109" s="11" t="s">
        <v>71</v>
      </c>
      <c r="K3109" s="11" t="s">
        <v>72</v>
      </c>
      <c r="L3109" s="11" t="s">
        <v>73</v>
      </c>
      <c r="M3109" s="11" t="s">
        <v>13179</v>
      </c>
      <c r="N3109" s="11" t="s">
        <v>86</v>
      </c>
      <c r="O3109" s="11" t="s">
        <v>71</v>
      </c>
      <c r="P3109" s="11" t="s">
        <v>16805</v>
      </c>
      <c r="Q3109" s="13" t="s">
        <v>16806</v>
      </c>
      <c r="R3109" s="14" t="str">
        <f>HYPERLINK("https://drive.google.com/file/d/167qP78i9ovW5aqOVDbwMPG2u5ZOpmYZK/view?usp=drivesdk","OFFER LETTER")</f>
        <v>OFFER LETTER</v>
      </c>
      <c r="S3109" s="11" t="s">
        <v>16802</v>
      </c>
    </row>
    <row r="3110" ht="22.5" customHeight="1">
      <c r="A3110" s="10">
        <v>46275.54296074074</v>
      </c>
      <c r="B3110" s="11" t="s">
        <v>16687</v>
      </c>
      <c r="C3110" s="11" t="s">
        <v>195</v>
      </c>
      <c r="D3110" s="11" t="s">
        <v>68</v>
      </c>
      <c r="E3110" s="12">
        <v>46231.0</v>
      </c>
      <c r="F3110" s="12">
        <v>46262.0</v>
      </c>
      <c r="G3110" s="11" t="s">
        <v>16807</v>
      </c>
      <c r="H3110" s="11">
        <v>8.882682096E9</v>
      </c>
      <c r="I3110" s="11" t="s">
        <v>82</v>
      </c>
      <c r="J3110" s="11" t="s">
        <v>71</v>
      </c>
      <c r="K3110" s="11" t="s">
        <v>72</v>
      </c>
      <c r="L3110" s="11" t="s">
        <v>84</v>
      </c>
      <c r="M3110" s="11" t="s">
        <v>5088</v>
      </c>
      <c r="N3110" s="11" t="s">
        <v>1722</v>
      </c>
      <c r="O3110" s="11" t="s">
        <v>71</v>
      </c>
      <c r="P3110" s="11" t="s">
        <v>16808</v>
      </c>
      <c r="Q3110" s="13" t="s">
        <v>16809</v>
      </c>
      <c r="R3110" s="14" t="str">
        <f>HYPERLINK("https://drive.google.com/file/d/1FVQLyP4Bq8P5agusT6cJE5XDgXRecM83/view?usp=drivesdk","OFFER LETTER")</f>
        <v>OFFER LETTER</v>
      </c>
      <c r="S3110" s="11" t="s">
        <v>16810</v>
      </c>
    </row>
    <row r="3111" ht="22.5" customHeight="1">
      <c r="A3111" s="10">
        <v>46275.54873523148</v>
      </c>
      <c r="B3111" s="11" t="s">
        <v>16811</v>
      </c>
      <c r="C3111" s="11" t="s">
        <v>195</v>
      </c>
      <c r="D3111" s="11" t="s">
        <v>68</v>
      </c>
      <c r="E3111" s="12">
        <v>46206.0</v>
      </c>
      <c r="F3111" s="12">
        <v>46236.0</v>
      </c>
      <c r="G3111" s="11" t="s">
        <v>16812</v>
      </c>
      <c r="H3111" s="11">
        <v>7.30773112E9</v>
      </c>
      <c r="I3111" s="11" t="s">
        <v>82</v>
      </c>
      <c r="J3111" s="11" t="s">
        <v>71</v>
      </c>
      <c r="K3111" s="11" t="s">
        <v>72</v>
      </c>
      <c r="L3111" s="11" t="s">
        <v>84</v>
      </c>
      <c r="M3111" s="11" t="s">
        <v>5124</v>
      </c>
      <c r="N3111" s="11" t="s">
        <v>75</v>
      </c>
      <c r="O3111" s="11" t="s">
        <v>71</v>
      </c>
      <c r="P3111" s="11" t="s">
        <v>16813</v>
      </c>
      <c r="Q3111" s="13" t="s">
        <v>16814</v>
      </c>
      <c r="R3111" s="14" t="str">
        <f>HYPERLINK("https://drive.google.com/file/d/1i6kKtjF_S0DTXCIuv5D4sKMO1KUUGVbi/view?usp=drivesdk","OFFER LETTER")</f>
        <v>OFFER LETTER</v>
      </c>
      <c r="S3111" s="11" t="s">
        <v>16815</v>
      </c>
    </row>
    <row r="3112" ht="22.5" customHeight="1">
      <c r="A3112" s="10">
        <v>46275.550211712965</v>
      </c>
      <c r="B3112" s="11" t="s">
        <v>16816</v>
      </c>
      <c r="C3112" s="11" t="s">
        <v>128</v>
      </c>
      <c r="D3112" s="11" t="s">
        <v>68</v>
      </c>
      <c r="E3112" s="12">
        <v>46180.0</v>
      </c>
      <c r="F3112" s="12">
        <v>46210.0</v>
      </c>
      <c r="G3112" s="11" t="s">
        <v>16817</v>
      </c>
      <c r="H3112" s="11" t="s">
        <v>16818</v>
      </c>
      <c r="I3112" s="11" t="s">
        <v>82</v>
      </c>
      <c r="J3112" s="11" t="s">
        <v>71</v>
      </c>
      <c r="K3112" s="11" t="s">
        <v>72</v>
      </c>
      <c r="L3112" s="11" t="s">
        <v>84</v>
      </c>
      <c r="M3112" s="11" t="s">
        <v>2535</v>
      </c>
      <c r="N3112" s="11" t="s">
        <v>86</v>
      </c>
      <c r="O3112" s="11" t="s">
        <v>71</v>
      </c>
      <c r="P3112" s="11" t="s">
        <v>16819</v>
      </c>
      <c r="Q3112" s="13" t="s">
        <v>16820</v>
      </c>
      <c r="R3112" s="14" t="str">
        <f>HYPERLINK("https://drive.google.com/file/d/1B5Id_675nrbh2fvoiPaZZwAOWL3cJfLu/view?usp=drivesdk","OFFER LETTER")</f>
        <v>OFFER LETTER</v>
      </c>
      <c r="S3112" s="11" t="s">
        <v>16821</v>
      </c>
    </row>
    <row r="3113" ht="22.5" customHeight="1">
      <c r="A3113" s="10">
        <v>46275.55222744213</v>
      </c>
      <c r="B3113" s="11" t="s">
        <v>16822</v>
      </c>
      <c r="C3113" s="11" t="s">
        <v>173</v>
      </c>
      <c r="D3113" s="11" t="s">
        <v>68</v>
      </c>
      <c r="E3113" s="12">
        <v>46175.0</v>
      </c>
      <c r="F3113" s="12">
        <v>46175.0</v>
      </c>
      <c r="G3113" s="11" t="s">
        <v>16763</v>
      </c>
      <c r="H3113" s="11">
        <v>9.266378948E9</v>
      </c>
      <c r="I3113" s="11" t="s">
        <v>82</v>
      </c>
      <c r="J3113" s="11" t="s">
        <v>71</v>
      </c>
      <c r="K3113" s="11" t="s">
        <v>72</v>
      </c>
      <c r="L3113" s="11" t="s">
        <v>357</v>
      </c>
      <c r="M3113" s="11" t="s">
        <v>1217</v>
      </c>
      <c r="N3113" s="11" t="s">
        <v>75</v>
      </c>
      <c r="O3113" s="11" t="s">
        <v>71</v>
      </c>
      <c r="P3113" s="11" t="s">
        <v>16823</v>
      </c>
      <c r="Q3113" s="13" t="s">
        <v>16824</v>
      </c>
      <c r="R3113" s="14" t="str">
        <f>HYPERLINK("https://drive.google.com/file/d/1AZj6bpP6oYuO83iFb5uJmz-R_NFS87Oy/view?usp=drivesdk","OFFER LETTER")</f>
        <v>OFFER LETTER</v>
      </c>
      <c r="S3113" s="11" t="s">
        <v>16825</v>
      </c>
    </row>
    <row r="3114" ht="22.5" customHeight="1">
      <c r="A3114" s="10">
        <v>46275.558063958335</v>
      </c>
      <c r="B3114" s="11" t="s">
        <v>16826</v>
      </c>
      <c r="C3114" s="11" t="s">
        <v>173</v>
      </c>
      <c r="D3114" s="11" t="s">
        <v>68</v>
      </c>
      <c r="E3114" s="12">
        <v>46275.0</v>
      </c>
      <c r="F3114" s="12">
        <v>46305.0</v>
      </c>
      <c r="G3114" s="11" t="s">
        <v>16827</v>
      </c>
      <c r="H3114" s="11">
        <v>6.299823007E9</v>
      </c>
      <c r="I3114" s="11" t="s">
        <v>70</v>
      </c>
      <c r="J3114" s="11" t="s">
        <v>71</v>
      </c>
      <c r="K3114" s="11" t="s">
        <v>110</v>
      </c>
      <c r="L3114" s="11" t="s">
        <v>73</v>
      </c>
      <c r="M3114" s="11" t="s">
        <v>16828</v>
      </c>
      <c r="N3114" s="11" t="s">
        <v>86</v>
      </c>
      <c r="O3114" s="11" t="s">
        <v>71</v>
      </c>
      <c r="P3114" s="11" t="s">
        <v>16829</v>
      </c>
      <c r="Q3114" s="13" t="s">
        <v>16830</v>
      </c>
      <c r="R3114" s="14" t="str">
        <f>HYPERLINK("https://drive.google.com/file/d/1MH-KLJqIU-UDTwAUU7NmdHP7xOr0Yszp/view?usp=drivesdk","OFFER LETTER")</f>
        <v>OFFER LETTER</v>
      </c>
      <c r="S3114" s="11" t="s">
        <v>16831</v>
      </c>
    </row>
    <row r="3115" ht="22.5" customHeight="1">
      <c r="A3115" s="10">
        <v>46275.5641494213</v>
      </c>
      <c r="B3115" s="11" t="s">
        <v>16832</v>
      </c>
      <c r="C3115" s="11" t="s">
        <v>128</v>
      </c>
      <c r="D3115" s="11" t="s">
        <v>68</v>
      </c>
      <c r="E3115" s="12">
        <v>46276.0</v>
      </c>
      <c r="F3115" s="12">
        <v>46295.0</v>
      </c>
      <c r="G3115" s="11" t="s">
        <v>16833</v>
      </c>
      <c r="H3115" s="11">
        <v>9.993894214E9</v>
      </c>
      <c r="I3115" s="11" t="s">
        <v>82</v>
      </c>
      <c r="J3115" s="11" t="s">
        <v>71</v>
      </c>
      <c r="K3115" s="11" t="s">
        <v>72</v>
      </c>
      <c r="L3115" s="11" t="s">
        <v>247</v>
      </c>
      <c r="M3115" s="11" t="s">
        <v>16834</v>
      </c>
      <c r="N3115" s="11" t="s">
        <v>75</v>
      </c>
      <c r="O3115" s="11" t="s">
        <v>71</v>
      </c>
      <c r="P3115" s="11" t="s">
        <v>16835</v>
      </c>
      <c r="Q3115" s="13" t="s">
        <v>16836</v>
      </c>
      <c r="R3115" s="14" t="str">
        <f>HYPERLINK("https://drive.google.com/file/d/1JtsAFzuRzMuJ63avn8bxEjHPEKrPNjWl/view?usp=drivesdk","OFFER LETTER")</f>
        <v>OFFER LETTER</v>
      </c>
      <c r="S3115" s="11" t="s">
        <v>16837</v>
      </c>
    </row>
    <row r="3116" ht="22.5" customHeight="1">
      <c r="A3116" s="10">
        <v>46275.57286475695</v>
      </c>
      <c r="B3116" s="11" t="s">
        <v>16838</v>
      </c>
      <c r="C3116" s="11" t="s">
        <v>195</v>
      </c>
      <c r="D3116" s="11" t="s">
        <v>68</v>
      </c>
      <c r="E3116" s="12">
        <v>46275.0</v>
      </c>
      <c r="F3116" s="12">
        <v>46305.0</v>
      </c>
      <c r="G3116" s="11" t="s">
        <v>16839</v>
      </c>
      <c r="H3116" s="17" t="s">
        <v>16840</v>
      </c>
      <c r="I3116" s="11" t="s">
        <v>70</v>
      </c>
      <c r="J3116" s="11" t="s">
        <v>83</v>
      </c>
      <c r="K3116" s="11" t="s">
        <v>72</v>
      </c>
      <c r="L3116" s="11" t="s">
        <v>131</v>
      </c>
      <c r="M3116" s="11" t="s">
        <v>16841</v>
      </c>
      <c r="N3116" s="11" t="s">
        <v>133</v>
      </c>
      <c r="O3116" s="11" t="s">
        <v>71</v>
      </c>
      <c r="P3116" s="11" t="s">
        <v>16842</v>
      </c>
      <c r="Q3116" s="13" t="s">
        <v>16843</v>
      </c>
      <c r="R3116" s="14" t="str">
        <f>HYPERLINK("https://drive.google.com/file/d/16o4HO4CG7-0WN6xe9gcvZWchYznfnuqE/view?usp=drivesdk","OFFER LETTER")</f>
        <v>OFFER LETTER</v>
      </c>
      <c r="S3116" s="11" t="s">
        <v>16844</v>
      </c>
    </row>
    <row r="3117" ht="22.5" customHeight="1">
      <c r="A3117" s="10">
        <v>46275.574406354164</v>
      </c>
      <c r="B3117" s="11" t="s">
        <v>16845</v>
      </c>
      <c r="C3117" s="11" t="s">
        <v>107</v>
      </c>
      <c r="D3117" s="11" t="s">
        <v>68</v>
      </c>
      <c r="E3117" s="12">
        <v>46199.0</v>
      </c>
      <c r="F3117" s="12">
        <v>46229.0</v>
      </c>
      <c r="G3117" s="11" t="s">
        <v>16660</v>
      </c>
      <c r="H3117" s="11">
        <v>9.597667771E9</v>
      </c>
      <c r="I3117" s="11" t="s">
        <v>82</v>
      </c>
      <c r="J3117" s="11" t="s">
        <v>71</v>
      </c>
      <c r="K3117" s="11" t="s">
        <v>72</v>
      </c>
      <c r="L3117" s="11" t="s">
        <v>73</v>
      </c>
      <c r="M3117" s="11" t="s">
        <v>14925</v>
      </c>
      <c r="N3117" s="11" t="s">
        <v>86</v>
      </c>
      <c r="O3117" s="11" t="s">
        <v>71</v>
      </c>
      <c r="P3117" s="11" t="s">
        <v>16846</v>
      </c>
      <c r="Q3117" s="13" t="s">
        <v>16847</v>
      </c>
      <c r="R3117" s="14" t="str">
        <f>HYPERLINK("https://drive.google.com/file/d/1jxBdjLiQDqnRqfLPZnxi3n0td2Jz4spf/view?usp=drivesdk","OFFER LETTER")</f>
        <v>OFFER LETTER</v>
      </c>
      <c r="S3117" s="11" t="s">
        <v>16848</v>
      </c>
    </row>
    <row r="3118" ht="22.5" customHeight="1">
      <c r="A3118" s="10">
        <v>46275.576435104165</v>
      </c>
      <c r="B3118" s="11" t="s">
        <v>16849</v>
      </c>
      <c r="C3118" s="11" t="s">
        <v>195</v>
      </c>
      <c r="D3118" s="11" t="s">
        <v>68</v>
      </c>
      <c r="E3118" s="12">
        <v>46205.0</v>
      </c>
      <c r="F3118" s="12">
        <v>46236.0</v>
      </c>
      <c r="G3118" s="11" t="s">
        <v>16850</v>
      </c>
      <c r="H3118" s="11">
        <v>8.279909339E9</v>
      </c>
      <c r="I3118" s="11" t="s">
        <v>82</v>
      </c>
      <c r="J3118" s="11" t="s">
        <v>71</v>
      </c>
      <c r="K3118" s="11" t="s">
        <v>72</v>
      </c>
      <c r="L3118" s="11" t="s">
        <v>84</v>
      </c>
      <c r="M3118" s="11" t="s">
        <v>8202</v>
      </c>
      <c r="N3118" s="11" t="s">
        <v>155</v>
      </c>
      <c r="O3118" s="11" t="s">
        <v>71</v>
      </c>
      <c r="P3118" s="11" t="s">
        <v>16851</v>
      </c>
      <c r="Q3118" s="13" t="s">
        <v>16852</v>
      </c>
      <c r="R3118" s="14" t="str">
        <f>HYPERLINK("https://drive.google.com/file/d/1bL9YzYD26rQoXn9KG89AM1waSlXdFVAm/view?usp=drivesdk","OFFER LETTER")</f>
        <v>OFFER LETTER</v>
      </c>
      <c r="S3118" s="11" t="s">
        <v>16853</v>
      </c>
    </row>
    <row r="3119" ht="22.5" customHeight="1">
      <c r="A3119" s="10">
        <v>46275.58299178241</v>
      </c>
      <c r="B3119" s="11" t="s">
        <v>16854</v>
      </c>
      <c r="C3119" s="11" t="s">
        <v>67</v>
      </c>
      <c r="D3119" s="11" t="s">
        <v>68</v>
      </c>
      <c r="E3119" s="12">
        <v>46213.0</v>
      </c>
      <c r="F3119" s="12">
        <v>46244.0</v>
      </c>
      <c r="G3119" s="11" t="s">
        <v>16660</v>
      </c>
      <c r="H3119" s="11">
        <v>9.597667771E9</v>
      </c>
      <c r="I3119" s="11" t="s">
        <v>82</v>
      </c>
      <c r="J3119" s="11" t="s">
        <v>71</v>
      </c>
      <c r="K3119" s="11" t="s">
        <v>72</v>
      </c>
      <c r="L3119" s="11" t="s">
        <v>73</v>
      </c>
      <c r="M3119" s="11" t="s">
        <v>14925</v>
      </c>
      <c r="N3119" s="11" t="s">
        <v>86</v>
      </c>
      <c r="O3119" s="11" t="s">
        <v>71</v>
      </c>
      <c r="P3119" s="11" t="s">
        <v>16855</v>
      </c>
      <c r="Q3119" s="13" t="s">
        <v>16856</v>
      </c>
      <c r="R3119" s="14" t="str">
        <f>HYPERLINK("https://drive.google.com/file/d/1FNhzcaZA_WDjUZgKkENshqMgOAwDK-Yg/view?usp=drivesdk","OFFER LETTER")</f>
        <v>OFFER LETTER</v>
      </c>
      <c r="S3119" s="11" t="s">
        <v>16857</v>
      </c>
    </row>
    <row r="3120" ht="22.5" customHeight="1">
      <c r="A3120" s="10">
        <v>46275.58535314815</v>
      </c>
      <c r="B3120" s="11" t="s">
        <v>16858</v>
      </c>
      <c r="C3120" s="11" t="s">
        <v>173</v>
      </c>
      <c r="D3120" s="11" t="s">
        <v>68</v>
      </c>
      <c r="E3120" s="12">
        <v>46275.0</v>
      </c>
      <c r="F3120" s="12">
        <v>46305.0</v>
      </c>
      <c r="G3120" s="11" t="s">
        <v>16859</v>
      </c>
      <c r="H3120" s="11">
        <v>9.755760019E9</v>
      </c>
      <c r="I3120" s="11" t="s">
        <v>82</v>
      </c>
      <c r="J3120" s="11" t="s">
        <v>130</v>
      </c>
      <c r="K3120" s="11" t="s">
        <v>110</v>
      </c>
      <c r="L3120" s="11" t="s">
        <v>73</v>
      </c>
      <c r="M3120" s="11" t="s">
        <v>16860</v>
      </c>
      <c r="N3120" s="11" t="s">
        <v>226</v>
      </c>
      <c r="O3120" s="11" t="s">
        <v>263</v>
      </c>
      <c r="P3120" s="11" t="s">
        <v>16861</v>
      </c>
      <c r="Q3120" s="13" t="s">
        <v>16862</v>
      </c>
      <c r="R3120" s="14" t="str">
        <f>HYPERLINK("https://drive.google.com/file/d/1WDa1GOY5RXfCXeAMZVzKPSgjpNvlbXQX/view?usp=drivesdk","OFFER LETTER")</f>
        <v>OFFER LETTER</v>
      </c>
      <c r="S3120" s="11" t="s">
        <v>16863</v>
      </c>
    </row>
    <row r="3121" ht="22.5" customHeight="1">
      <c r="A3121" s="10">
        <v>46275.58583618056</v>
      </c>
      <c r="B3121" s="11" t="s">
        <v>16864</v>
      </c>
      <c r="C3121" s="11" t="s">
        <v>195</v>
      </c>
      <c r="D3121" s="11" t="s">
        <v>68</v>
      </c>
      <c r="E3121" s="12">
        <v>46205.0</v>
      </c>
      <c r="F3121" s="12">
        <v>46236.0</v>
      </c>
      <c r="G3121" s="11" t="s">
        <v>16850</v>
      </c>
      <c r="H3121" s="11">
        <v>8.279909339E9</v>
      </c>
      <c r="I3121" s="11" t="s">
        <v>82</v>
      </c>
      <c r="J3121" s="11" t="s">
        <v>71</v>
      </c>
      <c r="K3121" s="11" t="s">
        <v>72</v>
      </c>
      <c r="L3121" s="11" t="s">
        <v>84</v>
      </c>
      <c r="M3121" s="11" t="s">
        <v>8202</v>
      </c>
      <c r="N3121" s="11" t="s">
        <v>155</v>
      </c>
      <c r="O3121" s="11" t="s">
        <v>71</v>
      </c>
      <c r="P3121" s="11" t="s">
        <v>16865</v>
      </c>
      <c r="Q3121" s="13" t="s">
        <v>16866</v>
      </c>
      <c r="R3121" s="14" t="str">
        <f>HYPERLINK("https://drive.google.com/file/d/18DAZkgS3nH6husgdhOWkKn-qHnUJHYRO/view?usp=drivesdk","OFFER LETTER")</f>
        <v>OFFER LETTER</v>
      </c>
      <c r="S3121" s="11" t="s">
        <v>16867</v>
      </c>
    </row>
    <row r="3122" ht="22.5" customHeight="1">
      <c r="A3122" s="10">
        <v>46275.588187905094</v>
      </c>
      <c r="B3122" s="11" t="s">
        <v>16868</v>
      </c>
      <c r="C3122" s="11" t="s">
        <v>91</v>
      </c>
      <c r="D3122" s="11" t="s">
        <v>68</v>
      </c>
      <c r="E3122" s="12">
        <v>46244.0</v>
      </c>
      <c r="F3122" s="12">
        <v>46275.0</v>
      </c>
      <c r="G3122" s="11" t="s">
        <v>16869</v>
      </c>
      <c r="H3122" s="11">
        <v>8.297224322E9</v>
      </c>
      <c r="I3122" s="11" t="s">
        <v>82</v>
      </c>
      <c r="J3122" s="11" t="s">
        <v>71</v>
      </c>
      <c r="K3122" s="11" t="s">
        <v>72</v>
      </c>
      <c r="L3122" s="11" t="s">
        <v>84</v>
      </c>
      <c r="M3122" s="11" t="s">
        <v>140</v>
      </c>
      <c r="N3122" s="11" t="s">
        <v>86</v>
      </c>
      <c r="O3122" s="11" t="s">
        <v>71</v>
      </c>
      <c r="P3122" s="11" t="s">
        <v>16870</v>
      </c>
      <c r="Q3122" s="13" t="s">
        <v>16871</v>
      </c>
      <c r="R3122" s="14" t="str">
        <f>HYPERLINK("https://drive.google.com/file/d/1k1PnZomJVGbNsem734Ar6ltupe605hkb/view?usp=drivesdk","OFFER LETTER")</f>
        <v>OFFER LETTER</v>
      </c>
      <c r="S3122" s="11" t="s">
        <v>16872</v>
      </c>
    </row>
    <row r="3123" ht="22.5" customHeight="1">
      <c r="A3123" s="10">
        <v>46275.5908578588</v>
      </c>
      <c r="B3123" s="11" t="s">
        <v>6113</v>
      </c>
      <c r="C3123" s="11" t="s">
        <v>195</v>
      </c>
      <c r="D3123" s="11" t="s">
        <v>68</v>
      </c>
      <c r="E3123" s="12">
        <v>46239.0</v>
      </c>
      <c r="F3123" s="12">
        <v>46270.0</v>
      </c>
      <c r="G3123" s="11" t="s">
        <v>16873</v>
      </c>
      <c r="H3123" s="11">
        <v>6.202582122E9</v>
      </c>
      <c r="I3123" s="11" t="s">
        <v>82</v>
      </c>
      <c r="J3123" s="11" t="s">
        <v>71</v>
      </c>
      <c r="K3123" s="11" t="s">
        <v>72</v>
      </c>
      <c r="L3123" s="11" t="s">
        <v>84</v>
      </c>
      <c r="M3123" s="11" t="s">
        <v>1073</v>
      </c>
      <c r="N3123" s="11" t="s">
        <v>226</v>
      </c>
      <c r="O3123" s="11" t="s">
        <v>71</v>
      </c>
      <c r="P3123" s="11" t="s">
        <v>16874</v>
      </c>
      <c r="Q3123" s="13" t="s">
        <v>16875</v>
      </c>
      <c r="R3123" s="14" t="str">
        <f>HYPERLINK("https://drive.google.com/file/d/1fVNCpyJEXucr4qd_XOVTBS6Z6LiFq3xq/view?usp=drivesdk","OFFER LETTER")</f>
        <v>OFFER LETTER</v>
      </c>
      <c r="S3123" s="11" t="s">
        <v>16876</v>
      </c>
    </row>
    <row r="3124" ht="22.5" customHeight="1">
      <c r="A3124" s="10">
        <v>46275.59287578704</v>
      </c>
      <c r="B3124" s="11" t="s">
        <v>16877</v>
      </c>
      <c r="C3124" s="11" t="s">
        <v>1200</v>
      </c>
      <c r="D3124" s="11" t="s">
        <v>68</v>
      </c>
      <c r="E3124" s="12">
        <v>46204.0</v>
      </c>
      <c r="F3124" s="12">
        <v>46235.0</v>
      </c>
      <c r="G3124" s="11" t="s">
        <v>16878</v>
      </c>
      <c r="H3124" s="11">
        <v>7.858850415E9</v>
      </c>
      <c r="I3124" s="11" t="s">
        <v>70</v>
      </c>
      <c r="J3124" s="11" t="s">
        <v>71</v>
      </c>
      <c r="K3124" s="11" t="s">
        <v>72</v>
      </c>
      <c r="L3124" s="11" t="s">
        <v>84</v>
      </c>
      <c r="M3124" s="11" t="s">
        <v>1073</v>
      </c>
      <c r="N3124" s="11" t="s">
        <v>241</v>
      </c>
      <c r="O3124" s="11" t="s">
        <v>71</v>
      </c>
      <c r="P3124" s="11" t="s">
        <v>16879</v>
      </c>
      <c r="Q3124" s="13" t="s">
        <v>16880</v>
      </c>
      <c r="R3124" s="14" t="str">
        <f>HYPERLINK("https://drive.google.com/file/d/1YLj7Kf4u2v7Z6yrjiAkBahPbBeYnln1w/view?usp=drivesdk","OFFER LETTER")</f>
        <v>OFFER LETTER</v>
      </c>
      <c r="S3124" s="11" t="s">
        <v>16881</v>
      </c>
    </row>
    <row r="3125" ht="22.5" customHeight="1">
      <c r="A3125" s="10">
        <v>46275.59470267361</v>
      </c>
      <c r="B3125" s="11" t="s">
        <v>16882</v>
      </c>
      <c r="C3125" s="11" t="s">
        <v>195</v>
      </c>
      <c r="D3125" s="11" t="s">
        <v>68</v>
      </c>
      <c r="E3125" s="12">
        <v>46233.0</v>
      </c>
      <c r="F3125" s="12">
        <v>46264.0</v>
      </c>
      <c r="G3125" s="11" t="s">
        <v>16883</v>
      </c>
      <c r="H3125" s="11">
        <v>9.259681989E9</v>
      </c>
      <c r="I3125" s="11" t="s">
        <v>70</v>
      </c>
      <c r="J3125" s="11" t="s">
        <v>71</v>
      </c>
      <c r="K3125" s="11" t="s">
        <v>72</v>
      </c>
      <c r="L3125" s="11" t="s">
        <v>84</v>
      </c>
      <c r="M3125" s="11" t="s">
        <v>886</v>
      </c>
      <c r="N3125" s="11" t="s">
        <v>16884</v>
      </c>
      <c r="O3125" s="11" t="s">
        <v>71</v>
      </c>
      <c r="P3125" s="11" t="s">
        <v>16885</v>
      </c>
      <c r="Q3125" s="13" t="s">
        <v>16886</v>
      </c>
      <c r="R3125" s="14" t="str">
        <f>HYPERLINK("https://drive.google.com/file/d/1iD3WUPyewmMvggNa2MYy6iUp1ob7mlZ_/view?usp=drivesdk","OFFER LETTER")</f>
        <v>OFFER LETTER</v>
      </c>
      <c r="S3125" s="11" t="s">
        <v>16887</v>
      </c>
    </row>
    <row r="3126" ht="22.5" customHeight="1">
      <c r="A3126" s="10">
        <v>46275.59987193287</v>
      </c>
      <c r="B3126" s="11" t="s">
        <v>9674</v>
      </c>
      <c r="C3126" s="11" t="s">
        <v>195</v>
      </c>
      <c r="D3126" s="11" t="s">
        <v>8221</v>
      </c>
      <c r="E3126" s="12">
        <v>46275.0</v>
      </c>
      <c r="F3126" s="12">
        <v>46320.0</v>
      </c>
      <c r="G3126" s="11" t="s">
        <v>16888</v>
      </c>
      <c r="H3126" s="11">
        <v>9.229107622E9</v>
      </c>
      <c r="I3126" s="11" t="s">
        <v>70</v>
      </c>
      <c r="J3126" s="11" t="s">
        <v>71</v>
      </c>
      <c r="K3126" s="11" t="s">
        <v>167</v>
      </c>
      <c r="L3126" s="11" t="s">
        <v>84</v>
      </c>
      <c r="M3126" s="11" t="s">
        <v>16889</v>
      </c>
      <c r="N3126" s="11" t="s">
        <v>226</v>
      </c>
      <c r="O3126" s="11" t="s">
        <v>71</v>
      </c>
      <c r="P3126" s="11" t="s">
        <v>16890</v>
      </c>
      <c r="Q3126" s="13" t="s">
        <v>16891</v>
      </c>
      <c r="R3126" s="14" t="str">
        <f>HYPERLINK("https://drive.google.com/file/d/1xYM3YSjLHOzMfOqgdHHQwKYOhGqCyUG3/view?usp=drivesdk","OFFER LETTER")</f>
        <v>OFFER LETTER</v>
      </c>
      <c r="S3126" s="11" t="s">
        <v>16892</v>
      </c>
    </row>
    <row r="3127" ht="22.5" customHeight="1">
      <c r="A3127" s="10">
        <v>46275.6001971875</v>
      </c>
      <c r="B3127" s="11" t="s">
        <v>16893</v>
      </c>
      <c r="C3127" s="11" t="s">
        <v>195</v>
      </c>
      <c r="D3127" s="11" t="s">
        <v>68</v>
      </c>
      <c r="E3127" s="12">
        <v>46239.0</v>
      </c>
      <c r="F3127" s="12">
        <v>46270.0</v>
      </c>
      <c r="G3127" s="11" t="s">
        <v>16894</v>
      </c>
      <c r="H3127" s="11">
        <v>9.580939424E9</v>
      </c>
      <c r="I3127" s="11" t="s">
        <v>82</v>
      </c>
      <c r="J3127" s="11" t="s">
        <v>71</v>
      </c>
      <c r="K3127" s="11" t="s">
        <v>72</v>
      </c>
      <c r="L3127" s="11" t="s">
        <v>84</v>
      </c>
      <c r="M3127" s="11" t="s">
        <v>2655</v>
      </c>
      <c r="N3127" s="11" t="s">
        <v>226</v>
      </c>
      <c r="O3127" s="11" t="s">
        <v>71</v>
      </c>
      <c r="P3127" s="11" t="s">
        <v>16895</v>
      </c>
      <c r="Q3127" s="13" t="s">
        <v>16896</v>
      </c>
      <c r="R3127" s="14" t="str">
        <f>HYPERLINK("https://drive.google.com/file/d/1iQfzQYEvv9B3aeBiJyX_740ZK8OY-Jup/view?usp=drivesdk","OFFER LETTER")</f>
        <v>OFFER LETTER</v>
      </c>
      <c r="S3127" s="11" t="s">
        <v>16892</v>
      </c>
    </row>
    <row r="3128" ht="22.5" customHeight="1">
      <c r="A3128" s="10">
        <v>46275.60683509259</v>
      </c>
      <c r="B3128" s="11" t="s">
        <v>16897</v>
      </c>
      <c r="C3128" s="11" t="s">
        <v>237</v>
      </c>
      <c r="D3128" s="11" t="s">
        <v>68</v>
      </c>
      <c r="E3128" s="12">
        <v>46241.0</v>
      </c>
      <c r="F3128" s="12">
        <v>46271.0</v>
      </c>
      <c r="G3128" s="11" t="s">
        <v>16898</v>
      </c>
      <c r="H3128" s="11">
        <v>8.130910061E9</v>
      </c>
      <c r="I3128" s="11" t="s">
        <v>82</v>
      </c>
      <c r="J3128" s="11" t="s">
        <v>83</v>
      </c>
      <c r="K3128" s="11" t="s">
        <v>72</v>
      </c>
      <c r="L3128" s="11" t="s">
        <v>84</v>
      </c>
      <c r="M3128" s="11" t="s">
        <v>560</v>
      </c>
      <c r="N3128" s="11" t="s">
        <v>75</v>
      </c>
      <c r="O3128" s="11" t="s">
        <v>71</v>
      </c>
      <c r="P3128" s="11" t="s">
        <v>16899</v>
      </c>
      <c r="Q3128" s="13" t="s">
        <v>16900</v>
      </c>
      <c r="R3128" s="14" t="str">
        <f>HYPERLINK("https://drive.google.com/file/d/1eqWRzcPSDYyF4tXHaNdhItwZnLATPNNm/view?usp=drivesdk","OFFER LETTER")</f>
        <v>OFFER LETTER</v>
      </c>
      <c r="S3128" s="11" t="s">
        <v>16901</v>
      </c>
    </row>
    <row r="3129" ht="22.5" customHeight="1">
      <c r="A3129" s="10">
        <v>46275.608476678244</v>
      </c>
      <c r="B3129" s="11" t="s">
        <v>16902</v>
      </c>
      <c r="C3129" s="11" t="s">
        <v>173</v>
      </c>
      <c r="D3129" s="11" t="s">
        <v>68</v>
      </c>
      <c r="E3129" s="12">
        <v>46179.0</v>
      </c>
      <c r="F3129" s="12">
        <v>46209.0</v>
      </c>
      <c r="G3129" s="11" t="s">
        <v>16903</v>
      </c>
      <c r="H3129" s="11">
        <v>6.382003836E9</v>
      </c>
      <c r="I3129" s="11" t="s">
        <v>82</v>
      </c>
      <c r="J3129" s="11" t="s">
        <v>71</v>
      </c>
      <c r="K3129" s="11" t="s">
        <v>72</v>
      </c>
      <c r="L3129" s="11" t="s">
        <v>84</v>
      </c>
      <c r="M3129" s="11" t="s">
        <v>16904</v>
      </c>
      <c r="N3129" s="11" t="s">
        <v>86</v>
      </c>
      <c r="O3129" s="11" t="s">
        <v>71</v>
      </c>
      <c r="P3129" s="11" t="s">
        <v>16905</v>
      </c>
      <c r="Q3129" s="13" t="s">
        <v>16906</v>
      </c>
      <c r="R3129" s="14" t="str">
        <f>HYPERLINK("https://drive.google.com/file/d/1BZwsqGCGs17evPumKvlC0omOd3-haqVZ/view?usp=drivesdk","OFFER LETTER")</f>
        <v>OFFER LETTER</v>
      </c>
      <c r="S3129" s="11" t="s">
        <v>16907</v>
      </c>
    </row>
    <row r="3130" ht="22.5" customHeight="1">
      <c r="A3130" s="10">
        <v>46275.61288341435</v>
      </c>
      <c r="B3130" s="11" t="s">
        <v>16908</v>
      </c>
      <c r="C3130" s="11" t="s">
        <v>195</v>
      </c>
      <c r="D3130" s="11" t="s">
        <v>68</v>
      </c>
      <c r="E3130" s="12">
        <v>46181.0</v>
      </c>
      <c r="F3130" s="12">
        <v>46211.0</v>
      </c>
      <c r="G3130" s="11" t="s">
        <v>16909</v>
      </c>
      <c r="H3130" s="11">
        <v>9.910915534E9</v>
      </c>
      <c r="I3130" s="11" t="s">
        <v>82</v>
      </c>
      <c r="J3130" s="11" t="s">
        <v>71</v>
      </c>
      <c r="K3130" s="11" t="s">
        <v>72</v>
      </c>
      <c r="L3130" s="11" t="s">
        <v>84</v>
      </c>
      <c r="M3130" s="11" t="s">
        <v>2535</v>
      </c>
      <c r="N3130" s="11" t="s">
        <v>226</v>
      </c>
      <c r="O3130" s="11" t="s">
        <v>71</v>
      </c>
      <c r="P3130" s="11" t="s">
        <v>16910</v>
      </c>
      <c r="Q3130" s="13" t="s">
        <v>16911</v>
      </c>
      <c r="R3130" s="14" t="str">
        <f>HYPERLINK("https://drive.google.com/file/d/1qxGhQDri7eOea65N_sUJZEcr-vwptYdb/view?usp=drivesdk","OFFER LETTER")</f>
        <v>OFFER LETTER</v>
      </c>
      <c r="S3130" s="11" t="s">
        <v>16912</v>
      </c>
    </row>
    <row r="3131" ht="22.5" customHeight="1">
      <c r="A3131" s="10">
        <v>46275.61523501157</v>
      </c>
      <c r="B3131" s="11" t="s">
        <v>16913</v>
      </c>
      <c r="C3131" s="11" t="s">
        <v>1200</v>
      </c>
      <c r="D3131" s="11" t="s">
        <v>68</v>
      </c>
      <c r="E3131" s="12">
        <v>46204.0</v>
      </c>
      <c r="F3131" s="12">
        <v>46266.0</v>
      </c>
      <c r="G3131" s="11" t="s">
        <v>16914</v>
      </c>
      <c r="H3131" s="11">
        <v>7.858850415E9</v>
      </c>
      <c r="I3131" s="11" t="s">
        <v>70</v>
      </c>
      <c r="J3131" s="11" t="s">
        <v>71</v>
      </c>
      <c r="K3131" s="11" t="s">
        <v>72</v>
      </c>
      <c r="L3131" s="11" t="s">
        <v>84</v>
      </c>
      <c r="M3131" s="11" t="s">
        <v>16915</v>
      </c>
      <c r="N3131" s="11" t="s">
        <v>241</v>
      </c>
      <c r="O3131" s="11" t="s">
        <v>71</v>
      </c>
      <c r="P3131" s="11" t="s">
        <v>16916</v>
      </c>
      <c r="Q3131" s="13" t="s">
        <v>16917</v>
      </c>
      <c r="R3131" s="14" t="str">
        <f>HYPERLINK("https://drive.google.com/file/d/1A09-MvKwEMcjVG_o_qNfHK-s5PtjSivi/view?usp=drivesdk","OFFER LETTER")</f>
        <v>OFFER LETTER</v>
      </c>
      <c r="S3131" s="11" t="s">
        <v>16918</v>
      </c>
    </row>
    <row r="3132" ht="22.5" customHeight="1">
      <c r="A3132" s="10">
        <v>46275.627982199076</v>
      </c>
      <c r="B3132" s="11" t="s">
        <v>16919</v>
      </c>
      <c r="C3132" s="11" t="s">
        <v>195</v>
      </c>
      <c r="D3132" s="11" t="s">
        <v>68</v>
      </c>
      <c r="E3132" s="12">
        <v>46242.0</v>
      </c>
      <c r="F3132" s="12">
        <v>46272.0</v>
      </c>
      <c r="G3132" s="11" t="s">
        <v>16920</v>
      </c>
      <c r="H3132" s="11">
        <v>7.05503459E9</v>
      </c>
      <c r="I3132" s="11" t="s">
        <v>82</v>
      </c>
      <c r="J3132" s="11" t="s">
        <v>71</v>
      </c>
      <c r="K3132" s="11" t="s">
        <v>72</v>
      </c>
      <c r="L3132" s="11" t="s">
        <v>84</v>
      </c>
      <c r="M3132" s="11" t="s">
        <v>560</v>
      </c>
      <c r="N3132" s="11" t="s">
        <v>3663</v>
      </c>
      <c r="O3132" s="11" t="s">
        <v>71</v>
      </c>
      <c r="P3132" s="11" t="s">
        <v>16921</v>
      </c>
      <c r="Q3132" s="13" t="s">
        <v>16922</v>
      </c>
      <c r="R3132" s="14" t="str">
        <f>HYPERLINK("https://drive.google.com/file/d/1qThzw6mY-gvQIJi5MPVYYu8Oh1ydXrt7/view?usp=drivesdk","OFFER LETTER")</f>
        <v>OFFER LETTER</v>
      </c>
      <c r="S3132" s="11" t="s">
        <v>16923</v>
      </c>
    </row>
    <row r="3133" ht="22.5" customHeight="1">
      <c r="A3133" s="10">
        <v>46275.63384674769</v>
      </c>
      <c r="B3133" s="11" t="s">
        <v>16924</v>
      </c>
      <c r="C3133" s="11" t="s">
        <v>91</v>
      </c>
      <c r="D3133" s="11" t="s">
        <v>68</v>
      </c>
      <c r="E3133" s="12">
        <v>46237.0</v>
      </c>
      <c r="F3133" s="12">
        <v>46268.0</v>
      </c>
      <c r="G3133" s="11" t="s">
        <v>16925</v>
      </c>
      <c r="H3133" s="11">
        <v>9.084687441E9</v>
      </c>
      <c r="I3133" s="11" t="s">
        <v>82</v>
      </c>
      <c r="J3133" s="11" t="s">
        <v>71</v>
      </c>
      <c r="K3133" s="11" t="s">
        <v>72</v>
      </c>
      <c r="L3133" s="11" t="s">
        <v>84</v>
      </c>
      <c r="M3133" s="11" t="s">
        <v>560</v>
      </c>
      <c r="N3133" s="11" t="s">
        <v>219</v>
      </c>
      <c r="O3133" s="11" t="s">
        <v>71</v>
      </c>
      <c r="P3133" s="11" t="s">
        <v>16926</v>
      </c>
      <c r="Q3133" s="13" t="s">
        <v>16927</v>
      </c>
      <c r="R3133" s="14" t="str">
        <f>HYPERLINK("https://drive.google.com/file/d/1Xx-yKRw1fOSiULNBXRfZM1k1-Fvgn6ev/view?usp=drivesdk","OFFER LETTER")</f>
        <v>OFFER LETTER</v>
      </c>
      <c r="S3133" s="11" t="s">
        <v>16928</v>
      </c>
    </row>
    <row r="3134" ht="22.5" customHeight="1">
      <c r="A3134" s="10">
        <v>46275.63677892361</v>
      </c>
      <c r="B3134" s="11" t="s">
        <v>16929</v>
      </c>
      <c r="C3134" s="11" t="s">
        <v>195</v>
      </c>
      <c r="D3134" s="11" t="s">
        <v>68</v>
      </c>
      <c r="E3134" s="12">
        <v>46208.0</v>
      </c>
      <c r="F3134" s="12">
        <v>46239.0</v>
      </c>
      <c r="G3134" s="11" t="s">
        <v>16930</v>
      </c>
      <c r="H3134" s="11">
        <v>9.266876755E9</v>
      </c>
      <c r="I3134" s="11" t="s">
        <v>82</v>
      </c>
      <c r="J3134" s="11" t="s">
        <v>71</v>
      </c>
      <c r="K3134" s="11" t="s">
        <v>72</v>
      </c>
      <c r="L3134" s="11" t="s">
        <v>84</v>
      </c>
      <c r="M3134" s="11" t="s">
        <v>2535</v>
      </c>
      <c r="N3134" s="11" t="s">
        <v>75</v>
      </c>
      <c r="O3134" s="11" t="s">
        <v>71</v>
      </c>
      <c r="P3134" s="11" t="s">
        <v>16931</v>
      </c>
      <c r="Q3134" s="13" t="s">
        <v>16932</v>
      </c>
      <c r="R3134" s="14" t="str">
        <f>HYPERLINK("https://drive.google.com/file/d/10ZE5VbKSfbAswyn0eUMPtDMto87DZ88F/view?usp=drivesdk","OFFER LETTER")</f>
        <v>OFFER LETTER</v>
      </c>
      <c r="S3134" s="11" t="s">
        <v>16933</v>
      </c>
    </row>
    <row r="3135" ht="22.5" customHeight="1">
      <c r="A3135" s="10">
        <v>46275.64050684028</v>
      </c>
      <c r="B3135" s="11" t="s">
        <v>16934</v>
      </c>
      <c r="C3135" s="11" t="s">
        <v>91</v>
      </c>
      <c r="D3135" s="11" t="s">
        <v>929</v>
      </c>
      <c r="E3135" s="12">
        <v>46275.0</v>
      </c>
      <c r="F3135" s="12">
        <v>46428.0</v>
      </c>
      <c r="G3135" s="11" t="s">
        <v>16935</v>
      </c>
      <c r="H3135" s="11">
        <v>9.990292765E9</v>
      </c>
      <c r="I3135" s="11" t="s">
        <v>82</v>
      </c>
      <c r="J3135" s="11" t="s">
        <v>71</v>
      </c>
      <c r="K3135" s="11" t="s">
        <v>356</v>
      </c>
      <c r="L3135" s="11" t="s">
        <v>357</v>
      </c>
      <c r="M3135" s="11" t="s">
        <v>16936</v>
      </c>
      <c r="N3135" s="11" t="s">
        <v>86</v>
      </c>
      <c r="O3135" s="11" t="s">
        <v>71</v>
      </c>
      <c r="P3135" s="11" t="s">
        <v>16937</v>
      </c>
      <c r="Q3135" s="13" t="s">
        <v>16938</v>
      </c>
      <c r="R3135" s="14" t="str">
        <f>HYPERLINK("https://drive.google.com/file/d/1YdKDJQ2dJAsZepg5VCnHxR1n23fkXqgY/view?usp=drivesdk","OFFER LETTER")</f>
        <v>OFFER LETTER</v>
      </c>
      <c r="S3135" s="11" t="s">
        <v>16939</v>
      </c>
    </row>
    <row r="3136" ht="22.5" customHeight="1">
      <c r="A3136" s="10">
        <v>46275.647773125005</v>
      </c>
      <c r="B3136" s="11" t="s">
        <v>16940</v>
      </c>
      <c r="C3136" s="11" t="s">
        <v>195</v>
      </c>
      <c r="D3136" s="11" t="s">
        <v>108</v>
      </c>
      <c r="E3136" s="12">
        <v>46198.0</v>
      </c>
      <c r="F3136" s="12">
        <v>46261.0</v>
      </c>
      <c r="G3136" s="11" t="s">
        <v>16941</v>
      </c>
      <c r="H3136" s="11">
        <v>7.501837418E9</v>
      </c>
      <c r="I3136" s="11" t="s">
        <v>82</v>
      </c>
      <c r="J3136" s="11" t="s">
        <v>71</v>
      </c>
      <c r="K3136" s="11" t="s">
        <v>72</v>
      </c>
      <c r="L3136" s="11" t="s">
        <v>73</v>
      </c>
      <c r="M3136" s="11" t="s">
        <v>16942</v>
      </c>
      <c r="N3136" s="11" t="s">
        <v>75</v>
      </c>
      <c r="O3136" s="11" t="s">
        <v>71</v>
      </c>
      <c r="P3136" s="11" t="s">
        <v>16943</v>
      </c>
      <c r="Q3136" s="13" t="s">
        <v>16944</v>
      </c>
      <c r="R3136" s="14" t="str">
        <f>HYPERLINK("https://drive.google.com/file/d/1wxri0DOmzPuvLqWF-XyEDqMCkLTuawfk/view?usp=drivesdk","OFFER LETTER")</f>
        <v>OFFER LETTER</v>
      </c>
      <c r="S3136" s="11" t="s">
        <v>16945</v>
      </c>
    </row>
    <row r="3137" ht="22.5" customHeight="1">
      <c r="A3137" s="10">
        <v>46275.65212633101</v>
      </c>
      <c r="B3137" s="11" t="s">
        <v>16946</v>
      </c>
      <c r="C3137" s="11" t="s">
        <v>107</v>
      </c>
      <c r="D3137" s="11" t="s">
        <v>68</v>
      </c>
      <c r="E3137" s="12">
        <v>46181.0</v>
      </c>
      <c r="F3137" s="12">
        <v>46218.0</v>
      </c>
      <c r="G3137" s="11" t="s">
        <v>16947</v>
      </c>
      <c r="H3137" s="11">
        <v>7.742692238E9</v>
      </c>
      <c r="I3137" s="11" t="s">
        <v>82</v>
      </c>
      <c r="J3137" s="11" t="s">
        <v>130</v>
      </c>
      <c r="K3137" s="11" t="s">
        <v>72</v>
      </c>
      <c r="L3137" s="11" t="s">
        <v>84</v>
      </c>
      <c r="M3137" s="11" t="s">
        <v>849</v>
      </c>
      <c r="N3137" s="11" t="s">
        <v>86</v>
      </c>
      <c r="O3137" s="11" t="s">
        <v>71</v>
      </c>
      <c r="P3137" s="11" t="s">
        <v>16948</v>
      </c>
      <c r="Q3137" s="13" t="s">
        <v>16949</v>
      </c>
      <c r="R3137" s="14" t="str">
        <f>HYPERLINK("https://drive.google.com/file/d/1y0xSKtAAcIb4m48zUMY2092YGa1rYegs/view?usp=drivesdk","OFFER LETTER")</f>
        <v>OFFER LETTER</v>
      </c>
      <c r="S3137" s="11" t="s">
        <v>16950</v>
      </c>
    </row>
    <row r="3138" ht="22.5" customHeight="1">
      <c r="A3138" s="10">
        <v>46275.6540433912</v>
      </c>
      <c r="B3138" s="11" t="s">
        <v>16951</v>
      </c>
      <c r="C3138" s="11" t="s">
        <v>107</v>
      </c>
      <c r="D3138" s="11" t="s">
        <v>68</v>
      </c>
      <c r="E3138" s="12">
        <v>46181.0</v>
      </c>
      <c r="F3138" s="12">
        <v>46218.0</v>
      </c>
      <c r="G3138" s="11" t="s">
        <v>16947</v>
      </c>
      <c r="H3138" s="11">
        <v>7.742692238E9</v>
      </c>
      <c r="I3138" s="11" t="s">
        <v>82</v>
      </c>
      <c r="J3138" s="11" t="s">
        <v>130</v>
      </c>
      <c r="K3138" s="11" t="s">
        <v>72</v>
      </c>
      <c r="L3138" s="11" t="s">
        <v>84</v>
      </c>
      <c r="M3138" s="11" t="s">
        <v>849</v>
      </c>
      <c r="N3138" s="11" t="s">
        <v>86</v>
      </c>
      <c r="O3138" s="11" t="s">
        <v>71</v>
      </c>
      <c r="P3138" s="11" t="s">
        <v>16952</v>
      </c>
      <c r="Q3138" s="13" t="s">
        <v>16953</v>
      </c>
      <c r="R3138" s="14" t="str">
        <f>HYPERLINK("https://drive.google.com/file/d/13ctb9bXdmiHfeZbjWZViONGZkcJqWRfY/view?usp=drivesdk","OFFER LETTER")</f>
        <v>OFFER LETTER</v>
      </c>
      <c r="S3138" s="11" t="s">
        <v>16954</v>
      </c>
    </row>
    <row r="3139" ht="22.5" customHeight="1">
      <c r="A3139" s="10">
        <v>46275.654094004625</v>
      </c>
      <c r="B3139" s="11" t="s">
        <v>16955</v>
      </c>
      <c r="C3139" s="11" t="s">
        <v>195</v>
      </c>
      <c r="D3139" s="11" t="s">
        <v>108</v>
      </c>
      <c r="E3139" s="12">
        <v>46174.0</v>
      </c>
      <c r="F3139" s="12">
        <v>46234.0</v>
      </c>
      <c r="G3139" s="11" t="s">
        <v>16956</v>
      </c>
      <c r="H3139" s="11">
        <v>8.279450896E9</v>
      </c>
      <c r="I3139" s="11" t="s">
        <v>82</v>
      </c>
      <c r="J3139" s="11" t="s">
        <v>71</v>
      </c>
      <c r="K3139" s="11" t="s">
        <v>72</v>
      </c>
      <c r="L3139" s="11" t="s">
        <v>131</v>
      </c>
      <c r="M3139" s="11" t="s">
        <v>7848</v>
      </c>
      <c r="N3139" s="11" t="s">
        <v>226</v>
      </c>
      <c r="O3139" s="11" t="s">
        <v>71</v>
      </c>
      <c r="P3139" s="11" t="s">
        <v>16957</v>
      </c>
      <c r="Q3139" s="13" t="s">
        <v>16958</v>
      </c>
      <c r="R3139" s="14" t="str">
        <f>HYPERLINK("https://drive.google.com/file/d/1qqsAA6rA3Oei3rSEs0y27ek8PgwPHl3b/view?usp=drivesdk","OFFER LETTER")</f>
        <v>OFFER LETTER</v>
      </c>
      <c r="S3139" s="11" t="s">
        <v>16954</v>
      </c>
    </row>
    <row r="3140" ht="22.5" customHeight="1">
      <c r="A3140" s="10">
        <v>46275.6554671412</v>
      </c>
      <c r="B3140" s="11" t="s">
        <v>16951</v>
      </c>
      <c r="C3140" s="11" t="s">
        <v>107</v>
      </c>
      <c r="D3140" s="11" t="s">
        <v>68</v>
      </c>
      <c r="E3140" s="12">
        <v>46181.0</v>
      </c>
      <c r="F3140" s="12">
        <v>46218.0</v>
      </c>
      <c r="G3140" s="11" t="s">
        <v>16959</v>
      </c>
      <c r="H3140" s="11">
        <v>7.742692238E9</v>
      </c>
      <c r="I3140" s="11" t="s">
        <v>82</v>
      </c>
      <c r="J3140" s="11" t="s">
        <v>130</v>
      </c>
      <c r="K3140" s="11" t="s">
        <v>72</v>
      </c>
      <c r="L3140" s="11" t="s">
        <v>84</v>
      </c>
      <c r="M3140" s="11" t="s">
        <v>849</v>
      </c>
      <c r="N3140" s="11" t="s">
        <v>86</v>
      </c>
      <c r="O3140" s="11" t="s">
        <v>71</v>
      </c>
      <c r="P3140" s="11" t="s">
        <v>16960</v>
      </c>
      <c r="Q3140" s="13" t="s">
        <v>16961</v>
      </c>
      <c r="R3140" s="14" t="str">
        <f>HYPERLINK("https://drive.google.com/file/d/1JD7_-xfuU6gV1NOPzSwalH6Kpgavh8TW/view?usp=drivesdk","OFFER LETTER")</f>
        <v>OFFER LETTER</v>
      </c>
      <c r="S3140" s="11" t="s">
        <v>16962</v>
      </c>
    </row>
    <row r="3141" ht="22.5" customHeight="1">
      <c r="A3141" s="10">
        <v>46275.65562851852</v>
      </c>
      <c r="B3141" s="11" t="s">
        <v>16963</v>
      </c>
      <c r="C3141" s="11" t="s">
        <v>259</v>
      </c>
      <c r="D3141" s="11" t="s">
        <v>68</v>
      </c>
      <c r="E3141" s="12">
        <v>46235.0</v>
      </c>
      <c r="F3141" s="12">
        <v>46265.0</v>
      </c>
      <c r="G3141" s="11" t="s">
        <v>16964</v>
      </c>
      <c r="H3141" s="11">
        <v>8.218400151E9</v>
      </c>
      <c r="I3141" s="11" t="s">
        <v>70</v>
      </c>
      <c r="J3141" s="11" t="s">
        <v>71</v>
      </c>
      <c r="K3141" s="11" t="s">
        <v>110</v>
      </c>
      <c r="L3141" s="11" t="s">
        <v>73</v>
      </c>
      <c r="M3141" s="11" t="s">
        <v>16965</v>
      </c>
      <c r="N3141" s="11" t="s">
        <v>86</v>
      </c>
      <c r="O3141" s="11" t="s">
        <v>71</v>
      </c>
      <c r="P3141" s="11" t="s">
        <v>16966</v>
      </c>
      <c r="Q3141" s="13" t="s">
        <v>16967</v>
      </c>
      <c r="R3141" s="14" t="str">
        <f>HYPERLINK("https://drive.google.com/file/d/1pdU_-Xd-S0eVw3xQMikURYH5rnvWqKPk/view?usp=drivesdk","OFFER LETTER")</f>
        <v>OFFER LETTER</v>
      </c>
      <c r="S3141" s="11" t="s">
        <v>16962</v>
      </c>
    </row>
    <row r="3142" ht="22.5" customHeight="1">
      <c r="A3142" s="10">
        <v>46275.65648908565</v>
      </c>
      <c r="B3142" s="11" t="s">
        <v>16968</v>
      </c>
      <c r="C3142" s="11" t="s">
        <v>195</v>
      </c>
      <c r="D3142" s="11" t="s">
        <v>108</v>
      </c>
      <c r="E3142" s="12">
        <v>46174.0</v>
      </c>
      <c r="F3142" s="12">
        <v>46234.0</v>
      </c>
      <c r="G3142" s="11" t="s">
        <v>16956</v>
      </c>
      <c r="H3142" s="11">
        <v>8.279450896E9</v>
      </c>
      <c r="I3142" s="11" t="s">
        <v>82</v>
      </c>
      <c r="J3142" s="11" t="s">
        <v>71</v>
      </c>
      <c r="K3142" s="11" t="s">
        <v>72</v>
      </c>
      <c r="L3142" s="11" t="s">
        <v>131</v>
      </c>
      <c r="M3142" s="11" t="s">
        <v>7848</v>
      </c>
      <c r="N3142" s="11" t="s">
        <v>226</v>
      </c>
      <c r="O3142" s="11" t="s">
        <v>71</v>
      </c>
      <c r="P3142" s="11" t="s">
        <v>16969</v>
      </c>
      <c r="Q3142" s="13" t="s">
        <v>16970</v>
      </c>
      <c r="R3142" s="14" t="str">
        <f>HYPERLINK("https://drive.google.com/file/d/1iTzcYoUUJNXcvt8jXqxZbeO7beBuYVWT/view?usp=drivesdk","OFFER LETTER")</f>
        <v>OFFER LETTER</v>
      </c>
      <c r="S3142" s="11" t="s">
        <v>16971</v>
      </c>
    </row>
    <row r="3143" ht="22.5" customHeight="1">
      <c r="A3143" s="10">
        <v>46275.65981239583</v>
      </c>
      <c r="B3143" s="11" t="s">
        <v>16972</v>
      </c>
      <c r="C3143" s="11" t="s">
        <v>195</v>
      </c>
      <c r="D3143" s="11" t="s">
        <v>68</v>
      </c>
      <c r="E3143" s="12">
        <v>46275.0</v>
      </c>
      <c r="F3143" s="12">
        <v>46305.0</v>
      </c>
      <c r="G3143" s="11" t="s">
        <v>16973</v>
      </c>
      <c r="H3143" s="11">
        <v>9.855618376E9</v>
      </c>
      <c r="I3143" s="11" t="s">
        <v>70</v>
      </c>
      <c r="J3143" s="11" t="s">
        <v>71</v>
      </c>
      <c r="K3143" s="11" t="s">
        <v>110</v>
      </c>
      <c r="L3143" s="11" t="s">
        <v>84</v>
      </c>
      <c r="M3143" s="11" t="s">
        <v>16974</v>
      </c>
      <c r="N3143" s="11" t="s">
        <v>226</v>
      </c>
      <c r="O3143" s="11" t="s">
        <v>71</v>
      </c>
      <c r="P3143" s="11" t="s">
        <v>16975</v>
      </c>
      <c r="Q3143" s="13" t="s">
        <v>16976</v>
      </c>
      <c r="R3143" s="14" t="str">
        <f>HYPERLINK("https://drive.google.com/file/d/1glTSMuVT9ELKqq9_rX6ecGManBK9tb_t/view?usp=drivesdk","OFFER LETTER")</f>
        <v>OFFER LETTER</v>
      </c>
      <c r="S3143" s="11" t="s">
        <v>16977</v>
      </c>
    </row>
    <row r="3144" ht="22.5" customHeight="1">
      <c r="A3144" s="10">
        <v>46275.66578939815</v>
      </c>
      <c r="B3144" s="11" t="s">
        <v>16978</v>
      </c>
      <c r="C3144" s="11" t="s">
        <v>259</v>
      </c>
      <c r="D3144" s="11" t="s">
        <v>68</v>
      </c>
      <c r="E3144" s="12">
        <v>46239.0</v>
      </c>
      <c r="F3144" s="12">
        <v>46270.0</v>
      </c>
      <c r="G3144" s="11" t="s">
        <v>16979</v>
      </c>
      <c r="H3144" s="11">
        <v>8.439975284E9</v>
      </c>
      <c r="I3144" s="11" t="s">
        <v>82</v>
      </c>
      <c r="J3144" s="11" t="s">
        <v>71</v>
      </c>
      <c r="K3144" s="11" t="s">
        <v>72</v>
      </c>
      <c r="L3144" s="11" t="s">
        <v>84</v>
      </c>
      <c r="M3144" s="11" t="s">
        <v>560</v>
      </c>
      <c r="N3144" s="11" t="s">
        <v>75</v>
      </c>
      <c r="O3144" s="11" t="s">
        <v>71</v>
      </c>
      <c r="P3144" s="11" t="s">
        <v>16980</v>
      </c>
      <c r="Q3144" s="13" t="s">
        <v>16981</v>
      </c>
      <c r="R3144" s="14" t="str">
        <f>HYPERLINK("https://drive.google.com/file/d/120j4bFfNRN9s15rKu6Ukin1LcIV2PYJS/view?usp=drivesdk","OFFER LETTER")</f>
        <v>OFFER LETTER</v>
      </c>
      <c r="S3144" s="11" t="s">
        <v>16982</v>
      </c>
    </row>
    <row r="3145" ht="22.5" customHeight="1">
      <c r="A3145" s="10">
        <v>46275.66623178241</v>
      </c>
      <c r="B3145" s="11" t="s">
        <v>8562</v>
      </c>
      <c r="C3145" s="11" t="s">
        <v>195</v>
      </c>
      <c r="D3145" s="11" t="s">
        <v>68</v>
      </c>
      <c r="E3145" s="12">
        <v>46174.0</v>
      </c>
      <c r="F3145" s="12">
        <v>46205.0</v>
      </c>
      <c r="G3145" s="11" t="s">
        <v>16983</v>
      </c>
      <c r="H3145" s="11">
        <v>8.252829355E9</v>
      </c>
      <c r="I3145" s="11" t="s">
        <v>82</v>
      </c>
      <c r="J3145" s="11" t="s">
        <v>130</v>
      </c>
      <c r="K3145" s="11" t="s">
        <v>72</v>
      </c>
      <c r="L3145" s="11" t="s">
        <v>84</v>
      </c>
      <c r="M3145" s="11" t="s">
        <v>886</v>
      </c>
      <c r="N3145" s="11" t="s">
        <v>75</v>
      </c>
      <c r="O3145" s="11" t="s">
        <v>71</v>
      </c>
      <c r="P3145" s="11" t="s">
        <v>16984</v>
      </c>
      <c r="Q3145" s="13" t="s">
        <v>16985</v>
      </c>
      <c r="R3145" s="14" t="str">
        <f>HYPERLINK("https://drive.google.com/file/d/1W87V59wZT7Ue6EJ_j6x74ViSido6RYAf/view?usp=drivesdk","OFFER LETTER")</f>
        <v>OFFER LETTER</v>
      </c>
      <c r="S3145" s="11" t="s">
        <v>16982</v>
      </c>
    </row>
    <row r="3146" ht="22.5" customHeight="1">
      <c r="A3146" s="10">
        <v>46275.67189239583</v>
      </c>
      <c r="B3146" s="11" t="s">
        <v>16986</v>
      </c>
      <c r="C3146" s="11" t="s">
        <v>259</v>
      </c>
      <c r="D3146" s="11" t="s">
        <v>68</v>
      </c>
      <c r="E3146" s="12">
        <v>46235.0</v>
      </c>
      <c r="F3146" s="12">
        <v>46265.0</v>
      </c>
      <c r="G3146" s="11" t="s">
        <v>16987</v>
      </c>
      <c r="H3146" s="11">
        <v>7.409201405E9</v>
      </c>
      <c r="I3146" s="11" t="s">
        <v>70</v>
      </c>
      <c r="J3146" s="11" t="s">
        <v>71</v>
      </c>
      <c r="K3146" s="11" t="s">
        <v>110</v>
      </c>
      <c r="L3146" s="11" t="s">
        <v>73</v>
      </c>
      <c r="M3146" s="11" t="s">
        <v>16965</v>
      </c>
      <c r="N3146" s="11" t="s">
        <v>86</v>
      </c>
      <c r="O3146" s="11" t="s">
        <v>71</v>
      </c>
      <c r="P3146" s="11" t="s">
        <v>16988</v>
      </c>
      <c r="Q3146" s="13" t="s">
        <v>16989</v>
      </c>
      <c r="R3146" s="14" t="str">
        <f>HYPERLINK("https://drive.google.com/file/d/1t7_NW7Unz8g8_vYq99Qs8XYXpPq8fT8N/view?usp=drivesdk","OFFER LETTER")</f>
        <v>OFFER LETTER</v>
      </c>
      <c r="S3146" s="11" t="s">
        <v>16990</v>
      </c>
    </row>
    <row r="3147" ht="22.5" customHeight="1">
      <c r="A3147" s="10">
        <v>46275.67979109954</v>
      </c>
      <c r="B3147" s="11" t="s">
        <v>16991</v>
      </c>
      <c r="C3147" s="11" t="s">
        <v>259</v>
      </c>
      <c r="D3147" s="11" t="s">
        <v>68</v>
      </c>
      <c r="E3147" s="12">
        <v>46235.0</v>
      </c>
      <c r="F3147" s="12">
        <v>46265.0</v>
      </c>
      <c r="G3147" s="11" t="s">
        <v>16992</v>
      </c>
      <c r="H3147" s="11">
        <v>7.409201405E9</v>
      </c>
      <c r="I3147" s="11" t="s">
        <v>70</v>
      </c>
      <c r="J3147" s="11" t="s">
        <v>71</v>
      </c>
      <c r="K3147" s="11" t="s">
        <v>110</v>
      </c>
      <c r="L3147" s="11" t="s">
        <v>73</v>
      </c>
      <c r="M3147" s="11" t="s">
        <v>16993</v>
      </c>
      <c r="N3147" s="11" t="s">
        <v>86</v>
      </c>
      <c r="O3147" s="11" t="s">
        <v>71</v>
      </c>
      <c r="P3147" s="11" t="s">
        <v>16994</v>
      </c>
      <c r="Q3147" s="13" t="s">
        <v>16995</v>
      </c>
      <c r="R3147" s="14" t="str">
        <f>HYPERLINK("https://drive.google.com/file/d/1WbIECplBkU3HDkqi6F-SwjXkMHd7KKCy/view?usp=drivesdk","OFFER LETTER")</f>
        <v>OFFER LETTER</v>
      </c>
      <c r="S3147" s="11" t="s">
        <v>16996</v>
      </c>
    </row>
    <row r="3148" ht="22.5" customHeight="1">
      <c r="A3148" s="10">
        <v>46275.68169413194</v>
      </c>
      <c r="B3148" s="11" t="s">
        <v>4845</v>
      </c>
      <c r="C3148" s="11" t="s">
        <v>107</v>
      </c>
      <c r="D3148" s="11" t="s">
        <v>68</v>
      </c>
      <c r="E3148" s="12">
        <v>46236.0</v>
      </c>
      <c r="F3148" s="12">
        <v>46267.0</v>
      </c>
      <c r="G3148" s="11" t="s">
        <v>16997</v>
      </c>
      <c r="H3148" s="11">
        <v>9.336776529E9</v>
      </c>
      <c r="I3148" s="11" t="s">
        <v>82</v>
      </c>
      <c r="J3148" s="11" t="s">
        <v>71</v>
      </c>
      <c r="K3148" s="11" t="s">
        <v>72</v>
      </c>
      <c r="L3148" s="11" t="s">
        <v>84</v>
      </c>
      <c r="M3148" s="11" t="s">
        <v>12560</v>
      </c>
      <c r="N3148" s="11" t="s">
        <v>86</v>
      </c>
      <c r="O3148" s="11" t="s">
        <v>71</v>
      </c>
      <c r="P3148" s="11" t="s">
        <v>16998</v>
      </c>
      <c r="Q3148" s="13" t="s">
        <v>16999</v>
      </c>
      <c r="R3148" s="14" t="str">
        <f>HYPERLINK("https://drive.google.com/file/d/1LbVZks9v3AtiOD2BqqAXnUjQR9m3Cbot/view?usp=drivesdk","OFFER LETTER")</f>
        <v>OFFER LETTER</v>
      </c>
      <c r="S3148" s="11" t="s">
        <v>17000</v>
      </c>
    </row>
    <row r="3149" ht="22.5" customHeight="1">
      <c r="A3149" s="10">
        <v>46275.68849501158</v>
      </c>
      <c r="B3149" s="11" t="s">
        <v>17001</v>
      </c>
      <c r="C3149" s="11" t="s">
        <v>195</v>
      </c>
      <c r="D3149" s="11" t="s">
        <v>108</v>
      </c>
      <c r="E3149" s="12">
        <v>46275.0</v>
      </c>
      <c r="F3149" s="12">
        <v>46336.0</v>
      </c>
      <c r="G3149" s="11" t="s">
        <v>17002</v>
      </c>
      <c r="H3149" s="11">
        <v>6.395444489E9</v>
      </c>
      <c r="I3149" s="11" t="s">
        <v>70</v>
      </c>
      <c r="J3149" s="11" t="s">
        <v>71</v>
      </c>
      <c r="K3149" s="11" t="s">
        <v>72</v>
      </c>
      <c r="L3149" s="11" t="s">
        <v>131</v>
      </c>
      <c r="M3149" s="11" t="s">
        <v>17003</v>
      </c>
      <c r="N3149" s="11" t="s">
        <v>86</v>
      </c>
      <c r="O3149" s="11" t="s">
        <v>71</v>
      </c>
      <c r="P3149" s="11" t="s">
        <v>17004</v>
      </c>
      <c r="Q3149" s="13" t="s">
        <v>17005</v>
      </c>
      <c r="R3149" s="14" t="str">
        <f>HYPERLINK("https://drive.google.com/file/d/1Tv1gaxrz_dzlGIbow8q5vLUSx1D2XbUW/view?usp=drivesdk","OFFER LETTER")</f>
        <v>OFFER LETTER</v>
      </c>
      <c r="S3149" s="11" t="s">
        <v>17006</v>
      </c>
    </row>
    <row r="3150" ht="22.5" customHeight="1">
      <c r="A3150" s="10">
        <v>46275.70299340278</v>
      </c>
      <c r="B3150" s="11" t="s">
        <v>17007</v>
      </c>
      <c r="C3150" s="11" t="s">
        <v>195</v>
      </c>
      <c r="D3150" s="11" t="s">
        <v>68</v>
      </c>
      <c r="E3150" s="12">
        <v>46245.0</v>
      </c>
      <c r="F3150" s="12">
        <v>46276.0</v>
      </c>
      <c r="G3150" s="11" t="s">
        <v>17008</v>
      </c>
      <c r="H3150" s="11">
        <v>6.200536069E9</v>
      </c>
      <c r="I3150" s="11" t="s">
        <v>82</v>
      </c>
      <c r="J3150" s="11" t="s">
        <v>71</v>
      </c>
      <c r="K3150" s="11" t="s">
        <v>72</v>
      </c>
      <c r="L3150" s="11" t="s">
        <v>84</v>
      </c>
      <c r="M3150" s="11" t="s">
        <v>437</v>
      </c>
      <c r="N3150" s="11" t="s">
        <v>198</v>
      </c>
      <c r="O3150" s="11" t="s">
        <v>71</v>
      </c>
      <c r="P3150" s="11" t="s">
        <v>17009</v>
      </c>
      <c r="Q3150" s="13" t="s">
        <v>17010</v>
      </c>
      <c r="R3150" s="14" t="str">
        <f>HYPERLINK("https://drive.google.com/file/d/1v-Ye7mLl_h3wWqNkEXwS10P37ysdiSMP/view?usp=drivesdk","OFFER LETTER")</f>
        <v>OFFER LETTER</v>
      </c>
      <c r="S3150" s="11" t="s">
        <v>17011</v>
      </c>
    </row>
    <row r="3151" ht="22.5" customHeight="1">
      <c r="A3151" s="10">
        <v>46275.704505891204</v>
      </c>
      <c r="B3151" s="11" t="s">
        <v>17012</v>
      </c>
      <c r="C3151" s="11" t="s">
        <v>298</v>
      </c>
      <c r="D3151" s="11" t="s">
        <v>68</v>
      </c>
      <c r="E3151" s="12">
        <v>46255.0</v>
      </c>
      <c r="F3151" s="12">
        <v>46285.0</v>
      </c>
      <c r="G3151" s="11" t="s">
        <v>17013</v>
      </c>
      <c r="H3151" s="11">
        <v>9.977004027E9</v>
      </c>
      <c r="I3151" s="11" t="s">
        <v>82</v>
      </c>
      <c r="J3151" s="11" t="s">
        <v>71</v>
      </c>
      <c r="K3151" s="11" t="s">
        <v>72</v>
      </c>
      <c r="L3151" s="11" t="s">
        <v>131</v>
      </c>
      <c r="M3151" s="11" t="s">
        <v>17014</v>
      </c>
      <c r="N3151" s="11" t="s">
        <v>226</v>
      </c>
      <c r="O3151" s="11" t="s">
        <v>71</v>
      </c>
      <c r="P3151" s="11" t="s">
        <v>17015</v>
      </c>
      <c r="Q3151" s="13" t="s">
        <v>17016</v>
      </c>
      <c r="R3151" s="14" t="str">
        <f>HYPERLINK("https://drive.google.com/file/d/1tS4Yp10tcIHTn5ERpf9nzUgE72U6NXcX/view?usp=drivesdk","OFFER LETTER")</f>
        <v>OFFER LETTER</v>
      </c>
      <c r="S3151" s="11" t="s">
        <v>17017</v>
      </c>
    </row>
    <row r="3152" ht="22.5" customHeight="1">
      <c r="A3152" s="10">
        <v>46275.70871215277</v>
      </c>
      <c r="B3152" s="11" t="s">
        <v>17018</v>
      </c>
      <c r="C3152" s="11" t="s">
        <v>259</v>
      </c>
      <c r="D3152" s="11" t="s">
        <v>68</v>
      </c>
      <c r="E3152" s="12">
        <v>46273.0</v>
      </c>
      <c r="F3152" s="12">
        <v>46303.0</v>
      </c>
      <c r="G3152" s="11" t="s">
        <v>17019</v>
      </c>
      <c r="H3152" s="11">
        <v>8.858189772E9</v>
      </c>
      <c r="I3152" s="11" t="s">
        <v>82</v>
      </c>
      <c r="J3152" s="11" t="s">
        <v>71</v>
      </c>
      <c r="K3152" s="11" t="s">
        <v>110</v>
      </c>
      <c r="L3152" s="11" t="s">
        <v>247</v>
      </c>
      <c r="M3152" s="11" t="s">
        <v>5158</v>
      </c>
      <c r="N3152" s="11" t="s">
        <v>198</v>
      </c>
      <c r="O3152" s="11" t="s">
        <v>71</v>
      </c>
      <c r="P3152" s="11" t="s">
        <v>17020</v>
      </c>
      <c r="Q3152" s="13" t="s">
        <v>17021</v>
      </c>
      <c r="R3152" s="14" t="str">
        <f>HYPERLINK("https://drive.google.com/file/d/1OMRfGTCzmt8w9dYQ_1f5jaOiqRWgCFpA/view?usp=drivesdk","OFFER LETTER")</f>
        <v>OFFER LETTER</v>
      </c>
      <c r="S3152" s="11" t="s">
        <v>17022</v>
      </c>
    </row>
    <row r="3153" ht="22.5" customHeight="1">
      <c r="A3153" s="10">
        <v>46275.71754182871</v>
      </c>
      <c r="B3153" s="11" t="s">
        <v>17023</v>
      </c>
      <c r="C3153" s="11" t="s">
        <v>128</v>
      </c>
      <c r="D3153" s="11" t="s">
        <v>238</v>
      </c>
      <c r="E3153" s="12">
        <v>46266.0</v>
      </c>
      <c r="F3153" s="12">
        <v>46356.0</v>
      </c>
      <c r="G3153" s="11" t="s">
        <v>17024</v>
      </c>
      <c r="H3153" s="11">
        <v>9.32268988E9</v>
      </c>
      <c r="I3153" s="11" t="s">
        <v>82</v>
      </c>
      <c r="J3153" s="11" t="s">
        <v>71</v>
      </c>
      <c r="K3153" s="11" t="s">
        <v>72</v>
      </c>
      <c r="L3153" s="11" t="s">
        <v>131</v>
      </c>
      <c r="M3153" s="11" t="s">
        <v>17025</v>
      </c>
      <c r="N3153" s="11" t="s">
        <v>86</v>
      </c>
      <c r="O3153" s="11" t="s">
        <v>71</v>
      </c>
      <c r="P3153" s="11" t="s">
        <v>17026</v>
      </c>
      <c r="Q3153" s="13" t="s">
        <v>17027</v>
      </c>
      <c r="R3153" s="14" t="str">
        <f>HYPERLINK("https://drive.google.com/file/d/1UO-Vo1vEgxWO52LG6Liz-gkqjBD5XKoX/view?usp=drivesdk","OFFER LETTER")</f>
        <v>OFFER LETTER</v>
      </c>
      <c r="S3153" s="11" t="s">
        <v>17028</v>
      </c>
    </row>
    <row r="3154" ht="22.5" customHeight="1">
      <c r="A3154" s="10">
        <v>46275.727959502314</v>
      </c>
      <c r="B3154" s="11" t="s">
        <v>17029</v>
      </c>
      <c r="C3154" s="11" t="s">
        <v>195</v>
      </c>
      <c r="D3154" s="11" t="s">
        <v>108</v>
      </c>
      <c r="E3154" s="12">
        <v>46174.0</v>
      </c>
      <c r="F3154" s="12">
        <v>46234.0</v>
      </c>
      <c r="G3154" s="11" t="s">
        <v>17030</v>
      </c>
      <c r="H3154" s="11">
        <v>8.092219201E9</v>
      </c>
      <c r="I3154" s="11" t="s">
        <v>82</v>
      </c>
      <c r="J3154" s="11" t="s">
        <v>71</v>
      </c>
      <c r="K3154" s="11" t="s">
        <v>72</v>
      </c>
      <c r="L3154" s="11" t="s">
        <v>84</v>
      </c>
      <c r="M3154" s="11" t="s">
        <v>7748</v>
      </c>
      <c r="N3154" s="11" t="s">
        <v>198</v>
      </c>
      <c r="O3154" s="11" t="s">
        <v>71</v>
      </c>
      <c r="P3154" s="11" t="s">
        <v>17031</v>
      </c>
      <c r="Q3154" s="13" t="s">
        <v>17032</v>
      </c>
      <c r="R3154" s="14" t="str">
        <f>HYPERLINK("https://drive.google.com/file/d/1b0O43p2tylmQq4bxXnGqAROOmi6myRbL/view?usp=drivesdk","OFFER LETTER")</f>
        <v>OFFER LETTER</v>
      </c>
      <c r="S3154" s="11" t="s">
        <v>17033</v>
      </c>
    </row>
    <row r="3155" ht="22.5" customHeight="1">
      <c r="A3155" s="10">
        <v>46275.728422789354</v>
      </c>
      <c r="B3155" s="11" t="s">
        <v>17034</v>
      </c>
      <c r="C3155" s="11" t="s">
        <v>91</v>
      </c>
      <c r="D3155" s="11" t="s">
        <v>929</v>
      </c>
      <c r="E3155" s="12">
        <v>46275.0</v>
      </c>
      <c r="F3155" s="12">
        <v>46456.0</v>
      </c>
      <c r="G3155" s="11" t="s">
        <v>17035</v>
      </c>
      <c r="H3155" s="11">
        <v>8.329823195E9</v>
      </c>
      <c r="I3155" s="11" t="s">
        <v>82</v>
      </c>
      <c r="J3155" s="11" t="s">
        <v>71</v>
      </c>
      <c r="K3155" s="11" t="s">
        <v>72</v>
      </c>
      <c r="L3155" s="11" t="s">
        <v>247</v>
      </c>
      <c r="M3155" s="11" t="s">
        <v>17036</v>
      </c>
      <c r="N3155" s="11" t="s">
        <v>75</v>
      </c>
      <c r="O3155" s="11" t="s">
        <v>71</v>
      </c>
      <c r="P3155" s="11" t="s">
        <v>17037</v>
      </c>
      <c r="Q3155" s="13" t="s">
        <v>17038</v>
      </c>
      <c r="R3155" s="14" t="str">
        <f>HYPERLINK("https://drive.google.com/file/d/1RYdkXfDEhppH5fXjJ2b64AG43M33r1IX/view?usp=drivesdk","OFFER LETTER")</f>
        <v>OFFER LETTER</v>
      </c>
      <c r="S3155" s="11" t="s">
        <v>17039</v>
      </c>
    </row>
    <row r="3156" ht="22.5" customHeight="1">
      <c r="A3156" s="10">
        <v>46275.72847854167</v>
      </c>
      <c r="B3156" s="11" t="s">
        <v>17040</v>
      </c>
      <c r="C3156" s="11" t="s">
        <v>195</v>
      </c>
      <c r="D3156" s="11" t="s">
        <v>68</v>
      </c>
      <c r="E3156" s="12" t="s">
        <v>17041</v>
      </c>
      <c r="F3156" s="12" t="s">
        <v>17042</v>
      </c>
      <c r="G3156" s="11" t="s">
        <v>17043</v>
      </c>
      <c r="H3156" s="11">
        <v>9.334407649E9</v>
      </c>
      <c r="I3156" s="11" t="s">
        <v>82</v>
      </c>
      <c r="J3156" s="11" t="s">
        <v>71</v>
      </c>
      <c r="K3156" s="11" t="s">
        <v>72</v>
      </c>
      <c r="L3156" s="11" t="s">
        <v>73</v>
      </c>
      <c r="M3156" s="11" t="s">
        <v>1779</v>
      </c>
      <c r="N3156" s="11" t="s">
        <v>86</v>
      </c>
      <c r="O3156" s="11" t="s">
        <v>71</v>
      </c>
      <c r="P3156" s="11" t="s">
        <v>17044</v>
      </c>
      <c r="Q3156" s="13" t="s">
        <v>17045</v>
      </c>
      <c r="R3156" s="14" t="str">
        <f>HYPERLINK("https://drive.google.com/file/d/1FJDsgarWcONX4UKDS3qcn_NcCtM6zy8P/view?usp=drivesdk","OFFER LETTER")</f>
        <v>OFFER LETTER</v>
      </c>
      <c r="S3156" s="11" t="s">
        <v>17039</v>
      </c>
    </row>
    <row r="3157" ht="22.5" customHeight="1">
      <c r="A3157" s="10">
        <v>46275.730541400466</v>
      </c>
      <c r="B3157" s="11" t="s">
        <v>17046</v>
      </c>
      <c r="C3157" s="11" t="s">
        <v>91</v>
      </c>
      <c r="D3157" s="11" t="s">
        <v>68</v>
      </c>
      <c r="E3157" s="12">
        <v>46241.0</v>
      </c>
      <c r="F3157" s="12">
        <v>46272.0</v>
      </c>
      <c r="G3157" s="11" t="s">
        <v>17047</v>
      </c>
      <c r="H3157" s="11">
        <v>9.5977354E9</v>
      </c>
      <c r="I3157" s="11" t="s">
        <v>82</v>
      </c>
      <c r="J3157" s="11" t="s">
        <v>71</v>
      </c>
      <c r="K3157" s="11" t="s">
        <v>72</v>
      </c>
      <c r="L3157" s="11" t="s">
        <v>84</v>
      </c>
      <c r="M3157" s="11" t="s">
        <v>17048</v>
      </c>
      <c r="N3157" s="11" t="s">
        <v>86</v>
      </c>
      <c r="O3157" s="11" t="s">
        <v>71</v>
      </c>
      <c r="P3157" s="11" t="s">
        <v>17049</v>
      </c>
      <c r="Q3157" s="13" t="s">
        <v>17050</v>
      </c>
      <c r="R3157" s="14" t="str">
        <f>HYPERLINK("https://drive.google.com/file/d/1GZI1GEHHj8BdbkavLlcgHGTtDvu0TmgJ/view?usp=drivesdk","OFFER LETTER")</f>
        <v>OFFER LETTER</v>
      </c>
      <c r="S3157" s="11" t="s">
        <v>17051</v>
      </c>
    </row>
    <row r="3158" ht="22.5" customHeight="1">
      <c r="A3158" s="10">
        <v>46275.730643981486</v>
      </c>
      <c r="B3158" s="11" t="s">
        <v>17052</v>
      </c>
      <c r="C3158" s="11" t="s">
        <v>173</v>
      </c>
      <c r="D3158" s="11" t="s">
        <v>68</v>
      </c>
      <c r="E3158" s="12">
        <v>46170.0</v>
      </c>
      <c r="F3158" s="12">
        <v>46201.0</v>
      </c>
      <c r="G3158" s="11" t="s">
        <v>17053</v>
      </c>
      <c r="H3158" s="11">
        <v>7.667707782E9</v>
      </c>
      <c r="I3158" s="11" t="s">
        <v>82</v>
      </c>
      <c r="J3158" s="11" t="s">
        <v>71</v>
      </c>
      <c r="K3158" s="11" t="s">
        <v>72</v>
      </c>
      <c r="L3158" s="11" t="s">
        <v>84</v>
      </c>
      <c r="M3158" s="11" t="s">
        <v>1779</v>
      </c>
      <c r="N3158" s="11" t="s">
        <v>226</v>
      </c>
      <c r="O3158" s="11" t="s">
        <v>71</v>
      </c>
      <c r="P3158" s="11" t="s">
        <v>17054</v>
      </c>
      <c r="Q3158" s="13" t="s">
        <v>17055</v>
      </c>
      <c r="R3158" s="14" t="str">
        <f>HYPERLINK("https://drive.google.com/file/d/15QPJri96L68QCv3_fRZwSfWp6WMg6YpP/view?usp=drivesdk","OFFER LETTER")</f>
        <v>OFFER LETTER</v>
      </c>
      <c r="S3158" s="11" t="s">
        <v>17051</v>
      </c>
    </row>
    <row r="3159" ht="22.5" customHeight="1">
      <c r="A3159" s="10">
        <v>46275.737473553236</v>
      </c>
      <c r="B3159" s="11" t="s">
        <v>17056</v>
      </c>
      <c r="C3159" s="11" t="s">
        <v>195</v>
      </c>
      <c r="D3159" s="11" t="s">
        <v>68</v>
      </c>
      <c r="E3159" s="12">
        <v>46235.0</v>
      </c>
      <c r="F3159" s="12">
        <v>46265.0</v>
      </c>
      <c r="G3159" s="11" t="s">
        <v>17057</v>
      </c>
      <c r="H3159" s="11">
        <v>6.386327673E9</v>
      </c>
      <c r="I3159" s="11" t="s">
        <v>82</v>
      </c>
      <c r="J3159" s="11" t="s">
        <v>71</v>
      </c>
      <c r="K3159" s="11" t="s">
        <v>72</v>
      </c>
      <c r="L3159" s="11" t="s">
        <v>84</v>
      </c>
      <c r="M3159" s="11" t="s">
        <v>2535</v>
      </c>
      <c r="N3159" s="11" t="s">
        <v>86</v>
      </c>
      <c r="O3159" s="11" t="s">
        <v>71</v>
      </c>
      <c r="P3159" s="11" t="s">
        <v>17058</v>
      </c>
      <c r="Q3159" s="13" t="s">
        <v>17059</v>
      </c>
      <c r="R3159" s="14" t="str">
        <f>HYPERLINK("https://drive.google.com/file/d/1KH-RUV_9LqRdWHeGheqdCNxKbASxka9Z/view?usp=drivesdk","OFFER LETTER")</f>
        <v>OFFER LETTER</v>
      </c>
      <c r="S3159" s="11" t="s">
        <v>17060</v>
      </c>
    </row>
    <row r="3160" ht="22.5" customHeight="1">
      <c r="A3160" s="10">
        <v>46275.75782967593</v>
      </c>
      <c r="B3160" s="11" t="s">
        <v>17061</v>
      </c>
      <c r="C3160" s="11" t="s">
        <v>195</v>
      </c>
      <c r="D3160" s="11" t="s">
        <v>68</v>
      </c>
      <c r="E3160" s="12">
        <v>46174.0</v>
      </c>
      <c r="F3160" s="12">
        <v>46203.0</v>
      </c>
      <c r="G3160" s="11" t="s">
        <v>17062</v>
      </c>
      <c r="H3160" s="11">
        <v>9.334666596E9</v>
      </c>
      <c r="I3160" s="11" t="s">
        <v>82</v>
      </c>
      <c r="J3160" s="11" t="s">
        <v>71</v>
      </c>
      <c r="K3160" s="11" t="s">
        <v>72</v>
      </c>
      <c r="L3160" s="11" t="s">
        <v>84</v>
      </c>
      <c r="M3160" s="11" t="s">
        <v>2535</v>
      </c>
      <c r="N3160" s="11" t="s">
        <v>75</v>
      </c>
      <c r="O3160" s="11" t="s">
        <v>71</v>
      </c>
      <c r="P3160" s="11" t="s">
        <v>17063</v>
      </c>
      <c r="Q3160" s="13" t="s">
        <v>17064</v>
      </c>
      <c r="R3160" s="14" t="str">
        <f>HYPERLINK("https://drive.google.com/file/d/1cuWOhOuxW3I4tX5RzNHz3QLlMdfOy8nd/view?usp=drivesdk","OFFER LETTER")</f>
        <v>OFFER LETTER</v>
      </c>
      <c r="S3160" s="11" t="s">
        <v>17065</v>
      </c>
    </row>
    <row r="3161" ht="22.5" customHeight="1">
      <c r="A3161" s="10">
        <v>46275.76400216435</v>
      </c>
      <c r="B3161" s="11" t="s">
        <v>17066</v>
      </c>
      <c r="C3161" s="11" t="s">
        <v>596</v>
      </c>
      <c r="D3161" s="11" t="s">
        <v>68</v>
      </c>
      <c r="E3161" s="12">
        <v>46174.0</v>
      </c>
      <c r="F3161" s="12">
        <v>46203.0</v>
      </c>
      <c r="G3161" s="11" t="s">
        <v>17067</v>
      </c>
      <c r="H3161" s="11">
        <v>7.004093432E9</v>
      </c>
      <c r="I3161" s="11" t="s">
        <v>82</v>
      </c>
      <c r="J3161" s="11" t="s">
        <v>71</v>
      </c>
      <c r="K3161" s="11" t="s">
        <v>72</v>
      </c>
      <c r="L3161" s="11" t="s">
        <v>131</v>
      </c>
      <c r="M3161" s="11" t="s">
        <v>17068</v>
      </c>
      <c r="N3161" s="11" t="s">
        <v>75</v>
      </c>
      <c r="O3161" s="11" t="s">
        <v>71</v>
      </c>
      <c r="P3161" s="11" t="s">
        <v>17069</v>
      </c>
      <c r="Q3161" s="13" t="s">
        <v>17070</v>
      </c>
      <c r="R3161" s="14" t="str">
        <f>HYPERLINK("https://drive.google.com/file/d/12fISrcE3dChkD9hKqJmE9Tpysg38XFvX/view?usp=drivesdk","OFFER LETTER")</f>
        <v>OFFER LETTER</v>
      </c>
      <c r="S3161" s="11" t="s">
        <v>17071</v>
      </c>
    </row>
    <row r="3162" ht="22.5" customHeight="1">
      <c r="A3162" s="10">
        <v>46275.76459527778</v>
      </c>
      <c r="B3162" s="11" t="s">
        <v>17072</v>
      </c>
      <c r="C3162" s="11" t="s">
        <v>173</v>
      </c>
      <c r="D3162" s="11" t="s">
        <v>8221</v>
      </c>
      <c r="E3162" s="12">
        <v>46209.0</v>
      </c>
      <c r="F3162" s="12">
        <v>46255.0</v>
      </c>
      <c r="G3162" s="11" t="s">
        <v>17073</v>
      </c>
      <c r="H3162" s="11">
        <v>6.207624997E9</v>
      </c>
      <c r="I3162" s="11" t="s">
        <v>82</v>
      </c>
      <c r="K3162" s="11" t="s">
        <v>72</v>
      </c>
      <c r="L3162" s="11" t="s">
        <v>73</v>
      </c>
      <c r="M3162" s="11" t="s">
        <v>849</v>
      </c>
      <c r="N3162" s="11" t="s">
        <v>86</v>
      </c>
      <c r="O3162" s="11" t="s">
        <v>71</v>
      </c>
      <c r="P3162" s="11" t="s">
        <v>17074</v>
      </c>
      <c r="Q3162" s="13" t="s">
        <v>17075</v>
      </c>
      <c r="R3162" s="14" t="str">
        <f>HYPERLINK("https://drive.google.com/file/d/1PPeaANRFNjCzFyxlW3REwq_0oh-MYJ5Y/view?usp=drivesdk","OFFER LETTER")</f>
        <v>OFFER LETTER</v>
      </c>
      <c r="S3162" s="11" t="s">
        <v>17076</v>
      </c>
    </row>
    <row r="3163" ht="22.5" customHeight="1">
      <c r="A3163" s="10">
        <v>46275.76460721064</v>
      </c>
      <c r="B3163" s="11" t="s">
        <v>17077</v>
      </c>
      <c r="C3163" s="11" t="s">
        <v>237</v>
      </c>
      <c r="D3163" s="11" t="s">
        <v>68</v>
      </c>
      <c r="E3163" s="12">
        <v>46275.0</v>
      </c>
      <c r="F3163" s="12">
        <v>46295.0</v>
      </c>
      <c r="G3163" s="11" t="s">
        <v>17078</v>
      </c>
      <c r="H3163" s="11">
        <v>8.984164323E9</v>
      </c>
      <c r="I3163" s="11" t="s">
        <v>82</v>
      </c>
      <c r="J3163" s="11" t="s">
        <v>71</v>
      </c>
      <c r="K3163" s="11" t="s">
        <v>72</v>
      </c>
      <c r="L3163" s="11" t="s">
        <v>73</v>
      </c>
      <c r="M3163" s="11" t="s">
        <v>17079</v>
      </c>
      <c r="N3163" s="11" t="s">
        <v>75</v>
      </c>
      <c r="O3163" s="11" t="s">
        <v>71</v>
      </c>
      <c r="P3163" s="11" t="s">
        <v>17080</v>
      </c>
      <c r="Q3163" s="13" t="s">
        <v>17081</v>
      </c>
      <c r="R3163" s="14" t="str">
        <f>HYPERLINK("https://drive.google.com/file/d/1wKyX9blLiwWMYkzEWIvImFbP7jyfQ_a-/view?usp=drivesdk","OFFER LETTER")</f>
        <v>OFFER LETTER</v>
      </c>
      <c r="S3163" s="11" t="s">
        <v>17082</v>
      </c>
    </row>
    <row r="3164" ht="22.5" customHeight="1">
      <c r="A3164" s="10">
        <v>46275.76484815972</v>
      </c>
      <c r="B3164" s="11" t="s">
        <v>17083</v>
      </c>
      <c r="C3164" s="11" t="s">
        <v>173</v>
      </c>
      <c r="D3164" s="11" t="s">
        <v>8221</v>
      </c>
      <c r="E3164" s="12">
        <v>46205.0</v>
      </c>
      <c r="F3164" s="12">
        <v>46251.0</v>
      </c>
      <c r="G3164" s="11" t="s">
        <v>17084</v>
      </c>
      <c r="H3164" s="11">
        <v>8.539897663E9</v>
      </c>
      <c r="I3164" s="11" t="s">
        <v>82</v>
      </c>
      <c r="J3164" s="11" t="s">
        <v>130</v>
      </c>
      <c r="K3164" s="11" t="s">
        <v>72</v>
      </c>
      <c r="L3164" s="11" t="s">
        <v>73</v>
      </c>
      <c r="M3164" s="11" t="s">
        <v>5088</v>
      </c>
      <c r="N3164" s="11" t="s">
        <v>86</v>
      </c>
      <c r="O3164" s="11" t="s">
        <v>71</v>
      </c>
      <c r="P3164" s="11" t="s">
        <v>17085</v>
      </c>
      <c r="Q3164" s="13" t="s">
        <v>17086</v>
      </c>
      <c r="R3164" s="14" t="str">
        <f>HYPERLINK("https://drive.google.com/file/d/1r5wQF_hmCrqdTH9DL2DCj1VfaEAFac2m/view?usp=drivesdk","OFFER LETTER")</f>
        <v>OFFER LETTER</v>
      </c>
      <c r="S3164" s="11" t="s">
        <v>17076</v>
      </c>
    </row>
    <row r="3165" ht="22.5" customHeight="1">
      <c r="A3165" s="10">
        <v>46275.76517783565</v>
      </c>
      <c r="B3165" s="11" t="s">
        <v>16637</v>
      </c>
      <c r="C3165" s="11" t="s">
        <v>173</v>
      </c>
      <c r="D3165" s="11" t="s">
        <v>68</v>
      </c>
      <c r="E3165" s="12">
        <v>46235.0</v>
      </c>
      <c r="F3165" s="12">
        <v>46264.0</v>
      </c>
      <c r="G3165" s="11" t="s">
        <v>16638</v>
      </c>
      <c r="H3165" s="11">
        <v>6.307166109E9</v>
      </c>
      <c r="I3165" s="11" t="s">
        <v>82</v>
      </c>
      <c r="J3165" s="11" t="s">
        <v>71</v>
      </c>
      <c r="K3165" s="11" t="s">
        <v>72</v>
      </c>
      <c r="L3165" s="11" t="s">
        <v>84</v>
      </c>
      <c r="M3165" s="11" t="s">
        <v>560</v>
      </c>
      <c r="N3165" s="11" t="s">
        <v>75</v>
      </c>
      <c r="O3165" s="11" t="s">
        <v>71</v>
      </c>
      <c r="P3165" s="11" t="s">
        <v>17087</v>
      </c>
      <c r="Q3165" s="13" t="s">
        <v>17088</v>
      </c>
      <c r="R3165" s="14" t="str">
        <f>HYPERLINK("https://drive.google.com/file/d/1kVPc_FyYoW9pKER4gbVoJ7vZuvdSBvTP/view?usp=drivesdk","OFFER LETTER")</f>
        <v>OFFER LETTER</v>
      </c>
      <c r="S3165" s="11" t="s">
        <v>17082</v>
      </c>
    </row>
    <row r="3166" ht="22.5" customHeight="1">
      <c r="A3166" s="10">
        <v>46275.766267812505</v>
      </c>
      <c r="B3166" s="11" t="s">
        <v>17089</v>
      </c>
      <c r="C3166" s="11" t="s">
        <v>173</v>
      </c>
      <c r="D3166" s="11" t="s">
        <v>68</v>
      </c>
      <c r="E3166" s="12">
        <v>46236.0</v>
      </c>
      <c r="F3166" s="12">
        <v>46267.0</v>
      </c>
      <c r="G3166" s="11" t="s">
        <v>17090</v>
      </c>
      <c r="H3166" s="11">
        <v>8.757725525E9</v>
      </c>
      <c r="I3166" s="11" t="s">
        <v>82</v>
      </c>
      <c r="J3166" s="11" t="s">
        <v>83</v>
      </c>
      <c r="K3166" s="11" t="s">
        <v>72</v>
      </c>
      <c r="L3166" s="11" t="s">
        <v>84</v>
      </c>
      <c r="M3166" s="11" t="s">
        <v>886</v>
      </c>
      <c r="N3166" s="11" t="s">
        <v>75</v>
      </c>
      <c r="O3166" s="11" t="s">
        <v>71</v>
      </c>
      <c r="P3166" s="11" t="s">
        <v>17091</v>
      </c>
      <c r="Q3166" s="13" t="s">
        <v>17092</v>
      </c>
      <c r="R3166" s="14" t="str">
        <f>HYPERLINK("https://drive.google.com/file/d/1-YJu9wPeCVatP-5d2e5tikUg2-TinWOg/view?usp=drivesdk","OFFER LETTER")</f>
        <v>OFFER LETTER</v>
      </c>
      <c r="S3166" s="11" t="s">
        <v>17093</v>
      </c>
    </row>
    <row r="3167" ht="22.5" customHeight="1">
      <c r="A3167" s="10">
        <v>46275.77516506944</v>
      </c>
      <c r="B3167" s="11" t="s">
        <v>17094</v>
      </c>
      <c r="C3167" s="11" t="s">
        <v>195</v>
      </c>
      <c r="D3167" s="11" t="s">
        <v>68</v>
      </c>
      <c r="E3167" s="12">
        <v>46213.0</v>
      </c>
      <c r="F3167" s="12">
        <v>46244.0</v>
      </c>
      <c r="G3167" s="11" t="s">
        <v>17095</v>
      </c>
      <c r="H3167" s="11">
        <v>7.04255539E9</v>
      </c>
      <c r="I3167" s="11" t="s">
        <v>82</v>
      </c>
      <c r="J3167" s="11" t="s">
        <v>71</v>
      </c>
      <c r="K3167" s="11" t="s">
        <v>72</v>
      </c>
      <c r="L3167" s="11" t="s">
        <v>84</v>
      </c>
      <c r="M3167" s="11" t="s">
        <v>5710</v>
      </c>
      <c r="N3167" s="11" t="s">
        <v>155</v>
      </c>
      <c r="O3167" s="11" t="s">
        <v>71</v>
      </c>
      <c r="P3167" s="11" t="s">
        <v>17096</v>
      </c>
      <c r="Q3167" s="13" t="s">
        <v>17097</v>
      </c>
      <c r="R3167" s="14" t="str">
        <f>HYPERLINK("https://drive.google.com/file/d/1wUFISrIMkamDidOy63Ez-77XPN39ZVBV/view?usp=drivesdk","OFFER LETTER")</f>
        <v>OFFER LETTER</v>
      </c>
      <c r="S3167" s="11" t="s">
        <v>17098</v>
      </c>
    </row>
    <row r="3168" ht="22.5" customHeight="1">
      <c r="A3168" s="10">
        <v>46275.775841608796</v>
      </c>
      <c r="B3168" s="11" t="s">
        <v>17099</v>
      </c>
      <c r="C3168" s="11" t="s">
        <v>173</v>
      </c>
      <c r="D3168" s="11" t="s">
        <v>68</v>
      </c>
      <c r="E3168" s="12">
        <v>46236.0</v>
      </c>
      <c r="F3168" s="12">
        <v>46267.0</v>
      </c>
      <c r="G3168" s="11" t="s">
        <v>17100</v>
      </c>
      <c r="H3168" s="11">
        <v>9.304379013E9</v>
      </c>
      <c r="I3168" s="11" t="s">
        <v>82</v>
      </c>
      <c r="J3168" s="11" t="s">
        <v>83</v>
      </c>
      <c r="K3168" s="11" t="s">
        <v>72</v>
      </c>
      <c r="L3168" s="11" t="s">
        <v>84</v>
      </c>
      <c r="M3168" s="11" t="s">
        <v>2535</v>
      </c>
      <c r="N3168" s="11" t="s">
        <v>75</v>
      </c>
      <c r="O3168" s="11" t="s">
        <v>71</v>
      </c>
      <c r="P3168" s="11" t="s">
        <v>17101</v>
      </c>
      <c r="Q3168" s="13" t="s">
        <v>17102</v>
      </c>
      <c r="R3168" s="14" t="str">
        <f>HYPERLINK("https://drive.google.com/file/d/1tYq32QAwQuAh_Qv76RFs2NISMLi7EPRE/view?usp=drivesdk","OFFER LETTER")</f>
        <v>OFFER LETTER</v>
      </c>
      <c r="S3168" s="11" t="s">
        <v>17103</v>
      </c>
    </row>
    <row r="3169" ht="22.5" customHeight="1">
      <c r="A3169" s="10">
        <v>46275.77826065972</v>
      </c>
      <c r="B3169" s="11" t="s">
        <v>17104</v>
      </c>
      <c r="C3169" s="11" t="s">
        <v>195</v>
      </c>
      <c r="D3169" s="11" t="s">
        <v>68</v>
      </c>
      <c r="E3169" s="12">
        <v>46213.0</v>
      </c>
      <c r="F3169" s="12">
        <v>46244.0</v>
      </c>
      <c r="G3169" s="11" t="s">
        <v>17095</v>
      </c>
      <c r="H3169" s="11">
        <v>7.04255539E9</v>
      </c>
      <c r="I3169" s="11" t="s">
        <v>82</v>
      </c>
      <c r="J3169" s="11" t="s">
        <v>71</v>
      </c>
      <c r="K3169" s="11" t="s">
        <v>72</v>
      </c>
      <c r="L3169" s="11" t="s">
        <v>84</v>
      </c>
      <c r="M3169" s="11" t="s">
        <v>560</v>
      </c>
      <c r="N3169" s="11" t="s">
        <v>155</v>
      </c>
      <c r="O3169" s="11" t="s">
        <v>71</v>
      </c>
      <c r="P3169" s="11" t="s">
        <v>17105</v>
      </c>
      <c r="Q3169" s="13" t="s">
        <v>17106</v>
      </c>
      <c r="R3169" s="14" t="str">
        <f>HYPERLINK("https://drive.google.com/file/d/1jlnPcv0n5gnKFmfHNt7VBaA62Kt0LBRk/view?usp=drivesdk","OFFER LETTER")</f>
        <v>OFFER LETTER</v>
      </c>
      <c r="S3169" s="11" t="s">
        <v>17107</v>
      </c>
    </row>
    <row r="3170" ht="22.5" customHeight="1">
      <c r="A3170" s="10">
        <v>46275.78080637731</v>
      </c>
      <c r="B3170" s="11" t="s">
        <v>17108</v>
      </c>
      <c r="C3170" s="11" t="s">
        <v>80</v>
      </c>
      <c r="D3170" s="11" t="s">
        <v>68</v>
      </c>
      <c r="E3170" s="12">
        <v>46198.0</v>
      </c>
      <c r="F3170" s="12">
        <v>46593.0</v>
      </c>
      <c r="G3170" s="11" t="s">
        <v>17109</v>
      </c>
      <c r="H3170" s="11">
        <v>9.304519392E9</v>
      </c>
      <c r="I3170" s="11" t="s">
        <v>82</v>
      </c>
      <c r="J3170" s="11" t="s">
        <v>71</v>
      </c>
      <c r="K3170" s="11" t="s">
        <v>72</v>
      </c>
      <c r="L3170" s="11" t="s">
        <v>84</v>
      </c>
      <c r="M3170" s="11" t="s">
        <v>17110</v>
      </c>
      <c r="N3170" s="11" t="s">
        <v>226</v>
      </c>
      <c r="O3170" s="11" t="s">
        <v>71</v>
      </c>
      <c r="P3170" s="11" t="s">
        <v>17111</v>
      </c>
      <c r="Q3170" s="13" t="s">
        <v>17112</v>
      </c>
      <c r="R3170" s="14" t="str">
        <f>HYPERLINK("https://drive.google.com/file/d/1zrRsNgyABBEx55oea4XfudDp8BNY9SuH/view?usp=drivesdk","OFFER LETTER")</f>
        <v>OFFER LETTER</v>
      </c>
      <c r="S3170" s="11" t="s">
        <v>17113</v>
      </c>
    </row>
    <row r="3171" ht="22.5" customHeight="1">
      <c r="A3171" s="10">
        <v>46275.7826550926</v>
      </c>
      <c r="B3171" s="11" t="s">
        <v>5057</v>
      </c>
      <c r="C3171" s="11" t="s">
        <v>259</v>
      </c>
      <c r="D3171" s="11" t="s">
        <v>68</v>
      </c>
      <c r="E3171" s="12">
        <v>46239.0</v>
      </c>
      <c r="F3171" s="12">
        <v>46270.0</v>
      </c>
      <c r="G3171" s="11" t="s">
        <v>17114</v>
      </c>
      <c r="H3171" s="11">
        <v>9.080783259E9</v>
      </c>
      <c r="I3171" s="11" t="s">
        <v>82</v>
      </c>
      <c r="J3171" s="11" t="s">
        <v>71</v>
      </c>
      <c r="K3171" s="11" t="s">
        <v>72</v>
      </c>
      <c r="L3171" s="11" t="s">
        <v>84</v>
      </c>
      <c r="M3171" s="11" t="s">
        <v>17115</v>
      </c>
      <c r="N3171" s="11" t="s">
        <v>86</v>
      </c>
      <c r="O3171" s="11" t="s">
        <v>71</v>
      </c>
      <c r="P3171" s="11" t="s">
        <v>17116</v>
      </c>
      <c r="Q3171" s="13" t="s">
        <v>17117</v>
      </c>
      <c r="R3171" s="14" t="str">
        <f>HYPERLINK("https://drive.google.com/file/d/1GYfQNtgjUcuJo77KETR61lNIniaP2ITk/view?usp=drivesdk","OFFER LETTER")</f>
        <v>OFFER LETTER</v>
      </c>
      <c r="S3171" s="11" t="s">
        <v>17118</v>
      </c>
    </row>
    <row r="3172" ht="22.5" customHeight="1">
      <c r="A3172" s="10">
        <v>46275.78642024306</v>
      </c>
      <c r="B3172" s="11" t="s">
        <v>17119</v>
      </c>
      <c r="C3172" s="11" t="s">
        <v>173</v>
      </c>
      <c r="D3172" s="11" t="s">
        <v>68</v>
      </c>
      <c r="E3172" s="12">
        <v>46200.0</v>
      </c>
      <c r="F3172" s="12">
        <v>46230.0</v>
      </c>
      <c r="G3172" s="11" t="s">
        <v>17120</v>
      </c>
      <c r="H3172" s="11" t="s">
        <v>17121</v>
      </c>
      <c r="I3172" s="11" t="s">
        <v>82</v>
      </c>
      <c r="J3172" s="11" t="s">
        <v>71</v>
      </c>
      <c r="K3172" s="11" t="s">
        <v>72</v>
      </c>
      <c r="L3172" s="11" t="s">
        <v>84</v>
      </c>
      <c r="M3172" s="11" t="s">
        <v>1779</v>
      </c>
      <c r="N3172" s="11" t="s">
        <v>226</v>
      </c>
      <c r="O3172" s="11" t="s">
        <v>71</v>
      </c>
      <c r="P3172" s="11" t="s">
        <v>17122</v>
      </c>
      <c r="Q3172" s="13" t="s">
        <v>17123</v>
      </c>
      <c r="R3172" s="14" t="str">
        <f>HYPERLINK("https://drive.google.com/file/d/1exhy30ANu5cc9rXuCPR9YUmBiAEqgFdc/view?usp=drivesdk","OFFER LETTER")</f>
        <v>OFFER LETTER</v>
      </c>
      <c r="S3172" s="11" t="s">
        <v>17124</v>
      </c>
    </row>
    <row r="3173" ht="22.5" customHeight="1">
      <c r="A3173" s="10">
        <v>46275.7930200463</v>
      </c>
      <c r="B3173" s="11" t="s">
        <v>16849</v>
      </c>
      <c r="C3173" s="11" t="s">
        <v>195</v>
      </c>
      <c r="D3173" s="11" t="s">
        <v>68</v>
      </c>
      <c r="E3173" s="12">
        <v>46205.0</v>
      </c>
      <c r="F3173" s="12">
        <v>46236.0</v>
      </c>
      <c r="G3173" s="11" t="s">
        <v>16850</v>
      </c>
      <c r="H3173" s="11" t="s">
        <v>17125</v>
      </c>
      <c r="I3173" s="11" t="s">
        <v>82</v>
      </c>
      <c r="J3173" s="11" t="s">
        <v>71</v>
      </c>
      <c r="K3173" s="11" t="s">
        <v>72</v>
      </c>
      <c r="L3173" s="11" t="s">
        <v>84</v>
      </c>
      <c r="M3173" s="11" t="s">
        <v>8202</v>
      </c>
      <c r="N3173" s="11" t="s">
        <v>155</v>
      </c>
      <c r="O3173" s="11" t="s">
        <v>71</v>
      </c>
      <c r="P3173" s="11" t="s">
        <v>17126</v>
      </c>
      <c r="Q3173" s="13" t="s">
        <v>17127</v>
      </c>
      <c r="R3173" s="14" t="str">
        <f>HYPERLINK("https://drive.google.com/file/d/19h7p8Y4YD55oYKPQalIsDnBBwAXRrdJM/view?usp=drivesdk","OFFER LETTER")</f>
        <v>OFFER LETTER</v>
      </c>
      <c r="S3173" s="11" t="s">
        <v>17128</v>
      </c>
    </row>
    <row r="3174" ht="22.5" customHeight="1">
      <c r="A3174" s="10">
        <v>46275.79386215278</v>
      </c>
      <c r="B3174" s="11" t="s">
        <v>17129</v>
      </c>
      <c r="C3174" s="11" t="s">
        <v>195</v>
      </c>
      <c r="D3174" s="11" t="s">
        <v>68</v>
      </c>
      <c r="E3174" s="12">
        <v>46235.0</v>
      </c>
      <c r="F3174" s="12">
        <v>46265.0</v>
      </c>
      <c r="G3174" s="11" t="s">
        <v>17130</v>
      </c>
      <c r="H3174" s="11">
        <v>9.821136254E9</v>
      </c>
      <c r="I3174" s="11" t="s">
        <v>82</v>
      </c>
      <c r="J3174" s="11" t="s">
        <v>71</v>
      </c>
      <c r="K3174" s="11" t="s">
        <v>72</v>
      </c>
      <c r="L3174" s="11" t="s">
        <v>84</v>
      </c>
      <c r="M3174" s="11" t="s">
        <v>886</v>
      </c>
      <c r="N3174" s="11" t="s">
        <v>86</v>
      </c>
      <c r="O3174" s="11" t="s">
        <v>71</v>
      </c>
      <c r="P3174" s="11" t="s">
        <v>17131</v>
      </c>
      <c r="Q3174" s="13" t="s">
        <v>17132</v>
      </c>
      <c r="R3174" s="14" t="str">
        <f>HYPERLINK("https://drive.google.com/file/d/1Sy5z-sA0YZtjKRg3MSaHxbbn04uZABhW/view?usp=drivesdk","OFFER LETTER")</f>
        <v>OFFER LETTER</v>
      </c>
      <c r="S3174" s="11" t="s">
        <v>17133</v>
      </c>
    </row>
    <row r="3175" ht="22.5" customHeight="1">
      <c r="A3175" s="10">
        <v>46275.79657472222</v>
      </c>
      <c r="B3175" s="11" t="s">
        <v>17134</v>
      </c>
      <c r="C3175" s="11" t="s">
        <v>195</v>
      </c>
      <c r="D3175" s="11" t="s">
        <v>108</v>
      </c>
      <c r="E3175" s="12">
        <v>46304.0</v>
      </c>
      <c r="F3175" s="12">
        <v>46337.0</v>
      </c>
      <c r="G3175" s="11" t="s">
        <v>17135</v>
      </c>
      <c r="H3175" s="11">
        <v>7.07819356E9</v>
      </c>
      <c r="I3175" s="11" t="s">
        <v>82</v>
      </c>
      <c r="J3175" s="11" t="s">
        <v>71</v>
      </c>
      <c r="K3175" s="11" t="s">
        <v>110</v>
      </c>
      <c r="L3175" s="11" t="s">
        <v>73</v>
      </c>
      <c r="M3175" s="11" t="s">
        <v>17136</v>
      </c>
      <c r="N3175" s="11" t="s">
        <v>198</v>
      </c>
      <c r="O3175" s="11" t="s">
        <v>71</v>
      </c>
      <c r="P3175" s="11" t="s">
        <v>17137</v>
      </c>
      <c r="Q3175" s="13" t="s">
        <v>17138</v>
      </c>
      <c r="R3175" s="14" t="str">
        <f>HYPERLINK("https://drive.google.com/file/d/1oiV_fSj6WCUSFBLNEnGl_leHSuOO24-t/view?usp=drivesdk","OFFER LETTER")</f>
        <v>OFFER LETTER</v>
      </c>
      <c r="S3175" s="11" t="s">
        <v>17139</v>
      </c>
    </row>
    <row r="3176" ht="22.5" customHeight="1">
      <c r="A3176" s="10">
        <v>46275.79941447917</v>
      </c>
      <c r="B3176" s="11" t="s">
        <v>17140</v>
      </c>
      <c r="C3176" s="11" t="s">
        <v>298</v>
      </c>
      <c r="D3176" s="11" t="s">
        <v>68</v>
      </c>
      <c r="E3176" s="12">
        <v>46253.0</v>
      </c>
      <c r="F3176" s="12">
        <v>46284.0</v>
      </c>
      <c r="G3176" s="11" t="s">
        <v>17141</v>
      </c>
      <c r="H3176" s="11">
        <v>9.078633467E9</v>
      </c>
      <c r="I3176" s="11" t="s">
        <v>70</v>
      </c>
      <c r="J3176" s="11" t="s">
        <v>71</v>
      </c>
      <c r="K3176" s="11" t="s">
        <v>110</v>
      </c>
      <c r="L3176" s="11" t="s">
        <v>73</v>
      </c>
      <c r="M3176" s="11" t="s">
        <v>463</v>
      </c>
      <c r="N3176" s="11" t="s">
        <v>86</v>
      </c>
      <c r="O3176" s="11" t="s">
        <v>71</v>
      </c>
      <c r="P3176" s="11" t="s">
        <v>17142</v>
      </c>
      <c r="Q3176" s="13" t="s">
        <v>17143</v>
      </c>
      <c r="R3176" s="14" t="str">
        <f>HYPERLINK("https://drive.google.com/file/d/1HGAydqhK8lu35zNvF8D5W8BPza6733Wd/view?usp=drivesdk","OFFER LETTER")</f>
        <v>OFFER LETTER</v>
      </c>
      <c r="S3176" s="11" t="s">
        <v>17144</v>
      </c>
    </row>
    <row r="3177" ht="22.5" customHeight="1">
      <c r="A3177" s="10">
        <v>46275.804027881946</v>
      </c>
      <c r="B3177" s="11" t="s">
        <v>17145</v>
      </c>
      <c r="C3177" s="11" t="s">
        <v>173</v>
      </c>
      <c r="D3177" s="11" t="s">
        <v>68</v>
      </c>
      <c r="E3177" s="12">
        <v>46213.0</v>
      </c>
      <c r="F3177" s="12">
        <v>46244.0</v>
      </c>
      <c r="G3177" s="11" t="s">
        <v>17146</v>
      </c>
      <c r="H3177" s="11">
        <v>8.852948215E9</v>
      </c>
      <c r="I3177" s="11" t="s">
        <v>82</v>
      </c>
      <c r="J3177" s="11" t="s">
        <v>130</v>
      </c>
      <c r="K3177" s="11" t="s">
        <v>72</v>
      </c>
      <c r="L3177" s="11" t="s">
        <v>84</v>
      </c>
      <c r="M3177" s="11" t="s">
        <v>886</v>
      </c>
      <c r="N3177" s="11" t="s">
        <v>86</v>
      </c>
      <c r="O3177" s="11" t="s">
        <v>71</v>
      </c>
      <c r="P3177" s="11" t="s">
        <v>17147</v>
      </c>
      <c r="Q3177" s="13" t="s">
        <v>17148</v>
      </c>
      <c r="R3177" s="14" t="str">
        <f>HYPERLINK("https://drive.google.com/file/d/10_Y8LifaA_wPa4-eY9IkaizoMICoOJFW/view?usp=drivesdk","OFFER LETTER")</f>
        <v>OFFER LETTER</v>
      </c>
      <c r="S3177" s="11" t="s">
        <v>17149</v>
      </c>
    </row>
    <row r="3178" ht="22.5" customHeight="1">
      <c r="A3178" s="10">
        <v>46275.80667561342</v>
      </c>
      <c r="B3178" s="11" t="s">
        <v>17150</v>
      </c>
      <c r="C3178" s="11" t="s">
        <v>195</v>
      </c>
      <c r="D3178" s="11" t="s">
        <v>68</v>
      </c>
      <c r="E3178" s="12">
        <v>46178.0</v>
      </c>
      <c r="F3178" s="12">
        <v>46208.0</v>
      </c>
      <c r="G3178" s="11" t="s">
        <v>17151</v>
      </c>
      <c r="H3178" s="11">
        <v>9.113130937E9</v>
      </c>
      <c r="I3178" s="11" t="s">
        <v>82</v>
      </c>
      <c r="J3178" s="11" t="s">
        <v>71</v>
      </c>
      <c r="K3178" s="11" t="s">
        <v>72</v>
      </c>
      <c r="L3178" s="11" t="s">
        <v>84</v>
      </c>
      <c r="M3178" s="11" t="s">
        <v>1779</v>
      </c>
      <c r="N3178" s="11" t="s">
        <v>226</v>
      </c>
      <c r="O3178" s="11" t="s">
        <v>71</v>
      </c>
      <c r="P3178" s="11" t="s">
        <v>17152</v>
      </c>
      <c r="Q3178" s="13" t="s">
        <v>17153</v>
      </c>
      <c r="R3178" s="14" t="str">
        <f>HYPERLINK("https://drive.google.com/file/d/1g9qDvEHKb7QTM5HDo8Od_QAD77-mP5EX/view?usp=drivesdk","OFFER LETTER")</f>
        <v>OFFER LETTER</v>
      </c>
      <c r="S3178" s="11" t="s">
        <v>17154</v>
      </c>
    </row>
    <row r="3179" ht="22.5" customHeight="1">
      <c r="A3179" s="10">
        <v>46275.80882789352</v>
      </c>
      <c r="B3179" s="11" t="s">
        <v>17155</v>
      </c>
      <c r="C3179" s="11" t="s">
        <v>173</v>
      </c>
      <c r="D3179" s="11" t="s">
        <v>68</v>
      </c>
      <c r="E3179" s="12">
        <v>46215.0</v>
      </c>
      <c r="F3179" s="12">
        <v>46246.0</v>
      </c>
      <c r="G3179" s="11" t="s">
        <v>17156</v>
      </c>
      <c r="H3179" s="11">
        <v>7.550141628E9</v>
      </c>
      <c r="I3179" s="11" t="s">
        <v>82</v>
      </c>
      <c r="J3179" s="11" t="s">
        <v>71</v>
      </c>
      <c r="K3179" s="11" t="s">
        <v>72</v>
      </c>
      <c r="L3179" s="11" t="s">
        <v>73</v>
      </c>
      <c r="M3179" s="11" t="s">
        <v>5568</v>
      </c>
      <c r="N3179" s="11" t="s">
        <v>2736</v>
      </c>
      <c r="O3179" s="11" t="s">
        <v>71</v>
      </c>
      <c r="P3179" s="11" t="s">
        <v>17157</v>
      </c>
      <c r="Q3179" s="13" t="s">
        <v>17158</v>
      </c>
      <c r="R3179" s="14" t="str">
        <f>HYPERLINK("https://drive.google.com/file/d/1ARoWd2DyX5Cf_SqbJjqOh5TkOiFm2wXK/view?usp=drivesdk","OFFER LETTER")</f>
        <v>OFFER LETTER</v>
      </c>
      <c r="S3179" s="11" t="s">
        <v>17159</v>
      </c>
    </row>
    <row r="3180" ht="22.5" customHeight="1">
      <c r="A3180" s="10">
        <v>46275.81419377315</v>
      </c>
      <c r="B3180" s="11" t="s">
        <v>17160</v>
      </c>
      <c r="C3180" s="11" t="s">
        <v>173</v>
      </c>
      <c r="D3180" s="11" t="s">
        <v>68</v>
      </c>
      <c r="E3180" s="12">
        <v>46235.0</v>
      </c>
      <c r="F3180" s="12">
        <v>46264.0</v>
      </c>
      <c r="G3180" s="11" t="s">
        <v>17161</v>
      </c>
      <c r="H3180" s="11">
        <v>6.38718004E9</v>
      </c>
      <c r="I3180" s="11" t="s">
        <v>82</v>
      </c>
      <c r="J3180" s="11" t="s">
        <v>71</v>
      </c>
      <c r="K3180" s="11" t="s">
        <v>72</v>
      </c>
      <c r="L3180" s="11" t="s">
        <v>84</v>
      </c>
      <c r="M3180" s="11" t="s">
        <v>1779</v>
      </c>
      <c r="N3180" s="11" t="s">
        <v>219</v>
      </c>
      <c r="O3180" s="11" t="s">
        <v>71</v>
      </c>
      <c r="P3180" s="11" t="s">
        <v>17162</v>
      </c>
      <c r="Q3180" s="13" t="s">
        <v>17163</v>
      </c>
      <c r="R3180" s="14" t="str">
        <f>HYPERLINK("https://drive.google.com/file/d/1j-EXY3tAJhaXKbpuYl38c7eHs3AN3Ceo/view?usp=drivesdk","OFFER LETTER")</f>
        <v>OFFER LETTER</v>
      </c>
      <c r="S3180" s="11" t="s">
        <v>17164</v>
      </c>
    </row>
    <row r="3181" ht="22.5" customHeight="1">
      <c r="A3181" s="10">
        <v>46275.81485805556</v>
      </c>
      <c r="B3181" s="11" t="s">
        <v>17165</v>
      </c>
      <c r="C3181" s="11" t="s">
        <v>128</v>
      </c>
      <c r="D3181" s="11" t="s">
        <v>108</v>
      </c>
      <c r="E3181" s="12">
        <v>46204.0</v>
      </c>
      <c r="F3181" s="12">
        <v>46266.0</v>
      </c>
      <c r="G3181" s="11" t="s">
        <v>17166</v>
      </c>
      <c r="H3181" s="11">
        <v>7.983962857E9</v>
      </c>
      <c r="I3181" s="11" t="s">
        <v>82</v>
      </c>
      <c r="J3181" s="11" t="s">
        <v>71</v>
      </c>
      <c r="K3181" s="11" t="s">
        <v>72</v>
      </c>
      <c r="L3181" s="11" t="s">
        <v>131</v>
      </c>
      <c r="M3181" s="11" t="s">
        <v>493</v>
      </c>
      <c r="N3181" s="11" t="s">
        <v>86</v>
      </c>
      <c r="O3181" s="11" t="s">
        <v>71</v>
      </c>
      <c r="P3181" s="11" t="s">
        <v>17167</v>
      </c>
      <c r="Q3181" s="13" t="s">
        <v>17168</v>
      </c>
      <c r="R3181" s="14" t="str">
        <f>HYPERLINK("https://drive.google.com/file/d/1b3GFX2GbMHpAzQ9pk-LgCt6Tj4okFG9Y/view?usp=drivesdk","OFFER LETTER")</f>
        <v>OFFER LETTER</v>
      </c>
      <c r="S3181" s="11" t="s">
        <v>17169</v>
      </c>
    </row>
    <row r="3182" ht="22.5" customHeight="1">
      <c r="A3182" s="10">
        <v>46275.81618228009</v>
      </c>
      <c r="B3182" s="11" t="s">
        <v>17160</v>
      </c>
      <c r="C3182" s="11" t="s">
        <v>173</v>
      </c>
      <c r="D3182" s="11" t="s">
        <v>68</v>
      </c>
      <c r="E3182" s="12">
        <v>46235.0</v>
      </c>
      <c r="F3182" s="12">
        <v>46264.0</v>
      </c>
      <c r="G3182" s="11" t="s">
        <v>17161</v>
      </c>
      <c r="H3182" s="11">
        <v>6.38718004E9</v>
      </c>
      <c r="I3182" s="11" t="s">
        <v>82</v>
      </c>
      <c r="J3182" s="11" t="s">
        <v>71</v>
      </c>
      <c r="K3182" s="11" t="s">
        <v>72</v>
      </c>
      <c r="L3182" s="11" t="s">
        <v>84</v>
      </c>
      <c r="M3182" s="11" t="s">
        <v>1779</v>
      </c>
      <c r="N3182" s="11" t="s">
        <v>219</v>
      </c>
      <c r="O3182" s="11" t="s">
        <v>71</v>
      </c>
      <c r="P3182" s="11" t="s">
        <v>17170</v>
      </c>
      <c r="Q3182" s="13" t="s">
        <v>17171</v>
      </c>
      <c r="R3182" s="14" t="str">
        <f>HYPERLINK("https://drive.google.com/file/d/1YcWorPqlEoZ-aX4NeH7quoM48I1ku7h-/view?usp=drivesdk","OFFER LETTER")</f>
        <v>OFFER LETTER</v>
      </c>
      <c r="S3182" s="11" t="s">
        <v>17172</v>
      </c>
    </row>
    <row r="3183" ht="22.5" customHeight="1">
      <c r="A3183" s="10">
        <v>46275.82026581018</v>
      </c>
      <c r="B3183" s="11" t="s">
        <v>17173</v>
      </c>
      <c r="C3183" s="11" t="s">
        <v>195</v>
      </c>
      <c r="D3183" s="11" t="s">
        <v>68</v>
      </c>
      <c r="E3183" s="12">
        <v>46009.0</v>
      </c>
      <c r="F3183" s="12">
        <v>46037.0</v>
      </c>
      <c r="G3183" s="11" t="s">
        <v>17174</v>
      </c>
      <c r="H3183" s="11">
        <v>7.338955148E9</v>
      </c>
      <c r="I3183" s="11" t="s">
        <v>70</v>
      </c>
      <c r="J3183" s="11" t="s">
        <v>71</v>
      </c>
      <c r="K3183" s="11" t="s">
        <v>72</v>
      </c>
      <c r="L3183" s="11" t="s">
        <v>84</v>
      </c>
      <c r="M3183" s="11" t="s">
        <v>13699</v>
      </c>
      <c r="N3183" s="11" t="s">
        <v>9086</v>
      </c>
      <c r="O3183" s="11" t="s">
        <v>71</v>
      </c>
      <c r="P3183" s="11" t="s">
        <v>17175</v>
      </c>
      <c r="Q3183" s="13" t="s">
        <v>17176</v>
      </c>
      <c r="R3183" s="14" t="str">
        <f>HYPERLINK("https://drive.google.com/file/d/1P0lt_gXcpkIaFsFzwFVUmESq-BsynvMp/view?usp=drivesdk","OFFER LETTER")</f>
        <v>OFFER LETTER</v>
      </c>
      <c r="S3183" s="11" t="s">
        <v>17177</v>
      </c>
    </row>
    <row r="3184" ht="22.5" customHeight="1">
      <c r="A3184" s="10">
        <v>46275.825909293984</v>
      </c>
      <c r="B3184" s="11" t="s">
        <v>17165</v>
      </c>
      <c r="C3184" s="11" t="s">
        <v>128</v>
      </c>
      <c r="D3184" s="11" t="s">
        <v>108</v>
      </c>
      <c r="E3184" s="12">
        <v>46204.0</v>
      </c>
      <c r="F3184" s="12">
        <v>46266.0</v>
      </c>
      <c r="G3184" s="11" t="s">
        <v>17166</v>
      </c>
      <c r="H3184" s="11">
        <v>7.983962857E9</v>
      </c>
      <c r="I3184" s="11" t="s">
        <v>82</v>
      </c>
      <c r="J3184" s="11" t="s">
        <v>71</v>
      </c>
      <c r="K3184" s="11" t="s">
        <v>72</v>
      </c>
      <c r="L3184" s="11" t="s">
        <v>131</v>
      </c>
      <c r="M3184" s="11" t="s">
        <v>493</v>
      </c>
      <c r="N3184" s="11" t="s">
        <v>86</v>
      </c>
      <c r="O3184" s="11" t="s">
        <v>71</v>
      </c>
      <c r="P3184" s="11" t="s">
        <v>17178</v>
      </c>
      <c r="Q3184" s="13" t="s">
        <v>17179</v>
      </c>
      <c r="R3184" s="14" t="str">
        <f>HYPERLINK("https://drive.google.com/file/d/1ZJptIVWyQZ1aHIfET6jnql1ifDzDOhzN/view?usp=drivesdk","OFFER LETTER")</f>
        <v>OFFER LETTER</v>
      </c>
      <c r="S3184" s="11" t="s">
        <v>17180</v>
      </c>
    </row>
    <row r="3185" ht="22.5" customHeight="1">
      <c r="A3185" s="10">
        <v>46275.82788831019</v>
      </c>
      <c r="B3185" s="11" t="s">
        <v>17181</v>
      </c>
      <c r="C3185" s="11" t="s">
        <v>128</v>
      </c>
      <c r="D3185" s="11" t="s">
        <v>68</v>
      </c>
      <c r="E3185" s="12">
        <v>46276.0</v>
      </c>
      <c r="F3185" s="12">
        <v>46306.0</v>
      </c>
      <c r="G3185" s="11" t="s">
        <v>17182</v>
      </c>
      <c r="H3185" s="11">
        <v>9.689735515E9</v>
      </c>
      <c r="I3185" s="11" t="s">
        <v>70</v>
      </c>
      <c r="J3185" s="11" t="s">
        <v>71</v>
      </c>
      <c r="K3185" s="11" t="s">
        <v>1028</v>
      </c>
      <c r="L3185" s="11" t="s">
        <v>247</v>
      </c>
      <c r="M3185" s="11" t="s">
        <v>17183</v>
      </c>
      <c r="N3185" s="11" t="s">
        <v>75</v>
      </c>
      <c r="O3185" s="11" t="s">
        <v>71</v>
      </c>
      <c r="P3185" s="11" t="s">
        <v>17184</v>
      </c>
      <c r="Q3185" s="13" t="s">
        <v>17185</v>
      </c>
      <c r="R3185" s="14" t="str">
        <f>HYPERLINK("https://drive.google.com/file/d/1IgA3NgZxQ-UzrYe9XNIqOrcm-ylMkuCo/view?usp=drivesdk","OFFER LETTER")</f>
        <v>OFFER LETTER</v>
      </c>
      <c r="S3185" s="11" t="s">
        <v>17186</v>
      </c>
    </row>
    <row r="3186" ht="22.5" customHeight="1">
      <c r="A3186" s="10">
        <v>46275.82791611111</v>
      </c>
      <c r="B3186" s="11" t="s">
        <v>17187</v>
      </c>
      <c r="C3186" s="11" t="s">
        <v>195</v>
      </c>
      <c r="D3186" s="11" t="s">
        <v>68</v>
      </c>
      <c r="E3186" s="12">
        <v>46275.0</v>
      </c>
      <c r="F3186" s="12">
        <v>46305.0</v>
      </c>
      <c r="G3186" s="11" t="s">
        <v>17188</v>
      </c>
      <c r="H3186" s="11">
        <v>8.419869524E9</v>
      </c>
      <c r="I3186" s="11" t="s">
        <v>70</v>
      </c>
      <c r="J3186" s="11" t="s">
        <v>71</v>
      </c>
      <c r="K3186" s="11" t="s">
        <v>72</v>
      </c>
      <c r="L3186" s="11" t="s">
        <v>73</v>
      </c>
      <c r="M3186" s="11" t="s">
        <v>14280</v>
      </c>
      <c r="N3186" s="11" t="s">
        <v>75</v>
      </c>
      <c r="O3186" s="11" t="s">
        <v>71</v>
      </c>
      <c r="P3186" s="11" t="s">
        <v>17189</v>
      </c>
      <c r="Q3186" s="13" t="s">
        <v>17190</v>
      </c>
      <c r="R3186" s="14" t="str">
        <f>HYPERLINK("https://drive.google.com/file/d/103Zuhxxm-MB5RUv5JRUP2M1JA1HmhLdU/view?usp=drivesdk","OFFER LETTER")</f>
        <v>OFFER LETTER</v>
      </c>
      <c r="S3186" s="11" t="s">
        <v>17186</v>
      </c>
    </row>
    <row r="3187" ht="22.5" customHeight="1">
      <c r="A3187" s="10">
        <v>46275.82990157408</v>
      </c>
      <c r="B3187" s="11" t="s">
        <v>17191</v>
      </c>
      <c r="C3187" s="11" t="s">
        <v>128</v>
      </c>
      <c r="D3187" s="11" t="s">
        <v>68</v>
      </c>
      <c r="E3187" s="12">
        <v>46194.0</v>
      </c>
      <c r="F3187" s="12">
        <v>46226.0</v>
      </c>
      <c r="G3187" s="11" t="s">
        <v>17192</v>
      </c>
      <c r="H3187" s="11">
        <v>9.870118808E9</v>
      </c>
      <c r="I3187" s="11" t="s">
        <v>82</v>
      </c>
      <c r="J3187" s="11" t="s">
        <v>71</v>
      </c>
      <c r="K3187" s="11" t="s">
        <v>72</v>
      </c>
      <c r="L3187" s="11" t="s">
        <v>84</v>
      </c>
      <c r="M3187" s="11" t="s">
        <v>2021</v>
      </c>
      <c r="N3187" s="11" t="s">
        <v>86</v>
      </c>
      <c r="O3187" s="11" t="s">
        <v>71</v>
      </c>
      <c r="P3187" s="11" t="s">
        <v>17193</v>
      </c>
      <c r="Q3187" s="13" t="s">
        <v>17194</v>
      </c>
      <c r="R3187" s="14" t="str">
        <f>HYPERLINK("https://drive.google.com/file/d/1Rk1XxkJrYL5XdJuvlj3Y4PSpmU8sp63x/view?usp=drivesdk","OFFER LETTER")</f>
        <v>OFFER LETTER</v>
      </c>
      <c r="S3187" s="11" t="s">
        <v>17195</v>
      </c>
    </row>
    <row r="3188" ht="22.5" customHeight="1">
      <c r="A3188" s="10">
        <v>46275.83334672454</v>
      </c>
      <c r="B3188" s="11" t="s">
        <v>17196</v>
      </c>
      <c r="C3188" s="11" t="s">
        <v>80</v>
      </c>
      <c r="D3188" s="11" t="s">
        <v>108</v>
      </c>
      <c r="E3188" s="12">
        <v>46182.0</v>
      </c>
      <c r="F3188" s="12">
        <v>46239.0</v>
      </c>
      <c r="G3188" s="11" t="s">
        <v>17197</v>
      </c>
      <c r="H3188" s="11">
        <v>8.17998529E9</v>
      </c>
      <c r="I3188" s="11" t="s">
        <v>82</v>
      </c>
      <c r="J3188" s="11" t="s">
        <v>71</v>
      </c>
      <c r="K3188" s="11" t="s">
        <v>72</v>
      </c>
      <c r="L3188" s="11" t="s">
        <v>131</v>
      </c>
      <c r="M3188" s="11" t="s">
        <v>17198</v>
      </c>
      <c r="N3188" s="11" t="s">
        <v>241</v>
      </c>
      <c r="O3188" s="11" t="s">
        <v>71</v>
      </c>
      <c r="P3188" s="11" t="s">
        <v>17199</v>
      </c>
      <c r="Q3188" s="13" t="s">
        <v>17200</v>
      </c>
      <c r="R3188" s="14" t="str">
        <f>HYPERLINK("https://drive.google.com/file/d/14XtnZ2miQ6SZ1fQwSh6-i9VosQPCSMBy/view?usp=drivesdk","OFFER LETTER")</f>
        <v>OFFER LETTER</v>
      </c>
      <c r="S3188" s="11" t="s">
        <v>17201</v>
      </c>
    </row>
    <row r="3189" ht="22.5" customHeight="1">
      <c r="A3189" s="10">
        <v>46275.83616232639</v>
      </c>
      <c r="B3189" s="11" t="s">
        <v>17202</v>
      </c>
      <c r="C3189" s="11" t="s">
        <v>195</v>
      </c>
      <c r="D3189" s="11" t="s">
        <v>68</v>
      </c>
      <c r="E3189" s="12">
        <v>46275.0</v>
      </c>
      <c r="F3189" s="12">
        <v>46305.0</v>
      </c>
      <c r="G3189" s="11" t="s">
        <v>17203</v>
      </c>
      <c r="H3189" s="11">
        <v>9.235316778E9</v>
      </c>
      <c r="I3189" s="11" t="s">
        <v>82</v>
      </c>
      <c r="J3189" s="11" t="s">
        <v>71</v>
      </c>
      <c r="K3189" s="11" t="s">
        <v>72</v>
      </c>
      <c r="L3189" s="11" t="s">
        <v>84</v>
      </c>
      <c r="M3189" s="11" t="s">
        <v>886</v>
      </c>
      <c r="N3189" s="11" t="s">
        <v>86</v>
      </c>
      <c r="O3189" s="11" t="s">
        <v>71</v>
      </c>
      <c r="P3189" s="11" t="s">
        <v>17204</v>
      </c>
      <c r="Q3189" s="13" t="s">
        <v>17205</v>
      </c>
      <c r="R3189" s="14" t="str">
        <f>HYPERLINK("https://drive.google.com/file/d/1Rftt6z_RS0n_NfzESB1iJPNDMrY9NfXz/view?usp=drivesdk","OFFER LETTER")</f>
        <v>OFFER LETTER</v>
      </c>
      <c r="S3189" s="11" t="s">
        <v>17206</v>
      </c>
    </row>
    <row r="3190" ht="22.5" customHeight="1">
      <c r="A3190" s="10">
        <v>46275.83662912037</v>
      </c>
      <c r="B3190" s="11" t="s">
        <v>17207</v>
      </c>
      <c r="C3190" s="11" t="s">
        <v>596</v>
      </c>
      <c r="D3190" s="11" t="s">
        <v>68</v>
      </c>
      <c r="E3190" s="12">
        <v>46174.0</v>
      </c>
      <c r="F3190" s="12">
        <v>46204.0</v>
      </c>
      <c r="G3190" s="11" t="s">
        <v>17208</v>
      </c>
      <c r="H3190" s="11">
        <v>8.882848476E9</v>
      </c>
      <c r="I3190" s="11" t="s">
        <v>82</v>
      </c>
      <c r="J3190" s="11" t="s">
        <v>71</v>
      </c>
      <c r="K3190" s="11" t="s">
        <v>72</v>
      </c>
      <c r="L3190" s="11" t="s">
        <v>84</v>
      </c>
      <c r="M3190" s="11" t="s">
        <v>7748</v>
      </c>
      <c r="N3190" s="11" t="s">
        <v>86</v>
      </c>
      <c r="O3190" s="11" t="s">
        <v>71</v>
      </c>
      <c r="P3190" s="11" t="s">
        <v>17209</v>
      </c>
      <c r="Q3190" s="13" t="s">
        <v>17210</v>
      </c>
      <c r="R3190" s="14" t="str">
        <f>HYPERLINK("https://drive.google.com/file/d/1gQUJT-1O-eBWqzM6F2FwKuUomIye6ti5/view?usp=drivesdk","OFFER LETTER")</f>
        <v>OFFER LETTER</v>
      </c>
      <c r="S3190" s="11" t="s">
        <v>17211</v>
      </c>
    </row>
    <row r="3191" ht="22.5" customHeight="1">
      <c r="A3191" s="10">
        <v>46275.837864988425</v>
      </c>
      <c r="B3191" s="11" t="s">
        <v>17212</v>
      </c>
      <c r="C3191" s="11" t="s">
        <v>107</v>
      </c>
      <c r="D3191" s="11" t="s">
        <v>68</v>
      </c>
      <c r="E3191" s="12">
        <v>46275.0</v>
      </c>
      <c r="F3191" s="12">
        <v>46305.0</v>
      </c>
      <c r="G3191" s="11" t="s">
        <v>17213</v>
      </c>
      <c r="H3191" s="11">
        <v>7.792905564E9</v>
      </c>
      <c r="I3191" s="11" t="s">
        <v>70</v>
      </c>
      <c r="J3191" s="11" t="s">
        <v>83</v>
      </c>
      <c r="K3191" s="11" t="s">
        <v>110</v>
      </c>
      <c r="L3191" s="11" t="s">
        <v>73</v>
      </c>
      <c r="M3191" s="11" t="s">
        <v>17214</v>
      </c>
      <c r="N3191" s="11" t="s">
        <v>86</v>
      </c>
      <c r="O3191" s="11" t="s">
        <v>130</v>
      </c>
      <c r="P3191" s="11" t="s">
        <v>17215</v>
      </c>
      <c r="Q3191" s="13" t="s">
        <v>17216</v>
      </c>
      <c r="R3191" s="14" t="str">
        <f>HYPERLINK("https://drive.google.com/file/d/1_xJlIGgRwYTyUH0bn3JP8NPz6YAXp4wB/view?usp=drivesdk","OFFER LETTER")</f>
        <v>OFFER LETTER</v>
      </c>
      <c r="S3191" s="11" t="s">
        <v>17217</v>
      </c>
    </row>
    <row r="3192" ht="22.5" customHeight="1">
      <c r="A3192" s="10">
        <v>46275.8380819213</v>
      </c>
      <c r="B3192" s="11" t="s">
        <v>17218</v>
      </c>
      <c r="C3192" s="11" t="s">
        <v>195</v>
      </c>
      <c r="D3192" s="11" t="s">
        <v>238</v>
      </c>
      <c r="E3192" s="12">
        <v>46275.0</v>
      </c>
      <c r="F3192" s="12">
        <v>46366.0</v>
      </c>
      <c r="G3192" s="11" t="s">
        <v>17219</v>
      </c>
      <c r="H3192" s="11">
        <v>9.17719377E9</v>
      </c>
      <c r="I3192" s="11" t="s">
        <v>70</v>
      </c>
      <c r="J3192" s="11" t="s">
        <v>71</v>
      </c>
      <c r="K3192" s="11" t="s">
        <v>72</v>
      </c>
      <c r="L3192" s="11" t="s">
        <v>73</v>
      </c>
      <c r="M3192" s="11" t="s">
        <v>17220</v>
      </c>
      <c r="N3192" s="11" t="s">
        <v>320</v>
      </c>
      <c r="O3192" s="11" t="s">
        <v>71</v>
      </c>
      <c r="P3192" s="11" t="s">
        <v>17221</v>
      </c>
      <c r="Q3192" s="13" t="s">
        <v>17222</v>
      </c>
      <c r="R3192" s="14" t="str">
        <f>HYPERLINK("https://drive.google.com/file/d/1eL3rGmuw3Sv40SymOU0RtsxX3oO4VxmU/view?usp=drivesdk","OFFER LETTER")</f>
        <v>OFFER LETTER</v>
      </c>
      <c r="S3192" s="11" t="s">
        <v>17223</v>
      </c>
    </row>
    <row r="3193" ht="22.5" customHeight="1">
      <c r="A3193" s="10">
        <v>46275.84857920139</v>
      </c>
      <c r="B3193" s="11" t="s">
        <v>17224</v>
      </c>
      <c r="C3193" s="11" t="s">
        <v>298</v>
      </c>
      <c r="D3193" s="11" t="s">
        <v>108</v>
      </c>
      <c r="E3193" s="12">
        <v>46275.0</v>
      </c>
      <c r="F3193" s="12">
        <v>46336.0</v>
      </c>
      <c r="G3193" s="11" t="s">
        <v>17225</v>
      </c>
      <c r="H3193" s="11">
        <v>9.548562657E9</v>
      </c>
      <c r="I3193" s="11" t="s">
        <v>82</v>
      </c>
      <c r="J3193" s="11" t="s">
        <v>71</v>
      </c>
      <c r="K3193" s="11" t="s">
        <v>356</v>
      </c>
      <c r="L3193" s="11" t="s">
        <v>84</v>
      </c>
      <c r="M3193" s="11" t="s">
        <v>2535</v>
      </c>
      <c r="N3193" s="11" t="s">
        <v>86</v>
      </c>
      <c r="O3193" s="11" t="s">
        <v>71</v>
      </c>
      <c r="P3193" s="11" t="s">
        <v>17226</v>
      </c>
      <c r="Q3193" s="13" t="s">
        <v>17227</v>
      </c>
      <c r="R3193" s="14" t="str">
        <f>HYPERLINK("https://drive.google.com/file/d/1J-Y6oMvL0gtmUYgXxmpUCnyz040KjWlf/view?usp=drivesdk","OFFER LETTER")</f>
        <v>OFFER LETTER</v>
      </c>
      <c r="S3193" s="11" t="s">
        <v>17228</v>
      </c>
    </row>
    <row r="3194" ht="22.5" customHeight="1">
      <c r="A3194" s="10">
        <v>46275.851070439814</v>
      </c>
      <c r="B3194" s="11" t="s">
        <v>17229</v>
      </c>
      <c r="C3194" s="11" t="s">
        <v>173</v>
      </c>
      <c r="D3194" s="11" t="s">
        <v>68</v>
      </c>
      <c r="E3194" s="12">
        <v>46244.0</v>
      </c>
      <c r="F3194" s="12">
        <v>46275.0</v>
      </c>
      <c r="G3194" s="11" t="s">
        <v>17230</v>
      </c>
      <c r="H3194" s="11">
        <v>8.802450556E9</v>
      </c>
      <c r="I3194" s="11" t="s">
        <v>82</v>
      </c>
      <c r="J3194" s="11" t="s">
        <v>71</v>
      </c>
      <c r="K3194" s="11" t="s">
        <v>72</v>
      </c>
      <c r="L3194" s="11" t="s">
        <v>84</v>
      </c>
      <c r="M3194" s="11" t="s">
        <v>886</v>
      </c>
      <c r="N3194" s="11" t="s">
        <v>86</v>
      </c>
      <c r="O3194" s="11" t="s">
        <v>71</v>
      </c>
      <c r="P3194" s="11" t="s">
        <v>17231</v>
      </c>
      <c r="Q3194" s="13" t="s">
        <v>17232</v>
      </c>
      <c r="R3194" s="14" t="str">
        <f>HYPERLINK("https://drive.google.com/file/d/1X5ZHBhUrVltG4Uw7po-Y4E0q-Efh1gre/view?usp=drivesdk","OFFER LETTER")</f>
        <v>OFFER LETTER</v>
      </c>
      <c r="S3194" s="11" t="s">
        <v>17233</v>
      </c>
    </row>
    <row r="3195" ht="22.5" customHeight="1">
      <c r="A3195" s="10">
        <v>46275.861578634256</v>
      </c>
      <c r="B3195" s="11" t="s">
        <v>922</v>
      </c>
      <c r="C3195" s="11" t="s">
        <v>173</v>
      </c>
      <c r="D3195" s="11" t="s">
        <v>68</v>
      </c>
      <c r="E3195" s="12">
        <v>46244.0</v>
      </c>
      <c r="F3195" s="12">
        <v>46275.0</v>
      </c>
      <c r="G3195" s="11" t="s">
        <v>17234</v>
      </c>
      <c r="H3195" s="11">
        <v>7.717765967E9</v>
      </c>
      <c r="I3195" s="11" t="s">
        <v>82</v>
      </c>
      <c r="J3195" s="11" t="s">
        <v>71</v>
      </c>
      <c r="K3195" s="11" t="s">
        <v>72</v>
      </c>
      <c r="L3195" s="11" t="s">
        <v>84</v>
      </c>
      <c r="M3195" s="11" t="s">
        <v>886</v>
      </c>
      <c r="N3195" s="11" t="s">
        <v>86</v>
      </c>
      <c r="O3195" s="11" t="s">
        <v>71</v>
      </c>
      <c r="P3195" s="11" t="s">
        <v>17235</v>
      </c>
      <c r="Q3195" s="13" t="s">
        <v>17236</v>
      </c>
      <c r="R3195" s="14" t="str">
        <f>HYPERLINK("https://drive.google.com/file/d/1hOYGi9E_KvplOGaz9Vgd581Wurvu59l9/view?usp=drivesdk","OFFER LETTER")</f>
        <v>OFFER LETTER</v>
      </c>
      <c r="S3195" s="11" t="s">
        <v>17237</v>
      </c>
    </row>
    <row r="3196" ht="22.5" customHeight="1">
      <c r="A3196" s="10">
        <v>46275.86469616898</v>
      </c>
      <c r="B3196" s="11" t="s">
        <v>17238</v>
      </c>
      <c r="C3196" s="11" t="s">
        <v>195</v>
      </c>
      <c r="D3196" s="11" t="s">
        <v>68</v>
      </c>
      <c r="E3196" s="12">
        <v>46243.0</v>
      </c>
      <c r="F3196" s="12">
        <v>46274.0</v>
      </c>
      <c r="G3196" s="11" t="s">
        <v>17239</v>
      </c>
      <c r="H3196" s="11">
        <v>7.302856011E9</v>
      </c>
      <c r="I3196" s="11" t="s">
        <v>82</v>
      </c>
      <c r="J3196" s="11" t="s">
        <v>71</v>
      </c>
      <c r="K3196" s="11" t="s">
        <v>72</v>
      </c>
      <c r="L3196" s="11" t="s">
        <v>84</v>
      </c>
      <c r="M3196" s="11" t="s">
        <v>886</v>
      </c>
      <c r="N3196" s="11" t="s">
        <v>86</v>
      </c>
      <c r="O3196" s="11" t="s">
        <v>71</v>
      </c>
      <c r="P3196" s="11" t="s">
        <v>17240</v>
      </c>
      <c r="Q3196" s="13" t="s">
        <v>17241</v>
      </c>
      <c r="R3196" s="14" t="str">
        <f>HYPERLINK("https://drive.google.com/file/d/1crHB8OYoKhnocjaLFPLn4unNmq_fmj0-/view?usp=drivesdk","OFFER LETTER")</f>
        <v>OFFER LETTER</v>
      </c>
      <c r="S3196" s="11" t="s">
        <v>17242</v>
      </c>
    </row>
    <row r="3197" ht="22.5" customHeight="1">
      <c r="A3197" s="10">
        <v>46275.866823206015</v>
      </c>
      <c r="B3197" s="11" t="s">
        <v>17243</v>
      </c>
      <c r="C3197" s="11" t="s">
        <v>173</v>
      </c>
      <c r="D3197" s="11" t="s">
        <v>108</v>
      </c>
      <c r="E3197" s="12">
        <v>46174.0</v>
      </c>
      <c r="F3197" s="12">
        <v>46235.0</v>
      </c>
      <c r="G3197" s="11" t="s">
        <v>17244</v>
      </c>
      <c r="H3197" s="11">
        <v>7.827988422E9</v>
      </c>
      <c r="I3197" s="11" t="s">
        <v>82</v>
      </c>
      <c r="J3197" s="11" t="s">
        <v>71</v>
      </c>
      <c r="K3197" s="11" t="s">
        <v>72</v>
      </c>
      <c r="L3197" s="11" t="s">
        <v>84</v>
      </c>
      <c r="M3197" s="11" t="s">
        <v>5677</v>
      </c>
      <c r="N3197" s="11" t="s">
        <v>86</v>
      </c>
      <c r="O3197" s="11" t="s">
        <v>71</v>
      </c>
      <c r="P3197" s="11" t="s">
        <v>17245</v>
      </c>
      <c r="Q3197" s="13" t="s">
        <v>17246</v>
      </c>
      <c r="R3197" s="14" t="str">
        <f>HYPERLINK("https://drive.google.com/file/d/1W6rTTQbmruGHPm90DconTljG2lYXVr65/view?usp=drivesdk","OFFER LETTER")</f>
        <v>OFFER LETTER</v>
      </c>
      <c r="S3197" s="11" t="s">
        <v>17247</v>
      </c>
    </row>
    <row r="3198" ht="22.5" customHeight="1">
      <c r="A3198" s="10">
        <v>46275.86827261574</v>
      </c>
      <c r="B3198" s="11" t="s">
        <v>17248</v>
      </c>
      <c r="C3198" s="11" t="s">
        <v>173</v>
      </c>
      <c r="D3198" s="11" t="s">
        <v>68</v>
      </c>
      <c r="E3198" s="12">
        <v>46174.0</v>
      </c>
      <c r="F3198" s="12">
        <v>46235.0</v>
      </c>
      <c r="G3198" s="11" t="s">
        <v>17249</v>
      </c>
      <c r="H3198" s="11">
        <v>7.701888656E9</v>
      </c>
      <c r="I3198" s="11" t="s">
        <v>82</v>
      </c>
      <c r="J3198" s="11" t="s">
        <v>71</v>
      </c>
      <c r="K3198" s="11" t="s">
        <v>72</v>
      </c>
      <c r="L3198" s="11" t="s">
        <v>84</v>
      </c>
      <c r="M3198" s="11" t="s">
        <v>2535</v>
      </c>
      <c r="N3198" s="11" t="s">
        <v>86</v>
      </c>
      <c r="O3198" s="11" t="s">
        <v>71</v>
      </c>
      <c r="P3198" s="11" t="s">
        <v>17250</v>
      </c>
      <c r="Q3198" s="13" t="s">
        <v>17251</v>
      </c>
      <c r="R3198" s="14" t="str">
        <f>HYPERLINK("https://drive.google.com/file/d/1Jq_84aHymmkjDnnF4_KHvnE404Mh7R2u/view?usp=drivesdk","OFFER LETTER")</f>
        <v>OFFER LETTER</v>
      </c>
      <c r="S3198" s="11" t="s">
        <v>17252</v>
      </c>
    </row>
    <row r="3199" ht="22.5" customHeight="1">
      <c r="A3199" s="10">
        <v>46275.86885384259</v>
      </c>
      <c r="B3199" s="11" t="s">
        <v>17253</v>
      </c>
      <c r="C3199" s="11" t="s">
        <v>91</v>
      </c>
      <c r="D3199" s="11" t="s">
        <v>108</v>
      </c>
      <c r="E3199" s="12">
        <v>46174.0</v>
      </c>
      <c r="F3199" s="12">
        <v>46235.0</v>
      </c>
      <c r="G3199" s="11" t="s">
        <v>17254</v>
      </c>
      <c r="H3199" s="11">
        <v>7.985919586E9</v>
      </c>
      <c r="I3199" s="11" t="s">
        <v>82</v>
      </c>
      <c r="J3199" s="11" t="s">
        <v>71</v>
      </c>
      <c r="K3199" s="11" t="s">
        <v>72</v>
      </c>
      <c r="L3199" s="11" t="s">
        <v>84</v>
      </c>
      <c r="M3199" s="11" t="s">
        <v>886</v>
      </c>
      <c r="N3199" s="11" t="s">
        <v>241</v>
      </c>
      <c r="O3199" s="11" t="s">
        <v>71</v>
      </c>
      <c r="P3199" s="11" t="s">
        <v>17255</v>
      </c>
      <c r="Q3199" s="13" t="s">
        <v>17256</v>
      </c>
      <c r="R3199" s="14" t="str">
        <f>HYPERLINK("https://drive.google.com/file/d/1MMsrQLBKuSB9fx-hW-Pjtv3kMNs8tPJR/view?usp=drivesdk","OFFER LETTER")</f>
        <v>OFFER LETTER</v>
      </c>
      <c r="S3199" s="11" t="s">
        <v>17257</v>
      </c>
    </row>
    <row r="3200" ht="22.5" customHeight="1">
      <c r="A3200" s="10">
        <v>46275.86889385417</v>
      </c>
      <c r="B3200" s="11" t="s">
        <v>17258</v>
      </c>
      <c r="C3200" s="11" t="s">
        <v>596</v>
      </c>
      <c r="D3200" s="11" t="s">
        <v>68</v>
      </c>
      <c r="E3200" s="12">
        <v>46174.0</v>
      </c>
      <c r="F3200" s="12">
        <v>46203.0</v>
      </c>
      <c r="G3200" s="11" t="s">
        <v>17208</v>
      </c>
      <c r="H3200" s="11">
        <v>8.882848476E9</v>
      </c>
      <c r="I3200" s="11" t="s">
        <v>82</v>
      </c>
      <c r="J3200" s="11" t="s">
        <v>71</v>
      </c>
      <c r="K3200" s="11" t="s">
        <v>72</v>
      </c>
      <c r="L3200" s="11" t="s">
        <v>84</v>
      </c>
      <c r="M3200" s="11" t="s">
        <v>2021</v>
      </c>
      <c r="N3200" s="11" t="s">
        <v>75</v>
      </c>
      <c r="O3200" s="11" t="s">
        <v>71</v>
      </c>
      <c r="P3200" s="11" t="s">
        <v>17259</v>
      </c>
      <c r="Q3200" s="13" t="s">
        <v>17260</v>
      </c>
      <c r="R3200" s="14" t="str">
        <f>HYPERLINK("https://drive.google.com/file/d/1Z8_Ttx0bS_47TEJwDHypbINnu3FKAnsa/view?usp=drivesdk","OFFER LETTER")</f>
        <v>OFFER LETTER</v>
      </c>
      <c r="S3200" s="11" t="s">
        <v>17261</v>
      </c>
    </row>
    <row r="3201" ht="22.5" customHeight="1">
      <c r="A3201" s="10">
        <v>46275.87258109954</v>
      </c>
      <c r="B3201" s="11" t="s">
        <v>17262</v>
      </c>
      <c r="C3201" s="11" t="s">
        <v>195</v>
      </c>
      <c r="D3201" s="11" t="s">
        <v>68</v>
      </c>
      <c r="E3201" s="12">
        <v>46202.0</v>
      </c>
      <c r="F3201" s="12">
        <v>46232.0</v>
      </c>
      <c r="G3201" s="11" t="s">
        <v>17263</v>
      </c>
      <c r="H3201" s="11">
        <v>9.625406049E9</v>
      </c>
      <c r="I3201" s="11" t="s">
        <v>82</v>
      </c>
      <c r="J3201" s="11" t="s">
        <v>83</v>
      </c>
      <c r="K3201" s="11" t="s">
        <v>72</v>
      </c>
      <c r="L3201" s="11" t="s">
        <v>84</v>
      </c>
      <c r="M3201" s="11" t="s">
        <v>5124</v>
      </c>
      <c r="N3201" s="11" t="s">
        <v>86</v>
      </c>
      <c r="O3201" s="11" t="s">
        <v>71</v>
      </c>
      <c r="P3201" s="11" t="s">
        <v>17264</v>
      </c>
      <c r="Q3201" s="13" t="s">
        <v>17265</v>
      </c>
      <c r="R3201" s="14" t="str">
        <f>HYPERLINK("https://drive.google.com/file/d/1TGKvqDGpqPhlIwOjJYnFooksmLjdLeGJ/view?usp=drivesdk","OFFER LETTER")</f>
        <v>OFFER LETTER</v>
      </c>
      <c r="S3201" s="11" t="s">
        <v>17266</v>
      </c>
    </row>
    <row r="3202" ht="22.5" customHeight="1">
      <c r="A3202" s="10">
        <v>46275.87311353009</v>
      </c>
      <c r="B3202" s="11" t="s">
        <v>17267</v>
      </c>
      <c r="C3202" s="11" t="s">
        <v>259</v>
      </c>
      <c r="D3202" s="11" t="s">
        <v>68</v>
      </c>
      <c r="E3202" s="12">
        <v>46183.0</v>
      </c>
      <c r="F3202" s="12">
        <v>46216.0</v>
      </c>
      <c r="G3202" s="11" t="s">
        <v>17268</v>
      </c>
      <c r="H3202" s="11">
        <v>9.034133229E9</v>
      </c>
      <c r="I3202" s="11" t="s">
        <v>82</v>
      </c>
      <c r="J3202" s="11" t="s">
        <v>71</v>
      </c>
      <c r="K3202" s="11" t="s">
        <v>72</v>
      </c>
      <c r="L3202" s="11" t="s">
        <v>84</v>
      </c>
      <c r="M3202" s="11" t="s">
        <v>17269</v>
      </c>
      <c r="N3202" s="11" t="s">
        <v>86</v>
      </c>
      <c r="O3202" s="11" t="s">
        <v>71</v>
      </c>
      <c r="P3202" s="11" t="s">
        <v>17270</v>
      </c>
      <c r="Q3202" s="13" t="s">
        <v>17271</v>
      </c>
      <c r="R3202" s="14" t="str">
        <f>HYPERLINK("https://drive.google.com/file/d/1K0Z9VIwgwX6WVni7XvweSog2xbPt4GkB/view?usp=drivesdk","OFFER LETTER")</f>
        <v>OFFER LETTER</v>
      </c>
      <c r="S3202" s="11" t="s">
        <v>17272</v>
      </c>
    </row>
    <row r="3203" ht="22.5" customHeight="1">
      <c r="A3203" s="10">
        <v>46275.875528819444</v>
      </c>
      <c r="B3203" s="11" t="s">
        <v>17273</v>
      </c>
      <c r="C3203" s="11" t="s">
        <v>173</v>
      </c>
      <c r="D3203" s="11" t="s">
        <v>68</v>
      </c>
      <c r="E3203" s="12">
        <v>46274.0</v>
      </c>
      <c r="F3203" s="12">
        <v>46304.0</v>
      </c>
      <c r="G3203" s="11" t="s">
        <v>17274</v>
      </c>
      <c r="H3203" s="11">
        <v>7.075633196E9</v>
      </c>
      <c r="I3203" s="11" t="s">
        <v>70</v>
      </c>
      <c r="J3203" s="11" t="s">
        <v>71</v>
      </c>
      <c r="K3203" s="11" t="s">
        <v>72</v>
      </c>
      <c r="L3203" s="11" t="s">
        <v>73</v>
      </c>
      <c r="M3203" s="11" t="s">
        <v>17275</v>
      </c>
      <c r="N3203" s="11" t="s">
        <v>86</v>
      </c>
      <c r="O3203" s="11" t="s">
        <v>71</v>
      </c>
      <c r="P3203" s="11" t="s">
        <v>17276</v>
      </c>
      <c r="Q3203" s="13" t="s">
        <v>17277</v>
      </c>
      <c r="R3203" s="14" t="str">
        <f>HYPERLINK("https://drive.google.com/file/d/1iCu0jgRN5yyXY19iy6GNizcpUyEBAzds/view?usp=drivesdk","OFFER LETTER")</f>
        <v>OFFER LETTER</v>
      </c>
      <c r="S3203" s="11" t="s">
        <v>17278</v>
      </c>
    </row>
    <row r="3204" ht="22.5" customHeight="1">
      <c r="A3204" s="10">
        <v>46275.87639175926</v>
      </c>
      <c r="B3204" s="11" t="s">
        <v>17279</v>
      </c>
      <c r="C3204" s="11" t="s">
        <v>596</v>
      </c>
      <c r="D3204" s="11" t="s">
        <v>238</v>
      </c>
      <c r="E3204" s="12">
        <v>46275.0</v>
      </c>
      <c r="F3204" s="12">
        <v>46366.0</v>
      </c>
      <c r="G3204" s="11" t="s">
        <v>17280</v>
      </c>
      <c r="H3204" s="11">
        <v>9.07689968E9</v>
      </c>
      <c r="I3204" s="11" t="s">
        <v>70</v>
      </c>
      <c r="J3204" s="11" t="s">
        <v>71</v>
      </c>
      <c r="K3204" s="11" t="s">
        <v>110</v>
      </c>
      <c r="L3204" s="11" t="s">
        <v>84</v>
      </c>
      <c r="M3204" s="11" t="s">
        <v>17281</v>
      </c>
      <c r="N3204" s="11" t="s">
        <v>86</v>
      </c>
      <c r="O3204" s="11" t="s">
        <v>263</v>
      </c>
      <c r="P3204" s="11" t="s">
        <v>17282</v>
      </c>
      <c r="Q3204" s="13" t="s">
        <v>17283</v>
      </c>
      <c r="R3204" s="14" t="str">
        <f>HYPERLINK("https://drive.google.com/file/d/1d6dZNEngkUBT8skAHZ8CW-LpYbcr0sH_/view?usp=drivesdk","OFFER LETTER")</f>
        <v>OFFER LETTER</v>
      </c>
      <c r="S3204" s="11" t="s">
        <v>17284</v>
      </c>
    </row>
    <row r="3205" ht="22.5" customHeight="1">
      <c r="A3205" s="10">
        <v>46275.87746256945</v>
      </c>
      <c r="B3205" s="11" t="s">
        <v>17285</v>
      </c>
      <c r="C3205" s="11" t="s">
        <v>259</v>
      </c>
      <c r="D3205" s="11" t="s">
        <v>68</v>
      </c>
      <c r="E3205" s="12">
        <v>46334.0</v>
      </c>
      <c r="F3205" s="12">
        <v>46335.0</v>
      </c>
      <c r="G3205" s="11" t="s">
        <v>17286</v>
      </c>
      <c r="H3205" s="11">
        <v>7.28595004E9</v>
      </c>
      <c r="I3205" s="11" t="s">
        <v>70</v>
      </c>
      <c r="J3205" s="11" t="s">
        <v>71</v>
      </c>
      <c r="K3205" s="11" t="s">
        <v>72</v>
      </c>
      <c r="L3205" s="11" t="s">
        <v>131</v>
      </c>
      <c r="M3205" s="11" t="s">
        <v>17287</v>
      </c>
      <c r="N3205" s="11" t="s">
        <v>198</v>
      </c>
      <c r="O3205" s="11" t="s">
        <v>71</v>
      </c>
      <c r="P3205" s="11" t="s">
        <v>17288</v>
      </c>
      <c r="Q3205" s="13" t="s">
        <v>17289</v>
      </c>
      <c r="R3205" s="14" t="str">
        <f>HYPERLINK("https://drive.google.com/file/d/1hsmsq6e8s_jXo60rG_A6kGrswneiIvJV/view?usp=drivesdk","OFFER LETTER")</f>
        <v>OFFER LETTER</v>
      </c>
      <c r="S3205" s="11" t="s">
        <v>17290</v>
      </c>
    </row>
    <row r="3206" ht="22.5" customHeight="1">
      <c r="A3206" s="10">
        <v>46275.87866292824</v>
      </c>
      <c r="B3206" s="11" t="s">
        <v>17291</v>
      </c>
      <c r="C3206" s="11" t="s">
        <v>259</v>
      </c>
      <c r="D3206" s="11" t="s">
        <v>68</v>
      </c>
      <c r="E3206" s="12">
        <v>46183.0</v>
      </c>
      <c r="F3206" s="12">
        <v>46216.0</v>
      </c>
      <c r="G3206" s="11" t="s">
        <v>17268</v>
      </c>
      <c r="H3206" s="11">
        <v>9.034133229E9</v>
      </c>
      <c r="I3206" s="11" t="s">
        <v>82</v>
      </c>
      <c r="J3206" s="11" t="s">
        <v>71</v>
      </c>
      <c r="K3206" s="11" t="s">
        <v>72</v>
      </c>
      <c r="L3206" s="11" t="s">
        <v>84</v>
      </c>
      <c r="M3206" s="11" t="s">
        <v>1217</v>
      </c>
      <c r="N3206" s="11" t="s">
        <v>86</v>
      </c>
      <c r="O3206" s="11" t="s">
        <v>71</v>
      </c>
      <c r="P3206" s="11" t="s">
        <v>17292</v>
      </c>
      <c r="Q3206" s="13" t="s">
        <v>17293</v>
      </c>
      <c r="R3206" s="14" t="str">
        <f>HYPERLINK("https://drive.google.com/file/d/1YJv2SDdx9QkSD-8uvIhOTZc0VjfK3MPL/view?usp=drivesdk","OFFER LETTER")</f>
        <v>OFFER LETTER</v>
      </c>
      <c r="S3206" s="11" t="s">
        <v>17294</v>
      </c>
    </row>
    <row r="3207" ht="22.5" customHeight="1">
      <c r="A3207" s="10">
        <v>46275.88045460648</v>
      </c>
      <c r="B3207" s="11" t="s">
        <v>17295</v>
      </c>
      <c r="C3207" s="11" t="s">
        <v>128</v>
      </c>
      <c r="D3207" s="11" t="s">
        <v>108</v>
      </c>
      <c r="E3207" s="12">
        <v>46275.0</v>
      </c>
      <c r="F3207" s="12">
        <v>46336.0</v>
      </c>
      <c r="G3207" s="11" t="s">
        <v>17296</v>
      </c>
      <c r="H3207" s="11">
        <v>9.305729865E9</v>
      </c>
      <c r="I3207" s="11" t="s">
        <v>70</v>
      </c>
      <c r="J3207" s="11" t="s">
        <v>71</v>
      </c>
      <c r="K3207" s="11" t="s">
        <v>110</v>
      </c>
      <c r="L3207" s="11" t="s">
        <v>73</v>
      </c>
      <c r="M3207" s="11" t="s">
        <v>17297</v>
      </c>
      <c r="N3207" s="11" t="s">
        <v>75</v>
      </c>
      <c r="O3207" s="11" t="s">
        <v>71</v>
      </c>
      <c r="P3207" s="11" t="s">
        <v>17298</v>
      </c>
      <c r="Q3207" s="13" t="s">
        <v>17299</v>
      </c>
      <c r="R3207" s="14" t="str">
        <f>HYPERLINK("https://drive.google.com/file/d/1f4nFVvifhiutHHDUWYV8VkBAHw-8yhnO/view?usp=drivesdk","OFFER LETTER")</f>
        <v>OFFER LETTER</v>
      </c>
      <c r="S3207" s="11" t="s">
        <v>17300</v>
      </c>
    </row>
    <row r="3208" ht="22.5" customHeight="1">
      <c r="A3208" s="10">
        <v>46275.88219768519</v>
      </c>
      <c r="B3208" s="11" t="s">
        <v>17301</v>
      </c>
      <c r="C3208" s="11" t="s">
        <v>128</v>
      </c>
      <c r="D3208" s="11" t="s">
        <v>68</v>
      </c>
      <c r="E3208" s="12">
        <v>46244.0</v>
      </c>
      <c r="F3208" s="12">
        <v>46275.0</v>
      </c>
      <c r="G3208" s="11" t="s">
        <v>17302</v>
      </c>
      <c r="H3208" s="11">
        <v>8.178431033E9</v>
      </c>
      <c r="I3208" s="11" t="s">
        <v>82</v>
      </c>
      <c r="J3208" s="11" t="s">
        <v>71</v>
      </c>
      <c r="K3208" s="11" t="s">
        <v>72</v>
      </c>
      <c r="L3208" s="11" t="s">
        <v>73</v>
      </c>
      <c r="M3208" s="11" t="s">
        <v>886</v>
      </c>
      <c r="N3208" s="11" t="s">
        <v>17303</v>
      </c>
      <c r="O3208" s="11" t="s">
        <v>71</v>
      </c>
      <c r="P3208" s="11" t="s">
        <v>17304</v>
      </c>
      <c r="Q3208" s="13" t="s">
        <v>17305</v>
      </c>
      <c r="R3208" s="14" t="str">
        <f>HYPERLINK("https://drive.google.com/file/d/1yqrlMtBPEt7m8_0QKDxOF3Taj6ARSaLM/view?usp=drivesdk","OFFER LETTER")</f>
        <v>OFFER LETTER</v>
      </c>
      <c r="S3208" s="11" t="s">
        <v>17306</v>
      </c>
    </row>
    <row r="3209" ht="22.5" customHeight="1">
      <c r="A3209" s="10">
        <v>46275.883238379625</v>
      </c>
      <c r="B3209" s="11" t="s">
        <v>17307</v>
      </c>
      <c r="C3209" s="11" t="s">
        <v>107</v>
      </c>
      <c r="D3209" s="11" t="s">
        <v>68</v>
      </c>
      <c r="E3209" s="12">
        <v>46275.0</v>
      </c>
      <c r="F3209" s="12">
        <v>46305.0</v>
      </c>
      <c r="G3209" s="11" t="s">
        <v>17308</v>
      </c>
      <c r="H3209" s="11">
        <v>8.945057673E9</v>
      </c>
      <c r="I3209" s="11" t="s">
        <v>70</v>
      </c>
      <c r="J3209" s="11" t="s">
        <v>71</v>
      </c>
      <c r="K3209" s="11" t="s">
        <v>72</v>
      </c>
      <c r="L3209" s="11" t="s">
        <v>131</v>
      </c>
      <c r="M3209" s="11" t="s">
        <v>17309</v>
      </c>
      <c r="N3209" s="11" t="s">
        <v>3319</v>
      </c>
      <c r="O3209" s="11" t="s">
        <v>71</v>
      </c>
      <c r="P3209" s="11" t="s">
        <v>17310</v>
      </c>
      <c r="Q3209" s="13" t="s">
        <v>17311</v>
      </c>
      <c r="R3209" s="14" t="str">
        <f>HYPERLINK("https://drive.google.com/file/d/1dSkwmbPoeCURDBMTakuFpE_8EwfVbILS/view?usp=drivesdk","OFFER LETTER")</f>
        <v>OFFER LETTER</v>
      </c>
      <c r="S3209" s="11" t="s">
        <v>17312</v>
      </c>
    </row>
    <row r="3210" ht="22.5" customHeight="1">
      <c r="A3210" s="10">
        <v>46275.88336143519</v>
      </c>
      <c r="B3210" s="11" t="s">
        <v>17313</v>
      </c>
      <c r="C3210" s="11" t="s">
        <v>107</v>
      </c>
      <c r="D3210" s="11" t="s">
        <v>68</v>
      </c>
      <c r="E3210" s="12">
        <v>46275.0</v>
      </c>
      <c r="F3210" s="12">
        <v>46305.0</v>
      </c>
      <c r="G3210" s="11" t="s">
        <v>17314</v>
      </c>
      <c r="H3210" s="11">
        <v>8.348814332E9</v>
      </c>
      <c r="I3210" s="11" t="s">
        <v>70</v>
      </c>
      <c r="J3210" s="11" t="s">
        <v>71</v>
      </c>
      <c r="K3210" s="11" t="s">
        <v>72</v>
      </c>
      <c r="L3210" s="11" t="s">
        <v>131</v>
      </c>
      <c r="M3210" s="11" t="s">
        <v>17315</v>
      </c>
      <c r="N3210" s="11" t="s">
        <v>3833</v>
      </c>
      <c r="O3210" s="11" t="s">
        <v>71</v>
      </c>
      <c r="P3210" s="11" t="s">
        <v>17316</v>
      </c>
      <c r="Q3210" s="13" t="s">
        <v>17317</v>
      </c>
      <c r="R3210" s="14" t="str">
        <f>HYPERLINK("https://drive.google.com/file/d/1vNhWD86NXD_48HABaOfQ0Kr7mJQQHPFG/view?usp=drivesdk","OFFER LETTER")</f>
        <v>OFFER LETTER</v>
      </c>
      <c r="S3210" s="11" t="s">
        <v>17318</v>
      </c>
    </row>
    <row r="3211" ht="22.5" customHeight="1">
      <c r="A3211" s="10">
        <v>46275.88493770833</v>
      </c>
      <c r="B3211" s="11" t="s">
        <v>16877</v>
      </c>
      <c r="C3211" s="11" t="s">
        <v>1200</v>
      </c>
      <c r="D3211" s="11" t="s">
        <v>68</v>
      </c>
      <c r="E3211" s="12">
        <v>46204.0</v>
      </c>
      <c r="F3211" s="12">
        <v>46235.0</v>
      </c>
      <c r="G3211" s="11" t="s">
        <v>16914</v>
      </c>
      <c r="H3211" s="11">
        <v>7.858850415E9</v>
      </c>
      <c r="I3211" s="11" t="s">
        <v>70</v>
      </c>
      <c r="J3211" s="11" t="s">
        <v>71</v>
      </c>
      <c r="K3211" s="11" t="s">
        <v>72</v>
      </c>
      <c r="L3211" s="11" t="s">
        <v>84</v>
      </c>
      <c r="M3211" s="11" t="s">
        <v>1073</v>
      </c>
      <c r="N3211" s="11" t="s">
        <v>241</v>
      </c>
      <c r="O3211" s="11" t="s">
        <v>71</v>
      </c>
      <c r="P3211" s="11" t="s">
        <v>17319</v>
      </c>
      <c r="Q3211" s="13" t="s">
        <v>17320</v>
      </c>
      <c r="R3211" s="14" t="str">
        <f>HYPERLINK("https://drive.google.com/file/d/1f3rhK4DGfVvBokaSlozTvtwxolTETlC6/view?usp=drivesdk","OFFER LETTER")</f>
        <v>OFFER LETTER</v>
      </c>
      <c r="S3211" s="11" t="s">
        <v>17321</v>
      </c>
    </row>
    <row r="3212" ht="22.5" customHeight="1">
      <c r="A3212" s="10">
        <v>46275.8857366088</v>
      </c>
      <c r="B3212" s="11" t="s">
        <v>17322</v>
      </c>
      <c r="C3212" s="11" t="s">
        <v>107</v>
      </c>
      <c r="D3212" s="11" t="s">
        <v>68</v>
      </c>
      <c r="E3212" s="12">
        <v>46275.0</v>
      </c>
      <c r="F3212" s="12">
        <v>46275.0</v>
      </c>
      <c r="G3212" s="11" t="s">
        <v>17323</v>
      </c>
      <c r="H3212" s="11">
        <v>9.795236392E9</v>
      </c>
      <c r="I3212" s="11" t="s">
        <v>82</v>
      </c>
      <c r="J3212" s="11" t="s">
        <v>71</v>
      </c>
      <c r="K3212" s="11" t="s">
        <v>110</v>
      </c>
      <c r="L3212" s="11" t="s">
        <v>73</v>
      </c>
      <c r="M3212" s="11" t="s">
        <v>17324</v>
      </c>
      <c r="N3212" s="11" t="s">
        <v>226</v>
      </c>
      <c r="O3212" s="11" t="s">
        <v>71</v>
      </c>
      <c r="P3212" s="11" t="s">
        <v>17325</v>
      </c>
      <c r="Q3212" s="13" t="s">
        <v>17326</v>
      </c>
      <c r="R3212" s="14" t="str">
        <f>HYPERLINK("https://drive.google.com/file/d/1y43SF4RwP5ZL6TtRhuIIgjUcwu8d0HoD/view?usp=drivesdk","OFFER LETTER")</f>
        <v>OFFER LETTER</v>
      </c>
      <c r="S3212" s="11" t="s">
        <v>17327</v>
      </c>
    </row>
    <row r="3213" ht="22.5" customHeight="1">
      <c r="A3213" s="10">
        <v>46275.88631439814</v>
      </c>
      <c r="B3213" s="11" t="s">
        <v>17328</v>
      </c>
      <c r="C3213" s="11" t="s">
        <v>195</v>
      </c>
      <c r="D3213" s="11" t="s">
        <v>68</v>
      </c>
      <c r="E3213" s="12">
        <v>46188.0</v>
      </c>
      <c r="F3213" s="12">
        <v>46218.0</v>
      </c>
      <c r="G3213" s="11" t="s">
        <v>17329</v>
      </c>
      <c r="H3213" s="17" t="s">
        <v>17330</v>
      </c>
      <c r="I3213" s="11" t="s">
        <v>70</v>
      </c>
      <c r="J3213" s="11" t="s">
        <v>71</v>
      </c>
      <c r="K3213" s="11" t="s">
        <v>72</v>
      </c>
      <c r="L3213" s="11" t="s">
        <v>131</v>
      </c>
      <c r="M3213" s="11" t="s">
        <v>3002</v>
      </c>
      <c r="N3213" s="11" t="s">
        <v>86</v>
      </c>
      <c r="O3213" s="11" t="s">
        <v>263</v>
      </c>
      <c r="P3213" s="11" t="s">
        <v>17331</v>
      </c>
      <c r="Q3213" s="13" t="s">
        <v>17332</v>
      </c>
      <c r="R3213" s="14" t="str">
        <f>HYPERLINK("https://drive.google.com/file/d/1axfO3r3jrxExOBLBP8OCdtcPrfkNhWdd/view?usp=drivesdk","OFFER LETTER")</f>
        <v>OFFER LETTER</v>
      </c>
      <c r="S3213" s="11" t="s">
        <v>17333</v>
      </c>
    </row>
    <row r="3214" ht="22.5" customHeight="1">
      <c r="A3214" s="10">
        <v>46275.88638539352</v>
      </c>
      <c r="B3214" s="11" t="s">
        <v>17291</v>
      </c>
      <c r="C3214" s="11" t="s">
        <v>195</v>
      </c>
      <c r="D3214" s="11" t="s">
        <v>68</v>
      </c>
      <c r="E3214" s="12">
        <v>46183.0</v>
      </c>
      <c r="F3214" s="12">
        <v>46216.0</v>
      </c>
      <c r="G3214" s="11" t="s">
        <v>17268</v>
      </c>
      <c r="H3214" s="11">
        <v>9.0344133229E10</v>
      </c>
      <c r="I3214" s="11" t="s">
        <v>82</v>
      </c>
      <c r="J3214" s="11" t="s">
        <v>71</v>
      </c>
      <c r="K3214" s="11" t="s">
        <v>72</v>
      </c>
      <c r="L3214" s="11" t="s">
        <v>84</v>
      </c>
      <c r="M3214" s="11" t="s">
        <v>1217</v>
      </c>
      <c r="N3214" s="11" t="s">
        <v>86</v>
      </c>
      <c r="O3214" s="11" t="s">
        <v>71</v>
      </c>
      <c r="P3214" s="11" t="s">
        <v>17334</v>
      </c>
      <c r="Q3214" s="13" t="s">
        <v>17335</v>
      </c>
      <c r="R3214" s="14" t="str">
        <f>HYPERLINK("https://drive.google.com/file/d/176vXxHnKcT6ZzjwXR4eiGG91Itt_eDLL/view?usp=drivesdk","OFFER LETTER")</f>
        <v>OFFER LETTER</v>
      </c>
      <c r="S3214" s="11" t="s">
        <v>17336</v>
      </c>
    </row>
    <row r="3215" ht="22.5" customHeight="1">
      <c r="A3215" s="10">
        <v>46275.88681851852</v>
      </c>
      <c r="B3215" s="11" t="s">
        <v>17337</v>
      </c>
      <c r="C3215" s="11" t="s">
        <v>173</v>
      </c>
      <c r="D3215" s="11" t="s">
        <v>68</v>
      </c>
      <c r="E3215" s="12">
        <v>46279.0</v>
      </c>
      <c r="F3215" s="12">
        <v>46309.0</v>
      </c>
      <c r="G3215" s="11" t="s">
        <v>17338</v>
      </c>
      <c r="H3215" s="11">
        <v>6.264473443E9</v>
      </c>
      <c r="I3215" s="11" t="s">
        <v>70</v>
      </c>
      <c r="J3215" s="11" t="s">
        <v>71</v>
      </c>
      <c r="K3215" s="11" t="s">
        <v>110</v>
      </c>
      <c r="L3215" s="11" t="s">
        <v>73</v>
      </c>
      <c r="M3215" s="11" t="s">
        <v>17339</v>
      </c>
      <c r="N3215" s="11" t="s">
        <v>86</v>
      </c>
      <c r="O3215" s="11" t="s">
        <v>71</v>
      </c>
      <c r="P3215" s="11" t="s">
        <v>17340</v>
      </c>
      <c r="Q3215" s="13" t="s">
        <v>17341</v>
      </c>
      <c r="R3215" s="14" t="str">
        <f>HYPERLINK("https://drive.google.com/file/d/1OaTQd3VxDIi0oOY53nl3GJnT2alnEIAU/view?usp=drivesdk","OFFER LETTER")</f>
        <v>OFFER LETTER</v>
      </c>
      <c r="S3215" s="11" t="s">
        <v>17342</v>
      </c>
    </row>
    <row r="3216" ht="22.5" customHeight="1">
      <c r="A3216" s="10">
        <v>46275.88906483796</v>
      </c>
      <c r="B3216" s="11" t="s">
        <v>17343</v>
      </c>
      <c r="C3216" s="11" t="s">
        <v>173</v>
      </c>
      <c r="D3216" s="11" t="s">
        <v>68</v>
      </c>
      <c r="E3216" s="12">
        <v>46176.0</v>
      </c>
      <c r="F3216" s="12">
        <v>46206.0</v>
      </c>
      <c r="G3216" s="11" t="s">
        <v>17344</v>
      </c>
      <c r="H3216" s="11">
        <v>6.289823809E9</v>
      </c>
      <c r="I3216" s="11" t="s">
        <v>82</v>
      </c>
      <c r="J3216" s="11" t="s">
        <v>71</v>
      </c>
      <c r="K3216" s="11" t="s">
        <v>72</v>
      </c>
      <c r="L3216" s="11" t="s">
        <v>84</v>
      </c>
      <c r="M3216" s="11" t="s">
        <v>1779</v>
      </c>
      <c r="N3216" s="11" t="s">
        <v>226</v>
      </c>
      <c r="O3216" s="11" t="s">
        <v>71</v>
      </c>
      <c r="P3216" s="11" t="s">
        <v>17345</v>
      </c>
      <c r="Q3216" s="13" t="s">
        <v>17346</v>
      </c>
      <c r="R3216" s="14" t="str">
        <f>HYPERLINK("https://drive.google.com/file/d/1gyRYwf5oTZdlczPbAJCRG5wDlLHeINiK/view?usp=drivesdk","OFFER LETTER")</f>
        <v>OFFER LETTER</v>
      </c>
      <c r="S3216" s="11" t="s">
        <v>17347</v>
      </c>
    </row>
    <row r="3217" ht="22.5" customHeight="1">
      <c r="A3217" s="10">
        <v>46275.88969940972</v>
      </c>
      <c r="B3217" s="11" t="s">
        <v>17348</v>
      </c>
      <c r="C3217" s="11" t="s">
        <v>173</v>
      </c>
      <c r="D3217" s="11" t="s">
        <v>68</v>
      </c>
      <c r="E3217" s="12">
        <v>46174.0</v>
      </c>
      <c r="F3217" s="12">
        <v>46204.0</v>
      </c>
      <c r="G3217" s="11" t="s">
        <v>17349</v>
      </c>
      <c r="H3217" s="11">
        <v>9.289580401E9</v>
      </c>
      <c r="I3217" s="11" t="s">
        <v>82</v>
      </c>
      <c r="J3217" s="11" t="s">
        <v>71</v>
      </c>
      <c r="K3217" s="11" t="s">
        <v>72</v>
      </c>
      <c r="L3217" s="11" t="s">
        <v>84</v>
      </c>
      <c r="M3217" s="11" t="s">
        <v>886</v>
      </c>
      <c r="N3217" s="11" t="s">
        <v>86</v>
      </c>
      <c r="O3217" s="11" t="s">
        <v>71</v>
      </c>
      <c r="P3217" s="11" t="s">
        <v>17350</v>
      </c>
      <c r="Q3217" s="13" t="s">
        <v>17351</v>
      </c>
      <c r="R3217" s="14" t="str">
        <f>HYPERLINK("https://drive.google.com/file/d/19kxBunEN07n-3gy29lNp9EXB9nuxSIIJ/view?usp=drivesdk","OFFER LETTER")</f>
        <v>OFFER LETTER</v>
      </c>
      <c r="S3217" s="11" t="s">
        <v>17352</v>
      </c>
    </row>
    <row r="3218" ht="22.5" customHeight="1">
      <c r="A3218" s="10">
        <v>46275.89082699074</v>
      </c>
      <c r="B3218" s="11" t="s">
        <v>17353</v>
      </c>
      <c r="C3218" s="11" t="s">
        <v>91</v>
      </c>
      <c r="D3218" s="11" t="s">
        <v>68</v>
      </c>
      <c r="E3218" s="12">
        <v>46274.0</v>
      </c>
      <c r="F3218" s="12">
        <v>46303.0</v>
      </c>
      <c r="G3218" s="11" t="s">
        <v>17354</v>
      </c>
      <c r="H3218" s="11">
        <v>9.019371125E9</v>
      </c>
      <c r="I3218" s="11" t="s">
        <v>70</v>
      </c>
      <c r="J3218" s="11" t="s">
        <v>71</v>
      </c>
      <c r="K3218" s="11" t="s">
        <v>110</v>
      </c>
      <c r="L3218" s="11" t="s">
        <v>73</v>
      </c>
      <c r="M3218" s="11" t="s">
        <v>17355</v>
      </c>
      <c r="N3218" s="11" t="s">
        <v>420</v>
      </c>
      <c r="O3218" s="11" t="s">
        <v>71</v>
      </c>
      <c r="P3218" s="11" t="s">
        <v>17356</v>
      </c>
      <c r="Q3218" s="13" t="s">
        <v>17357</v>
      </c>
      <c r="R3218" s="14" t="str">
        <f>HYPERLINK("https://drive.google.com/file/d/19e6AU74hTandAkcBMsaMgqIeoVEFojv-/view?usp=drivesdk","OFFER LETTER")</f>
        <v>OFFER LETTER</v>
      </c>
      <c r="S3218" s="11" t="s">
        <v>17358</v>
      </c>
    </row>
    <row r="3219" ht="22.5" customHeight="1">
      <c r="A3219" s="10">
        <v>46275.891821377314</v>
      </c>
      <c r="B3219" s="11" t="s">
        <v>17359</v>
      </c>
      <c r="C3219" s="11" t="s">
        <v>128</v>
      </c>
      <c r="D3219" s="11" t="s">
        <v>68</v>
      </c>
      <c r="E3219" s="12">
        <v>46204.0</v>
      </c>
      <c r="F3219" s="12">
        <v>46233.0</v>
      </c>
      <c r="G3219" s="11" t="s">
        <v>16016</v>
      </c>
      <c r="H3219" s="11">
        <v>9.963028212E9</v>
      </c>
      <c r="I3219" s="11" t="s">
        <v>82</v>
      </c>
      <c r="J3219" s="11" t="s">
        <v>71</v>
      </c>
      <c r="K3219" s="11" t="s">
        <v>72</v>
      </c>
      <c r="L3219" s="11" t="s">
        <v>73</v>
      </c>
      <c r="M3219" s="11" t="s">
        <v>17360</v>
      </c>
      <c r="N3219" s="11" t="s">
        <v>226</v>
      </c>
      <c r="O3219" s="11" t="s">
        <v>71</v>
      </c>
      <c r="P3219" s="11" t="s">
        <v>17361</v>
      </c>
      <c r="Q3219" s="13" t="s">
        <v>17362</v>
      </c>
      <c r="R3219" s="14" t="str">
        <f>HYPERLINK("https://drive.google.com/file/d/1gZgEGr6Ry_lQ6Mg6n4S4kWc6p07VrawI/view?usp=drivesdk","OFFER LETTER")</f>
        <v>OFFER LETTER</v>
      </c>
      <c r="S3219" s="11" t="s">
        <v>17363</v>
      </c>
    </row>
    <row r="3220" ht="22.5" customHeight="1">
      <c r="A3220" s="10">
        <v>46275.892332268515</v>
      </c>
      <c r="B3220" s="11" t="s">
        <v>17364</v>
      </c>
      <c r="C3220" s="11" t="s">
        <v>107</v>
      </c>
      <c r="D3220" s="11" t="s">
        <v>68</v>
      </c>
      <c r="E3220" s="12">
        <v>46244.0</v>
      </c>
      <c r="F3220" s="12">
        <v>46275.0</v>
      </c>
      <c r="G3220" s="11" t="s">
        <v>17365</v>
      </c>
      <c r="H3220" s="11">
        <v>7.654133607E9</v>
      </c>
      <c r="I3220" s="11" t="s">
        <v>82</v>
      </c>
      <c r="J3220" s="11" t="s">
        <v>83</v>
      </c>
      <c r="K3220" s="11" t="s">
        <v>72</v>
      </c>
      <c r="L3220" s="11" t="s">
        <v>131</v>
      </c>
      <c r="M3220" s="11" t="s">
        <v>1118</v>
      </c>
      <c r="N3220" s="11" t="s">
        <v>655</v>
      </c>
      <c r="O3220" s="11" t="s">
        <v>71</v>
      </c>
      <c r="P3220" s="11" t="s">
        <v>17366</v>
      </c>
      <c r="Q3220" s="13" t="s">
        <v>17367</v>
      </c>
      <c r="R3220" s="14" t="str">
        <f>HYPERLINK("https://drive.google.com/file/d/1Nrl7wZOQIDQqr9NZOcNbq1ldb3S7Dhou/view?usp=drivesdk","OFFER LETTER")</f>
        <v>OFFER LETTER</v>
      </c>
      <c r="S3220" s="11" t="s">
        <v>17368</v>
      </c>
    </row>
    <row r="3221" ht="22.5" customHeight="1">
      <c r="A3221" s="10">
        <v>46275.892825532406</v>
      </c>
      <c r="B3221" s="11" t="s">
        <v>17369</v>
      </c>
      <c r="C3221" s="11" t="s">
        <v>107</v>
      </c>
      <c r="D3221" s="11" t="s">
        <v>68</v>
      </c>
      <c r="E3221" s="12">
        <v>46275.0</v>
      </c>
      <c r="F3221" s="12">
        <v>46305.0</v>
      </c>
      <c r="G3221" s="11" t="s">
        <v>17370</v>
      </c>
      <c r="H3221" s="11">
        <v>8.505005945E9</v>
      </c>
      <c r="I3221" s="11" t="s">
        <v>70</v>
      </c>
      <c r="J3221" s="11" t="s">
        <v>83</v>
      </c>
      <c r="K3221" s="11" t="s">
        <v>110</v>
      </c>
      <c r="L3221" s="11" t="s">
        <v>73</v>
      </c>
      <c r="M3221" s="11" t="s">
        <v>17371</v>
      </c>
      <c r="N3221" s="11" t="s">
        <v>86</v>
      </c>
      <c r="O3221" s="11" t="s">
        <v>71</v>
      </c>
      <c r="P3221" s="11" t="s">
        <v>17372</v>
      </c>
      <c r="Q3221" s="13" t="s">
        <v>17373</v>
      </c>
      <c r="R3221" s="14" t="str">
        <f>HYPERLINK("https://drive.google.com/file/d/18agOA-zwmwX5oOi01ivxSakd8NmZRUXq/view?usp=drivesdk","OFFER LETTER")</f>
        <v>OFFER LETTER</v>
      </c>
      <c r="S3221" s="11" t="s">
        <v>17374</v>
      </c>
    </row>
    <row r="3222" ht="22.5" customHeight="1">
      <c r="A3222" s="10">
        <v>46275.89642954861</v>
      </c>
      <c r="B3222" s="11" t="s">
        <v>17375</v>
      </c>
      <c r="C3222" s="11" t="s">
        <v>128</v>
      </c>
      <c r="D3222" s="11" t="s">
        <v>68</v>
      </c>
      <c r="E3222" s="12">
        <v>46243.0</v>
      </c>
      <c r="F3222" s="12">
        <v>46274.0</v>
      </c>
      <c r="G3222" s="11" t="s">
        <v>17376</v>
      </c>
      <c r="H3222" s="11">
        <v>8.826093638E9</v>
      </c>
      <c r="I3222" s="11" t="s">
        <v>70</v>
      </c>
      <c r="J3222" s="11" t="s">
        <v>71</v>
      </c>
      <c r="K3222" s="11" t="s">
        <v>72</v>
      </c>
      <c r="L3222" s="11" t="s">
        <v>73</v>
      </c>
      <c r="M3222" s="11" t="s">
        <v>7325</v>
      </c>
      <c r="N3222" s="11" t="s">
        <v>198</v>
      </c>
      <c r="O3222" s="11" t="s">
        <v>71</v>
      </c>
      <c r="P3222" s="11" t="s">
        <v>17377</v>
      </c>
      <c r="Q3222" s="13" t="s">
        <v>17378</v>
      </c>
      <c r="R3222" s="14" t="str">
        <f>HYPERLINK("https://drive.google.com/file/d/1wv6b7qh2cl1KpshV4iDTfzj2NqT3sdkx/view?usp=drivesdk","OFFER LETTER")</f>
        <v>OFFER LETTER</v>
      </c>
      <c r="S3222" s="11" t="s">
        <v>17379</v>
      </c>
    </row>
    <row r="3223" ht="22.5" customHeight="1">
      <c r="A3223" s="10">
        <v>46275.896958784724</v>
      </c>
      <c r="B3223" s="11" t="s">
        <v>17369</v>
      </c>
      <c r="C3223" s="11" t="s">
        <v>107</v>
      </c>
      <c r="D3223" s="11" t="s">
        <v>68</v>
      </c>
      <c r="E3223" s="12">
        <v>46275.0</v>
      </c>
      <c r="F3223" s="12">
        <v>46305.0</v>
      </c>
      <c r="G3223" s="11" t="s">
        <v>17370</v>
      </c>
      <c r="H3223" s="11">
        <v>8.505005945E9</v>
      </c>
      <c r="I3223" s="11" t="s">
        <v>70</v>
      </c>
      <c r="J3223" s="11" t="s">
        <v>83</v>
      </c>
      <c r="K3223" s="11" t="s">
        <v>110</v>
      </c>
      <c r="L3223" s="11" t="s">
        <v>73</v>
      </c>
      <c r="M3223" s="11" t="s">
        <v>17380</v>
      </c>
      <c r="N3223" s="11" t="s">
        <v>86</v>
      </c>
      <c r="O3223" s="11" t="s">
        <v>71</v>
      </c>
      <c r="P3223" s="11" t="s">
        <v>17381</v>
      </c>
      <c r="Q3223" s="13" t="s">
        <v>17382</v>
      </c>
      <c r="R3223" s="14" t="str">
        <f>HYPERLINK("https://drive.google.com/file/d/1HLi_QLlz62w0o2HY6Pn9gqDAg8zyABhA/view?usp=drivesdk","OFFER LETTER")</f>
        <v>OFFER LETTER</v>
      </c>
      <c r="S3223" s="11" t="s">
        <v>17383</v>
      </c>
    </row>
    <row r="3224" ht="22.5" customHeight="1">
      <c r="A3224" s="10">
        <v>46275.898527881945</v>
      </c>
      <c r="B3224" s="11" t="s">
        <v>17322</v>
      </c>
      <c r="C3224" s="11" t="s">
        <v>107</v>
      </c>
      <c r="D3224" s="11" t="s">
        <v>68</v>
      </c>
      <c r="E3224" s="12">
        <v>46244.0</v>
      </c>
      <c r="F3224" s="12">
        <v>46275.0</v>
      </c>
      <c r="G3224" s="11" t="s">
        <v>17323</v>
      </c>
      <c r="H3224" s="11">
        <v>9.795236392E9</v>
      </c>
      <c r="I3224" s="11" t="s">
        <v>82</v>
      </c>
      <c r="J3224" s="11" t="s">
        <v>71</v>
      </c>
      <c r="K3224" s="11" t="s">
        <v>110</v>
      </c>
      <c r="L3224" s="11" t="s">
        <v>73</v>
      </c>
      <c r="M3224" s="11" t="s">
        <v>17384</v>
      </c>
      <c r="N3224" s="11" t="s">
        <v>226</v>
      </c>
      <c r="O3224" s="11" t="s">
        <v>71</v>
      </c>
      <c r="P3224" s="11" t="s">
        <v>17385</v>
      </c>
      <c r="Q3224" s="13" t="s">
        <v>17386</v>
      </c>
      <c r="R3224" s="14" t="str">
        <f>HYPERLINK("https://drive.google.com/file/d/1HXCQWzVxAqp6uX03wslS9BLbOERErmsb/view?usp=drivesdk","OFFER LETTER")</f>
        <v>OFFER LETTER</v>
      </c>
      <c r="S3224" s="11" t="s">
        <v>17387</v>
      </c>
    </row>
    <row r="3225" ht="22.5" customHeight="1">
      <c r="A3225" s="10">
        <v>46275.89866899306</v>
      </c>
      <c r="B3225" s="11" t="s">
        <v>17388</v>
      </c>
      <c r="C3225" s="11" t="s">
        <v>107</v>
      </c>
      <c r="D3225" s="11" t="s">
        <v>68</v>
      </c>
      <c r="E3225" s="12">
        <v>46183.0</v>
      </c>
      <c r="F3225" s="12">
        <v>46215.0</v>
      </c>
      <c r="G3225" s="11" t="s">
        <v>17389</v>
      </c>
      <c r="H3225" s="11">
        <v>6.380719326E9</v>
      </c>
      <c r="I3225" s="11" t="s">
        <v>70</v>
      </c>
      <c r="J3225" s="11" t="s">
        <v>71</v>
      </c>
      <c r="K3225" s="11" t="s">
        <v>72</v>
      </c>
      <c r="L3225" s="11" t="s">
        <v>73</v>
      </c>
      <c r="M3225" s="11" t="s">
        <v>17390</v>
      </c>
      <c r="N3225" s="11" t="s">
        <v>226</v>
      </c>
      <c r="O3225" s="11" t="s">
        <v>71</v>
      </c>
      <c r="P3225" s="11" t="s">
        <v>17391</v>
      </c>
      <c r="Q3225" s="13" t="s">
        <v>17392</v>
      </c>
      <c r="R3225" s="14" t="str">
        <f>HYPERLINK("https://drive.google.com/file/d/1cS7WDDW4sjfy50jqdDvJsPLkInd6DzIy/view?usp=drivesdk","OFFER LETTER")</f>
        <v>OFFER LETTER</v>
      </c>
      <c r="S3225" s="11" t="s">
        <v>17393</v>
      </c>
    </row>
    <row r="3226" ht="22.5" customHeight="1">
      <c r="A3226" s="10">
        <v>46275.89891153935</v>
      </c>
      <c r="B3226" s="11" t="s">
        <v>17394</v>
      </c>
      <c r="C3226" s="11" t="s">
        <v>195</v>
      </c>
      <c r="D3226" s="11" t="s">
        <v>68</v>
      </c>
      <c r="E3226" s="12">
        <v>46240.0</v>
      </c>
      <c r="F3226" s="12">
        <v>46271.0</v>
      </c>
      <c r="G3226" s="11" t="s">
        <v>17395</v>
      </c>
      <c r="H3226" s="11">
        <v>9.696500556E9</v>
      </c>
      <c r="I3226" s="11" t="s">
        <v>82</v>
      </c>
      <c r="J3226" s="11" t="s">
        <v>83</v>
      </c>
      <c r="K3226" s="11" t="s">
        <v>72</v>
      </c>
      <c r="L3226" s="11" t="s">
        <v>73</v>
      </c>
      <c r="M3226" s="11" t="s">
        <v>17396</v>
      </c>
      <c r="N3226" s="11" t="s">
        <v>198</v>
      </c>
      <c r="O3226" s="11" t="s">
        <v>71</v>
      </c>
      <c r="P3226" s="11" t="s">
        <v>17397</v>
      </c>
      <c r="Q3226" s="13" t="s">
        <v>17398</v>
      </c>
      <c r="R3226" s="14" t="str">
        <f>HYPERLINK("https://drive.google.com/file/d/1I8sUlPG7kMxKuH0Vr9HIsvml65PIo8Qv/view?usp=drivesdk","OFFER LETTER")</f>
        <v>OFFER LETTER</v>
      </c>
      <c r="S3226" s="11" t="s">
        <v>17399</v>
      </c>
    </row>
    <row r="3227" ht="22.5" customHeight="1">
      <c r="A3227" s="10">
        <v>46275.90019649305</v>
      </c>
      <c r="B3227" s="11" t="s">
        <v>17400</v>
      </c>
      <c r="C3227" s="11" t="s">
        <v>173</v>
      </c>
      <c r="D3227" s="11" t="s">
        <v>68</v>
      </c>
      <c r="E3227" s="12">
        <v>46235.0</v>
      </c>
      <c r="F3227" s="12">
        <v>46264.0</v>
      </c>
      <c r="G3227" s="11" t="s">
        <v>17401</v>
      </c>
      <c r="H3227" s="11">
        <v>9.015204268E9</v>
      </c>
      <c r="I3227" s="11" t="s">
        <v>70</v>
      </c>
      <c r="J3227" s="11" t="s">
        <v>83</v>
      </c>
      <c r="K3227" s="11" t="s">
        <v>72</v>
      </c>
      <c r="L3227" s="11" t="s">
        <v>84</v>
      </c>
      <c r="M3227" s="11" t="s">
        <v>5710</v>
      </c>
      <c r="N3227" s="11" t="s">
        <v>86</v>
      </c>
      <c r="O3227" s="11" t="s">
        <v>71</v>
      </c>
      <c r="P3227" s="11" t="s">
        <v>17402</v>
      </c>
      <c r="Q3227" s="13" t="s">
        <v>17403</v>
      </c>
      <c r="R3227" s="14" t="str">
        <f>HYPERLINK("https://drive.google.com/file/d/1uJSSeL9TxIUBo6BK_a8jwvONgH32Yp7E/view?usp=drivesdk","OFFER LETTER")</f>
        <v>OFFER LETTER</v>
      </c>
      <c r="S3227" s="11" t="s">
        <v>17404</v>
      </c>
    </row>
    <row r="3228" ht="22.5" customHeight="1">
      <c r="A3228" s="10">
        <v>46275.90149127315</v>
      </c>
      <c r="B3228" s="11" t="s">
        <v>17405</v>
      </c>
      <c r="C3228" s="11" t="s">
        <v>596</v>
      </c>
      <c r="D3228" s="11" t="s">
        <v>108</v>
      </c>
      <c r="E3228" s="12">
        <v>46174.0</v>
      </c>
      <c r="F3228" s="12">
        <v>46235.0</v>
      </c>
      <c r="G3228" s="11" t="s">
        <v>17406</v>
      </c>
      <c r="H3228" s="11">
        <v>9.142483471E9</v>
      </c>
      <c r="I3228" s="11" t="s">
        <v>82</v>
      </c>
      <c r="J3228" s="11" t="s">
        <v>71</v>
      </c>
      <c r="K3228" s="11" t="s">
        <v>72</v>
      </c>
      <c r="L3228" s="11" t="s">
        <v>73</v>
      </c>
      <c r="M3228" s="11" t="s">
        <v>1322</v>
      </c>
      <c r="N3228" s="11" t="s">
        <v>11343</v>
      </c>
      <c r="O3228" s="11" t="s">
        <v>71</v>
      </c>
      <c r="P3228" s="11" t="s">
        <v>17407</v>
      </c>
      <c r="Q3228" s="13" t="s">
        <v>17408</v>
      </c>
      <c r="R3228" s="14" t="str">
        <f>HYPERLINK("https://drive.google.com/file/d/1QPidxzr9ALZOGaW1QYazhGYwfoRJEWvV/view?usp=drivesdk","OFFER LETTER")</f>
        <v>OFFER LETTER</v>
      </c>
      <c r="S3228" s="11" t="s">
        <v>17409</v>
      </c>
    </row>
    <row r="3229" ht="22.5" customHeight="1">
      <c r="A3229" s="10">
        <v>46275.90389872685</v>
      </c>
      <c r="B3229" s="11" t="s">
        <v>17388</v>
      </c>
      <c r="C3229" s="11" t="s">
        <v>107</v>
      </c>
      <c r="D3229" s="11" t="s">
        <v>68</v>
      </c>
      <c r="E3229" s="12">
        <v>46183.0</v>
      </c>
      <c r="F3229" s="12">
        <v>46215.0</v>
      </c>
      <c r="G3229" s="11" t="s">
        <v>17389</v>
      </c>
      <c r="H3229" s="11">
        <v>6.380719326E9</v>
      </c>
      <c r="I3229" s="11" t="s">
        <v>70</v>
      </c>
      <c r="J3229" s="11" t="s">
        <v>71</v>
      </c>
      <c r="K3229" s="11" t="s">
        <v>72</v>
      </c>
      <c r="L3229" s="11" t="s">
        <v>73</v>
      </c>
      <c r="M3229" s="11" t="s">
        <v>17390</v>
      </c>
      <c r="N3229" s="11" t="s">
        <v>226</v>
      </c>
      <c r="O3229" s="11" t="s">
        <v>71</v>
      </c>
      <c r="P3229" s="11" t="s">
        <v>17410</v>
      </c>
      <c r="Q3229" s="13" t="s">
        <v>17411</v>
      </c>
      <c r="R3229" s="14" t="str">
        <f>HYPERLINK("https://drive.google.com/file/d/1cnblJuq-qeT251lQ43hCVIeFxOj-cavG/view?usp=drivesdk","OFFER LETTER")</f>
        <v>OFFER LETTER</v>
      </c>
      <c r="S3229" s="11" t="s">
        <v>17412</v>
      </c>
    </row>
    <row r="3230" ht="22.5" customHeight="1">
      <c r="A3230" s="10">
        <v>46275.90420145833</v>
      </c>
      <c r="B3230" s="11" t="s">
        <v>17413</v>
      </c>
      <c r="C3230" s="11" t="s">
        <v>128</v>
      </c>
      <c r="D3230" s="11" t="s">
        <v>68</v>
      </c>
      <c r="E3230" s="12">
        <v>46275.0</v>
      </c>
      <c r="F3230" s="12">
        <v>46310.0</v>
      </c>
      <c r="G3230" s="11" t="s">
        <v>17414</v>
      </c>
      <c r="H3230" s="11">
        <v>8.618452007E9</v>
      </c>
      <c r="I3230" s="11" t="s">
        <v>70</v>
      </c>
      <c r="J3230" s="11" t="s">
        <v>71</v>
      </c>
      <c r="K3230" s="11" t="s">
        <v>110</v>
      </c>
      <c r="L3230" s="11" t="s">
        <v>73</v>
      </c>
      <c r="M3230" s="11" t="s">
        <v>17415</v>
      </c>
      <c r="N3230" s="11" t="s">
        <v>198</v>
      </c>
      <c r="O3230" s="11" t="s">
        <v>71</v>
      </c>
      <c r="P3230" s="11" t="s">
        <v>17416</v>
      </c>
      <c r="Q3230" s="13" t="s">
        <v>17417</v>
      </c>
      <c r="R3230" s="14" t="str">
        <f>HYPERLINK("https://drive.google.com/file/d/1-Mj2MDTKjeS-wyfg4kZYVkATbYGnoEMp/view?usp=drivesdk","OFFER LETTER")</f>
        <v>OFFER LETTER</v>
      </c>
      <c r="S3230" s="11" t="s">
        <v>17418</v>
      </c>
    </row>
    <row r="3231" ht="22.5" customHeight="1">
      <c r="A3231" s="10">
        <v>46275.90600769676</v>
      </c>
      <c r="B3231" s="11" t="s">
        <v>17419</v>
      </c>
      <c r="C3231" s="11" t="s">
        <v>195</v>
      </c>
      <c r="D3231" s="11" t="s">
        <v>68</v>
      </c>
      <c r="E3231" s="12">
        <v>46182.0</v>
      </c>
      <c r="F3231" s="12">
        <v>46212.0</v>
      </c>
      <c r="G3231" s="11" t="s">
        <v>17420</v>
      </c>
      <c r="H3231" s="11">
        <v>7.991195779E9</v>
      </c>
      <c r="I3231" s="11" t="s">
        <v>82</v>
      </c>
      <c r="J3231" s="11" t="s">
        <v>71</v>
      </c>
      <c r="K3231" s="11" t="s">
        <v>72</v>
      </c>
      <c r="L3231" s="11" t="s">
        <v>84</v>
      </c>
      <c r="M3231" s="11" t="s">
        <v>1779</v>
      </c>
      <c r="N3231" s="11" t="s">
        <v>226</v>
      </c>
      <c r="O3231" s="11" t="s">
        <v>71</v>
      </c>
      <c r="P3231" s="11" t="s">
        <v>17421</v>
      </c>
      <c r="Q3231" s="13" t="s">
        <v>17422</v>
      </c>
      <c r="R3231" s="14" t="str">
        <f>HYPERLINK("https://drive.google.com/file/d/1f3cgQyT_1E7S_4jn0UtTct7z3jP2Sa6i/view?usp=drivesdk","OFFER LETTER")</f>
        <v>OFFER LETTER</v>
      </c>
      <c r="S3231" s="11" t="s">
        <v>17423</v>
      </c>
    </row>
    <row r="3232" ht="22.5" customHeight="1">
      <c r="A3232" s="10">
        <v>46275.90670767361</v>
      </c>
      <c r="B3232" s="11" t="s">
        <v>17424</v>
      </c>
      <c r="C3232" s="11" t="s">
        <v>173</v>
      </c>
      <c r="D3232" s="11" t="s">
        <v>68</v>
      </c>
      <c r="E3232" s="12">
        <v>46238.0</v>
      </c>
      <c r="F3232" s="12">
        <v>46269.0</v>
      </c>
      <c r="G3232" s="11" t="s">
        <v>17425</v>
      </c>
      <c r="H3232" s="11">
        <v>6.386517886E9</v>
      </c>
      <c r="I3232" s="11" t="s">
        <v>82</v>
      </c>
      <c r="J3232" s="11" t="s">
        <v>71</v>
      </c>
      <c r="K3232" s="11" t="s">
        <v>72</v>
      </c>
      <c r="L3232" s="11" t="s">
        <v>84</v>
      </c>
      <c r="M3232" s="11" t="s">
        <v>2535</v>
      </c>
      <c r="N3232" s="11" t="s">
        <v>75</v>
      </c>
      <c r="O3232" s="11" t="s">
        <v>71</v>
      </c>
      <c r="P3232" s="11" t="s">
        <v>17426</v>
      </c>
      <c r="Q3232" s="13" t="s">
        <v>17427</v>
      </c>
      <c r="R3232" s="14" t="str">
        <f>HYPERLINK("https://drive.google.com/file/d/1zII_F5JP-ekuUCKiPLNOpWM-F7_YEtXC/view?usp=drivesdk","OFFER LETTER")</f>
        <v>OFFER LETTER</v>
      </c>
      <c r="S3232" s="11" t="s">
        <v>17428</v>
      </c>
    </row>
    <row r="3233" ht="22.5" customHeight="1">
      <c r="A3233" s="10">
        <v>46275.90744109954</v>
      </c>
      <c r="B3233" s="11" t="s">
        <v>17429</v>
      </c>
      <c r="C3233" s="11" t="s">
        <v>173</v>
      </c>
      <c r="D3233" s="11" t="s">
        <v>68</v>
      </c>
      <c r="E3233" s="12">
        <v>46235.0</v>
      </c>
      <c r="F3233" s="12">
        <v>46264.0</v>
      </c>
      <c r="G3233" s="11" t="s">
        <v>17430</v>
      </c>
      <c r="H3233" s="11">
        <v>9.057606674E9</v>
      </c>
      <c r="I3233" s="11" t="s">
        <v>70</v>
      </c>
      <c r="J3233" s="11" t="s">
        <v>83</v>
      </c>
      <c r="K3233" s="11" t="s">
        <v>72</v>
      </c>
      <c r="L3233" s="11" t="s">
        <v>84</v>
      </c>
      <c r="M3233" s="11" t="s">
        <v>560</v>
      </c>
      <c r="N3233" s="11" t="s">
        <v>86</v>
      </c>
      <c r="O3233" s="11" t="s">
        <v>71</v>
      </c>
      <c r="P3233" s="11" t="s">
        <v>17431</v>
      </c>
      <c r="Q3233" s="13" t="s">
        <v>17432</v>
      </c>
      <c r="R3233" s="14" t="str">
        <f>HYPERLINK("https://drive.google.com/file/d/1qSHD3MZKOXYx9K3-hLmesMnrPwcX61Yl/view?usp=drivesdk","OFFER LETTER")</f>
        <v>OFFER LETTER</v>
      </c>
      <c r="S3233" s="11" t="s">
        <v>17433</v>
      </c>
    </row>
    <row r="3234" ht="22.5" customHeight="1">
      <c r="A3234" s="10">
        <v>46275.9086871412</v>
      </c>
      <c r="B3234" s="11" t="s">
        <v>17434</v>
      </c>
      <c r="C3234" s="11" t="s">
        <v>173</v>
      </c>
      <c r="D3234" s="11" t="s">
        <v>68</v>
      </c>
      <c r="E3234" s="12">
        <v>46205.0</v>
      </c>
      <c r="F3234" s="12">
        <v>46205.0</v>
      </c>
      <c r="G3234" s="11" t="s">
        <v>17435</v>
      </c>
      <c r="H3234" s="11">
        <v>7.456006985E9</v>
      </c>
      <c r="I3234" s="11" t="s">
        <v>82</v>
      </c>
      <c r="J3234" s="11" t="s">
        <v>71</v>
      </c>
      <c r="K3234" s="11" t="s">
        <v>72</v>
      </c>
      <c r="L3234" s="11" t="s">
        <v>84</v>
      </c>
      <c r="M3234" s="11" t="s">
        <v>5124</v>
      </c>
      <c r="N3234" s="11" t="s">
        <v>86</v>
      </c>
      <c r="O3234" s="11" t="s">
        <v>71</v>
      </c>
      <c r="P3234" s="11" t="s">
        <v>17436</v>
      </c>
      <c r="Q3234" s="13" t="s">
        <v>17437</v>
      </c>
      <c r="R3234" s="14" t="str">
        <f>HYPERLINK("https://drive.google.com/file/d/1VHPBCxpUxS2J3bby9q5l-7b3H6-ArGKr/view?usp=drivesdk","OFFER LETTER")</f>
        <v>OFFER LETTER</v>
      </c>
      <c r="S3234" s="11" t="s">
        <v>17438</v>
      </c>
    </row>
    <row r="3235" ht="22.5" customHeight="1">
      <c r="A3235" s="10">
        <v>46275.91237738426</v>
      </c>
      <c r="B3235" s="11" t="s">
        <v>17439</v>
      </c>
      <c r="C3235" s="11" t="s">
        <v>173</v>
      </c>
      <c r="D3235" s="11" t="s">
        <v>68</v>
      </c>
      <c r="E3235" s="12">
        <v>46235.0</v>
      </c>
      <c r="F3235" s="12">
        <v>46264.0</v>
      </c>
      <c r="G3235" s="11" t="s">
        <v>17401</v>
      </c>
      <c r="H3235" s="11">
        <v>9.015204368E9</v>
      </c>
      <c r="I3235" s="11" t="s">
        <v>70</v>
      </c>
      <c r="J3235" s="11" t="s">
        <v>83</v>
      </c>
      <c r="K3235" s="11" t="s">
        <v>72</v>
      </c>
      <c r="L3235" s="11" t="s">
        <v>84</v>
      </c>
      <c r="M3235" s="11" t="s">
        <v>5710</v>
      </c>
      <c r="N3235" s="11" t="s">
        <v>86</v>
      </c>
      <c r="O3235" s="11" t="s">
        <v>71</v>
      </c>
      <c r="P3235" s="11" t="s">
        <v>17440</v>
      </c>
      <c r="Q3235" s="13" t="s">
        <v>17441</v>
      </c>
      <c r="R3235" s="14" t="str">
        <f>HYPERLINK("https://drive.google.com/file/d/1V5isuHEr5Q2yv5vw0JKrOuXcMRBOya_X/view?usp=drivesdk","OFFER LETTER")</f>
        <v>OFFER LETTER</v>
      </c>
      <c r="S3235" s="11" t="s">
        <v>17442</v>
      </c>
    </row>
    <row r="3236" ht="22.5" customHeight="1">
      <c r="A3236" s="10">
        <v>46275.91467371528</v>
      </c>
      <c r="B3236" s="11" t="s">
        <v>17443</v>
      </c>
      <c r="C3236" s="11" t="s">
        <v>195</v>
      </c>
      <c r="D3236" s="11" t="s">
        <v>68</v>
      </c>
      <c r="E3236" s="12">
        <v>46192.0</v>
      </c>
      <c r="F3236" s="12">
        <v>46222.0</v>
      </c>
      <c r="G3236" s="11" t="s">
        <v>17444</v>
      </c>
      <c r="H3236" s="11">
        <v>9.546164961E9</v>
      </c>
      <c r="I3236" s="11" t="s">
        <v>82</v>
      </c>
      <c r="J3236" s="11" t="s">
        <v>71</v>
      </c>
      <c r="K3236" s="11" t="s">
        <v>72</v>
      </c>
      <c r="L3236" s="11" t="s">
        <v>84</v>
      </c>
      <c r="M3236" s="11" t="s">
        <v>1779</v>
      </c>
      <c r="N3236" s="11" t="s">
        <v>226</v>
      </c>
      <c r="O3236" s="11" t="s">
        <v>71</v>
      </c>
      <c r="P3236" s="11" t="s">
        <v>17445</v>
      </c>
      <c r="Q3236" s="13" t="s">
        <v>17446</v>
      </c>
      <c r="R3236" s="14" t="str">
        <f>HYPERLINK("https://drive.google.com/file/d/1_z0J3ujixCvObmjGNlb__eXYocj1qhUy/view?usp=drivesdk","OFFER LETTER")</f>
        <v>OFFER LETTER</v>
      </c>
      <c r="S3236" s="11" t="s">
        <v>17447</v>
      </c>
    </row>
    <row r="3237" ht="22.5" customHeight="1">
      <c r="A3237" s="10">
        <v>46275.91713913194</v>
      </c>
      <c r="B3237" s="11" t="s">
        <v>17448</v>
      </c>
      <c r="C3237" s="11" t="s">
        <v>128</v>
      </c>
      <c r="D3237" s="11" t="s">
        <v>108</v>
      </c>
      <c r="E3237" s="12">
        <v>46174.0</v>
      </c>
      <c r="F3237" s="12">
        <v>46235.0</v>
      </c>
      <c r="G3237" s="11" t="s">
        <v>17449</v>
      </c>
      <c r="H3237" s="11">
        <v>9.98498402E9</v>
      </c>
      <c r="I3237" s="11" t="s">
        <v>82</v>
      </c>
      <c r="J3237" s="11" t="s">
        <v>71</v>
      </c>
      <c r="K3237" s="11" t="s">
        <v>72</v>
      </c>
      <c r="L3237" s="11" t="s">
        <v>84</v>
      </c>
      <c r="M3237" s="11" t="s">
        <v>1073</v>
      </c>
      <c r="N3237" s="11" t="s">
        <v>3613</v>
      </c>
      <c r="O3237" s="11" t="s">
        <v>71</v>
      </c>
      <c r="P3237" s="11" t="s">
        <v>17450</v>
      </c>
      <c r="Q3237" s="13" t="s">
        <v>17451</v>
      </c>
      <c r="R3237" s="14" t="str">
        <f>HYPERLINK("https://drive.google.com/file/d/18XLnayxDCD9FmHNaJHXr3sli1eKbZkpL/view?usp=drivesdk","OFFER LETTER")</f>
        <v>OFFER LETTER</v>
      </c>
      <c r="S3237" s="11" t="s">
        <v>17452</v>
      </c>
    </row>
    <row r="3238" ht="22.5" customHeight="1">
      <c r="A3238" s="10">
        <v>46275.91849171296</v>
      </c>
      <c r="B3238" s="11" t="s">
        <v>17453</v>
      </c>
      <c r="C3238" s="11" t="s">
        <v>195</v>
      </c>
      <c r="D3238" s="11" t="s">
        <v>68</v>
      </c>
      <c r="E3238" s="12">
        <v>46235.0</v>
      </c>
      <c r="F3238" s="12">
        <v>46265.0</v>
      </c>
      <c r="G3238" s="11" t="s">
        <v>17454</v>
      </c>
      <c r="H3238" s="11">
        <v>9.142283047E9</v>
      </c>
      <c r="I3238" s="11" t="s">
        <v>82</v>
      </c>
      <c r="J3238" s="11" t="s">
        <v>71</v>
      </c>
      <c r="K3238" s="11" t="s">
        <v>72</v>
      </c>
      <c r="L3238" s="11" t="s">
        <v>84</v>
      </c>
      <c r="M3238" s="11" t="s">
        <v>17455</v>
      </c>
      <c r="N3238" s="11" t="s">
        <v>226</v>
      </c>
      <c r="O3238" s="11" t="s">
        <v>71</v>
      </c>
      <c r="P3238" s="11" t="s">
        <v>17456</v>
      </c>
      <c r="Q3238" s="13" t="s">
        <v>17457</v>
      </c>
      <c r="R3238" s="14" t="str">
        <f>HYPERLINK("https://drive.google.com/file/d/156pqnnT3Dd4wAeXP2k-xiljkVgUZ6PQT/view?usp=drivesdk","OFFER LETTER")</f>
        <v>OFFER LETTER</v>
      </c>
      <c r="S3238" s="11" t="s">
        <v>17458</v>
      </c>
    </row>
    <row r="3239" ht="22.5" customHeight="1">
      <c r="A3239" s="10">
        <v>46275.91868775463</v>
      </c>
      <c r="B3239" s="11" t="s">
        <v>17459</v>
      </c>
      <c r="C3239" s="11" t="s">
        <v>173</v>
      </c>
      <c r="D3239" s="11" t="s">
        <v>68</v>
      </c>
      <c r="E3239" s="12">
        <v>46205.0</v>
      </c>
      <c r="F3239" s="12">
        <v>46236.0</v>
      </c>
      <c r="G3239" s="11" t="s">
        <v>17460</v>
      </c>
      <c r="H3239" s="11">
        <v>8.109053086E9</v>
      </c>
      <c r="I3239" s="11" t="s">
        <v>82</v>
      </c>
      <c r="J3239" s="11" t="s">
        <v>71</v>
      </c>
      <c r="K3239" s="11" t="s">
        <v>72</v>
      </c>
      <c r="L3239" s="11" t="s">
        <v>84</v>
      </c>
      <c r="M3239" s="11" t="s">
        <v>5124</v>
      </c>
      <c r="N3239" s="11" t="s">
        <v>133</v>
      </c>
      <c r="O3239" s="11" t="s">
        <v>71</v>
      </c>
      <c r="P3239" s="11" t="s">
        <v>17461</v>
      </c>
      <c r="Q3239" s="13" t="s">
        <v>17462</v>
      </c>
      <c r="R3239" s="14" t="str">
        <f>HYPERLINK("https://drive.google.com/file/d/1LRdsqnlmfPZHHDEQfWRqObibonSW0cAR/view?usp=drivesdk","OFFER LETTER")</f>
        <v>OFFER LETTER</v>
      </c>
      <c r="S3239" s="11" t="s">
        <v>17463</v>
      </c>
    </row>
    <row r="3240" ht="22.5" customHeight="1">
      <c r="A3240" s="10">
        <v>46275.91882736111</v>
      </c>
      <c r="B3240" s="11" t="s">
        <v>17464</v>
      </c>
      <c r="C3240" s="11" t="s">
        <v>173</v>
      </c>
      <c r="D3240" s="11" t="s">
        <v>68</v>
      </c>
      <c r="E3240" s="12">
        <v>46235.0</v>
      </c>
      <c r="F3240" s="12">
        <v>46264.0</v>
      </c>
      <c r="G3240" s="11" t="s">
        <v>17465</v>
      </c>
      <c r="H3240" s="11">
        <v>9.893238833E9</v>
      </c>
      <c r="I3240" s="11" t="s">
        <v>82</v>
      </c>
      <c r="J3240" s="11" t="s">
        <v>71</v>
      </c>
      <c r="K3240" s="11" t="s">
        <v>72</v>
      </c>
      <c r="L3240" s="11" t="s">
        <v>84</v>
      </c>
      <c r="M3240" s="11" t="s">
        <v>17466</v>
      </c>
      <c r="N3240" s="11" t="s">
        <v>241</v>
      </c>
      <c r="O3240" s="11" t="s">
        <v>71</v>
      </c>
      <c r="P3240" s="11" t="s">
        <v>17467</v>
      </c>
      <c r="Q3240" s="13" t="s">
        <v>17468</v>
      </c>
      <c r="R3240" s="14" t="str">
        <f>HYPERLINK("https://drive.google.com/file/d/1l8SvHnHMazRAsp1oIBgzRdoGhlvL7O5M/view?usp=drivesdk","OFFER LETTER")</f>
        <v>OFFER LETTER</v>
      </c>
      <c r="S3240" s="11" t="s">
        <v>17469</v>
      </c>
    </row>
    <row r="3241" ht="22.5" customHeight="1">
      <c r="A3241" s="10">
        <v>46275.92260251158</v>
      </c>
      <c r="B3241" s="11" t="s">
        <v>17470</v>
      </c>
      <c r="C3241" s="11" t="s">
        <v>742</v>
      </c>
      <c r="D3241" s="11" t="s">
        <v>68</v>
      </c>
      <c r="E3241" s="12">
        <v>46239.0</v>
      </c>
      <c r="F3241" s="12">
        <v>46273.0</v>
      </c>
      <c r="G3241" s="11" t="s">
        <v>17471</v>
      </c>
      <c r="H3241" s="11">
        <v>8.318867641E9</v>
      </c>
      <c r="I3241" s="11" t="s">
        <v>70</v>
      </c>
      <c r="J3241" s="11" t="s">
        <v>71</v>
      </c>
      <c r="K3241" s="11" t="s">
        <v>72</v>
      </c>
      <c r="L3241" s="11" t="s">
        <v>84</v>
      </c>
      <c r="M3241" s="11" t="s">
        <v>6934</v>
      </c>
      <c r="N3241" s="11" t="s">
        <v>86</v>
      </c>
      <c r="O3241" s="11" t="s">
        <v>71</v>
      </c>
      <c r="P3241" s="11" t="s">
        <v>17472</v>
      </c>
      <c r="Q3241" s="13" t="s">
        <v>17473</v>
      </c>
      <c r="R3241" s="14" t="str">
        <f>HYPERLINK("https://drive.google.com/file/d/1k27igHGY-uydqtYKfAG3X3Nf4hLWNsQO/view?usp=drivesdk","OFFER LETTER")</f>
        <v>OFFER LETTER</v>
      </c>
      <c r="S3241" s="11" t="s">
        <v>17474</v>
      </c>
    </row>
    <row r="3242" ht="22.5" customHeight="1">
      <c r="A3242" s="10">
        <v>46275.92579125</v>
      </c>
      <c r="B3242" s="11" t="s">
        <v>17475</v>
      </c>
      <c r="C3242" s="11" t="s">
        <v>128</v>
      </c>
      <c r="D3242" s="11" t="s">
        <v>68</v>
      </c>
      <c r="E3242" s="12">
        <v>46183.0</v>
      </c>
      <c r="F3242" s="12">
        <v>46213.0</v>
      </c>
      <c r="G3242" s="11" t="s">
        <v>17476</v>
      </c>
      <c r="H3242" s="11">
        <v>7.856069806E9</v>
      </c>
      <c r="I3242" s="11" t="s">
        <v>82</v>
      </c>
      <c r="J3242" s="11" t="s">
        <v>71</v>
      </c>
      <c r="K3242" s="11" t="s">
        <v>72</v>
      </c>
      <c r="L3242" s="11" t="s">
        <v>84</v>
      </c>
      <c r="M3242" s="11" t="s">
        <v>2021</v>
      </c>
      <c r="N3242" s="11" t="s">
        <v>11349</v>
      </c>
      <c r="O3242" s="11" t="s">
        <v>71</v>
      </c>
      <c r="P3242" s="11" t="s">
        <v>17477</v>
      </c>
      <c r="Q3242" s="13" t="s">
        <v>17478</v>
      </c>
      <c r="R3242" s="14" t="str">
        <f>HYPERLINK("https://drive.google.com/file/d/1_CcGwYPdKNKHrkSnuAmOW0qd3MKQEbRa/view?usp=drivesdk","OFFER LETTER")</f>
        <v>OFFER LETTER</v>
      </c>
      <c r="S3242" s="11" t="s">
        <v>17479</v>
      </c>
    </row>
    <row r="3243" ht="22.5" customHeight="1">
      <c r="A3243" s="10">
        <v>46275.926270509255</v>
      </c>
      <c r="B3243" s="11" t="s">
        <v>17480</v>
      </c>
      <c r="C3243" s="11" t="s">
        <v>259</v>
      </c>
      <c r="D3243" s="11" t="s">
        <v>68</v>
      </c>
      <c r="E3243" s="12">
        <v>46197.0</v>
      </c>
      <c r="F3243" s="12">
        <v>46227.0</v>
      </c>
      <c r="G3243" s="11" t="s">
        <v>17481</v>
      </c>
      <c r="H3243" s="11">
        <v>8.477051329E9</v>
      </c>
      <c r="I3243" s="11" t="s">
        <v>82</v>
      </c>
      <c r="J3243" s="11" t="s">
        <v>71</v>
      </c>
      <c r="K3243" s="11" t="s">
        <v>72</v>
      </c>
      <c r="L3243" s="11" t="s">
        <v>84</v>
      </c>
      <c r="M3243" s="11" t="s">
        <v>1779</v>
      </c>
      <c r="N3243" s="11" t="s">
        <v>226</v>
      </c>
      <c r="O3243" s="11" t="s">
        <v>71</v>
      </c>
      <c r="P3243" s="11" t="s">
        <v>17482</v>
      </c>
      <c r="Q3243" s="13" t="s">
        <v>17483</v>
      </c>
      <c r="R3243" s="14" t="str">
        <f>HYPERLINK("https://drive.google.com/file/d/1q7roBGcqJExZKIWbgY1ZFsrbyrcK6vau/view?usp=drivesdk","OFFER LETTER")</f>
        <v>OFFER LETTER</v>
      </c>
      <c r="S3243" s="11" t="s">
        <v>17484</v>
      </c>
    </row>
    <row r="3244" ht="22.5" customHeight="1">
      <c r="A3244" s="10">
        <v>46275.92738905092</v>
      </c>
      <c r="B3244" s="11" t="s">
        <v>17485</v>
      </c>
      <c r="C3244" s="11" t="s">
        <v>173</v>
      </c>
      <c r="D3244" s="11" t="s">
        <v>68</v>
      </c>
      <c r="E3244" s="12">
        <v>46235.0</v>
      </c>
      <c r="F3244" s="12">
        <v>46270.0</v>
      </c>
      <c r="G3244" s="11" t="s">
        <v>17486</v>
      </c>
      <c r="H3244" s="11">
        <v>6.3950212E9</v>
      </c>
      <c r="I3244" s="11" t="s">
        <v>82</v>
      </c>
      <c r="J3244" s="11" t="s">
        <v>71</v>
      </c>
      <c r="K3244" s="11" t="s">
        <v>72</v>
      </c>
      <c r="L3244" s="11" t="s">
        <v>84</v>
      </c>
      <c r="M3244" s="11" t="s">
        <v>5124</v>
      </c>
      <c r="N3244" s="11" t="s">
        <v>86</v>
      </c>
      <c r="O3244" s="11" t="s">
        <v>263</v>
      </c>
      <c r="P3244" s="11" t="s">
        <v>17487</v>
      </c>
      <c r="Q3244" s="13" t="s">
        <v>17488</v>
      </c>
      <c r="R3244" s="14" t="str">
        <f>HYPERLINK("https://drive.google.com/file/d/1l7HxBXpuq38KINJwbiFvdAnaNp_p6jcU/view?usp=drivesdk","OFFER LETTER")</f>
        <v>OFFER LETTER</v>
      </c>
      <c r="S3244" s="11" t="s">
        <v>17489</v>
      </c>
    </row>
    <row r="3245" ht="22.5" customHeight="1">
      <c r="A3245" s="10">
        <v>46275.92803180555</v>
      </c>
      <c r="B3245" s="11" t="s">
        <v>17490</v>
      </c>
      <c r="C3245" s="11" t="s">
        <v>173</v>
      </c>
      <c r="D3245" s="11" t="s">
        <v>68</v>
      </c>
      <c r="E3245" s="12">
        <v>46236.0</v>
      </c>
      <c r="F3245" s="12">
        <v>46270.0</v>
      </c>
      <c r="G3245" s="11" t="s">
        <v>17491</v>
      </c>
      <c r="H3245" s="11">
        <v>7.983464764E9</v>
      </c>
      <c r="I3245" s="11" t="s">
        <v>82</v>
      </c>
      <c r="J3245" s="11" t="s">
        <v>71</v>
      </c>
      <c r="K3245" s="11" t="s">
        <v>72</v>
      </c>
      <c r="L3245" s="11" t="s">
        <v>84</v>
      </c>
      <c r="M3245" s="11" t="s">
        <v>6934</v>
      </c>
      <c r="N3245" s="11" t="s">
        <v>655</v>
      </c>
      <c r="O3245" s="11" t="s">
        <v>263</v>
      </c>
      <c r="P3245" s="11" t="s">
        <v>17492</v>
      </c>
      <c r="Q3245" s="13" t="s">
        <v>17493</v>
      </c>
      <c r="R3245" s="14" t="str">
        <f>HYPERLINK("https://drive.google.com/file/d/1gwxhY4Bs0CnW_um_j-wTQBYHbfWcIFk2/view?usp=drivesdk","OFFER LETTER")</f>
        <v>OFFER LETTER</v>
      </c>
      <c r="S3245" s="11" t="s">
        <v>17494</v>
      </c>
    </row>
    <row r="3246" ht="22.5" customHeight="1">
      <c r="A3246" s="10">
        <v>46275.9284027199</v>
      </c>
      <c r="B3246" s="11" t="s">
        <v>17495</v>
      </c>
      <c r="C3246" s="11" t="s">
        <v>195</v>
      </c>
      <c r="D3246" s="11" t="s">
        <v>68</v>
      </c>
      <c r="E3246" s="12">
        <v>46175.0</v>
      </c>
      <c r="F3246" s="12">
        <v>46205.0</v>
      </c>
      <c r="G3246" s="11" t="s">
        <v>17496</v>
      </c>
      <c r="H3246" s="11">
        <v>9.311783962E9</v>
      </c>
      <c r="I3246" s="11" t="s">
        <v>82</v>
      </c>
      <c r="J3246" s="11" t="s">
        <v>83</v>
      </c>
      <c r="K3246" s="11" t="s">
        <v>72</v>
      </c>
      <c r="L3246" s="11" t="s">
        <v>84</v>
      </c>
      <c r="M3246" s="11" t="s">
        <v>1322</v>
      </c>
      <c r="N3246" s="11" t="s">
        <v>241</v>
      </c>
      <c r="O3246" s="11" t="s">
        <v>71</v>
      </c>
      <c r="P3246" s="11" t="s">
        <v>17497</v>
      </c>
      <c r="Q3246" s="13" t="s">
        <v>17498</v>
      </c>
      <c r="R3246" s="14" t="str">
        <f>HYPERLINK("https://drive.google.com/file/d/18YMx-lI0jRfMPZ_PHgAnqCi6-KggWHN7/view?usp=drivesdk","OFFER LETTER")</f>
        <v>OFFER LETTER</v>
      </c>
      <c r="S3246" s="11" t="s">
        <v>17499</v>
      </c>
    </row>
    <row r="3247" ht="22.5" customHeight="1">
      <c r="A3247" s="10">
        <v>46275.928611967596</v>
      </c>
      <c r="B3247" s="11" t="s">
        <v>17500</v>
      </c>
      <c r="C3247" s="11" t="s">
        <v>173</v>
      </c>
      <c r="D3247" s="11" t="s">
        <v>68</v>
      </c>
      <c r="E3247" s="12">
        <v>46191.0</v>
      </c>
      <c r="F3247" s="12">
        <v>46221.0</v>
      </c>
      <c r="G3247" s="11" t="s">
        <v>17501</v>
      </c>
      <c r="H3247" s="11" t="s">
        <v>17502</v>
      </c>
      <c r="I3247" s="11" t="s">
        <v>82</v>
      </c>
      <c r="J3247" s="11" t="s">
        <v>83</v>
      </c>
      <c r="K3247" s="11" t="s">
        <v>72</v>
      </c>
      <c r="L3247" s="11" t="s">
        <v>84</v>
      </c>
      <c r="M3247" s="11" t="s">
        <v>1073</v>
      </c>
      <c r="N3247" s="11" t="s">
        <v>86</v>
      </c>
      <c r="O3247" s="11" t="s">
        <v>71</v>
      </c>
      <c r="P3247" s="11" t="s">
        <v>17503</v>
      </c>
      <c r="Q3247" s="13" t="s">
        <v>17504</v>
      </c>
      <c r="R3247" s="14" t="str">
        <f>HYPERLINK("https://drive.google.com/file/d/1pr2yPcD2_3MRM25KDeycEf7ZwW-Lxpvz/view?usp=drivesdk","OFFER LETTER")</f>
        <v>OFFER LETTER</v>
      </c>
      <c r="S3247" s="11" t="s">
        <v>17505</v>
      </c>
    </row>
    <row r="3248" ht="22.5" customHeight="1">
      <c r="A3248" s="10">
        <v>46275.928841851855</v>
      </c>
      <c r="B3248" s="11" t="s">
        <v>1301</v>
      </c>
      <c r="C3248" s="11" t="s">
        <v>91</v>
      </c>
      <c r="D3248" s="11" t="s">
        <v>238</v>
      </c>
      <c r="E3248" s="12">
        <v>46279.0</v>
      </c>
      <c r="F3248" s="12">
        <v>46370.0</v>
      </c>
      <c r="G3248" s="11" t="s">
        <v>16528</v>
      </c>
      <c r="H3248" s="11">
        <v>7.027651581E9</v>
      </c>
      <c r="I3248" s="11" t="s">
        <v>82</v>
      </c>
      <c r="J3248" s="11" t="s">
        <v>71</v>
      </c>
      <c r="K3248" s="11" t="s">
        <v>72</v>
      </c>
      <c r="L3248" s="11" t="s">
        <v>131</v>
      </c>
      <c r="M3248" s="11" t="s">
        <v>4071</v>
      </c>
      <c r="N3248" s="11" t="s">
        <v>86</v>
      </c>
      <c r="O3248" s="11" t="s">
        <v>71</v>
      </c>
      <c r="P3248" s="11" t="s">
        <v>17506</v>
      </c>
      <c r="Q3248" s="13" t="s">
        <v>17507</v>
      </c>
      <c r="R3248" s="14" t="str">
        <f>HYPERLINK("https://drive.google.com/file/d/1RkwhlNVNLGNd-HSgsa_G5ldg0Ed30uuD/view?usp=drivesdk","OFFER LETTER")</f>
        <v>OFFER LETTER</v>
      </c>
      <c r="S3248" s="11" t="s">
        <v>17508</v>
      </c>
    </row>
    <row r="3249" ht="22.5" customHeight="1">
      <c r="A3249" s="10">
        <v>46275.929149097225</v>
      </c>
      <c r="B3249" s="11" t="s">
        <v>17509</v>
      </c>
      <c r="C3249" s="11" t="s">
        <v>173</v>
      </c>
      <c r="D3249" s="11" t="s">
        <v>68</v>
      </c>
      <c r="E3249" s="12">
        <v>46191.0</v>
      </c>
      <c r="F3249" s="12">
        <v>46221.0</v>
      </c>
      <c r="G3249" s="11" t="s">
        <v>17510</v>
      </c>
      <c r="H3249" s="11">
        <v>7.668592124E9</v>
      </c>
      <c r="I3249" s="11" t="s">
        <v>82</v>
      </c>
      <c r="J3249" s="11" t="s">
        <v>83</v>
      </c>
      <c r="K3249" s="11" t="s">
        <v>72</v>
      </c>
      <c r="L3249" s="11" t="s">
        <v>84</v>
      </c>
      <c r="M3249" s="11" t="s">
        <v>1322</v>
      </c>
      <c r="N3249" s="11" t="s">
        <v>86</v>
      </c>
      <c r="O3249" s="11" t="s">
        <v>71</v>
      </c>
      <c r="P3249" s="11" t="s">
        <v>17511</v>
      </c>
      <c r="Q3249" s="13" t="s">
        <v>17512</v>
      </c>
      <c r="R3249" s="14" t="str">
        <f>HYPERLINK("https://drive.google.com/file/d/1R5EkdYdvGeu8uHG04LGba0mALA_eVW3G/view?usp=drivesdk","OFFER LETTER")</f>
        <v>OFFER LETTER</v>
      </c>
      <c r="S3249" s="11" t="s">
        <v>17513</v>
      </c>
    </row>
    <row r="3250" ht="22.5" customHeight="1">
      <c r="A3250" s="10">
        <v>46275.93267956018</v>
      </c>
      <c r="B3250" s="11" t="s">
        <v>17485</v>
      </c>
      <c r="C3250" s="11" t="s">
        <v>173</v>
      </c>
      <c r="D3250" s="11" t="s">
        <v>68</v>
      </c>
      <c r="E3250" s="12">
        <v>46235.0</v>
      </c>
      <c r="F3250" s="12">
        <v>46270.0</v>
      </c>
      <c r="G3250" s="11" t="s">
        <v>17514</v>
      </c>
      <c r="H3250" s="11">
        <v>6.3950212E9</v>
      </c>
      <c r="I3250" s="11" t="s">
        <v>82</v>
      </c>
      <c r="J3250" s="11" t="s">
        <v>71</v>
      </c>
      <c r="K3250" s="11" t="s">
        <v>72</v>
      </c>
      <c r="L3250" s="11" t="s">
        <v>84</v>
      </c>
      <c r="M3250" s="11" t="s">
        <v>2535</v>
      </c>
      <c r="N3250" s="11" t="s">
        <v>86</v>
      </c>
      <c r="O3250" s="11" t="s">
        <v>71</v>
      </c>
      <c r="P3250" s="11" t="s">
        <v>17515</v>
      </c>
      <c r="Q3250" s="13" t="s">
        <v>17516</v>
      </c>
      <c r="R3250" s="14" t="str">
        <f>HYPERLINK("https://drive.google.com/file/d/1XL7bmm0wI1tSyjdv_JQ1IxuM7RHvWiIY/view?usp=drivesdk","OFFER LETTER")</f>
        <v>OFFER LETTER</v>
      </c>
      <c r="S3250" s="11" t="s">
        <v>17517</v>
      </c>
    </row>
    <row r="3251" ht="22.5" customHeight="1">
      <c r="A3251" s="10">
        <v>46275.93330586806</v>
      </c>
      <c r="B3251" s="11" t="s">
        <v>13745</v>
      </c>
      <c r="C3251" s="11" t="s">
        <v>91</v>
      </c>
      <c r="D3251" s="11" t="s">
        <v>68</v>
      </c>
      <c r="E3251" s="12">
        <v>46275.0</v>
      </c>
      <c r="F3251" s="12">
        <v>46275.0</v>
      </c>
      <c r="G3251" s="11" t="s">
        <v>17518</v>
      </c>
      <c r="H3251" s="11">
        <v>7.506234142E9</v>
      </c>
      <c r="I3251" s="11" t="s">
        <v>82</v>
      </c>
      <c r="K3251" s="11" t="s">
        <v>110</v>
      </c>
      <c r="L3251" s="11" t="s">
        <v>73</v>
      </c>
      <c r="M3251" s="11" t="s">
        <v>13747</v>
      </c>
      <c r="N3251" s="11" t="s">
        <v>241</v>
      </c>
      <c r="O3251" s="11" t="s">
        <v>71</v>
      </c>
      <c r="P3251" s="11" t="s">
        <v>17519</v>
      </c>
      <c r="Q3251" s="13" t="s">
        <v>17520</v>
      </c>
      <c r="R3251" s="14" t="str">
        <f>HYPERLINK("https://drive.google.com/file/d/1yIyjC1hmbO2cUM4XzGjf4YeU9beID53G/view?usp=drivesdk","OFFER LETTER")</f>
        <v>OFFER LETTER</v>
      </c>
      <c r="S3251" s="11" t="s">
        <v>17521</v>
      </c>
    </row>
    <row r="3252" ht="22.5" customHeight="1">
      <c r="A3252" s="10">
        <v>46275.93489503472</v>
      </c>
      <c r="B3252" s="11" t="s">
        <v>17490</v>
      </c>
      <c r="C3252" s="11" t="s">
        <v>173</v>
      </c>
      <c r="D3252" s="11" t="s">
        <v>68</v>
      </c>
      <c r="E3252" s="12">
        <v>46236.0</v>
      </c>
      <c r="F3252" s="12">
        <v>46270.0</v>
      </c>
      <c r="G3252" s="11" t="s">
        <v>17491</v>
      </c>
      <c r="H3252" s="11">
        <v>7.983464764E9</v>
      </c>
      <c r="I3252" s="11" t="s">
        <v>82</v>
      </c>
      <c r="J3252" s="11" t="s">
        <v>71</v>
      </c>
      <c r="K3252" s="11" t="s">
        <v>72</v>
      </c>
      <c r="L3252" s="11" t="s">
        <v>84</v>
      </c>
      <c r="M3252" s="11" t="s">
        <v>6934</v>
      </c>
      <c r="N3252" s="11" t="s">
        <v>655</v>
      </c>
      <c r="O3252" s="11" t="s">
        <v>263</v>
      </c>
      <c r="P3252" s="11" t="s">
        <v>17522</v>
      </c>
      <c r="Q3252" s="13" t="s">
        <v>17523</v>
      </c>
      <c r="R3252" s="14" t="str">
        <f>HYPERLINK("https://drive.google.com/file/d/1lcOwn7_da_OibdobiSCwNOUtjm7LD0Av/view?usp=drivesdk","OFFER LETTER")</f>
        <v>OFFER LETTER</v>
      </c>
      <c r="S3252" s="11" t="s">
        <v>17524</v>
      </c>
    </row>
    <row r="3253" ht="22.5" customHeight="1">
      <c r="A3253" s="10">
        <v>46275.9350027662</v>
      </c>
      <c r="B3253" s="11" t="s">
        <v>17525</v>
      </c>
      <c r="C3253" s="11" t="s">
        <v>91</v>
      </c>
      <c r="D3253" s="11" t="s">
        <v>68</v>
      </c>
      <c r="E3253" s="12">
        <v>46236.0</v>
      </c>
      <c r="F3253" s="12">
        <v>46267.0</v>
      </c>
      <c r="G3253" s="11" t="s">
        <v>17526</v>
      </c>
      <c r="H3253" s="11">
        <v>8.252874607E9</v>
      </c>
      <c r="I3253" s="11" t="s">
        <v>82</v>
      </c>
      <c r="J3253" s="11" t="s">
        <v>71</v>
      </c>
      <c r="K3253" s="11" t="s">
        <v>72</v>
      </c>
      <c r="L3253" s="11" t="s">
        <v>84</v>
      </c>
      <c r="M3253" s="11" t="s">
        <v>849</v>
      </c>
      <c r="N3253" s="11" t="s">
        <v>86</v>
      </c>
      <c r="O3253" s="11" t="s">
        <v>71</v>
      </c>
      <c r="P3253" s="11" t="s">
        <v>17527</v>
      </c>
      <c r="Q3253" s="13" t="s">
        <v>17528</v>
      </c>
      <c r="R3253" s="14" t="str">
        <f>HYPERLINK("https://drive.google.com/file/d/17gPbcpfOfXxTnjiSm8Lu0R3GTqk9O1UQ/view?usp=drivesdk","OFFER LETTER")</f>
        <v>OFFER LETTER</v>
      </c>
      <c r="S3253" s="11" t="s">
        <v>17529</v>
      </c>
    </row>
    <row r="3254" ht="22.5" customHeight="1">
      <c r="A3254" s="10">
        <v>46275.940071377314</v>
      </c>
      <c r="B3254" s="11" t="s">
        <v>15931</v>
      </c>
      <c r="C3254" s="11" t="s">
        <v>195</v>
      </c>
      <c r="D3254" s="11" t="s">
        <v>68</v>
      </c>
      <c r="E3254" s="12">
        <v>46174.0</v>
      </c>
      <c r="F3254" s="12">
        <v>46203.0</v>
      </c>
      <c r="G3254" s="11" t="s">
        <v>15932</v>
      </c>
      <c r="H3254" s="11">
        <v>9.821114005E9</v>
      </c>
      <c r="I3254" s="11" t="s">
        <v>70</v>
      </c>
      <c r="J3254" s="11" t="s">
        <v>71</v>
      </c>
      <c r="K3254" s="11" t="s">
        <v>72</v>
      </c>
      <c r="L3254" s="11" t="s">
        <v>84</v>
      </c>
      <c r="M3254" s="11" t="s">
        <v>5124</v>
      </c>
      <c r="N3254" s="11" t="s">
        <v>75</v>
      </c>
      <c r="O3254" s="11" t="s">
        <v>71</v>
      </c>
      <c r="P3254" s="11" t="s">
        <v>17530</v>
      </c>
      <c r="Q3254" s="13" t="s">
        <v>17531</v>
      </c>
      <c r="R3254" s="14" t="str">
        <f>HYPERLINK("https://drive.google.com/file/d/1I2jasS67jkhIWL5_iDNnV_3imUd6czjD/view?usp=drivesdk","OFFER LETTER")</f>
        <v>OFFER LETTER</v>
      </c>
      <c r="S3254" s="11" t="s">
        <v>17532</v>
      </c>
    </row>
    <row r="3255" ht="22.5" customHeight="1">
      <c r="A3255" s="10">
        <v>46275.94259831018</v>
      </c>
      <c r="B3255" s="11" t="s">
        <v>17533</v>
      </c>
      <c r="C3255" s="11" t="s">
        <v>259</v>
      </c>
      <c r="D3255" s="11" t="s">
        <v>68</v>
      </c>
      <c r="E3255" s="12">
        <v>46279.0</v>
      </c>
      <c r="F3255" s="12">
        <v>46310.0</v>
      </c>
      <c r="G3255" s="11" t="s">
        <v>17534</v>
      </c>
      <c r="H3255" s="11">
        <v>8.866013015E9</v>
      </c>
      <c r="I3255" s="11" t="s">
        <v>82</v>
      </c>
      <c r="J3255" s="11" t="s">
        <v>71</v>
      </c>
      <c r="K3255" s="11" t="s">
        <v>356</v>
      </c>
      <c r="L3255" s="11" t="s">
        <v>84</v>
      </c>
      <c r="M3255" s="11" t="s">
        <v>17535</v>
      </c>
      <c r="N3255" s="11" t="s">
        <v>655</v>
      </c>
      <c r="O3255" s="11" t="s">
        <v>71</v>
      </c>
      <c r="P3255" s="11" t="s">
        <v>17536</v>
      </c>
      <c r="Q3255" s="13" t="s">
        <v>17537</v>
      </c>
      <c r="R3255" s="14" t="str">
        <f>HYPERLINK("https://drive.google.com/file/d/1ZLaVgCWFBw89Nu49EAu3tE6D-sZ1Vbnw/view?usp=drivesdk","OFFER LETTER")</f>
        <v>OFFER LETTER</v>
      </c>
      <c r="S3255" s="11" t="s">
        <v>17538</v>
      </c>
    </row>
    <row r="3256" ht="22.5" customHeight="1">
      <c r="A3256" s="10">
        <v>46275.94286052084</v>
      </c>
      <c r="B3256" s="11" t="s">
        <v>17212</v>
      </c>
      <c r="C3256" s="11" t="s">
        <v>107</v>
      </c>
      <c r="D3256" s="11" t="s">
        <v>68</v>
      </c>
      <c r="E3256" s="12">
        <v>46275.0</v>
      </c>
      <c r="F3256" s="12">
        <v>46305.0</v>
      </c>
      <c r="G3256" s="11" t="s">
        <v>17213</v>
      </c>
      <c r="H3256" s="11">
        <v>7.792905564E9</v>
      </c>
      <c r="I3256" s="11" t="s">
        <v>70</v>
      </c>
      <c r="J3256" s="11" t="s">
        <v>83</v>
      </c>
      <c r="K3256" s="11" t="s">
        <v>110</v>
      </c>
      <c r="L3256" s="11" t="s">
        <v>73</v>
      </c>
      <c r="M3256" s="11" t="s">
        <v>17539</v>
      </c>
      <c r="N3256" s="11" t="s">
        <v>86</v>
      </c>
      <c r="O3256" s="11" t="s">
        <v>71</v>
      </c>
      <c r="P3256" s="11" t="s">
        <v>17540</v>
      </c>
      <c r="Q3256" s="13" t="s">
        <v>17541</v>
      </c>
      <c r="R3256" s="14" t="str">
        <f>HYPERLINK("https://drive.google.com/file/d/1WsglIfYL0ptIdu0rP9oCQGwHlNIIV-xW/view?usp=drivesdk","OFFER LETTER")</f>
        <v>OFFER LETTER</v>
      </c>
      <c r="S3256" s="11" t="s">
        <v>17542</v>
      </c>
    </row>
    <row r="3257" ht="22.5" customHeight="1">
      <c r="A3257" s="10">
        <v>46275.94504082176</v>
      </c>
      <c r="B3257" s="11" t="s">
        <v>17543</v>
      </c>
      <c r="C3257" s="11" t="s">
        <v>173</v>
      </c>
      <c r="D3257" s="11" t="s">
        <v>68</v>
      </c>
      <c r="E3257" s="12">
        <v>46214.0</v>
      </c>
      <c r="F3257" s="12">
        <v>46245.0</v>
      </c>
      <c r="G3257" s="11" t="s">
        <v>17544</v>
      </c>
      <c r="H3257" s="11">
        <v>8.30794075E9</v>
      </c>
      <c r="I3257" s="11" t="s">
        <v>82</v>
      </c>
      <c r="J3257" s="11" t="s">
        <v>83</v>
      </c>
      <c r="K3257" s="11" t="s">
        <v>72</v>
      </c>
      <c r="L3257" s="11" t="s">
        <v>84</v>
      </c>
      <c r="M3257" s="11" t="s">
        <v>1073</v>
      </c>
      <c r="N3257" s="11" t="s">
        <v>86</v>
      </c>
      <c r="O3257" s="11" t="s">
        <v>71</v>
      </c>
      <c r="P3257" s="11" t="s">
        <v>17545</v>
      </c>
      <c r="Q3257" s="13" t="s">
        <v>17546</v>
      </c>
      <c r="R3257" s="14" t="str">
        <f>HYPERLINK("https://drive.google.com/file/d/1Y6CkuTPSDEi9BpDk2HLA6buXVls7vyL6/view?usp=drivesdk","OFFER LETTER")</f>
        <v>OFFER LETTER</v>
      </c>
      <c r="S3257" s="11" t="s">
        <v>17547</v>
      </c>
    </row>
    <row r="3258" ht="22.5" customHeight="1">
      <c r="A3258" s="10">
        <v>46275.945569814816</v>
      </c>
      <c r="B3258" s="11" t="s">
        <v>17212</v>
      </c>
      <c r="C3258" s="11" t="s">
        <v>107</v>
      </c>
      <c r="D3258" s="11" t="s">
        <v>68</v>
      </c>
      <c r="E3258" s="12">
        <v>46275.0</v>
      </c>
      <c r="F3258" s="12">
        <v>46305.0</v>
      </c>
      <c r="G3258" s="11" t="s">
        <v>17213</v>
      </c>
      <c r="H3258" s="11">
        <v>7.792905564E9</v>
      </c>
      <c r="I3258" s="11" t="s">
        <v>70</v>
      </c>
      <c r="J3258" s="11" t="s">
        <v>83</v>
      </c>
      <c r="K3258" s="11" t="s">
        <v>110</v>
      </c>
      <c r="L3258" s="11" t="s">
        <v>73</v>
      </c>
      <c r="M3258" s="11" t="s">
        <v>17539</v>
      </c>
      <c r="N3258" s="11" t="s">
        <v>86</v>
      </c>
      <c r="O3258" s="11" t="s">
        <v>71</v>
      </c>
      <c r="P3258" s="11" t="s">
        <v>17548</v>
      </c>
      <c r="Q3258" s="13" t="s">
        <v>17549</v>
      </c>
      <c r="R3258" s="14" t="str">
        <f>HYPERLINK("https://drive.google.com/file/d/1i5Io8u17N0iyhaCXYGRaxkRNAo2maR4V/view?usp=drivesdk","OFFER LETTER")</f>
        <v>OFFER LETTER</v>
      </c>
      <c r="S3258" s="11" t="s">
        <v>17550</v>
      </c>
    </row>
    <row r="3259" ht="22.5" customHeight="1">
      <c r="A3259" s="10">
        <v>46275.94600730324</v>
      </c>
      <c r="B3259" s="11" t="s">
        <v>17551</v>
      </c>
      <c r="C3259" s="11" t="s">
        <v>195</v>
      </c>
      <c r="D3259" s="11" t="s">
        <v>68</v>
      </c>
      <c r="E3259" s="12">
        <v>46235.0</v>
      </c>
      <c r="F3259" s="12">
        <v>46265.0</v>
      </c>
      <c r="G3259" s="11" t="s">
        <v>17552</v>
      </c>
      <c r="H3259" s="11">
        <v>9.376944957E9</v>
      </c>
      <c r="I3259" s="11" t="s">
        <v>82</v>
      </c>
      <c r="J3259" s="11" t="s">
        <v>71</v>
      </c>
      <c r="K3259" s="11" t="s">
        <v>72</v>
      </c>
      <c r="L3259" s="11" t="s">
        <v>84</v>
      </c>
      <c r="M3259" s="11" t="s">
        <v>886</v>
      </c>
      <c r="N3259" s="11" t="s">
        <v>219</v>
      </c>
      <c r="O3259" s="11" t="s">
        <v>71</v>
      </c>
      <c r="P3259" s="11" t="s">
        <v>17553</v>
      </c>
      <c r="Q3259" s="13" t="s">
        <v>17554</v>
      </c>
      <c r="R3259" s="14" t="str">
        <f>HYPERLINK("https://drive.google.com/file/d/1OfY5JqW7hlZG_kR3-lngw2GQ1TXxCIHD/view?usp=drivesdk","OFFER LETTER")</f>
        <v>OFFER LETTER</v>
      </c>
      <c r="S3259" s="11" t="s">
        <v>17555</v>
      </c>
    </row>
    <row r="3260" ht="22.5" customHeight="1">
      <c r="A3260" s="10">
        <v>46275.948863287034</v>
      </c>
      <c r="B3260" s="11" t="s">
        <v>17556</v>
      </c>
      <c r="C3260" s="11" t="s">
        <v>173</v>
      </c>
      <c r="D3260" s="11" t="s">
        <v>68</v>
      </c>
      <c r="E3260" s="12">
        <v>46185.0</v>
      </c>
      <c r="F3260" s="12">
        <v>46215.0</v>
      </c>
      <c r="G3260" s="11" t="s">
        <v>17557</v>
      </c>
      <c r="H3260" s="11">
        <v>7.455933716E9</v>
      </c>
      <c r="I3260" s="11" t="s">
        <v>82</v>
      </c>
      <c r="J3260" s="11" t="s">
        <v>71</v>
      </c>
      <c r="K3260" s="11" t="s">
        <v>72</v>
      </c>
      <c r="L3260" s="11" t="s">
        <v>84</v>
      </c>
      <c r="M3260" s="11" t="s">
        <v>17558</v>
      </c>
      <c r="N3260" s="11" t="s">
        <v>86</v>
      </c>
      <c r="O3260" s="11" t="s">
        <v>71</v>
      </c>
      <c r="P3260" s="11" t="s">
        <v>17559</v>
      </c>
      <c r="Q3260" s="13" t="s">
        <v>17560</v>
      </c>
      <c r="R3260" s="14" t="str">
        <f>HYPERLINK("https://drive.google.com/file/d/1pBUdDcqapakXgCa5X_iZm_bI5ZQVASet/view?usp=drivesdk","OFFER LETTER")</f>
        <v>OFFER LETTER</v>
      </c>
      <c r="S3260" s="11" t="s">
        <v>17561</v>
      </c>
    </row>
    <row r="3261" ht="22.5" customHeight="1">
      <c r="A3261" s="10">
        <v>46275.95094858797</v>
      </c>
      <c r="B3261" s="11" t="s">
        <v>17562</v>
      </c>
      <c r="C3261" s="11" t="s">
        <v>107</v>
      </c>
      <c r="D3261" s="11" t="s">
        <v>68</v>
      </c>
      <c r="E3261" s="12">
        <v>46209.0</v>
      </c>
      <c r="F3261" s="12">
        <v>46239.0</v>
      </c>
      <c r="G3261" s="11" t="s">
        <v>17563</v>
      </c>
      <c r="H3261" s="11">
        <v>6.306751918E9</v>
      </c>
      <c r="I3261" s="11" t="s">
        <v>82</v>
      </c>
      <c r="J3261" s="11" t="s">
        <v>71</v>
      </c>
      <c r="K3261" s="11" t="s">
        <v>72</v>
      </c>
      <c r="L3261" s="11" t="s">
        <v>84</v>
      </c>
      <c r="M3261" s="11" t="s">
        <v>886</v>
      </c>
      <c r="N3261" s="11" t="s">
        <v>17564</v>
      </c>
      <c r="O3261" s="11" t="s">
        <v>71</v>
      </c>
      <c r="P3261" s="11" t="s">
        <v>17565</v>
      </c>
      <c r="Q3261" s="13" t="s">
        <v>17566</v>
      </c>
      <c r="R3261" s="14" t="str">
        <f>HYPERLINK("https://drive.google.com/file/d/1sRUaYZJNIgF-EDl_I3usNvP3FpRKR43C/view?usp=drivesdk","OFFER LETTER")</f>
        <v>OFFER LETTER</v>
      </c>
      <c r="S3261" s="11" t="s">
        <v>17567</v>
      </c>
    </row>
    <row r="3262" ht="22.5" customHeight="1">
      <c r="A3262" s="10">
        <v>46275.9525284375</v>
      </c>
      <c r="B3262" s="11" t="s">
        <v>17568</v>
      </c>
      <c r="C3262" s="11" t="s">
        <v>237</v>
      </c>
      <c r="D3262" s="11" t="s">
        <v>68</v>
      </c>
      <c r="E3262" s="12">
        <v>46244.0</v>
      </c>
      <c r="F3262" s="12">
        <v>46275.0</v>
      </c>
      <c r="G3262" s="11" t="s">
        <v>17569</v>
      </c>
      <c r="H3262" s="11">
        <v>8.766549916E9</v>
      </c>
      <c r="I3262" s="11" t="s">
        <v>70</v>
      </c>
      <c r="J3262" s="11" t="s">
        <v>71</v>
      </c>
      <c r="K3262" s="11" t="s">
        <v>72</v>
      </c>
      <c r="L3262" s="11" t="s">
        <v>73</v>
      </c>
      <c r="M3262" s="11" t="s">
        <v>17570</v>
      </c>
      <c r="N3262" s="11" t="s">
        <v>226</v>
      </c>
      <c r="O3262" s="11" t="s">
        <v>71</v>
      </c>
      <c r="P3262" s="11" t="s">
        <v>17571</v>
      </c>
      <c r="Q3262" s="13" t="s">
        <v>17572</v>
      </c>
      <c r="R3262" s="14" t="str">
        <f>HYPERLINK("https://drive.google.com/file/d/1u78KrQKtcrPT5_PTv5Bmylo2jz_9Rqre/view?usp=drivesdk","OFFER LETTER")</f>
        <v>OFFER LETTER</v>
      </c>
      <c r="S3262" s="11" t="s">
        <v>17573</v>
      </c>
    </row>
    <row r="3263" ht="22.5" customHeight="1">
      <c r="A3263" s="10">
        <v>46275.95299211805</v>
      </c>
      <c r="B3263" s="11" t="s">
        <v>17574</v>
      </c>
      <c r="C3263" s="11" t="s">
        <v>195</v>
      </c>
      <c r="D3263" s="11" t="s">
        <v>68</v>
      </c>
      <c r="E3263" s="12">
        <v>46209.0</v>
      </c>
      <c r="F3263" s="12">
        <v>46240.0</v>
      </c>
      <c r="G3263" s="11" t="s">
        <v>17575</v>
      </c>
      <c r="H3263" s="11">
        <v>9.993747538E9</v>
      </c>
      <c r="I3263" s="11" t="s">
        <v>70</v>
      </c>
      <c r="J3263" s="11" t="s">
        <v>71</v>
      </c>
      <c r="K3263" s="11" t="s">
        <v>72</v>
      </c>
      <c r="L3263" s="11" t="s">
        <v>84</v>
      </c>
      <c r="M3263" s="11" t="s">
        <v>560</v>
      </c>
      <c r="N3263" s="11" t="s">
        <v>241</v>
      </c>
      <c r="O3263" s="11" t="s">
        <v>71</v>
      </c>
      <c r="P3263" s="11" t="s">
        <v>17576</v>
      </c>
      <c r="Q3263" s="13" t="s">
        <v>17577</v>
      </c>
      <c r="R3263" s="14" t="str">
        <f>HYPERLINK("https://drive.google.com/file/d/11AB8BlwNR__YJrCLuo3UIC9e6MhfRHtS/view?usp=drivesdk","OFFER LETTER")</f>
        <v>OFFER LETTER</v>
      </c>
      <c r="S3263" s="11" t="s">
        <v>17578</v>
      </c>
    </row>
    <row r="3264" ht="22.5" customHeight="1">
      <c r="A3264" s="10"/>
      <c r="B3264" s="9" t="s">
        <v>63</v>
      </c>
      <c r="C3264" s="11"/>
      <c r="D3264" s="11"/>
      <c r="E3264" s="12"/>
      <c r="F3264" s="12"/>
      <c r="G3264" s="11"/>
      <c r="H3264" s="11"/>
      <c r="I3264" s="11"/>
      <c r="K3264" s="11"/>
      <c r="L3264" s="11"/>
      <c r="M3264" s="11"/>
      <c r="N3264" s="11"/>
      <c r="O3264" s="11"/>
      <c r="P3264" s="11" t="s">
        <v>17579</v>
      </c>
      <c r="Q3264" s="9" t="s">
        <v>63</v>
      </c>
      <c r="R3264" s="9" t="s">
        <v>63</v>
      </c>
      <c r="S3264" s="11" t="s">
        <v>17580</v>
      </c>
    </row>
    <row r="3265" ht="22.5" customHeight="1">
      <c r="A3265" s="10"/>
      <c r="B3265" s="9"/>
      <c r="C3265" s="11"/>
      <c r="D3265" s="11"/>
      <c r="E3265" s="12"/>
      <c r="F3265" s="12"/>
      <c r="G3265" s="11"/>
      <c r="H3265" s="11"/>
      <c r="I3265" s="11"/>
      <c r="K3265" s="11"/>
      <c r="L3265" s="11"/>
      <c r="M3265" s="11"/>
      <c r="N3265" s="11"/>
      <c r="O3265" s="11"/>
      <c r="P3265" s="11"/>
      <c r="Q3265" s="9"/>
      <c r="R3265" s="9"/>
      <c r="S3265" s="11"/>
    </row>
  </sheetData>
  <hyperlinks>
    <hyperlink r:id="rId1" ref="Q3"/>
    <hyperlink r:id="rId2" ref="Q4"/>
    <hyperlink r:id="rId3" ref="Q5"/>
    <hyperlink r:id="rId4" ref="Q6"/>
    <hyperlink r:id="rId5" ref="Q7"/>
    <hyperlink r:id="rId6" ref="Q8"/>
    <hyperlink r:id="rId7" ref="Q9"/>
    <hyperlink r:id="rId8" ref="Q10"/>
    <hyperlink r:id="rId9" ref="Q12"/>
    <hyperlink r:id="rId10" ref="Q13"/>
    <hyperlink r:id="rId11" ref="Q14"/>
    <hyperlink r:id="rId12" ref="Q16"/>
    <hyperlink r:id="rId13" ref="Q17"/>
    <hyperlink r:id="rId14" ref="Q18"/>
    <hyperlink r:id="rId15" ref="Q19"/>
    <hyperlink r:id="rId16" ref="Q20"/>
    <hyperlink r:id="rId17" ref="Q21"/>
    <hyperlink r:id="rId18" ref="Q22"/>
    <hyperlink r:id="rId19" ref="Q23"/>
    <hyperlink r:id="rId20" ref="Q24"/>
    <hyperlink r:id="rId21" ref="Q25"/>
    <hyperlink r:id="rId22" ref="Q26"/>
    <hyperlink r:id="rId23" ref="Q27"/>
    <hyperlink r:id="rId24" ref="Q28"/>
    <hyperlink r:id="rId25" ref="Q29"/>
    <hyperlink r:id="rId26" ref="Q30"/>
    <hyperlink r:id="rId27" ref="Q31"/>
    <hyperlink r:id="rId28" ref="Q32"/>
    <hyperlink r:id="rId29" ref="Q33"/>
    <hyperlink r:id="rId30" ref="Q34"/>
    <hyperlink r:id="rId31" ref="Q35"/>
    <hyperlink r:id="rId32" ref="Q36"/>
    <hyperlink r:id="rId33" ref="Q37"/>
    <hyperlink r:id="rId34" ref="Q38"/>
    <hyperlink r:id="rId35" ref="Q39"/>
    <hyperlink r:id="rId36" ref="Q40"/>
    <hyperlink r:id="rId37" ref="Q41"/>
    <hyperlink r:id="rId38" ref="Q42"/>
    <hyperlink r:id="rId39" ref="Q43"/>
    <hyperlink r:id="rId40" ref="Q44"/>
    <hyperlink r:id="rId41" ref="Q45"/>
    <hyperlink r:id="rId42" ref="Q46"/>
    <hyperlink r:id="rId43" ref="Q47"/>
    <hyperlink r:id="rId44" ref="Q48"/>
    <hyperlink r:id="rId45" ref="Q49"/>
    <hyperlink r:id="rId46" ref="Q50"/>
    <hyperlink r:id="rId47" ref="Q51"/>
    <hyperlink r:id="rId48" ref="Q52"/>
    <hyperlink r:id="rId49" ref="Q53"/>
    <hyperlink r:id="rId50" ref="Q54"/>
    <hyperlink r:id="rId51" ref="Q55"/>
    <hyperlink r:id="rId52" ref="Q56"/>
    <hyperlink r:id="rId53" ref="Q57"/>
    <hyperlink r:id="rId54" ref="Q58"/>
    <hyperlink r:id="rId55" ref="Q59"/>
    <hyperlink r:id="rId56" ref="Q60"/>
    <hyperlink r:id="rId57" ref="K61"/>
    <hyperlink r:id="rId58" ref="Q61"/>
    <hyperlink r:id="rId59" ref="Q62"/>
    <hyperlink r:id="rId60" ref="Q63"/>
    <hyperlink r:id="rId61" ref="Q64"/>
    <hyperlink r:id="rId62" ref="Q65"/>
    <hyperlink r:id="rId63" ref="Q66"/>
    <hyperlink r:id="rId64" ref="Q67"/>
    <hyperlink r:id="rId65" ref="Q68"/>
    <hyperlink r:id="rId66" ref="Q69"/>
    <hyperlink r:id="rId67" ref="Q70"/>
    <hyperlink r:id="rId68" ref="Q71"/>
    <hyperlink r:id="rId69" ref="Q72"/>
    <hyperlink r:id="rId70" ref="Q73"/>
    <hyperlink r:id="rId71" ref="Q74"/>
    <hyperlink r:id="rId72" ref="Q75"/>
    <hyperlink r:id="rId73" ref="Q76"/>
    <hyperlink r:id="rId74" ref="Q77"/>
    <hyperlink r:id="rId75" ref="Q78"/>
    <hyperlink r:id="rId76" ref="Q79"/>
    <hyperlink r:id="rId77" ref="Q80"/>
    <hyperlink r:id="rId78" ref="Q81"/>
    <hyperlink r:id="rId79" ref="Q82"/>
    <hyperlink r:id="rId80" ref="Q83"/>
    <hyperlink r:id="rId81" ref="Q84"/>
    <hyperlink r:id="rId82" ref="Q85"/>
    <hyperlink r:id="rId83" ref="Q86"/>
    <hyperlink r:id="rId84" ref="Q87"/>
    <hyperlink r:id="rId85" ref="Q88"/>
    <hyperlink r:id="rId86" ref="Q89"/>
    <hyperlink r:id="rId87" ref="Q90"/>
    <hyperlink r:id="rId88" ref="Q91"/>
    <hyperlink r:id="rId89" ref="Q92"/>
    <hyperlink r:id="rId90" ref="Q93"/>
    <hyperlink r:id="rId91" ref="Q94"/>
    <hyperlink r:id="rId92" ref="Q95"/>
    <hyperlink r:id="rId93" ref="Q96"/>
    <hyperlink r:id="rId94" ref="Q97"/>
    <hyperlink r:id="rId95" ref="Q98"/>
    <hyperlink r:id="rId96" ref="K99"/>
    <hyperlink r:id="rId97" ref="Q99"/>
    <hyperlink r:id="rId98" ref="Q100"/>
    <hyperlink r:id="rId99" ref="Q101"/>
    <hyperlink r:id="rId100" ref="Q102"/>
    <hyperlink r:id="rId101" ref="Q103"/>
    <hyperlink r:id="rId102" ref="Q104"/>
    <hyperlink r:id="rId103" ref="Q105"/>
    <hyperlink r:id="rId104" ref="Q106"/>
    <hyperlink r:id="rId105" ref="Q107"/>
    <hyperlink r:id="rId106" ref="Q108"/>
    <hyperlink r:id="rId107" ref="Q109"/>
    <hyperlink r:id="rId108" ref="Q110"/>
    <hyperlink r:id="rId109" ref="Q111"/>
    <hyperlink r:id="rId110" ref="Q112"/>
    <hyperlink r:id="rId111" ref="Q113"/>
    <hyperlink r:id="rId112" ref="Q114"/>
    <hyperlink r:id="rId113" ref="Q115"/>
    <hyperlink r:id="rId114" ref="Q116"/>
    <hyperlink r:id="rId115" ref="Q117"/>
    <hyperlink r:id="rId116" ref="Q118"/>
    <hyperlink r:id="rId117" ref="Q119"/>
    <hyperlink r:id="rId118" ref="Q120"/>
    <hyperlink r:id="rId119" ref="Q121"/>
    <hyperlink r:id="rId120" ref="Q122"/>
    <hyperlink r:id="rId121" ref="Q123"/>
    <hyperlink r:id="rId122" ref="Q124"/>
    <hyperlink r:id="rId123" ref="Q125"/>
    <hyperlink r:id="rId124" ref="Q126"/>
    <hyperlink r:id="rId125" ref="Q127"/>
    <hyperlink r:id="rId126" ref="Q128"/>
    <hyperlink r:id="rId127" ref="Q129"/>
    <hyperlink r:id="rId128" ref="Q130"/>
    <hyperlink r:id="rId129" ref="Q131"/>
    <hyperlink r:id="rId130" ref="Q132"/>
    <hyperlink r:id="rId131" ref="Q133"/>
    <hyperlink r:id="rId132" ref="Q134"/>
    <hyperlink r:id="rId133" ref="Q135"/>
    <hyperlink r:id="rId134" ref="Q136"/>
    <hyperlink r:id="rId135" ref="Q137"/>
    <hyperlink r:id="rId136" ref="Q138"/>
    <hyperlink r:id="rId137" ref="Q139"/>
    <hyperlink r:id="rId138" ref="Q140"/>
    <hyperlink r:id="rId139" ref="Q141"/>
    <hyperlink r:id="rId140" ref="Q142"/>
    <hyperlink r:id="rId141" ref="Q143"/>
    <hyperlink r:id="rId142" ref="Q144"/>
    <hyperlink r:id="rId143" ref="Q145"/>
    <hyperlink r:id="rId144" ref="Q146"/>
    <hyperlink r:id="rId145" ref="Q147"/>
    <hyperlink r:id="rId146" ref="Q148"/>
    <hyperlink r:id="rId147" ref="Q149"/>
    <hyperlink r:id="rId148" ref="Q150"/>
    <hyperlink r:id="rId149" ref="Q151"/>
    <hyperlink r:id="rId150" ref="Q152"/>
    <hyperlink r:id="rId151" ref="Q153"/>
    <hyperlink r:id="rId152" ref="Q154"/>
    <hyperlink r:id="rId153" ref="Q155"/>
    <hyperlink r:id="rId154" ref="Q156"/>
    <hyperlink r:id="rId155" ref="Q157"/>
    <hyperlink r:id="rId156" ref="Q158"/>
    <hyperlink r:id="rId157" ref="Q159"/>
    <hyperlink r:id="rId158" ref="Q160"/>
    <hyperlink r:id="rId159" ref="Q161"/>
    <hyperlink r:id="rId160" ref="K162"/>
    <hyperlink r:id="rId161" ref="Q162"/>
    <hyperlink r:id="rId162" ref="Q163"/>
    <hyperlink r:id="rId163" ref="Q164"/>
    <hyperlink r:id="rId164" ref="Q165"/>
    <hyperlink r:id="rId165" ref="Q166"/>
    <hyperlink r:id="rId166" ref="Q167"/>
    <hyperlink r:id="rId167" ref="Q168"/>
    <hyperlink r:id="rId168" ref="Q169"/>
    <hyperlink r:id="rId169" ref="K170"/>
    <hyperlink r:id="rId170" ref="Q170"/>
    <hyperlink r:id="rId171" ref="K171"/>
    <hyperlink r:id="rId172" ref="Q171"/>
    <hyperlink r:id="rId173" ref="Q172"/>
    <hyperlink r:id="rId174" ref="Q173"/>
    <hyperlink r:id="rId175" ref="K174"/>
    <hyperlink r:id="rId176" ref="Q174"/>
    <hyperlink r:id="rId177" ref="Q175"/>
    <hyperlink r:id="rId178" ref="Q176"/>
    <hyperlink r:id="rId179" ref="Q177"/>
    <hyperlink r:id="rId180" ref="Q178"/>
    <hyperlink r:id="rId181" ref="Q179"/>
    <hyperlink r:id="rId182" ref="Q180"/>
    <hyperlink r:id="rId183" ref="Q181"/>
    <hyperlink r:id="rId184" ref="Q182"/>
    <hyperlink r:id="rId185" ref="Q183"/>
    <hyperlink r:id="rId186" ref="Q184"/>
    <hyperlink r:id="rId187" ref="Q185"/>
    <hyperlink r:id="rId188" ref="Q186"/>
    <hyperlink r:id="rId189" ref="Q187"/>
    <hyperlink r:id="rId190" ref="Q188"/>
    <hyperlink r:id="rId191" ref="Q189"/>
    <hyperlink r:id="rId192" ref="Q190"/>
    <hyperlink r:id="rId193" ref="Q192"/>
    <hyperlink r:id="rId194" ref="Q193"/>
    <hyperlink r:id="rId195" ref="Q194"/>
    <hyperlink r:id="rId196" ref="Q195"/>
    <hyperlink r:id="rId197" ref="Q196"/>
    <hyperlink r:id="rId198" ref="Q197"/>
    <hyperlink r:id="rId199" ref="Q198"/>
    <hyperlink r:id="rId200" ref="Q199"/>
    <hyperlink r:id="rId201" ref="Q200"/>
    <hyperlink r:id="rId202" ref="Q201"/>
    <hyperlink r:id="rId203" ref="Q202"/>
    <hyperlink r:id="rId204" ref="Q203"/>
    <hyperlink r:id="rId205" ref="Q204"/>
    <hyperlink r:id="rId206" ref="Q205"/>
    <hyperlink r:id="rId207" ref="Q206"/>
    <hyperlink r:id="rId208" ref="Q207"/>
    <hyperlink r:id="rId209" ref="Q208"/>
    <hyperlink r:id="rId210" ref="Q209"/>
    <hyperlink r:id="rId211" ref="Q210"/>
    <hyperlink r:id="rId212" ref="Q211"/>
    <hyperlink r:id="rId213" ref="Q212"/>
    <hyperlink r:id="rId214" ref="Q213"/>
    <hyperlink r:id="rId215" ref="Q214"/>
    <hyperlink r:id="rId216" ref="Q215"/>
    <hyperlink r:id="rId217" ref="Q216"/>
    <hyperlink r:id="rId218" ref="Q217"/>
    <hyperlink r:id="rId219" ref="Q218"/>
    <hyperlink r:id="rId220" ref="Q219"/>
    <hyperlink r:id="rId221" ref="Q220"/>
    <hyperlink r:id="rId222" ref="Q221"/>
    <hyperlink r:id="rId223" ref="Q222"/>
    <hyperlink r:id="rId224" ref="Q223"/>
    <hyperlink r:id="rId225" ref="Q224"/>
    <hyperlink r:id="rId226" ref="Q225"/>
    <hyperlink r:id="rId227" ref="Q226"/>
    <hyperlink r:id="rId228" ref="Q227"/>
    <hyperlink r:id="rId229" ref="Q228"/>
    <hyperlink r:id="rId230" ref="Q229"/>
    <hyperlink r:id="rId231" ref="Q230"/>
    <hyperlink r:id="rId232" ref="Q231"/>
    <hyperlink r:id="rId233" ref="Q232"/>
    <hyperlink r:id="rId234" ref="Q233"/>
    <hyperlink r:id="rId235" ref="Q234"/>
    <hyperlink r:id="rId236" ref="Q235"/>
    <hyperlink r:id="rId237" ref="Q236"/>
    <hyperlink r:id="rId238" ref="Q237"/>
    <hyperlink r:id="rId239" ref="Q238"/>
    <hyperlink r:id="rId240" ref="Q239"/>
    <hyperlink r:id="rId241" ref="Q240"/>
    <hyperlink r:id="rId242" ref="Q241"/>
    <hyperlink r:id="rId243" ref="Q242"/>
    <hyperlink r:id="rId244" ref="Q243"/>
    <hyperlink r:id="rId245" ref="Q244"/>
    <hyperlink r:id="rId246" ref="Q245"/>
    <hyperlink r:id="rId247" ref="Q246"/>
    <hyperlink r:id="rId248" ref="Q247"/>
    <hyperlink r:id="rId249" ref="Q248"/>
    <hyperlink r:id="rId250" ref="Q249"/>
    <hyperlink r:id="rId251" ref="Q250"/>
    <hyperlink r:id="rId252" ref="Q251"/>
    <hyperlink r:id="rId253" ref="Q252"/>
    <hyperlink r:id="rId254" ref="Q253"/>
    <hyperlink r:id="rId255" ref="Q254"/>
    <hyperlink r:id="rId256" ref="Q255"/>
    <hyperlink r:id="rId257" ref="Q256"/>
    <hyperlink r:id="rId258" ref="Q257"/>
    <hyperlink r:id="rId259" ref="Q258"/>
    <hyperlink r:id="rId260" ref="Q259"/>
    <hyperlink r:id="rId261" ref="Q260"/>
    <hyperlink r:id="rId262" ref="Q261"/>
    <hyperlink r:id="rId263" ref="K262"/>
    <hyperlink r:id="rId264" ref="Q262"/>
    <hyperlink r:id="rId265" ref="Q263"/>
    <hyperlink r:id="rId266" ref="Q264"/>
    <hyperlink r:id="rId267" ref="Q265"/>
    <hyperlink r:id="rId268" ref="Q266"/>
    <hyperlink r:id="rId269" ref="Q267"/>
    <hyperlink r:id="rId270" ref="K268"/>
    <hyperlink r:id="rId271" ref="Q268"/>
    <hyperlink r:id="rId272" ref="Q269"/>
    <hyperlink r:id="rId273" ref="Q270"/>
    <hyperlink r:id="rId274" ref="Q271"/>
    <hyperlink r:id="rId275" ref="Q272"/>
    <hyperlink r:id="rId276" ref="Q273"/>
    <hyperlink r:id="rId277" ref="Q274"/>
    <hyperlink r:id="rId278" ref="Q275"/>
    <hyperlink r:id="rId279" ref="Q276"/>
    <hyperlink r:id="rId280" ref="Q277"/>
    <hyperlink r:id="rId281" ref="Q278"/>
    <hyperlink r:id="rId282" ref="K279"/>
    <hyperlink r:id="rId283" ref="Q279"/>
    <hyperlink r:id="rId284" ref="Q280"/>
    <hyperlink r:id="rId285" ref="Q281"/>
    <hyperlink r:id="rId286" ref="Q282"/>
    <hyperlink r:id="rId287" ref="Q283"/>
    <hyperlink r:id="rId288" ref="Q284"/>
    <hyperlink r:id="rId289" ref="Q285"/>
    <hyperlink r:id="rId290" ref="Q286"/>
    <hyperlink r:id="rId291" ref="Q287"/>
    <hyperlink r:id="rId292" ref="Q288"/>
    <hyperlink r:id="rId293" ref="Q289"/>
    <hyperlink r:id="rId294" ref="Q290"/>
    <hyperlink r:id="rId295" ref="Q291"/>
    <hyperlink r:id="rId296" ref="Q292"/>
    <hyperlink r:id="rId297" ref="Q293"/>
    <hyperlink r:id="rId298" ref="Q294"/>
    <hyperlink r:id="rId299" ref="Q295"/>
    <hyperlink r:id="rId300" ref="Q296"/>
    <hyperlink r:id="rId301" ref="Q297"/>
    <hyperlink r:id="rId302" ref="Q298"/>
    <hyperlink r:id="rId303" ref="Q299"/>
    <hyperlink r:id="rId304" ref="Q300"/>
    <hyperlink r:id="rId305" ref="Q301"/>
    <hyperlink r:id="rId306" ref="Q302"/>
    <hyperlink r:id="rId307" ref="Q303"/>
    <hyperlink r:id="rId308" ref="Q304"/>
    <hyperlink r:id="rId309" ref="Q305"/>
    <hyperlink r:id="rId310" ref="Q306"/>
    <hyperlink r:id="rId311" ref="Q307"/>
    <hyperlink r:id="rId312" ref="Q308"/>
    <hyperlink r:id="rId313" ref="Q309"/>
    <hyperlink r:id="rId314" ref="Q310"/>
    <hyperlink r:id="rId315" ref="Q311"/>
    <hyperlink r:id="rId316" ref="Q312"/>
    <hyperlink r:id="rId317" ref="Q313"/>
    <hyperlink r:id="rId318" ref="Q314"/>
    <hyperlink r:id="rId319" ref="Q315"/>
    <hyperlink r:id="rId320" ref="Q316"/>
    <hyperlink r:id="rId321" ref="Q317"/>
    <hyperlink r:id="rId322" ref="Q318"/>
    <hyperlink r:id="rId323" ref="Q319"/>
    <hyperlink r:id="rId324" ref="Q320"/>
    <hyperlink r:id="rId325" ref="Q321"/>
    <hyperlink r:id="rId326" ref="Q322"/>
    <hyperlink r:id="rId327" ref="Q323"/>
    <hyperlink r:id="rId328" ref="Q324"/>
    <hyperlink r:id="rId329" ref="Q325"/>
    <hyperlink r:id="rId330" ref="Q326"/>
    <hyperlink r:id="rId331" ref="Q327"/>
    <hyperlink r:id="rId332" ref="Q328"/>
    <hyperlink r:id="rId333" ref="Q329"/>
    <hyperlink r:id="rId334" ref="Q330"/>
    <hyperlink r:id="rId335" ref="Q331"/>
    <hyperlink r:id="rId336" ref="Q332"/>
    <hyperlink r:id="rId337" ref="Q333"/>
    <hyperlink r:id="rId338" ref="Q334"/>
    <hyperlink r:id="rId339" ref="Q335"/>
    <hyperlink r:id="rId340" ref="Q336"/>
    <hyperlink r:id="rId341" ref="Q337"/>
    <hyperlink r:id="rId342" ref="Q338"/>
    <hyperlink r:id="rId343" ref="Q339"/>
    <hyperlink r:id="rId344" ref="Q340"/>
    <hyperlink r:id="rId345" ref="Q341"/>
    <hyperlink r:id="rId346" ref="Q342"/>
    <hyperlink r:id="rId347" ref="Q343"/>
    <hyperlink r:id="rId348" ref="Q344"/>
    <hyperlink r:id="rId349" ref="Q345"/>
    <hyperlink r:id="rId350" ref="Q346"/>
    <hyperlink r:id="rId351" ref="Q347"/>
    <hyperlink r:id="rId352" ref="Q348"/>
    <hyperlink r:id="rId353" ref="Q349"/>
    <hyperlink r:id="rId354" ref="Q350"/>
    <hyperlink r:id="rId355" ref="Q351"/>
    <hyperlink r:id="rId356" ref="Q352"/>
    <hyperlink r:id="rId357" ref="Q353"/>
    <hyperlink r:id="rId358" ref="Q354"/>
    <hyperlink r:id="rId359" ref="Q355"/>
    <hyperlink r:id="rId360" ref="Q356"/>
    <hyperlink r:id="rId361" ref="Q357"/>
    <hyperlink r:id="rId362" ref="Q358"/>
    <hyperlink r:id="rId363" ref="Q359"/>
    <hyperlink r:id="rId364" ref="Q360"/>
    <hyperlink r:id="rId365" ref="Q361"/>
    <hyperlink r:id="rId366" ref="Q362"/>
    <hyperlink r:id="rId367" ref="Q363"/>
    <hyperlink r:id="rId368" ref="Q364"/>
    <hyperlink r:id="rId369" ref="Q365"/>
    <hyperlink r:id="rId370" ref="Q366"/>
    <hyperlink r:id="rId371" ref="Q367"/>
    <hyperlink r:id="rId372" ref="Q368"/>
    <hyperlink r:id="rId373" ref="Q369"/>
    <hyperlink r:id="rId374" ref="K370"/>
    <hyperlink r:id="rId375" ref="Q370"/>
    <hyperlink r:id="rId376" ref="Q371"/>
    <hyperlink r:id="rId377" ref="Q372"/>
    <hyperlink r:id="rId378" ref="Q373"/>
    <hyperlink r:id="rId379" ref="Q374"/>
    <hyperlink r:id="rId380" ref="Q375"/>
    <hyperlink r:id="rId381" ref="Q376"/>
    <hyperlink r:id="rId382" ref="Q377"/>
    <hyperlink r:id="rId383" ref="K378"/>
    <hyperlink r:id="rId384" ref="Q378"/>
    <hyperlink r:id="rId385" ref="Q379"/>
    <hyperlink r:id="rId386" ref="Q380"/>
    <hyperlink r:id="rId387" ref="Q381"/>
    <hyperlink r:id="rId388" ref="Q382"/>
    <hyperlink r:id="rId389" ref="Q383"/>
    <hyperlink r:id="rId390" ref="Q384"/>
    <hyperlink r:id="rId391" ref="Q385"/>
    <hyperlink r:id="rId392" ref="Q386"/>
    <hyperlink r:id="rId393" ref="Q387"/>
    <hyperlink r:id="rId394" ref="Q388"/>
    <hyperlink r:id="rId395" ref="Q389"/>
    <hyperlink r:id="rId396" ref="Q390"/>
    <hyperlink r:id="rId397" ref="Q391"/>
    <hyperlink r:id="rId398" ref="Q392"/>
    <hyperlink r:id="rId399" ref="Q393"/>
    <hyperlink r:id="rId400" ref="Q394"/>
    <hyperlink r:id="rId401" ref="Q395"/>
    <hyperlink r:id="rId402" ref="Q396"/>
    <hyperlink r:id="rId403" ref="Q397"/>
    <hyperlink r:id="rId404" ref="Q398"/>
    <hyperlink r:id="rId405" ref="Q399"/>
    <hyperlink r:id="rId406" ref="Q400"/>
    <hyperlink r:id="rId407" ref="Q401"/>
    <hyperlink r:id="rId408" ref="Q402"/>
    <hyperlink r:id="rId409" ref="Q403"/>
    <hyperlink r:id="rId410" ref="K404"/>
    <hyperlink r:id="rId411" ref="Q404"/>
    <hyperlink r:id="rId412" ref="Q405"/>
    <hyperlink r:id="rId413" ref="Q406"/>
    <hyperlink r:id="rId414" ref="Q407"/>
    <hyperlink r:id="rId415" ref="Q408"/>
    <hyperlink r:id="rId416" ref="Q409"/>
    <hyperlink r:id="rId417" ref="Q410"/>
    <hyperlink r:id="rId418" ref="Q411"/>
    <hyperlink r:id="rId419" ref="Q412"/>
    <hyperlink r:id="rId420" ref="Q413"/>
    <hyperlink r:id="rId421" ref="Q414"/>
    <hyperlink r:id="rId422" ref="Q415"/>
    <hyperlink r:id="rId423" ref="Q416"/>
    <hyperlink r:id="rId424" ref="Q417"/>
    <hyperlink r:id="rId425" ref="Q418"/>
    <hyperlink r:id="rId426" ref="Q419"/>
    <hyperlink r:id="rId427" ref="Q420"/>
    <hyperlink r:id="rId428" ref="Q421"/>
    <hyperlink r:id="rId429" ref="Q422"/>
    <hyperlink r:id="rId430" ref="Q423"/>
    <hyperlink r:id="rId431" ref="Q424"/>
    <hyperlink r:id="rId432" ref="Q425"/>
    <hyperlink r:id="rId433" ref="K426"/>
    <hyperlink r:id="rId434" ref="Q426"/>
    <hyperlink r:id="rId435" ref="Q427"/>
    <hyperlink r:id="rId436" ref="Q428"/>
    <hyperlink r:id="rId437" ref="Q429"/>
    <hyperlink r:id="rId438" ref="Q430"/>
    <hyperlink r:id="rId439" ref="Q431"/>
    <hyperlink r:id="rId440" ref="Q432"/>
    <hyperlink r:id="rId441" ref="Q433"/>
    <hyperlink r:id="rId442" ref="Q434"/>
    <hyperlink r:id="rId443" ref="Q435"/>
    <hyperlink r:id="rId444" ref="Q436"/>
    <hyperlink r:id="rId445" ref="Q437"/>
    <hyperlink r:id="rId446" ref="Q438"/>
    <hyperlink r:id="rId447" ref="Q439"/>
    <hyperlink r:id="rId448" ref="Q440"/>
    <hyperlink r:id="rId449" ref="Q441"/>
    <hyperlink r:id="rId450" ref="Q442"/>
    <hyperlink r:id="rId451" ref="Q443"/>
    <hyperlink r:id="rId452" ref="Q444"/>
    <hyperlink r:id="rId453" ref="Q445"/>
    <hyperlink r:id="rId454" ref="Q446"/>
    <hyperlink r:id="rId455" ref="Q447"/>
    <hyperlink r:id="rId456" ref="Q448"/>
    <hyperlink r:id="rId457" ref="Q449"/>
    <hyperlink r:id="rId458" ref="Q450"/>
    <hyperlink r:id="rId459" ref="Q451"/>
    <hyperlink r:id="rId460" ref="Q452"/>
    <hyperlink r:id="rId461" ref="Q453"/>
    <hyperlink r:id="rId462" ref="Q454"/>
    <hyperlink r:id="rId463" ref="Q455"/>
    <hyperlink r:id="rId464" ref="Q456"/>
    <hyperlink r:id="rId465" ref="Q457"/>
    <hyperlink r:id="rId466" ref="Q458"/>
    <hyperlink r:id="rId467" ref="Q459"/>
    <hyperlink r:id="rId468" ref="Q460"/>
    <hyperlink r:id="rId469" ref="Q461"/>
    <hyperlink r:id="rId470" ref="Q462"/>
    <hyperlink r:id="rId471" ref="Q463"/>
    <hyperlink r:id="rId472" ref="Q464"/>
    <hyperlink r:id="rId473" ref="Q465"/>
    <hyperlink r:id="rId474" ref="Q466"/>
    <hyperlink r:id="rId475" ref="Q467"/>
    <hyperlink r:id="rId476" ref="Q468"/>
    <hyperlink r:id="rId477" ref="Q469"/>
    <hyperlink r:id="rId478" ref="Q470"/>
    <hyperlink r:id="rId479" ref="Q471"/>
    <hyperlink r:id="rId480" ref="Q472"/>
    <hyperlink r:id="rId481" ref="Q473"/>
    <hyperlink r:id="rId482" ref="Q474"/>
    <hyperlink r:id="rId483" ref="Q475"/>
    <hyperlink r:id="rId484" ref="Q476"/>
    <hyperlink r:id="rId485" ref="Q477"/>
    <hyperlink r:id="rId486" ref="Q478"/>
    <hyperlink r:id="rId487" ref="Q479"/>
    <hyperlink r:id="rId488" ref="Q480"/>
    <hyperlink r:id="rId489" ref="Q481"/>
    <hyperlink r:id="rId490" ref="Q482"/>
    <hyperlink r:id="rId491" ref="Q483"/>
    <hyperlink r:id="rId492" ref="Q484"/>
    <hyperlink r:id="rId493" ref="Q485"/>
    <hyperlink r:id="rId494" ref="Q486"/>
    <hyperlink r:id="rId495" ref="Q487"/>
    <hyperlink r:id="rId496" ref="Q488"/>
    <hyperlink r:id="rId497" ref="Q489"/>
    <hyperlink r:id="rId498" ref="Q490"/>
    <hyperlink r:id="rId499" ref="Q491"/>
    <hyperlink r:id="rId500" ref="Q492"/>
    <hyperlink r:id="rId501" ref="Q493"/>
    <hyperlink r:id="rId502" ref="Q494"/>
    <hyperlink r:id="rId503" ref="Q495"/>
    <hyperlink r:id="rId504" ref="Q496"/>
    <hyperlink r:id="rId505" ref="Q497"/>
    <hyperlink r:id="rId506" ref="Q498"/>
    <hyperlink r:id="rId507" ref="Q499"/>
    <hyperlink r:id="rId508" ref="K500"/>
    <hyperlink r:id="rId509" ref="Q500"/>
    <hyperlink r:id="rId510" ref="Q501"/>
    <hyperlink r:id="rId511" ref="Q502"/>
    <hyperlink r:id="rId512" ref="Q503"/>
    <hyperlink r:id="rId513" ref="Q504"/>
    <hyperlink r:id="rId514" ref="Q505"/>
    <hyperlink r:id="rId515" ref="Q506"/>
    <hyperlink r:id="rId516" ref="Q507"/>
    <hyperlink r:id="rId517" ref="Q508"/>
    <hyperlink r:id="rId518" ref="Q509"/>
    <hyperlink r:id="rId519" ref="Q510"/>
    <hyperlink r:id="rId520" ref="Q511"/>
    <hyperlink r:id="rId521" ref="Q512"/>
    <hyperlink r:id="rId522" ref="Q513"/>
    <hyperlink r:id="rId523" ref="Q514"/>
    <hyperlink r:id="rId524" ref="Q515"/>
    <hyperlink r:id="rId525" ref="Q516"/>
    <hyperlink r:id="rId526" ref="Q517"/>
    <hyperlink r:id="rId527" ref="Q518"/>
    <hyperlink r:id="rId528" ref="Q519"/>
    <hyperlink r:id="rId529" ref="Q520"/>
    <hyperlink r:id="rId530" ref="Q521"/>
    <hyperlink r:id="rId531" ref="Q522"/>
    <hyperlink r:id="rId532" ref="Q523"/>
    <hyperlink r:id="rId533" ref="K524"/>
    <hyperlink r:id="rId534" ref="Q524"/>
    <hyperlink r:id="rId535" ref="Q525"/>
    <hyperlink r:id="rId536" ref="Q526"/>
    <hyperlink r:id="rId537" ref="Q527"/>
    <hyperlink r:id="rId538" ref="Q528"/>
    <hyperlink r:id="rId539" ref="Q529"/>
    <hyperlink r:id="rId540" ref="Q530"/>
    <hyperlink r:id="rId541" ref="Q531"/>
    <hyperlink r:id="rId542" ref="Q532"/>
    <hyperlink r:id="rId543" ref="Q533"/>
    <hyperlink r:id="rId544" ref="Q534"/>
    <hyperlink r:id="rId545" ref="Q535"/>
    <hyperlink r:id="rId546" ref="Q536"/>
    <hyperlink r:id="rId547" ref="Q537"/>
    <hyperlink r:id="rId548" ref="K538"/>
    <hyperlink r:id="rId549" ref="Q538"/>
    <hyperlink r:id="rId550" ref="Q539"/>
    <hyperlink r:id="rId551" ref="Q540"/>
    <hyperlink r:id="rId552" ref="Q541"/>
    <hyperlink r:id="rId553" ref="Q542"/>
    <hyperlink r:id="rId554" ref="Q543"/>
    <hyperlink r:id="rId555" ref="Q544"/>
    <hyperlink r:id="rId556" ref="Q545"/>
    <hyperlink r:id="rId557" ref="Q546"/>
    <hyperlink r:id="rId558" ref="Q547"/>
    <hyperlink r:id="rId559" ref="Q548"/>
    <hyperlink r:id="rId560" ref="Q549"/>
    <hyperlink r:id="rId561" ref="Q550"/>
    <hyperlink r:id="rId562" ref="Q551"/>
    <hyperlink r:id="rId563" ref="Q552"/>
    <hyperlink r:id="rId564" ref="Q553"/>
    <hyperlink r:id="rId565" ref="Q554"/>
    <hyperlink r:id="rId566" ref="Q555"/>
    <hyperlink r:id="rId567" ref="Q556"/>
    <hyperlink r:id="rId568" ref="Q557"/>
    <hyperlink r:id="rId569" ref="Q558"/>
    <hyperlink r:id="rId570" ref="Q559"/>
    <hyperlink r:id="rId571" ref="Q560"/>
    <hyperlink r:id="rId572" ref="Q561"/>
    <hyperlink r:id="rId573" ref="Q562"/>
    <hyperlink r:id="rId574" ref="Q563"/>
    <hyperlink r:id="rId575" ref="K564"/>
    <hyperlink r:id="rId576" ref="Q564"/>
    <hyperlink r:id="rId577" ref="Q565"/>
    <hyperlink r:id="rId578" ref="Q566"/>
    <hyperlink r:id="rId579" ref="Q567"/>
    <hyperlink r:id="rId580" ref="Q568"/>
    <hyperlink r:id="rId581" ref="Q569"/>
    <hyperlink r:id="rId582" ref="Q570"/>
    <hyperlink r:id="rId583" ref="Q571"/>
    <hyperlink r:id="rId584" ref="Q572"/>
    <hyperlink r:id="rId585" ref="Q573"/>
    <hyperlink r:id="rId586" ref="K574"/>
    <hyperlink r:id="rId587" ref="Q574"/>
    <hyperlink r:id="rId588" ref="Q575"/>
    <hyperlink r:id="rId589" ref="Q576"/>
    <hyperlink r:id="rId590" ref="Q577"/>
    <hyperlink r:id="rId591" ref="Q578"/>
    <hyperlink r:id="rId592" ref="K579"/>
    <hyperlink r:id="rId593" ref="Q579"/>
    <hyperlink r:id="rId594" ref="Q580"/>
    <hyperlink r:id="rId595" ref="Q581"/>
    <hyperlink r:id="rId596" ref="Q582"/>
    <hyperlink r:id="rId597" ref="Q583"/>
    <hyperlink r:id="rId598" ref="Q584"/>
    <hyperlink r:id="rId599" ref="Q585"/>
    <hyperlink r:id="rId600" ref="Q586"/>
    <hyperlink r:id="rId601" ref="Q587"/>
    <hyperlink r:id="rId602" ref="Q588"/>
    <hyperlink r:id="rId603" ref="K589"/>
    <hyperlink r:id="rId604" ref="Q589"/>
    <hyperlink r:id="rId605" ref="Q590"/>
    <hyperlink r:id="rId606" ref="Q591"/>
    <hyperlink r:id="rId607" ref="Q592"/>
    <hyperlink r:id="rId608" ref="Q593"/>
    <hyperlink r:id="rId609" ref="Q594"/>
    <hyperlink r:id="rId610" ref="Q595"/>
    <hyperlink r:id="rId611" ref="K596"/>
    <hyperlink r:id="rId612" ref="Q596"/>
    <hyperlink r:id="rId613" ref="Q597"/>
    <hyperlink r:id="rId614" ref="Q598"/>
    <hyperlink r:id="rId615" ref="Q599"/>
    <hyperlink r:id="rId616" ref="Q600"/>
    <hyperlink r:id="rId617" ref="Q601"/>
    <hyperlink r:id="rId618" ref="Q602"/>
    <hyperlink r:id="rId619" ref="Q603"/>
    <hyperlink r:id="rId620" ref="Q604"/>
    <hyperlink r:id="rId621" ref="Q605"/>
    <hyperlink r:id="rId622" ref="Q606"/>
    <hyperlink r:id="rId623" ref="K607"/>
    <hyperlink r:id="rId624" ref="Q607"/>
    <hyperlink r:id="rId625" ref="Q608"/>
    <hyperlink r:id="rId626" ref="Q609"/>
    <hyperlink r:id="rId627" ref="Q610"/>
    <hyperlink r:id="rId628" ref="Q611"/>
    <hyperlink r:id="rId629" ref="Q612"/>
    <hyperlink r:id="rId630" ref="Q613"/>
    <hyperlink r:id="rId631" ref="Q614"/>
    <hyperlink r:id="rId632" ref="Q615"/>
    <hyperlink r:id="rId633" ref="K616"/>
    <hyperlink r:id="rId634" ref="Q616"/>
    <hyperlink r:id="rId635" ref="Q617"/>
    <hyperlink r:id="rId636" ref="Q618"/>
    <hyperlink r:id="rId637" ref="Q619"/>
    <hyperlink r:id="rId638" ref="Q620"/>
    <hyperlink r:id="rId639" ref="Q621"/>
    <hyperlink r:id="rId640" ref="Q622"/>
    <hyperlink r:id="rId641" ref="Q623"/>
    <hyperlink r:id="rId642" ref="Q624"/>
    <hyperlink r:id="rId643" ref="Q625"/>
    <hyperlink r:id="rId644" ref="Q626"/>
    <hyperlink r:id="rId645" ref="Q627"/>
    <hyperlink r:id="rId646" ref="K628"/>
    <hyperlink r:id="rId647" ref="Q628"/>
    <hyperlink r:id="rId648" ref="Q629"/>
    <hyperlink r:id="rId649" ref="K630"/>
    <hyperlink r:id="rId650" ref="Q630"/>
    <hyperlink r:id="rId651" ref="Q631"/>
    <hyperlink r:id="rId652" ref="Q632"/>
    <hyperlink r:id="rId653" ref="Q633"/>
    <hyperlink r:id="rId654" ref="Q634"/>
    <hyperlink r:id="rId655" ref="Q635"/>
    <hyperlink r:id="rId656" ref="Q636"/>
    <hyperlink r:id="rId657" ref="Q637"/>
    <hyperlink r:id="rId658" ref="Q638"/>
    <hyperlink r:id="rId659" ref="Q639"/>
    <hyperlink r:id="rId660" ref="Q640"/>
    <hyperlink r:id="rId661" ref="Q641"/>
    <hyperlink r:id="rId662" ref="Q642"/>
    <hyperlink r:id="rId663" ref="Q643"/>
    <hyperlink r:id="rId664" ref="Q644"/>
    <hyperlink r:id="rId665" ref="Q645"/>
    <hyperlink r:id="rId666" ref="Q646"/>
    <hyperlink r:id="rId667" ref="Q647"/>
    <hyperlink r:id="rId668" ref="Q648"/>
    <hyperlink r:id="rId669" ref="Q649"/>
    <hyperlink r:id="rId670" ref="Q650"/>
    <hyperlink r:id="rId671" ref="Q651"/>
    <hyperlink r:id="rId672" ref="Q652"/>
    <hyperlink r:id="rId673" ref="K653"/>
    <hyperlink r:id="rId674" ref="Q653"/>
    <hyperlink r:id="rId675" ref="Q654"/>
    <hyperlink r:id="rId676" ref="Q655"/>
    <hyperlink r:id="rId677" ref="Q656"/>
    <hyperlink r:id="rId678" ref="Q657"/>
    <hyperlink r:id="rId679" ref="Q658"/>
    <hyperlink r:id="rId680" ref="Q659"/>
    <hyperlink r:id="rId681" ref="Q660"/>
    <hyperlink r:id="rId682" ref="Q661"/>
    <hyperlink r:id="rId683" ref="Q662"/>
    <hyperlink r:id="rId684" ref="Q663"/>
    <hyperlink r:id="rId685" ref="Q664"/>
    <hyperlink r:id="rId686" ref="Q665"/>
    <hyperlink r:id="rId687" ref="Q666"/>
    <hyperlink r:id="rId688" ref="Q667"/>
    <hyperlink r:id="rId689" ref="Q668"/>
    <hyperlink r:id="rId690" ref="Q669"/>
    <hyperlink r:id="rId691" ref="Q670"/>
    <hyperlink r:id="rId692" ref="Q671"/>
    <hyperlink r:id="rId693" ref="Q672"/>
    <hyperlink r:id="rId694" ref="Q673"/>
    <hyperlink r:id="rId695" ref="Q674"/>
    <hyperlink r:id="rId696" ref="Q675"/>
    <hyperlink r:id="rId697" ref="Q676"/>
    <hyperlink r:id="rId698" ref="Q677"/>
    <hyperlink r:id="rId699" ref="Q678"/>
    <hyperlink r:id="rId700" ref="Q679"/>
    <hyperlink r:id="rId701" ref="Q680"/>
    <hyperlink r:id="rId702" ref="Q681"/>
    <hyperlink r:id="rId703" ref="Q682"/>
    <hyperlink r:id="rId704" ref="Q683"/>
    <hyperlink r:id="rId705" ref="Q684"/>
    <hyperlink r:id="rId706" ref="Q685"/>
    <hyperlink r:id="rId707" ref="Q686"/>
    <hyperlink r:id="rId708" ref="Q687"/>
    <hyperlink r:id="rId709" ref="Q688"/>
    <hyperlink r:id="rId710" ref="Q689"/>
    <hyperlink r:id="rId711" ref="Q690"/>
    <hyperlink r:id="rId712" ref="Q691"/>
    <hyperlink r:id="rId713" ref="Q692"/>
    <hyperlink r:id="rId714" ref="Q693"/>
    <hyperlink r:id="rId715" ref="G694"/>
    <hyperlink r:id="rId716" ref="Q694"/>
    <hyperlink r:id="rId717" ref="Q695"/>
    <hyperlink r:id="rId718" ref="Q696"/>
    <hyperlink r:id="rId719" ref="Q697"/>
    <hyperlink r:id="rId720" ref="Q698"/>
    <hyperlink r:id="rId721" ref="Q699"/>
    <hyperlink r:id="rId722" ref="Q700"/>
    <hyperlink r:id="rId723" ref="Q701"/>
    <hyperlink r:id="rId724" ref="Q702"/>
    <hyperlink r:id="rId725" ref="Q703"/>
    <hyperlink r:id="rId726" ref="Q704"/>
    <hyperlink r:id="rId727" ref="Q705"/>
    <hyperlink r:id="rId728" ref="Q706"/>
    <hyperlink r:id="rId729" ref="Q707"/>
    <hyperlink r:id="rId730" ref="Q708"/>
    <hyperlink r:id="rId731" ref="Q709"/>
    <hyperlink r:id="rId732" ref="Q710"/>
    <hyperlink r:id="rId733" ref="Q711"/>
    <hyperlink r:id="rId734" ref="Q712"/>
    <hyperlink r:id="rId735" ref="Q713"/>
    <hyperlink r:id="rId736" ref="Q714"/>
    <hyperlink r:id="rId737" ref="Q715"/>
    <hyperlink r:id="rId738" ref="Q716"/>
    <hyperlink r:id="rId739" ref="Q717"/>
    <hyperlink r:id="rId740" ref="Q718"/>
    <hyperlink r:id="rId741" ref="Q719"/>
    <hyperlink r:id="rId742" ref="Q720"/>
    <hyperlink r:id="rId743" ref="Q721"/>
    <hyperlink r:id="rId744" ref="Q722"/>
    <hyperlink r:id="rId745" ref="Q723"/>
    <hyperlink r:id="rId746" ref="Q724"/>
    <hyperlink r:id="rId747" ref="Q725"/>
    <hyperlink r:id="rId748" ref="Q726"/>
    <hyperlink r:id="rId749" ref="Q727"/>
    <hyperlink r:id="rId750" ref="Q728"/>
    <hyperlink r:id="rId751" ref="Q729"/>
    <hyperlink r:id="rId752" ref="Q730"/>
    <hyperlink r:id="rId753" ref="Q731"/>
    <hyperlink r:id="rId754" ref="Q732"/>
    <hyperlink r:id="rId755" ref="Q733"/>
    <hyperlink r:id="rId756" ref="Q734"/>
    <hyperlink r:id="rId757" ref="Q735"/>
    <hyperlink r:id="rId758" ref="Q736"/>
    <hyperlink r:id="rId759" ref="Q737"/>
    <hyperlink r:id="rId760" ref="Q738"/>
    <hyperlink r:id="rId761" ref="Q739"/>
    <hyperlink r:id="rId762" ref="Q740"/>
    <hyperlink r:id="rId763" ref="Q741"/>
    <hyperlink r:id="rId764" ref="Q742"/>
    <hyperlink r:id="rId765" ref="Q743"/>
    <hyperlink r:id="rId766" ref="Q744"/>
    <hyperlink r:id="rId767" ref="Q745"/>
    <hyperlink r:id="rId768" ref="Q746"/>
    <hyperlink r:id="rId769" ref="Q747"/>
    <hyperlink r:id="rId770" ref="Q748"/>
    <hyperlink r:id="rId771" ref="Q749"/>
    <hyperlink r:id="rId772" ref="Q750"/>
    <hyperlink r:id="rId773" ref="Q751"/>
    <hyperlink r:id="rId774" ref="Q752"/>
    <hyperlink r:id="rId775" ref="K753"/>
    <hyperlink r:id="rId776" ref="Q753"/>
    <hyperlink r:id="rId777" ref="Q754"/>
    <hyperlink r:id="rId778" ref="Q755"/>
    <hyperlink r:id="rId779" ref="Q756"/>
    <hyperlink r:id="rId780" ref="Q757"/>
    <hyperlink r:id="rId781" ref="Q758"/>
    <hyperlink r:id="rId782" ref="Q759"/>
    <hyperlink r:id="rId783" ref="Q760"/>
    <hyperlink r:id="rId784" ref="Q761"/>
    <hyperlink r:id="rId785" ref="Q762"/>
    <hyperlink r:id="rId786" ref="Q763"/>
    <hyperlink r:id="rId787" ref="Q764"/>
    <hyperlink r:id="rId788" ref="Q765"/>
    <hyperlink r:id="rId789" ref="Q766"/>
    <hyperlink r:id="rId790" ref="Q767"/>
    <hyperlink r:id="rId791" ref="Q768"/>
    <hyperlink r:id="rId792" ref="Q769"/>
    <hyperlink r:id="rId793" ref="Q770"/>
    <hyperlink r:id="rId794" ref="Q771"/>
    <hyperlink r:id="rId795" ref="Q772"/>
    <hyperlink r:id="rId796" ref="Q773"/>
    <hyperlink r:id="rId797" ref="Q774"/>
    <hyperlink r:id="rId798" ref="Q775"/>
    <hyperlink r:id="rId799" ref="Q776"/>
    <hyperlink r:id="rId800" ref="Q777"/>
    <hyperlink r:id="rId801" ref="Q778"/>
    <hyperlink r:id="rId802" ref="Q779"/>
    <hyperlink r:id="rId803" ref="Q780"/>
    <hyperlink r:id="rId804" ref="Q781"/>
    <hyperlink r:id="rId805" ref="Q782"/>
    <hyperlink r:id="rId806" ref="Q783"/>
    <hyperlink r:id="rId807" ref="Q784"/>
    <hyperlink r:id="rId808" ref="Q785"/>
    <hyperlink r:id="rId809" ref="Q786"/>
    <hyperlink r:id="rId810" ref="Q787"/>
    <hyperlink r:id="rId811" ref="Q788"/>
    <hyperlink r:id="rId812" ref="Q789"/>
    <hyperlink r:id="rId813" ref="Q790"/>
    <hyperlink r:id="rId814" ref="Q791"/>
    <hyperlink r:id="rId815" ref="Q792"/>
    <hyperlink r:id="rId816" ref="Q793"/>
    <hyperlink r:id="rId817" ref="Q794"/>
    <hyperlink r:id="rId818" ref="Q795"/>
    <hyperlink r:id="rId819" ref="Q796"/>
    <hyperlink r:id="rId820" ref="Q797"/>
    <hyperlink r:id="rId821" ref="Q798"/>
    <hyperlink r:id="rId822" ref="Q799"/>
    <hyperlink r:id="rId823" ref="Q800"/>
    <hyperlink r:id="rId824" ref="Q801"/>
    <hyperlink r:id="rId825" ref="Q802"/>
    <hyperlink r:id="rId826" ref="Q803"/>
    <hyperlink r:id="rId827" ref="Q804"/>
    <hyperlink r:id="rId828" ref="Q805"/>
    <hyperlink r:id="rId829" ref="Q806"/>
    <hyperlink r:id="rId830" ref="Q807"/>
    <hyperlink r:id="rId831" ref="Q808"/>
    <hyperlink r:id="rId832" ref="Q809"/>
    <hyperlink r:id="rId833" ref="Q810"/>
    <hyperlink r:id="rId834" ref="Q811"/>
    <hyperlink r:id="rId835" ref="Q812"/>
    <hyperlink r:id="rId836" ref="Q813"/>
    <hyperlink r:id="rId837" ref="Q814"/>
    <hyperlink r:id="rId838" ref="Q815"/>
    <hyperlink r:id="rId839" ref="Q816"/>
    <hyperlink r:id="rId840" ref="K817"/>
    <hyperlink r:id="rId841" ref="Q817"/>
    <hyperlink r:id="rId842" ref="K818"/>
    <hyperlink r:id="rId843" ref="Q818"/>
    <hyperlink r:id="rId844" ref="Q819"/>
    <hyperlink r:id="rId845" ref="Q820"/>
    <hyperlink r:id="rId846" ref="Q821"/>
    <hyperlink r:id="rId847" ref="Q822"/>
    <hyperlink r:id="rId848" ref="Q823"/>
    <hyperlink r:id="rId849" ref="Q824"/>
    <hyperlink r:id="rId850" ref="Q825"/>
    <hyperlink r:id="rId851" ref="Q826"/>
    <hyperlink r:id="rId852" ref="Q827"/>
    <hyperlink r:id="rId853" ref="Q828"/>
    <hyperlink r:id="rId854" ref="Q829"/>
    <hyperlink r:id="rId855" ref="Q830"/>
    <hyperlink r:id="rId856" ref="Q831"/>
    <hyperlink r:id="rId857" ref="Q832"/>
    <hyperlink r:id="rId858" ref="Q833"/>
    <hyperlink r:id="rId859" ref="Q834"/>
    <hyperlink r:id="rId860" ref="Q835"/>
    <hyperlink r:id="rId861" ref="Q836"/>
    <hyperlink r:id="rId862" ref="Q837"/>
    <hyperlink r:id="rId863" ref="Q838"/>
    <hyperlink r:id="rId864" ref="Q839"/>
    <hyperlink r:id="rId865" ref="Q840"/>
    <hyperlink r:id="rId866" ref="Q841"/>
    <hyperlink r:id="rId867" ref="Q842"/>
    <hyperlink r:id="rId868" ref="Q843"/>
    <hyperlink r:id="rId869" ref="Q844"/>
    <hyperlink r:id="rId870" ref="Q845"/>
    <hyperlink r:id="rId871" ref="Q846"/>
    <hyperlink r:id="rId872" ref="Q847"/>
    <hyperlink r:id="rId873" ref="Q848"/>
    <hyperlink r:id="rId874" ref="Q849"/>
    <hyperlink r:id="rId875" ref="Q850"/>
    <hyperlink r:id="rId876" ref="Q851"/>
    <hyperlink r:id="rId877" ref="Q852"/>
    <hyperlink r:id="rId878" ref="Q853"/>
    <hyperlink r:id="rId879" ref="Q854"/>
    <hyperlink r:id="rId880" ref="Q855"/>
    <hyperlink r:id="rId881" ref="Q856"/>
    <hyperlink r:id="rId882" ref="Q857"/>
    <hyperlink r:id="rId883" ref="Q858"/>
    <hyperlink r:id="rId884" ref="Q859"/>
    <hyperlink r:id="rId885" ref="Q860"/>
    <hyperlink r:id="rId886" ref="Q861"/>
    <hyperlink r:id="rId887" ref="Q862"/>
    <hyperlink r:id="rId888" ref="Q863"/>
    <hyperlink r:id="rId889" ref="Q864"/>
    <hyperlink r:id="rId890" ref="Q865"/>
    <hyperlink r:id="rId891" ref="Q866"/>
    <hyperlink r:id="rId892" ref="Q867"/>
    <hyperlink r:id="rId893" ref="Q868"/>
    <hyperlink r:id="rId894" ref="Q869"/>
    <hyperlink r:id="rId895" ref="Q870"/>
    <hyperlink r:id="rId896" ref="Q871"/>
    <hyperlink r:id="rId897" ref="Q872"/>
    <hyperlink r:id="rId898" ref="Q873"/>
    <hyperlink r:id="rId899" ref="Q874"/>
    <hyperlink r:id="rId900" ref="Q875"/>
    <hyperlink r:id="rId901" ref="Q876"/>
    <hyperlink r:id="rId902" ref="Q877"/>
    <hyperlink r:id="rId903" ref="Q878"/>
    <hyperlink r:id="rId904" ref="Q879"/>
    <hyperlink r:id="rId905" ref="Q880"/>
    <hyperlink r:id="rId906" ref="Q881"/>
    <hyperlink r:id="rId907" ref="Q882"/>
    <hyperlink r:id="rId908" ref="Q883"/>
    <hyperlink r:id="rId909" ref="Q884"/>
    <hyperlink r:id="rId910" ref="Q885"/>
    <hyperlink r:id="rId911" ref="Q886"/>
    <hyperlink r:id="rId912" ref="Q887"/>
    <hyperlink r:id="rId913" ref="Q888"/>
    <hyperlink r:id="rId914" ref="Q889"/>
    <hyperlink r:id="rId915" ref="Q890"/>
    <hyperlink r:id="rId916" ref="Q891"/>
    <hyperlink r:id="rId917" ref="Q892"/>
    <hyperlink r:id="rId918" ref="Q893"/>
    <hyperlink r:id="rId919" ref="Q894"/>
    <hyperlink r:id="rId920" ref="Q895"/>
    <hyperlink r:id="rId921" ref="Q896"/>
    <hyperlink r:id="rId922" ref="Q897"/>
    <hyperlink r:id="rId923" ref="Q898"/>
    <hyperlink r:id="rId924" ref="Q899"/>
    <hyperlink r:id="rId925" ref="Q900"/>
    <hyperlink r:id="rId926" ref="Q901"/>
    <hyperlink r:id="rId927" ref="Q902"/>
    <hyperlink r:id="rId928" ref="Q903"/>
    <hyperlink r:id="rId929" ref="Q904"/>
    <hyperlink r:id="rId930" ref="Q905"/>
    <hyperlink r:id="rId931" ref="Q906"/>
    <hyperlink r:id="rId932" ref="Q907"/>
    <hyperlink r:id="rId933" ref="Q908"/>
    <hyperlink r:id="rId934" ref="Q909"/>
    <hyperlink r:id="rId935" ref="Q910"/>
    <hyperlink r:id="rId936" ref="Q911"/>
    <hyperlink r:id="rId937" ref="Q912"/>
    <hyperlink r:id="rId938" ref="Q913"/>
    <hyperlink r:id="rId939" ref="Q914"/>
    <hyperlink r:id="rId940" ref="Q915"/>
    <hyperlink r:id="rId941" ref="Q916"/>
    <hyperlink r:id="rId942" ref="Q917"/>
    <hyperlink r:id="rId943" ref="Q918"/>
    <hyperlink r:id="rId944" ref="Q919"/>
    <hyperlink r:id="rId945" ref="Q920"/>
    <hyperlink r:id="rId946" ref="K921"/>
    <hyperlink r:id="rId947" ref="Q921"/>
    <hyperlink r:id="rId948" ref="K922"/>
    <hyperlink r:id="rId949" ref="Q922"/>
    <hyperlink r:id="rId950" ref="Q923"/>
    <hyperlink r:id="rId951" ref="Q924"/>
    <hyperlink r:id="rId952" ref="Q925"/>
    <hyperlink r:id="rId953" ref="Q926"/>
    <hyperlink r:id="rId954" ref="Q927"/>
    <hyperlink r:id="rId955" ref="K928"/>
    <hyperlink r:id="rId956" ref="Q928"/>
    <hyperlink r:id="rId957" ref="Q929"/>
    <hyperlink r:id="rId958" ref="Q930"/>
    <hyperlink r:id="rId959" ref="K931"/>
    <hyperlink r:id="rId960" ref="Q931"/>
    <hyperlink r:id="rId961" ref="Q932"/>
    <hyperlink r:id="rId962" ref="Q933"/>
    <hyperlink r:id="rId963" ref="Q934"/>
    <hyperlink r:id="rId964" ref="Q935"/>
    <hyperlink r:id="rId965" ref="Q936"/>
    <hyperlink r:id="rId966" ref="K937"/>
    <hyperlink r:id="rId967" ref="Q937"/>
    <hyperlink r:id="rId968" ref="Q938"/>
    <hyperlink r:id="rId969" ref="Q939"/>
    <hyperlink r:id="rId970" ref="Q940"/>
    <hyperlink r:id="rId971" ref="Q941"/>
    <hyperlink r:id="rId972" ref="Q942"/>
    <hyperlink r:id="rId973" ref="Q943"/>
    <hyperlink r:id="rId974" ref="Q944"/>
    <hyperlink r:id="rId975" ref="Q945"/>
    <hyperlink r:id="rId976" ref="Q946"/>
    <hyperlink r:id="rId977" ref="Q947"/>
    <hyperlink r:id="rId978" ref="Q948"/>
    <hyperlink r:id="rId979" ref="Q949"/>
    <hyperlink r:id="rId980" ref="Q950"/>
    <hyperlink r:id="rId981" ref="Q951"/>
    <hyperlink r:id="rId982" ref="Q952"/>
    <hyperlink r:id="rId983" ref="Q953"/>
    <hyperlink r:id="rId984" ref="Q954"/>
    <hyperlink r:id="rId985" ref="Q955"/>
    <hyperlink r:id="rId986" ref="Q956"/>
    <hyperlink r:id="rId987" ref="Q957"/>
    <hyperlink r:id="rId988" ref="Q958"/>
    <hyperlink r:id="rId989" ref="Q959"/>
    <hyperlink r:id="rId990" ref="Q960"/>
    <hyperlink r:id="rId991" ref="Q961"/>
    <hyperlink r:id="rId992" ref="Q962"/>
    <hyperlink r:id="rId993" ref="Q963"/>
    <hyperlink r:id="rId994" ref="Q964"/>
    <hyperlink r:id="rId995" ref="Q965"/>
    <hyperlink r:id="rId996" ref="Q966"/>
    <hyperlink r:id="rId997" ref="Q967"/>
    <hyperlink r:id="rId998" ref="K968"/>
    <hyperlink r:id="rId999" ref="Q968"/>
    <hyperlink r:id="rId1000" ref="Q969"/>
    <hyperlink r:id="rId1001" ref="Q970"/>
    <hyperlink r:id="rId1002" ref="Q971"/>
    <hyperlink r:id="rId1003" ref="Q972"/>
    <hyperlink r:id="rId1004" ref="Q973"/>
    <hyperlink r:id="rId1005" ref="Q974"/>
    <hyperlink r:id="rId1006" ref="Q975"/>
    <hyperlink r:id="rId1007" ref="Q976"/>
    <hyperlink r:id="rId1008" ref="Q977"/>
    <hyperlink r:id="rId1009" ref="K978"/>
    <hyperlink r:id="rId1010" ref="Q978"/>
    <hyperlink r:id="rId1011" ref="Q979"/>
    <hyperlink r:id="rId1012" ref="Q980"/>
    <hyperlink r:id="rId1013" ref="Q981"/>
    <hyperlink r:id="rId1014" ref="Q982"/>
    <hyperlink r:id="rId1015" ref="Q983"/>
    <hyperlink r:id="rId1016" ref="Q984"/>
    <hyperlink r:id="rId1017" ref="Q985"/>
    <hyperlink r:id="rId1018" ref="Q986"/>
    <hyperlink r:id="rId1019" ref="Q987"/>
    <hyperlink r:id="rId1020" ref="Q988"/>
    <hyperlink r:id="rId1021" ref="Q989"/>
    <hyperlink r:id="rId1022" ref="Q990"/>
    <hyperlink r:id="rId1023" ref="Q991"/>
    <hyperlink r:id="rId1024" ref="Q992"/>
    <hyperlink r:id="rId1025" ref="Q993"/>
    <hyperlink r:id="rId1026" ref="Q994"/>
    <hyperlink r:id="rId1027" ref="Q995"/>
    <hyperlink r:id="rId1028" ref="Q996"/>
    <hyperlink r:id="rId1029" ref="Q997"/>
    <hyperlink r:id="rId1030" ref="Q998"/>
    <hyperlink r:id="rId1031" ref="Q999"/>
    <hyperlink r:id="rId1032" ref="Q1000"/>
    <hyperlink r:id="rId1033" ref="Q1001"/>
    <hyperlink r:id="rId1034" ref="Q1002"/>
    <hyperlink r:id="rId1035" ref="Q1003"/>
    <hyperlink r:id="rId1036" ref="Q1004"/>
    <hyperlink r:id="rId1037" ref="Q1005"/>
    <hyperlink r:id="rId1038" ref="Q1006"/>
    <hyperlink r:id="rId1039" ref="Q1007"/>
    <hyperlink r:id="rId1040" ref="Q1008"/>
    <hyperlink r:id="rId1041" ref="Q1009"/>
    <hyperlink r:id="rId1042" ref="Q1010"/>
    <hyperlink r:id="rId1043" ref="Q1011"/>
    <hyperlink r:id="rId1044" ref="K1012"/>
    <hyperlink r:id="rId1045" ref="Q1012"/>
    <hyperlink r:id="rId1046" ref="Q1013"/>
    <hyperlink r:id="rId1047" ref="Q1014"/>
    <hyperlink r:id="rId1048" ref="Q1015"/>
    <hyperlink r:id="rId1049" ref="Q1016"/>
    <hyperlink r:id="rId1050" ref="Q1017"/>
    <hyperlink r:id="rId1051" ref="Q1018"/>
    <hyperlink r:id="rId1052" ref="Q1019"/>
    <hyperlink r:id="rId1053" ref="Q1020"/>
    <hyperlink r:id="rId1054" ref="Q1021"/>
    <hyperlink r:id="rId1055" ref="Q1022"/>
    <hyperlink r:id="rId1056" ref="Q1023"/>
    <hyperlink r:id="rId1057" ref="Q1024"/>
    <hyperlink r:id="rId1058" ref="Q1025"/>
    <hyperlink r:id="rId1059" ref="Q1026"/>
    <hyperlink r:id="rId1060" ref="Q1027"/>
    <hyperlink r:id="rId1061" ref="K1028"/>
    <hyperlink r:id="rId1062" ref="Q1028"/>
    <hyperlink r:id="rId1063" ref="Q1029"/>
    <hyperlink r:id="rId1064" ref="Q1030"/>
    <hyperlink r:id="rId1065" ref="K1031"/>
    <hyperlink r:id="rId1066" ref="Q1031"/>
    <hyperlink r:id="rId1067" ref="Q1032"/>
    <hyperlink r:id="rId1068" ref="Q1033"/>
    <hyperlink r:id="rId1069" ref="Q1034"/>
    <hyperlink r:id="rId1070" ref="Q1035"/>
    <hyperlink r:id="rId1071" ref="Q1036"/>
    <hyperlink r:id="rId1072" ref="K1037"/>
    <hyperlink r:id="rId1073" ref="Q1037"/>
    <hyperlink r:id="rId1074" ref="Q1038"/>
    <hyperlink r:id="rId1075" ref="Q1039"/>
    <hyperlink r:id="rId1076" ref="K1040"/>
    <hyperlink r:id="rId1077" ref="Q1040"/>
    <hyperlink r:id="rId1078" ref="Q1041"/>
    <hyperlink r:id="rId1079" ref="Q1042"/>
    <hyperlink r:id="rId1080" ref="Q1043"/>
    <hyperlink r:id="rId1081" ref="Q1044"/>
    <hyperlink r:id="rId1082" ref="Q1045"/>
    <hyperlink r:id="rId1083" ref="Q1046"/>
    <hyperlink r:id="rId1084" ref="Q1047"/>
    <hyperlink r:id="rId1085" ref="Q1048"/>
    <hyperlink r:id="rId1086" ref="Q1049"/>
    <hyperlink r:id="rId1087" ref="Q1050"/>
    <hyperlink r:id="rId1088" ref="Q1051"/>
    <hyperlink r:id="rId1089" ref="Q1052"/>
    <hyperlink r:id="rId1090" ref="Q1053"/>
    <hyperlink r:id="rId1091" ref="K1054"/>
    <hyperlink r:id="rId1092" ref="Q1054"/>
    <hyperlink r:id="rId1093" ref="Q1055"/>
    <hyperlink r:id="rId1094" ref="Q1056"/>
    <hyperlink r:id="rId1095" ref="Q1057"/>
    <hyperlink r:id="rId1096" ref="Q1058"/>
    <hyperlink r:id="rId1097" ref="Q1059"/>
    <hyperlink r:id="rId1098" ref="Q1060"/>
    <hyperlink r:id="rId1099" ref="Q1061"/>
    <hyperlink r:id="rId1100" ref="Q1062"/>
    <hyperlink r:id="rId1101" ref="Q1063"/>
    <hyperlink r:id="rId1102" ref="Q1064"/>
    <hyperlink r:id="rId1103" ref="Q1065"/>
    <hyperlink r:id="rId1104" ref="K1066"/>
    <hyperlink r:id="rId1105" ref="Q1066"/>
    <hyperlink r:id="rId1106" ref="Q1067"/>
    <hyperlink r:id="rId1107" ref="K1068"/>
    <hyperlink r:id="rId1108" ref="Q1068"/>
    <hyperlink r:id="rId1109" ref="Q1069"/>
    <hyperlink r:id="rId1110" ref="Q1070"/>
    <hyperlink r:id="rId1111" ref="Q1071"/>
    <hyperlink r:id="rId1112" ref="Q1072"/>
    <hyperlink r:id="rId1113" ref="Q1073"/>
    <hyperlink r:id="rId1114" ref="Q1074"/>
    <hyperlink r:id="rId1115" ref="Q1075"/>
    <hyperlink r:id="rId1116" ref="Q1076"/>
    <hyperlink r:id="rId1117" ref="Q1077"/>
    <hyperlink r:id="rId1118" ref="Q1078"/>
    <hyperlink r:id="rId1119" ref="Q1079"/>
    <hyperlink r:id="rId1120" ref="Q1080"/>
    <hyperlink r:id="rId1121" ref="Q1081"/>
    <hyperlink r:id="rId1122" ref="Q1082"/>
    <hyperlink r:id="rId1123" ref="Q1083"/>
    <hyperlink r:id="rId1124" ref="Q1084"/>
    <hyperlink r:id="rId1125" ref="Q1085"/>
    <hyperlink r:id="rId1126" ref="Q1086"/>
    <hyperlink r:id="rId1127" ref="Q1087"/>
    <hyperlink r:id="rId1128" ref="Q1088"/>
    <hyperlink r:id="rId1129" ref="Q1089"/>
    <hyperlink r:id="rId1130" ref="Q1090"/>
    <hyperlink r:id="rId1131" ref="Q1091"/>
    <hyperlink r:id="rId1132" ref="Q1092"/>
    <hyperlink r:id="rId1133" ref="Q1093"/>
    <hyperlink r:id="rId1134" ref="Q1094"/>
    <hyperlink r:id="rId1135" ref="Q1095"/>
    <hyperlink r:id="rId1136" ref="Q1096"/>
    <hyperlink r:id="rId1137" ref="Q1097"/>
    <hyperlink r:id="rId1138" ref="Q1098"/>
    <hyperlink r:id="rId1139" ref="Q1099"/>
    <hyperlink r:id="rId1140" ref="Q1100"/>
    <hyperlink r:id="rId1141" ref="Q1101"/>
    <hyperlink r:id="rId1142" ref="Q1102"/>
    <hyperlink r:id="rId1143" ref="Q1103"/>
    <hyperlink r:id="rId1144" ref="Q1104"/>
    <hyperlink r:id="rId1145" ref="K1105"/>
    <hyperlink r:id="rId1146" ref="Q1105"/>
    <hyperlink r:id="rId1147" ref="Q1106"/>
    <hyperlink r:id="rId1148" ref="Q1107"/>
    <hyperlink r:id="rId1149" ref="Q1108"/>
    <hyperlink r:id="rId1150" ref="Q1109"/>
    <hyperlink r:id="rId1151" ref="Q1110"/>
    <hyperlink r:id="rId1152" ref="Q1111"/>
    <hyperlink r:id="rId1153" ref="Q1112"/>
    <hyperlink r:id="rId1154" ref="Q1113"/>
    <hyperlink r:id="rId1155" ref="Q1114"/>
    <hyperlink r:id="rId1156" ref="Q1115"/>
    <hyperlink r:id="rId1157" ref="Q1116"/>
    <hyperlink r:id="rId1158" ref="Q1117"/>
    <hyperlink r:id="rId1159" ref="Q1118"/>
    <hyperlink r:id="rId1160" ref="Q1119"/>
    <hyperlink r:id="rId1161" ref="Q1120"/>
    <hyperlink r:id="rId1162" ref="Q1121"/>
    <hyperlink r:id="rId1163" ref="Q1122"/>
    <hyperlink r:id="rId1164" ref="Q1123"/>
    <hyperlink r:id="rId1165" ref="Q1124"/>
    <hyperlink r:id="rId1166" ref="Q1125"/>
    <hyperlink r:id="rId1167" ref="Q1126"/>
    <hyperlink r:id="rId1168" ref="Q1127"/>
    <hyperlink r:id="rId1169" ref="Q1128"/>
    <hyperlink r:id="rId1170" ref="Q1129"/>
    <hyperlink r:id="rId1171" ref="Q1130"/>
    <hyperlink r:id="rId1172" ref="Q1131"/>
    <hyperlink r:id="rId1173" ref="Q1132"/>
    <hyperlink r:id="rId1174" ref="Q1133"/>
    <hyperlink r:id="rId1175" ref="Q1134"/>
    <hyperlink r:id="rId1176" ref="Q1135"/>
    <hyperlink r:id="rId1177" ref="Q1136"/>
    <hyperlink r:id="rId1178" ref="Q1137"/>
    <hyperlink r:id="rId1179" ref="Q1138"/>
    <hyperlink r:id="rId1180" ref="Q1139"/>
    <hyperlink r:id="rId1181" ref="Q1140"/>
    <hyperlink r:id="rId1182" ref="Q1141"/>
    <hyperlink r:id="rId1183" ref="Q1142"/>
    <hyperlink r:id="rId1184" ref="Q1143"/>
    <hyperlink r:id="rId1185" ref="Q1144"/>
    <hyperlink r:id="rId1186" ref="Q1145"/>
    <hyperlink r:id="rId1187" ref="Q1146"/>
    <hyperlink r:id="rId1188" ref="Q1147"/>
    <hyperlink r:id="rId1189" ref="Q1148"/>
    <hyperlink r:id="rId1190" ref="Q1149"/>
    <hyperlink r:id="rId1191" ref="K1150"/>
    <hyperlink r:id="rId1192" ref="Q1150"/>
    <hyperlink r:id="rId1193" ref="Q1151"/>
    <hyperlink r:id="rId1194" ref="Q1152"/>
    <hyperlink r:id="rId1195" ref="Q1153"/>
    <hyperlink r:id="rId1196" ref="Q1154"/>
    <hyperlink r:id="rId1197" ref="Q1155"/>
    <hyperlink r:id="rId1198" ref="Q1156"/>
    <hyperlink r:id="rId1199" ref="Q1157"/>
    <hyperlink r:id="rId1200" ref="Q1158"/>
    <hyperlink r:id="rId1201" ref="Q1159"/>
    <hyperlink r:id="rId1202" ref="Q1160"/>
    <hyperlink r:id="rId1203" ref="Q1161"/>
    <hyperlink r:id="rId1204" ref="Q1162"/>
    <hyperlink r:id="rId1205" ref="Q1163"/>
    <hyperlink r:id="rId1206" ref="Q1164"/>
    <hyperlink r:id="rId1207" ref="Q1165"/>
    <hyperlink r:id="rId1208" ref="Q1166"/>
    <hyperlink r:id="rId1209" ref="Q1167"/>
    <hyperlink r:id="rId1210" ref="Q1168"/>
    <hyperlink r:id="rId1211" ref="Q1169"/>
    <hyperlink r:id="rId1212" ref="Q1170"/>
    <hyperlink r:id="rId1213" ref="Q1171"/>
    <hyperlink r:id="rId1214" ref="Q1172"/>
    <hyperlink r:id="rId1215" ref="Q1173"/>
    <hyperlink r:id="rId1216" ref="Q1174"/>
    <hyperlink r:id="rId1217" ref="Q1175"/>
    <hyperlink r:id="rId1218" ref="Q1176"/>
    <hyperlink r:id="rId1219" ref="Q1177"/>
    <hyperlink r:id="rId1220" ref="Q1178"/>
    <hyperlink r:id="rId1221" ref="Q1179"/>
    <hyperlink r:id="rId1222" ref="Q1180"/>
    <hyperlink r:id="rId1223" ref="Q1181"/>
    <hyperlink r:id="rId1224" ref="Q1182"/>
    <hyperlink r:id="rId1225" ref="Q1183"/>
    <hyperlink r:id="rId1226" ref="Q1184"/>
    <hyperlink r:id="rId1227" ref="Q1185"/>
    <hyperlink r:id="rId1228" ref="Q1186"/>
    <hyperlink r:id="rId1229" ref="Q1187"/>
    <hyperlink r:id="rId1230" ref="Q1188"/>
    <hyperlink r:id="rId1231" ref="Q1189"/>
    <hyperlink r:id="rId1232" ref="Q1190"/>
    <hyperlink r:id="rId1233" ref="Q1191"/>
    <hyperlink r:id="rId1234" ref="Q1192"/>
    <hyperlink r:id="rId1235" ref="Q1193"/>
    <hyperlink r:id="rId1236" ref="Q1194"/>
    <hyperlink r:id="rId1237" ref="Q1195"/>
    <hyperlink r:id="rId1238" ref="Q1196"/>
    <hyperlink r:id="rId1239" ref="Q1197"/>
    <hyperlink r:id="rId1240" ref="Q1198"/>
    <hyperlink r:id="rId1241" ref="Q1199"/>
    <hyperlink r:id="rId1242" ref="Q1200"/>
    <hyperlink r:id="rId1243" ref="Q1201"/>
    <hyperlink r:id="rId1244" ref="Q1202"/>
    <hyperlink r:id="rId1245" ref="Q1203"/>
    <hyperlink r:id="rId1246" ref="Q1204"/>
    <hyperlink r:id="rId1247" ref="Q1205"/>
    <hyperlink r:id="rId1248" ref="Q1206"/>
    <hyperlink r:id="rId1249" ref="Q1207"/>
    <hyperlink r:id="rId1250" ref="Q1208"/>
    <hyperlink r:id="rId1251" ref="Q1209"/>
    <hyperlink r:id="rId1252" ref="Q1210"/>
    <hyperlink r:id="rId1253" ref="Q1211"/>
    <hyperlink r:id="rId1254" ref="Q1212"/>
    <hyperlink r:id="rId1255" ref="Q1213"/>
    <hyperlink r:id="rId1256" ref="Q1214"/>
    <hyperlink r:id="rId1257" ref="Q1215"/>
    <hyperlink r:id="rId1258" ref="Q1216"/>
    <hyperlink r:id="rId1259" ref="Q1217"/>
    <hyperlink r:id="rId1260" ref="Q1218"/>
    <hyperlink r:id="rId1261" ref="Q1219"/>
    <hyperlink r:id="rId1262" ref="Q1220"/>
    <hyperlink r:id="rId1263" ref="Q1221"/>
    <hyperlink r:id="rId1264" ref="Q1222"/>
    <hyperlink r:id="rId1265" ref="Q1223"/>
    <hyperlink r:id="rId1266" ref="Q1224"/>
    <hyperlink r:id="rId1267" ref="Q1225"/>
    <hyperlink r:id="rId1268" ref="Q1226"/>
    <hyperlink r:id="rId1269" ref="Q1227"/>
    <hyperlink r:id="rId1270" ref="Q1228"/>
    <hyperlink r:id="rId1271" ref="Q1229"/>
    <hyperlink r:id="rId1272" ref="Q1230"/>
    <hyperlink r:id="rId1273" ref="Q1231"/>
    <hyperlink r:id="rId1274" ref="Q1232"/>
    <hyperlink r:id="rId1275" ref="Q1233"/>
    <hyperlink r:id="rId1276" ref="Q1234"/>
    <hyperlink r:id="rId1277" ref="Q1235"/>
    <hyperlink r:id="rId1278" ref="Q1236"/>
    <hyperlink r:id="rId1279" ref="Q1237"/>
    <hyperlink r:id="rId1280" ref="Q1238"/>
    <hyperlink r:id="rId1281" ref="Q1239"/>
    <hyperlink r:id="rId1282" ref="Q1240"/>
    <hyperlink r:id="rId1283" ref="Q1241"/>
    <hyperlink r:id="rId1284" ref="Q1242"/>
    <hyperlink r:id="rId1285" ref="Q1243"/>
    <hyperlink r:id="rId1286" ref="Q1244"/>
    <hyperlink r:id="rId1287" ref="Q1245"/>
    <hyperlink r:id="rId1288" ref="Q1246"/>
    <hyperlink r:id="rId1289" ref="Q1247"/>
    <hyperlink r:id="rId1290" ref="Q1248"/>
    <hyperlink r:id="rId1291" ref="Q1249"/>
    <hyperlink r:id="rId1292" ref="Q1250"/>
    <hyperlink r:id="rId1293" ref="Q1251"/>
    <hyperlink r:id="rId1294" ref="Q1252"/>
    <hyperlink r:id="rId1295" ref="Q1253"/>
    <hyperlink r:id="rId1296" ref="Q1254"/>
    <hyperlink r:id="rId1297" ref="Q1255"/>
    <hyperlink r:id="rId1298" ref="Q1256"/>
    <hyperlink r:id="rId1299" ref="Q1257"/>
    <hyperlink r:id="rId1300" ref="Q1258"/>
    <hyperlink r:id="rId1301" ref="Q1259"/>
    <hyperlink r:id="rId1302" ref="Q1260"/>
    <hyperlink r:id="rId1303" ref="Q1261"/>
    <hyperlink r:id="rId1304" ref="Q1262"/>
    <hyperlink r:id="rId1305" ref="Q1263"/>
    <hyperlink r:id="rId1306" ref="Q1264"/>
    <hyperlink r:id="rId1307" ref="Q1265"/>
    <hyperlink r:id="rId1308" ref="Q1266"/>
    <hyperlink r:id="rId1309" ref="Q1267"/>
    <hyperlink r:id="rId1310" ref="Q1268"/>
    <hyperlink r:id="rId1311" ref="Q1269"/>
    <hyperlink r:id="rId1312" ref="Q1270"/>
    <hyperlink r:id="rId1313" ref="Q1271"/>
    <hyperlink r:id="rId1314" ref="Q1272"/>
    <hyperlink r:id="rId1315" ref="Q1273"/>
    <hyperlink r:id="rId1316" ref="Q1274"/>
    <hyperlink r:id="rId1317" ref="Q1275"/>
    <hyperlink r:id="rId1318" ref="Q1276"/>
    <hyperlink r:id="rId1319" ref="Q1277"/>
    <hyperlink r:id="rId1320" ref="Q1278"/>
    <hyperlink r:id="rId1321" ref="Q1279"/>
    <hyperlink r:id="rId1322" ref="Q1280"/>
    <hyperlink r:id="rId1323" ref="Q1281"/>
    <hyperlink r:id="rId1324" ref="Q1282"/>
    <hyperlink r:id="rId1325" ref="Q1283"/>
    <hyperlink r:id="rId1326" ref="Q1284"/>
    <hyperlink r:id="rId1327" ref="Q1285"/>
    <hyperlink r:id="rId1328" ref="Q1286"/>
    <hyperlink r:id="rId1329" ref="Q1287"/>
    <hyperlink r:id="rId1330" ref="Q1288"/>
    <hyperlink r:id="rId1331" ref="Q1289"/>
    <hyperlink r:id="rId1332" ref="Q1290"/>
    <hyperlink r:id="rId1333" ref="Q1291"/>
    <hyperlink r:id="rId1334" ref="Q1292"/>
    <hyperlink r:id="rId1335" ref="Q1293"/>
    <hyperlink r:id="rId1336" ref="K1294"/>
    <hyperlink r:id="rId1337" ref="Q1294"/>
    <hyperlink r:id="rId1338" ref="Q1295"/>
    <hyperlink r:id="rId1339" ref="Q1296"/>
    <hyperlink r:id="rId1340" ref="Q1297"/>
    <hyperlink r:id="rId1341" ref="Q1298"/>
    <hyperlink r:id="rId1342" ref="Q1299"/>
    <hyperlink r:id="rId1343" ref="K1300"/>
    <hyperlink r:id="rId1344" ref="Q1300"/>
    <hyperlink r:id="rId1345" ref="Q1301"/>
    <hyperlink r:id="rId1346" ref="Q1302"/>
    <hyperlink r:id="rId1347" ref="Q1303"/>
    <hyperlink r:id="rId1348" ref="Q1304"/>
    <hyperlink r:id="rId1349" ref="Q1305"/>
    <hyperlink r:id="rId1350" ref="Q1306"/>
    <hyperlink r:id="rId1351" ref="Q1307"/>
    <hyperlink r:id="rId1352" ref="Q1308"/>
    <hyperlink r:id="rId1353" ref="Q1309"/>
    <hyperlink r:id="rId1354" ref="Q1310"/>
    <hyperlink r:id="rId1355" ref="Q1311"/>
    <hyperlink r:id="rId1356" ref="Q1312"/>
    <hyperlink r:id="rId1357" ref="Q1313"/>
    <hyperlink r:id="rId1358" ref="Q1314"/>
    <hyperlink r:id="rId1359" ref="Q1315"/>
    <hyperlink r:id="rId1360" ref="Q1316"/>
    <hyperlink r:id="rId1361" ref="Q1317"/>
    <hyperlink r:id="rId1362" ref="Q1318"/>
    <hyperlink r:id="rId1363" ref="Q1319"/>
    <hyperlink r:id="rId1364" ref="Q1320"/>
    <hyperlink r:id="rId1365" ref="Q1321"/>
    <hyperlink r:id="rId1366" ref="Q1322"/>
    <hyperlink r:id="rId1367" ref="Q1323"/>
    <hyperlink r:id="rId1368" ref="Q1324"/>
    <hyperlink r:id="rId1369" ref="Q1325"/>
    <hyperlink r:id="rId1370" ref="Q1326"/>
    <hyperlink r:id="rId1371" ref="Q1327"/>
    <hyperlink r:id="rId1372" ref="Q1328"/>
    <hyperlink r:id="rId1373" ref="Q1329"/>
    <hyperlink r:id="rId1374" ref="Q1330"/>
    <hyperlink r:id="rId1375" ref="Q1331"/>
    <hyperlink r:id="rId1376" ref="Q1332"/>
    <hyperlink r:id="rId1377" ref="Q1333"/>
    <hyperlink r:id="rId1378" ref="Q1334"/>
    <hyperlink r:id="rId1379" ref="Q1335"/>
    <hyperlink r:id="rId1380" ref="Q1336"/>
    <hyperlink r:id="rId1381" ref="Q1337"/>
    <hyperlink r:id="rId1382" ref="Q1338"/>
    <hyperlink r:id="rId1383" ref="Q1339"/>
    <hyperlink r:id="rId1384" ref="Q1340"/>
    <hyperlink r:id="rId1385" ref="Q1341"/>
    <hyperlink r:id="rId1386" ref="Q1342"/>
    <hyperlink r:id="rId1387" ref="Q1343"/>
    <hyperlink r:id="rId1388" ref="Q1344"/>
    <hyperlink r:id="rId1389" ref="Q1345"/>
    <hyperlink r:id="rId1390" ref="Q1346"/>
    <hyperlink r:id="rId1391" ref="Q1347"/>
    <hyperlink r:id="rId1392" ref="Q1348"/>
    <hyperlink r:id="rId1393" ref="Q1349"/>
    <hyperlink r:id="rId1394" ref="Q1350"/>
    <hyperlink r:id="rId1395" ref="Q1351"/>
    <hyperlink r:id="rId1396" ref="Q1352"/>
    <hyperlink r:id="rId1397" ref="Q1353"/>
    <hyperlink r:id="rId1398" ref="Q1354"/>
    <hyperlink r:id="rId1399" ref="Q1355"/>
    <hyperlink r:id="rId1400" ref="Q1356"/>
    <hyperlink r:id="rId1401" ref="Q1357"/>
    <hyperlink r:id="rId1402" ref="Q1358"/>
    <hyperlink r:id="rId1403" ref="Q1359"/>
    <hyperlink r:id="rId1404" ref="Q1360"/>
    <hyperlink r:id="rId1405" ref="Q1361"/>
    <hyperlink r:id="rId1406" ref="Q1362"/>
    <hyperlink r:id="rId1407" ref="Q1363"/>
    <hyperlink r:id="rId1408" ref="Q1364"/>
    <hyperlink r:id="rId1409" ref="Q1365"/>
    <hyperlink r:id="rId1410" ref="Q1366"/>
    <hyperlink r:id="rId1411" ref="Q1367"/>
    <hyperlink r:id="rId1412" ref="Q1368"/>
    <hyperlink r:id="rId1413" ref="Q1369"/>
    <hyperlink r:id="rId1414" ref="Q1370"/>
    <hyperlink r:id="rId1415" ref="Q1371"/>
    <hyperlink r:id="rId1416" ref="Q1372"/>
    <hyperlink r:id="rId1417" ref="Q1373"/>
    <hyperlink r:id="rId1418" ref="Q1374"/>
    <hyperlink r:id="rId1419" ref="Q1375"/>
    <hyperlink r:id="rId1420" ref="Q1376"/>
    <hyperlink r:id="rId1421" ref="Q1377"/>
    <hyperlink r:id="rId1422" ref="Q1378"/>
    <hyperlink r:id="rId1423" ref="Q1379"/>
    <hyperlink r:id="rId1424" ref="Q1380"/>
    <hyperlink r:id="rId1425" ref="Q1381"/>
    <hyperlink r:id="rId1426" ref="Q1382"/>
    <hyperlink r:id="rId1427" ref="Q1383"/>
    <hyperlink r:id="rId1428" ref="Q1384"/>
    <hyperlink r:id="rId1429" ref="Q1385"/>
    <hyperlink r:id="rId1430" ref="Q1386"/>
    <hyperlink r:id="rId1431" ref="Q1387"/>
    <hyperlink r:id="rId1432" ref="Q1388"/>
    <hyperlink r:id="rId1433" ref="Q1389"/>
    <hyperlink r:id="rId1434" ref="Q1390"/>
    <hyperlink r:id="rId1435" ref="Q1391"/>
    <hyperlink r:id="rId1436" ref="Q1392"/>
    <hyperlink r:id="rId1437" ref="Q1393"/>
    <hyperlink r:id="rId1438" ref="Q1394"/>
    <hyperlink r:id="rId1439" ref="Q1395"/>
    <hyperlink r:id="rId1440" ref="Q1396"/>
    <hyperlink r:id="rId1441" ref="Q1397"/>
    <hyperlink r:id="rId1442" ref="Q1398"/>
    <hyperlink r:id="rId1443" ref="Q1399"/>
    <hyperlink r:id="rId1444" ref="Q1400"/>
    <hyperlink r:id="rId1445" ref="Q1401"/>
    <hyperlink r:id="rId1446" ref="Q1402"/>
    <hyperlink r:id="rId1447" ref="Q1403"/>
    <hyperlink r:id="rId1448" ref="Q1404"/>
    <hyperlink r:id="rId1449" ref="Q1405"/>
    <hyperlink r:id="rId1450" ref="Q1406"/>
    <hyperlink r:id="rId1451" ref="Q1407"/>
    <hyperlink r:id="rId1452" ref="Q1408"/>
    <hyperlink r:id="rId1453" ref="Q1409"/>
    <hyperlink r:id="rId1454" ref="Q1410"/>
    <hyperlink r:id="rId1455" ref="Q1411"/>
    <hyperlink r:id="rId1456" ref="Q1412"/>
    <hyperlink r:id="rId1457" ref="Q1413"/>
    <hyperlink r:id="rId1458" ref="Q1414"/>
    <hyperlink r:id="rId1459" ref="Q1415"/>
    <hyperlink r:id="rId1460" ref="Q1416"/>
    <hyperlink r:id="rId1461" ref="Q1417"/>
    <hyperlink r:id="rId1462" ref="Q1418"/>
    <hyperlink r:id="rId1463" ref="Q1419"/>
    <hyperlink r:id="rId1464" ref="Q1420"/>
    <hyperlink r:id="rId1465" ref="Q1421"/>
    <hyperlink r:id="rId1466" ref="Q1422"/>
    <hyperlink r:id="rId1467" ref="Q1423"/>
    <hyperlink r:id="rId1468" ref="Q1424"/>
    <hyperlink r:id="rId1469" ref="Q1425"/>
    <hyperlink r:id="rId1470" ref="Q1426"/>
    <hyperlink r:id="rId1471" ref="Q1427"/>
    <hyperlink r:id="rId1472" ref="Q1428"/>
    <hyperlink r:id="rId1473" ref="Q1429"/>
    <hyperlink r:id="rId1474" ref="Q1430"/>
    <hyperlink r:id="rId1475" ref="Q1431"/>
    <hyperlink r:id="rId1476" ref="Q1432"/>
    <hyperlink r:id="rId1477" ref="Q1433"/>
    <hyperlink r:id="rId1478" ref="Q1434"/>
    <hyperlink r:id="rId1479" ref="Q1435"/>
    <hyperlink r:id="rId1480" ref="Q1436"/>
    <hyperlink r:id="rId1481" ref="Q1437"/>
    <hyperlink r:id="rId1482" ref="Q1438"/>
    <hyperlink r:id="rId1483" ref="Q1439"/>
    <hyperlink r:id="rId1484" ref="Q1440"/>
    <hyperlink r:id="rId1485" ref="K1441"/>
    <hyperlink r:id="rId1486" ref="Q1441"/>
    <hyperlink r:id="rId1487" ref="Q1442"/>
    <hyperlink r:id="rId1488" ref="Q1443"/>
    <hyperlink r:id="rId1489" ref="Q1444"/>
    <hyperlink r:id="rId1490" ref="Q1445"/>
    <hyperlink r:id="rId1491" ref="Q1446"/>
    <hyperlink r:id="rId1492" ref="Q1447"/>
    <hyperlink r:id="rId1493" ref="Q1448"/>
    <hyperlink r:id="rId1494" ref="Q1449"/>
    <hyperlink r:id="rId1495" ref="Q1450"/>
    <hyperlink r:id="rId1496" ref="Q1451"/>
    <hyperlink r:id="rId1497" ref="Q1452"/>
    <hyperlink r:id="rId1498" ref="Q1453"/>
    <hyperlink r:id="rId1499" ref="Q1454"/>
    <hyperlink r:id="rId1500" ref="Q1455"/>
    <hyperlink r:id="rId1501" ref="Q1456"/>
    <hyperlink r:id="rId1502" ref="Q1457"/>
    <hyperlink r:id="rId1503" ref="Q1458"/>
    <hyperlink r:id="rId1504" ref="Q1459"/>
    <hyperlink r:id="rId1505" ref="Q1460"/>
    <hyperlink r:id="rId1506" ref="Q1461"/>
    <hyperlink r:id="rId1507" ref="Q1462"/>
    <hyperlink r:id="rId1508" ref="Q1463"/>
    <hyperlink r:id="rId1509" ref="Q1464"/>
    <hyperlink r:id="rId1510" ref="Q1465"/>
    <hyperlink r:id="rId1511" ref="Q1466"/>
    <hyperlink r:id="rId1512" ref="Q1467"/>
    <hyperlink r:id="rId1513" ref="Q1468"/>
    <hyperlink r:id="rId1514" ref="Q1469"/>
    <hyperlink r:id="rId1515" ref="Q1470"/>
    <hyperlink r:id="rId1516" ref="Q1471"/>
    <hyperlink r:id="rId1517" ref="Q1472"/>
    <hyperlink r:id="rId1518" ref="Q1473"/>
    <hyperlink r:id="rId1519" ref="Q1474"/>
    <hyperlink r:id="rId1520" ref="Q1475"/>
    <hyperlink r:id="rId1521" ref="Q1476"/>
    <hyperlink r:id="rId1522" ref="Q1477"/>
    <hyperlink r:id="rId1523" ref="Q1478"/>
    <hyperlink r:id="rId1524" ref="Q1479"/>
    <hyperlink r:id="rId1525" ref="Q1480"/>
    <hyperlink r:id="rId1526" ref="Q1481"/>
    <hyperlink r:id="rId1527" ref="Q1482"/>
    <hyperlink r:id="rId1528" ref="Q1483"/>
    <hyperlink r:id="rId1529" ref="Q1484"/>
    <hyperlink r:id="rId1530" ref="Q1485"/>
    <hyperlink r:id="rId1531" ref="Q1486"/>
    <hyperlink r:id="rId1532" ref="Q1487"/>
    <hyperlink r:id="rId1533" ref="Q1488"/>
    <hyperlink r:id="rId1534" ref="Q1489"/>
    <hyperlink r:id="rId1535" ref="Q1490"/>
    <hyperlink r:id="rId1536" ref="Q1491"/>
    <hyperlink r:id="rId1537" ref="Q1492"/>
    <hyperlink r:id="rId1538" ref="Q1493"/>
    <hyperlink r:id="rId1539" ref="Q1494"/>
    <hyperlink r:id="rId1540" ref="Q1495"/>
    <hyperlink r:id="rId1541" ref="Q1496"/>
    <hyperlink r:id="rId1542" ref="Q1497"/>
    <hyperlink r:id="rId1543" ref="Q1498"/>
    <hyperlink r:id="rId1544" ref="Q1499"/>
    <hyperlink r:id="rId1545" ref="K1500"/>
    <hyperlink r:id="rId1546" ref="Q1500"/>
    <hyperlink r:id="rId1547" ref="Q1501"/>
    <hyperlink r:id="rId1548" ref="Q1502"/>
    <hyperlink r:id="rId1549" ref="Q1503"/>
    <hyperlink r:id="rId1550" ref="Q1504"/>
    <hyperlink r:id="rId1551" ref="Q1505"/>
    <hyperlink r:id="rId1552" ref="K1506"/>
    <hyperlink r:id="rId1553" ref="Q1506"/>
    <hyperlink r:id="rId1554" ref="Q1507"/>
    <hyperlink r:id="rId1555" ref="K1508"/>
    <hyperlink r:id="rId1556" ref="Q1508"/>
    <hyperlink r:id="rId1557" ref="Q1509"/>
    <hyperlink r:id="rId1558" ref="Q1510"/>
    <hyperlink r:id="rId1559" ref="Q1511"/>
    <hyperlink r:id="rId1560" ref="Q1512"/>
    <hyperlink r:id="rId1561" ref="Q1513"/>
    <hyperlink r:id="rId1562" ref="K1514"/>
    <hyperlink r:id="rId1563" ref="Q1514"/>
    <hyperlink r:id="rId1564" ref="Q1515"/>
    <hyperlink r:id="rId1565" ref="Q1516"/>
    <hyperlink r:id="rId1566" ref="Q1517"/>
    <hyperlink r:id="rId1567" ref="Q1518"/>
    <hyperlink r:id="rId1568" ref="Q1519"/>
    <hyperlink r:id="rId1569" ref="Q1520"/>
    <hyperlink r:id="rId1570" ref="Q1521"/>
    <hyperlink r:id="rId1571" ref="Q1522"/>
    <hyperlink r:id="rId1572" ref="Q1523"/>
    <hyperlink r:id="rId1573" ref="Q1524"/>
    <hyperlink r:id="rId1574" ref="Q1525"/>
    <hyperlink r:id="rId1575" ref="Q1526"/>
    <hyperlink r:id="rId1576" ref="Q1527"/>
    <hyperlink r:id="rId1577" ref="Q1528"/>
    <hyperlink r:id="rId1578" ref="Q1529"/>
    <hyperlink r:id="rId1579" ref="Q1530"/>
    <hyperlink r:id="rId1580" ref="Q1531"/>
    <hyperlink r:id="rId1581" ref="Q1532"/>
    <hyperlink r:id="rId1582" ref="Q1533"/>
    <hyperlink r:id="rId1583" ref="Q1534"/>
    <hyperlink r:id="rId1584" ref="Q1535"/>
    <hyperlink r:id="rId1585" ref="Q1536"/>
    <hyperlink r:id="rId1586" ref="Q1537"/>
    <hyperlink r:id="rId1587" ref="Q1538"/>
    <hyperlink r:id="rId1588" ref="Q1539"/>
    <hyperlink r:id="rId1589" ref="Q1540"/>
    <hyperlink r:id="rId1590" ref="Q1541"/>
    <hyperlink r:id="rId1591" ref="Q1542"/>
    <hyperlink r:id="rId1592" ref="Q1543"/>
    <hyperlink r:id="rId1593" ref="Q1544"/>
    <hyperlink r:id="rId1594" ref="Q1545"/>
    <hyperlink r:id="rId1595" ref="Q1546"/>
    <hyperlink r:id="rId1596" ref="Q1547"/>
    <hyperlink r:id="rId1597" ref="Q1548"/>
    <hyperlink r:id="rId1598" ref="Q1549"/>
    <hyperlink r:id="rId1599" ref="Q1550"/>
    <hyperlink r:id="rId1600" ref="Q1551"/>
    <hyperlink r:id="rId1601" ref="Q1552"/>
    <hyperlink r:id="rId1602" ref="Q1553"/>
    <hyperlink r:id="rId1603" ref="Q1554"/>
    <hyperlink r:id="rId1604" ref="Q1555"/>
    <hyperlink r:id="rId1605" ref="Q1556"/>
    <hyperlink r:id="rId1606" ref="Q1557"/>
    <hyperlink r:id="rId1607" ref="Q1558"/>
    <hyperlink r:id="rId1608" ref="Q1559"/>
    <hyperlink r:id="rId1609" ref="Q1560"/>
    <hyperlink r:id="rId1610" ref="Q1561"/>
    <hyperlink r:id="rId1611" ref="Q1562"/>
    <hyperlink r:id="rId1612" ref="Q1563"/>
    <hyperlink r:id="rId1613" ref="Q1564"/>
    <hyperlink r:id="rId1614" ref="Q1565"/>
    <hyperlink r:id="rId1615" ref="Q1566"/>
    <hyperlink r:id="rId1616" ref="Q1567"/>
    <hyperlink r:id="rId1617" ref="Q1568"/>
    <hyperlink r:id="rId1618" ref="Q1569"/>
    <hyperlink r:id="rId1619" ref="Q1570"/>
    <hyperlink r:id="rId1620" ref="Q1571"/>
    <hyperlink r:id="rId1621" ref="Q1572"/>
    <hyperlink r:id="rId1622" ref="Q1573"/>
    <hyperlink r:id="rId1623" ref="Q1574"/>
    <hyperlink r:id="rId1624" ref="Q1575"/>
    <hyperlink r:id="rId1625" ref="Q1576"/>
    <hyperlink r:id="rId1626" ref="Q1577"/>
    <hyperlink r:id="rId1627" ref="Q1578"/>
    <hyperlink r:id="rId1628" ref="Q1579"/>
    <hyperlink r:id="rId1629" ref="Q1580"/>
    <hyperlink r:id="rId1630" ref="Q1581"/>
    <hyperlink r:id="rId1631" ref="Q1582"/>
    <hyperlink r:id="rId1632" ref="Q1583"/>
    <hyperlink r:id="rId1633" ref="Q1584"/>
    <hyperlink r:id="rId1634" ref="Q1585"/>
    <hyperlink r:id="rId1635" ref="Q1586"/>
    <hyperlink r:id="rId1636" ref="Q1587"/>
    <hyperlink r:id="rId1637" ref="Q1588"/>
    <hyperlink r:id="rId1638" ref="Q1589"/>
    <hyperlink r:id="rId1639" ref="Q1590"/>
    <hyperlink r:id="rId1640" ref="Q1591"/>
    <hyperlink r:id="rId1641" ref="Q1592"/>
    <hyperlink r:id="rId1642" ref="Q1593"/>
    <hyperlink r:id="rId1643" ref="Q1594"/>
    <hyperlink r:id="rId1644" ref="Q1595"/>
    <hyperlink r:id="rId1645" ref="Q1596"/>
    <hyperlink r:id="rId1646" ref="Q1597"/>
    <hyperlink r:id="rId1647" ref="Q1598"/>
    <hyperlink r:id="rId1648" ref="Q1599"/>
    <hyperlink r:id="rId1649" ref="Q1600"/>
    <hyperlink r:id="rId1650" ref="Q1601"/>
    <hyperlink r:id="rId1651" ref="Q1602"/>
    <hyperlink r:id="rId1652" ref="K1603"/>
    <hyperlink r:id="rId1653" ref="Q1603"/>
    <hyperlink r:id="rId1654" ref="Q1604"/>
    <hyperlink r:id="rId1655" ref="Q1605"/>
    <hyperlink r:id="rId1656" ref="Q1606"/>
    <hyperlink r:id="rId1657" ref="Q1607"/>
    <hyperlink r:id="rId1658" ref="Q1608"/>
    <hyperlink r:id="rId1659" ref="Q1609"/>
    <hyperlink r:id="rId1660" ref="Q1610"/>
    <hyperlink r:id="rId1661" ref="Q1611"/>
    <hyperlink r:id="rId1662" ref="Q1612"/>
    <hyperlink r:id="rId1663" ref="Q1613"/>
    <hyperlink r:id="rId1664" ref="Q1614"/>
    <hyperlink r:id="rId1665" ref="Q1615"/>
    <hyperlink r:id="rId1666" ref="Q1616"/>
    <hyperlink r:id="rId1667" ref="Q1617"/>
    <hyperlink r:id="rId1668" ref="Q1618"/>
    <hyperlink r:id="rId1669" ref="Q1619"/>
    <hyperlink r:id="rId1670" ref="Q1620"/>
    <hyperlink r:id="rId1671" ref="Q1621"/>
    <hyperlink r:id="rId1672" ref="Q1622"/>
    <hyperlink r:id="rId1673" ref="Q1623"/>
    <hyperlink r:id="rId1674" ref="Q1624"/>
    <hyperlink r:id="rId1675" ref="Q1625"/>
    <hyperlink r:id="rId1676" ref="Q1626"/>
    <hyperlink r:id="rId1677" ref="Q1627"/>
    <hyperlink r:id="rId1678" ref="Q1628"/>
    <hyperlink r:id="rId1679" ref="Q1629"/>
    <hyperlink r:id="rId1680" ref="Q1630"/>
    <hyperlink r:id="rId1681" ref="Q1631"/>
    <hyperlink r:id="rId1682" ref="Q1632"/>
    <hyperlink r:id="rId1683" ref="Q1633"/>
    <hyperlink r:id="rId1684" ref="Q1634"/>
    <hyperlink r:id="rId1685" ref="Q1635"/>
    <hyperlink r:id="rId1686" ref="Q1636"/>
    <hyperlink r:id="rId1687" ref="Q1637"/>
    <hyperlink r:id="rId1688" ref="Q1638"/>
    <hyperlink r:id="rId1689" ref="Q1639"/>
    <hyperlink r:id="rId1690" ref="Q1640"/>
    <hyperlink r:id="rId1691" ref="Q1641"/>
    <hyperlink r:id="rId1692" ref="Q1642"/>
    <hyperlink r:id="rId1693" ref="Q1643"/>
    <hyperlink r:id="rId1694" ref="Q1644"/>
    <hyperlink r:id="rId1695" ref="Q1645"/>
    <hyperlink r:id="rId1696" ref="Q1646"/>
    <hyperlink r:id="rId1697" ref="Q1647"/>
    <hyperlink r:id="rId1698" ref="Q1648"/>
    <hyperlink r:id="rId1699" ref="Q1649"/>
    <hyperlink r:id="rId1700" ref="Q1650"/>
    <hyperlink r:id="rId1701" ref="Q1651"/>
    <hyperlink r:id="rId1702" ref="Q1652"/>
    <hyperlink r:id="rId1703" ref="Q1653"/>
    <hyperlink r:id="rId1704" ref="Q1654"/>
    <hyperlink r:id="rId1705" ref="Q1655"/>
    <hyperlink r:id="rId1706" ref="Q1656"/>
    <hyperlink r:id="rId1707" ref="Q1657"/>
    <hyperlink r:id="rId1708" ref="Q1658"/>
    <hyperlink r:id="rId1709" ref="Q1659"/>
    <hyperlink r:id="rId1710" ref="K1660"/>
    <hyperlink r:id="rId1711" ref="Q1660"/>
    <hyperlink r:id="rId1712" ref="Q1661"/>
    <hyperlink r:id="rId1713" ref="Q1662"/>
    <hyperlink r:id="rId1714" ref="Q1663"/>
    <hyperlink r:id="rId1715" ref="Q1664"/>
    <hyperlink r:id="rId1716" ref="Q1665"/>
    <hyperlink r:id="rId1717" ref="Q1666"/>
    <hyperlink r:id="rId1718" ref="Q1667"/>
    <hyperlink r:id="rId1719" ref="Q1668"/>
    <hyperlink r:id="rId1720" ref="Q1669"/>
    <hyperlink r:id="rId1721" ref="Q1670"/>
    <hyperlink r:id="rId1722" ref="Q1671"/>
    <hyperlink r:id="rId1723" ref="Q1672"/>
    <hyperlink r:id="rId1724" ref="Q1673"/>
    <hyperlink r:id="rId1725" ref="Q1674"/>
    <hyperlink r:id="rId1726" ref="Q1675"/>
    <hyperlink r:id="rId1727" ref="Q1676"/>
    <hyperlink r:id="rId1728" ref="Q1677"/>
    <hyperlink r:id="rId1729" ref="Q1678"/>
    <hyperlink r:id="rId1730" ref="Q1679"/>
    <hyperlink r:id="rId1731" ref="Q1680"/>
    <hyperlink r:id="rId1732" ref="Q1681"/>
    <hyperlink r:id="rId1733" ref="Q1682"/>
    <hyperlink r:id="rId1734" ref="Q1683"/>
    <hyperlink r:id="rId1735" ref="Q1684"/>
    <hyperlink r:id="rId1736" ref="Q1685"/>
    <hyperlink r:id="rId1737" ref="Q1686"/>
    <hyperlink r:id="rId1738" ref="Q1687"/>
    <hyperlink r:id="rId1739" ref="Q1688"/>
    <hyperlink r:id="rId1740" ref="K1689"/>
    <hyperlink r:id="rId1741" ref="Q1689"/>
    <hyperlink r:id="rId1742" ref="Q1690"/>
    <hyperlink r:id="rId1743" ref="K1691"/>
    <hyperlink r:id="rId1744" ref="Q1691"/>
    <hyperlink r:id="rId1745" ref="Q1692"/>
    <hyperlink r:id="rId1746" ref="Q1693"/>
    <hyperlink r:id="rId1747" ref="Q1694"/>
    <hyperlink r:id="rId1748" ref="Q1695"/>
    <hyperlink r:id="rId1749" ref="Q1696"/>
    <hyperlink r:id="rId1750" ref="Q1697"/>
    <hyperlink r:id="rId1751" ref="Q1698"/>
    <hyperlink r:id="rId1752" ref="Q1699"/>
    <hyperlink r:id="rId1753" ref="Q1700"/>
    <hyperlink r:id="rId1754" ref="Q1701"/>
    <hyperlink r:id="rId1755" ref="Q1702"/>
    <hyperlink r:id="rId1756" ref="Q1703"/>
    <hyperlink r:id="rId1757" ref="Q1704"/>
    <hyperlink r:id="rId1758" ref="Q1705"/>
    <hyperlink r:id="rId1759" ref="Q1706"/>
    <hyperlink r:id="rId1760" ref="Q1707"/>
    <hyperlink r:id="rId1761" ref="Q1708"/>
    <hyperlink r:id="rId1762" ref="Q1709"/>
    <hyperlink r:id="rId1763" ref="Q1710"/>
    <hyperlink r:id="rId1764" ref="Q1711"/>
    <hyperlink r:id="rId1765" ref="Q1712"/>
    <hyperlink r:id="rId1766" ref="Q1713"/>
    <hyperlink r:id="rId1767" ref="Q1714"/>
    <hyperlink r:id="rId1768" ref="Q1715"/>
    <hyperlink r:id="rId1769" ref="Q1716"/>
    <hyperlink r:id="rId1770" ref="Q1717"/>
    <hyperlink r:id="rId1771" ref="Q1718"/>
    <hyperlink r:id="rId1772" ref="Q1719"/>
    <hyperlink r:id="rId1773" ref="Q1720"/>
    <hyperlink r:id="rId1774" ref="Q1721"/>
    <hyperlink r:id="rId1775" ref="Q1722"/>
    <hyperlink r:id="rId1776" ref="Q1723"/>
    <hyperlink r:id="rId1777" ref="Q1724"/>
    <hyperlink r:id="rId1778" ref="Q1727"/>
    <hyperlink r:id="rId1779" ref="Q1728"/>
    <hyperlink r:id="rId1780" ref="Q1729"/>
    <hyperlink r:id="rId1781" ref="Q1730"/>
    <hyperlink r:id="rId1782" ref="Q1731"/>
    <hyperlink r:id="rId1783" ref="Q1732"/>
    <hyperlink r:id="rId1784" ref="Q1733"/>
    <hyperlink r:id="rId1785" ref="Q1734"/>
    <hyperlink r:id="rId1786" ref="Q1735"/>
    <hyperlink r:id="rId1787" ref="Q1736"/>
    <hyperlink r:id="rId1788" ref="Q1737"/>
    <hyperlink r:id="rId1789" ref="Q1738"/>
    <hyperlink r:id="rId1790" ref="Q1739"/>
    <hyperlink r:id="rId1791" ref="Q1740"/>
    <hyperlink r:id="rId1792" ref="Q1741"/>
    <hyperlink r:id="rId1793" ref="Q1742"/>
    <hyperlink r:id="rId1794" ref="Q1743"/>
    <hyperlink r:id="rId1795" ref="Q1744"/>
    <hyperlink r:id="rId1796" ref="Q1745"/>
    <hyperlink r:id="rId1797" ref="Q1746"/>
    <hyperlink r:id="rId1798" ref="Q1747"/>
    <hyperlink r:id="rId1799" ref="K1748"/>
    <hyperlink r:id="rId1800" ref="Q1748"/>
    <hyperlink r:id="rId1801" ref="Q1749"/>
    <hyperlink r:id="rId1802" ref="Q1750"/>
    <hyperlink r:id="rId1803" ref="Q1751"/>
    <hyperlink r:id="rId1804" ref="Q1752"/>
    <hyperlink r:id="rId1805" ref="Q1753"/>
    <hyperlink r:id="rId1806" ref="Q1754"/>
    <hyperlink r:id="rId1807" ref="Q1755"/>
    <hyperlink r:id="rId1808" ref="Q1756"/>
    <hyperlink r:id="rId1809" ref="Q1757"/>
    <hyperlink r:id="rId1810" ref="Q1758"/>
    <hyperlink r:id="rId1811" ref="Q1759"/>
    <hyperlink r:id="rId1812" ref="Q1760"/>
    <hyperlink r:id="rId1813" ref="Q1761"/>
    <hyperlink r:id="rId1814" ref="Q1762"/>
    <hyperlink r:id="rId1815" ref="Q1763"/>
    <hyperlink r:id="rId1816" ref="Q1764"/>
    <hyperlink r:id="rId1817" ref="Q1765"/>
    <hyperlink r:id="rId1818" ref="Q1766"/>
    <hyperlink r:id="rId1819" ref="Q1767"/>
    <hyperlink r:id="rId1820" ref="Q1768"/>
    <hyperlink r:id="rId1821" ref="Q1769"/>
    <hyperlink r:id="rId1822" ref="Q1770"/>
    <hyperlink r:id="rId1823" ref="Q1771"/>
    <hyperlink r:id="rId1824" ref="Q1772"/>
    <hyperlink r:id="rId1825" ref="Q1773"/>
    <hyperlink r:id="rId1826" ref="Q1774"/>
    <hyperlink r:id="rId1827" ref="Q1775"/>
    <hyperlink r:id="rId1828" ref="Q1776"/>
    <hyperlink r:id="rId1829" ref="Q1777"/>
    <hyperlink r:id="rId1830" ref="Q1778"/>
    <hyperlink r:id="rId1831" ref="Q1779"/>
    <hyperlink r:id="rId1832" ref="Q1780"/>
    <hyperlink r:id="rId1833" ref="Q1781"/>
    <hyperlink r:id="rId1834" ref="Q1782"/>
    <hyperlink r:id="rId1835" ref="Q1783"/>
    <hyperlink r:id="rId1836" ref="Q1784"/>
    <hyperlink r:id="rId1837" ref="Q1785"/>
    <hyperlink r:id="rId1838" ref="Q1786"/>
    <hyperlink r:id="rId1839" ref="Q1787"/>
    <hyperlink r:id="rId1840" ref="Q1788"/>
    <hyperlink r:id="rId1841" ref="Q1789"/>
    <hyperlink r:id="rId1842" ref="Q1790"/>
    <hyperlink r:id="rId1843" ref="K1791"/>
    <hyperlink r:id="rId1844" ref="Q1791"/>
    <hyperlink r:id="rId1845" ref="Q1792"/>
    <hyperlink r:id="rId1846" ref="Q1793"/>
    <hyperlink r:id="rId1847" ref="Q1794"/>
    <hyperlink r:id="rId1848" ref="Q1795"/>
    <hyperlink r:id="rId1849" ref="Q1796"/>
    <hyperlink r:id="rId1850" ref="Q1797"/>
    <hyperlink r:id="rId1851" ref="Q1798"/>
    <hyperlink r:id="rId1852" ref="Q1799"/>
    <hyperlink r:id="rId1853" ref="Q1800"/>
    <hyperlink r:id="rId1854" ref="Q1801"/>
    <hyperlink r:id="rId1855" ref="Q1802"/>
    <hyperlink r:id="rId1856" ref="Q1803"/>
    <hyperlink r:id="rId1857" ref="Q1804"/>
    <hyperlink r:id="rId1858" ref="Q1805"/>
    <hyperlink r:id="rId1859" ref="Q1806"/>
    <hyperlink r:id="rId1860" ref="Q1807"/>
    <hyperlink r:id="rId1861" ref="Q1808"/>
    <hyperlink r:id="rId1862" ref="Q1809"/>
    <hyperlink r:id="rId1863" ref="Q1810"/>
    <hyperlink r:id="rId1864" ref="Q1811"/>
    <hyperlink r:id="rId1865" ref="Q1812"/>
    <hyperlink r:id="rId1866" ref="Q1813"/>
    <hyperlink r:id="rId1867" ref="Q1814"/>
    <hyperlink r:id="rId1868" ref="Q1815"/>
    <hyperlink r:id="rId1869" ref="Q1816"/>
    <hyperlink r:id="rId1870" ref="Q1817"/>
    <hyperlink r:id="rId1871" ref="Q1818"/>
    <hyperlink r:id="rId1872" ref="Q1819"/>
    <hyperlink r:id="rId1873" ref="Q1820"/>
    <hyperlink r:id="rId1874" ref="Q1821"/>
    <hyperlink r:id="rId1875" ref="Q1822"/>
    <hyperlink r:id="rId1876" ref="Q1823"/>
    <hyperlink r:id="rId1877" ref="Q1824"/>
    <hyperlink r:id="rId1878" ref="Q1825"/>
    <hyperlink r:id="rId1879" ref="Q1826"/>
    <hyperlink r:id="rId1880" ref="Q1827"/>
    <hyperlink r:id="rId1881" ref="Q1828"/>
    <hyperlink r:id="rId1882" ref="Q1829"/>
    <hyperlink r:id="rId1883" ref="Q1830"/>
    <hyperlink r:id="rId1884" ref="Q1831"/>
    <hyperlink r:id="rId1885" ref="Q1832"/>
    <hyperlink r:id="rId1886" ref="Q1833"/>
    <hyperlink r:id="rId1887" ref="Q1834"/>
    <hyperlink r:id="rId1888" ref="Q1835"/>
    <hyperlink r:id="rId1889" ref="Q1836"/>
    <hyperlink r:id="rId1890" ref="Q1837"/>
    <hyperlink r:id="rId1891" ref="Q1838"/>
    <hyperlink r:id="rId1892" ref="Q1839"/>
    <hyperlink r:id="rId1893" ref="Q1840"/>
    <hyperlink r:id="rId1894" ref="Q1841"/>
    <hyperlink r:id="rId1895" ref="Q1842"/>
    <hyperlink r:id="rId1896" ref="Q1843"/>
    <hyperlink r:id="rId1897" ref="Q1844"/>
    <hyperlink r:id="rId1898" ref="Q1845"/>
    <hyperlink r:id="rId1899" ref="Q1846"/>
    <hyperlink r:id="rId1900" ref="Q1847"/>
    <hyperlink r:id="rId1901" ref="Q1848"/>
    <hyperlink r:id="rId1902" ref="Q1849"/>
    <hyperlink r:id="rId1903" ref="Q1850"/>
    <hyperlink r:id="rId1904" ref="Q1851"/>
    <hyperlink r:id="rId1905" ref="Q1852"/>
    <hyperlink r:id="rId1906" ref="Q1853"/>
    <hyperlink r:id="rId1907" ref="Q1854"/>
    <hyperlink r:id="rId1908" ref="Q1855"/>
    <hyperlink r:id="rId1909" ref="Q1856"/>
    <hyperlink r:id="rId1910" ref="Q1857"/>
    <hyperlink r:id="rId1911" ref="Q1858"/>
    <hyperlink r:id="rId1912" ref="Q1859"/>
    <hyperlink r:id="rId1913" ref="Q1860"/>
    <hyperlink r:id="rId1914" ref="Q1861"/>
    <hyperlink r:id="rId1915" ref="Q1862"/>
    <hyperlink r:id="rId1916" ref="Q1863"/>
    <hyperlink r:id="rId1917" ref="Q1864"/>
    <hyperlink r:id="rId1918" ref="Q1865"/>
    <hyperlink r:id="rId1919" ref="Q1866"/>
    <hyperlink r:id="rId1920" ref="Q1867"/>
    <hyperlink r:id="rId1921" ref="Q1868"/>
    <hyperlink r:id="rId1922" ref="Q1869"/>
    <hyperlink r:id="rId1923" ref="Q1870"/>
    <hyperlink r:id="rId1924" ref="Q1871"/>
    <hyperlink r:id="rId1925" ref="Q1872"/>
    <hyperlink r:id="rId1926" ref="Q1873"/>
    <hyperlink r:id="rId1927" ref="Q1874"/>
    <hyperlink r:id="rId1928" ref="Q1875"/>
    <hyperlink r:id="rId1929" ref="Q1876"/>
    <hyperlink r:id="rId1930" ref="Q1877"/>
    <hyperlink r:id="rId1931" ref="Q1878"/>
    <hyperlink r:id="rId1932" ref="Q1879"/>
    <hyperlink r:id="rId1933" ref="Q1880"/>
    <hyperlink r:id="rId1934" ref="Q1881"/>
    <hyperlink r:id="rId1935" ref="Q1882"/>
    <hyperlink r:id="rId1936" ref="Q1883"/>
    <hyperlink r:id="rId1937" ref="Q1884"/>
    <hyperlink r:id="rId1938" ref="Q1885"/>
    <hyperlink r:id="rId1939" ref="Q1886"/>
    <hyperlink r:id="rId1940" ref="Q1887"/>
    <hyperlink r:id="rId1941" ref="Q1888"/>
    <hyperlink r:id="rId1942" ref="Q1889"/>
    <hyperlink r:id="rId1943" ref="Q1890"/>
    <hyperlink r:id="rId1944" ref="Q1891"/>
    <hyperlink r:id="rId1945" ref="Q1892"/>
    <hyperlink r:id="rId1946" ref="Q1893"/>
    <hyperlink r:id="rId1947" ref="Q1894"/>
    <hyperlink r:id="rId1948" ref="Q1895"/>
    <hyperlink r:id="rId1949" ref="Q1896"/>
    <hyperlink r:id="rId1950" ref="Q1897"/>
    <hyperlink r:id="rId1951" ref="Q1898"/>
    <hyperlink r:id="rId1952" ref="Q1899"/>
    <hyperlink r:id="rId1953" ref="Q1900"/>
    <hyperlink r:id="rId1954" ref="Q1901"/>
    <hyperlink r:id="rId1955" ref="Q1902"/>
    <hyperlink r:id="rId1956" ref="Q1903"/>
    <hyperlink r:id="rId1957" ref="Q1904"/>
    <hyperlink r:id="rId1958" ref="Q1905"/>
    <hyperlink r:id="rId1959" ref="Q1906"/>
    <hyperlink r:id="rId1960" ref="Q1907"/>
    <hyperlink r:id="rId1961" ref="Q1908"/>
    <hyperlink r:id="rId1962" ref="Q1909"/>
    <hyperlink r:id="rId1963" ref="Q1910"/>
    <hyperlink r:id="rId1964" ref="Q1911"/>
    <hyperlink r:id="rId1965" ref="Q1912"/>
    <hyperlink r:id="rId1966" ref="Q1913"/>
    <hyperlink r:id="rId1967" ref="Q1914"/>
    <hyperlink r:id="rId1968" ref="Q1915"/>
    <hyperlink r:id="rId1969" ref="Q1916"/>
    <hyperlink r:id="rId1970" ref="Q1917"/>
    <hyperlink r:id="rId1971" ref="Q1918"/>
    <hyperlink r:id="rId1972" ref="Q1919"/>
    <hyperlink r:id="rId1973" ref="Q1920"/>
    <hyperlink r:id="rId1974" ref="Q1921"/>
    <hyperlink r:id="rId1975" ref="Q1922"/>
    <hyperlink r:id="rId1976" ref="Q1923"/>
    <hyperlink r:id="rId1977" ref="Q1924"/>
    <hyperlink r:id="rId1978" ref="Q1925"/>
    <hyperlink r:id="rId1979" ref="Q1926"/>
    <hyperlink r:id="rId1980" ref="Q1927"/>
    <hyperlink r:id="rId1981" ref="Q1928"/>
    <hyperlink r:id="rId1982" ref="Q1929"/>
    <hyperlink r:id="rId1983" ref="Q1930"/>
    <hyperlink r:id="rId1984" ref="Q1931"/>
    <hyperlink r:id="rId1985" ref="Q1932"/>
    <hyperlink r:id="rId1986" ref="Q1933"/>
    <hyperlink r:id="rId1987" ref="Q1934"/>
    <hyperlink r:id="rId1988" ref="Q1935"/>
    <hyperlink r:id="rId1989" ref="Q1936"/>
    <hyperlink r:id="rId1990" ref="Q1937"/>
    <hyperlink r:id="rId1991" ref="Q1938"/>
    <hyperlink r:id="rId1992" ref="Q1939"/>
    <hyperlink r:id="rId1993" ref="Q1940"/>
    <hyperlink r:id="rId1994" ref="Q1941"/>
    <hyperlink r:id="rId1995" ref="Q1942"/>
    <hyperlink r:id="rId1996" ref="Q1943"/>
    <hyperlink r:id="rId1997" ref="Q1944"/>
    <hyperlink r:id="rId1998" ref="Q1945"/>
    <hyperlink r:id="rId1999" ref="Q1946"/>
    <hyperlink r:id="rId2000" ref="Q1947"/>
    <hyperlink r:id="rId2001" ref="Q1948"/>
    <hyperlink r:id="rId2002" ref="Q1949"/>
    <hyperlink r:id="rId2003" ref="Q1950"/>
    <hyperlink r:id="rId2004" ref="Q1951"/>
    <hyperlink r:id="rId2005" ref="Q1952"/>
    <hyperlink r:id="rId2006" ref="Q1953"/>
    <hyperlink r:id="rId2007" ref="Q1954"/>
    <hyperlink r:id="rId2008" ref="Q1955"/>
    <hyperlink r:id="rId2009" ref="Q1956"/>
    <hyperlink r:id="rId2010" ref="Q1957"/>
    <hyperlink r:id="rId2011" ref="Q1958"/>
    <hyperlink r:id="rId2012" ref="Q1959"/>
    <hyperlink r:id="rId2013" ref="Q1960"/>
    <hyperlink r:id="rId2014" ref="Q1961"/>
    <hyperlink r:id="rId2015" ref="Q1962"/>
    <hyperlink r:id="rId2016" ref="Q1963"/>
    <hyperlink r:id="rId2017" ref="K1964"/>
    <hyperlink r:id="rId2018" ref="Q1964"/>
    <hyperlink r:id="rId2019" ref="Q1965"/>
    <hyperlink r:id="rId2020" ref="K1966"/>
    <hyperlink r:id="rId2021" ref="Q1966"/>
    <hyperlink r:id="rId2022" ref="Q1967"/>
    <hyperlink r:id="rId2023" ref="Q1968"/>
    <hyperlink r:id="rId2024" ref="Q1969"/>
    <hyperlink r:id="rId2025" ref="Q1970"/>
    <hyperlink r:id="rId2026" ref="Q1971"/>
    <hyperlink r:id="rId2027" ref="Q1972"/>
    <hyperlink r:id="rId2028" ref="Q1973"/>
    <hyperlink r:id="rId2029" ref="Q1974"/>
    <hyperlink r:id="rId2030" ref="Q1975"/>
    <hyperlink r:id="rId2031" ref="Q1976"/>
    <hyperlink r:id="rId2032" ref="Q1977"/>
    <hyperlink r:id="rId2033" ref="Q1978"/>
    <hyperlink r:id="rId2034" ref="Q1979"/>
    <hyperlink r:id="rId2035" ref="Q1980"/>
    <hyperlink r:id="rId2036" ref="Q1981"/>
    <hyperlink r:id="rId2037" ref="Q1982"/>
    <hyperlink r:id="rId2038" ref="Q1983"/>
    <hyperlink r:id="rId2039" ref="Q1984"/>
    <hyperlink r:id="rId2040" ref="Q1985"/>
    <hyperlink r:id="rId2041" ref="Q1986"/>
    <hyperlink r:id="rId2042" ref="Q1987"/>
    <hyperlink r:id="rId2043" ref="Q1988"/>
    <hyperlink r:id="rId2044" ref="Q1989"/>
    <hyperlink r:id="rId2045" ref="Q1990"/>
    <hyperlink r:id="rId2046" ref="Q1991"/>
    <hyperlink r:id="rId2047" ref="Q1992"/>
    <hyperlink r:id="rId2048" ref="Q1993"/>
    <hyperlink r:id="rId2049" ref="Q1994"/>
    <hyperlink r:id="rId2050" ref="Q1995"/>
    <hyperlink r:id="rId2051" ref="K1996"/>
    <hyperlink r:id="rId2052" ref="Q1996"/>
    <hyperlink r:id="rId2053" ref="Q1997"/>
    <hyperlink r:id="rId2054" ref="Q1998"/>
    <hyperlink r:id="rId2055" ref="Q1999"/>
    <hyperlink r:id="rId2056" ref="Q2000"/>
    <hyperlink r:id="rId2057" ref="Q2001"/>
    <hyperlink r:id="rId2058" ref="Q2002"/>
    <hyperlink r:id="rId2059" ref="Q2003"/>
    <hyperlink r:id="rId2060" ref="Q2004"/>
    <hyperlink r:id="rId2061" ref="Q2005"/>
    <hyperlink r:id="rId2062" ref="Q2006"/>
    <hyperlink r:id="rId2063" ref="Q2007"/>
    <hyperlink r:id="rId2064" ref="Q2008"/>
    <hyperlink r:id="rId2065" ref="Q2009"/>
    <hyperlink r:id="rId2066" ref="Q2010"/>
    <hyperlink r:id="rId2067" ref="Q2011"/>
    <hyperlink r:id="rId2068" ref="Q2012"/>
    <hyperlink r:id="rId2069" ref="Q2013"/>
    <hyperlink r:id="rId2070" ref="Q2014"/>
    <hyperlink r:id="rId2071" ref="Q2015"/>
    <hyperlink r:id="rId2072" ref="Q2016"/>
    <hyperlink r:id="rId2073" ref="Q2017"/>
    <hyperlink r:id="rId2074" ref="Q2018"/>
    <hyperlink r:id="rId2075" ref="Q2019"/>
    <hyperlink r:id="rId2076" ref="Q2020"/>
    <hyperlink r:id="rId2077" ref="Q2021"/>
    <hyperlink r:id="rId2078" ref="Q2022"/>
    <hyperlink r:id="rId2079" ref="Q2023"/>
    <hyperlink r:id="rId2080" ref="Q2024"/>
    <hyperlink r:id="rId2081" ref="Q2025"/>
    <hyperlink r:id="rId2082" ref="Q2026"/>
    <hyperlink r:id="rId2083" ref="Q2027"/>
    <hyperlink r:id="rId2084" ref="Q2028"/>
    <hyperlink r:id="rId2085" ref="Q2029"/>
    <hyperlink r:id="rId2086" ref="Q2030"/>
    <hyperlink r:id="rId2087" ref="Q2031"/>
    <hyperlink r:id="rId2088" ref="K2032"/>
    <hyperlink r:id="rId2089" ref="Q2032"/>
    <hyperlink r:id="rId2090" ref="Q2033"/>
    <hyperlink r:id="rId2091" ref="Q2034"/>
    <hyperlink r:id="rId2092" ref="Q2035"/>
    <hyperlink r:id="rId2093" ref="Q2036"/>
    <hyperlink r:id="rId2094" ref="Q2037"/>
    <hyperlink r:id="rId2095" ref="Q2038"/>
    <hyperlink r:id="rId2096" ref="Q2039"/>
    <hyperlink r:id="rId2097" ref="Q2040"/>
    <hyperlink r:id="rId2098" ref="Q2041"/>
    <hyperlink r:id="rId2099" ref="Q2042"/>
    <hyperlink r:id="rId2100" ref="Q2043"/>
    <hyperlink r:id="rId2101" ref="Q2044"/>
    <hyperlink r:id="rId2102" ref="Q2045"/>
    <hyperlink r:id="rId2103" ref="Q2046"/>
    <hyperlink r:id="rId2104" ref="Q2047"/>
    <hyperlink r:id="rId2105" ref="Q2048"/>
    <hyperlink r:id="rId2106" ref="Q2049"/>
    <hyperlink r:id="rId2107" ref="Q2050"/>
    <hyperlink r:id="rId2108" ref="Q2051"/>
    <hyperlink r:id="rId2109" ref="Q2052"/>
    <hyperlink r:id="rId2110" ref="Q2053"/>
    <hyperlink r:id="rId2111" ref="Q2054"/>
    <hyperlink r:id="rId2112" ref="Q2055"/>
    <hyperlink r:id="rId2113" ref="Q2056"/>
    <hyperlink r:id="rId2114" ref="Q2057"/>
    <hyperlink r:id="rId2115" ref="Q2058"/>
    <hyperlink r:id="rId2116" ref="Q2059"/>
    <hyperlink r:id="rId2117" ref="Q2060"/>
    <hyperlink r:id="rId2118" ref="Q2061"/>
    <hyperlink r:id="rId2119" ref="K2062"/>
    <hyperlink r:id="rId2120" ref="Q2062"/>
    <hyperlink r:id="rId2121" ref="Q2063"/>
    <hyperlink r:id="rId2122" ref="Q2064"/>
    <hyperlink r:id="rId2123" ref="Q2065"/>
    <hyperlink r:id="rId2124" ref="Q2066"/>
    <hyperlink r:id="rId2125" ref="Q2067"/>
    <hyperlink r:id="rId2126" ref="Q2068"/>
    <hyperlink r:id="rId2127" ref="Q2069"/>
    <hyperlink r:id="rId2128" ref="Q2070"/>
    <hyperlink r:id="rId2129" ref="Q2071"/>
    <hyperlink r:id="rId2130" ref="Q2072"/>
    <hyperlink r:id="rId2131" ref="Q2073"/>
    <hyperlink r:id="rId2132" ref="Q2074"/>
    <hyperlink r:id="rId2133" ref="Q2075"/>
    <hyperlink r:id="rId2134" ref="Q2076"/>
    <hyperlink r:id="rId2135" ref="Q2077"/>
    <hyperlink r:id="rId2136" ref="Q2078"/>
    <hyperlink r:id="rId2137" ref="Q2079"/>
    <hyperlink r:id="rId2138" ref="Q2080"/>
    <hyperlink r:id="rId2139" ref="Q2081"/>
    <hyperlink r:id="rId2140" ref="Q2082"/>
    <hyperlink r:id="rId2141" ref="Q2083"/>
    <hyperlink r:id="rId2142" ref="Q2084"/>
    <hyperlink r:id="rId2143" ref="Q2085"/>
    <hyperlink r:id="rId2144" ref="Q2086"/>
    <hyperlink r:id="rId2145" ref="Q2087"/>
    <hyperlink r:id="rId2146" ref="Q2088"/>
    <hyperlink r:id="rId2147" ref="Q2089"/>
    <hyperlink r:id="rId2148" ref="Q2090"/>
    <hyperlink r:id="rId2149" ref="Q2091"/>
    <hyperlink r:id="rId2150" ref="Q2092"/>
    <hyperlink r:id="rId2151" ref="Q2093"/>
    <hyperlink r:id="rId2152" ref="Q2094"/>
    <hyperlink r:id="rId2153" ref="Q2095"/>
    <hyperlink r:id="rId2154" ref="Q2096"/>
    <hyperlink r:id="rId2155" ref="Q2097"/>
    <hyperlink r:id="rId2156" ref="Q2098"/>
    <hyperlink r:id="rId2157" ref="Q2099"/>
    <hyperlink r:id="rId2158" ref="Q2100"/>
    <hyperlink r:id="rId2159" ref="Q2101"/>
    <hyperlink r:id="rId2160" ref="Q2102"/>
    <hyperlink r:id="rId2161" ref="Q2103"/>
    <hyperlink r:id="rId2162" ref="Q2104"/>
    <hyperlink r:id="rId2163" ref="Q2105"/>
    <hyperlink r:id="rId2164" ref="Q2106"/>
    <hyperlink r:id="rId2165" ref="Q2107"/>
    <hyperlink r:id="rId2166" ref="Q2108"/>
    <hyperlink r:id="rId2167" ref="Q2109"/>
    <hyperlink r:id="rId2168" ref="Q2110"/>
    <hyperlink r:id="rId2169" ref="Q2111"/>
    <hyperlink r:id="rId2170" ref="Q2112"/>
    <hyperlink r:id="rId2171" ref="K2113"/>
    <hyperlink r:id="rId2172" ref="Q2113"/>
    <hyperlink r:id="rId2173" ref="Q2114"/>
    <hyperlink r:id="rId2174" ref="Q2115"/>
    <hyperlink r:id="rId2175" ref="Q2116"/>
    <hyperlink r:id="rId2176" ref="Q2117"/>
    <hyperlink r:id="rId2177" ref="Q2118"/>
    <hyperlink r:id="rId2178" ref="Q2119"/>
    <hyperlink r:id="rId2179" ref="K2120"/>
    <hyperlink r:id="rId2180" ref="Q2120"/>
    <hyperlink r:id="rId2181" ref="Q2121"/>
    <hyperlink r:id="rId2182" ref="Q2122"/>
    <hyperlink r:id="rId2183" ref="Q2123"/>
    <hyperlink r:id="rId2184" ref="Q2124"/>
    <hyperlink r:id="rId2185" ref="Q2125"/>
    <hyperlink r:id="rId2186" ref="Q2126"/>
    <hyperlink r:id="rId2187" ref="Q2127"/>
    <hyperlink r:id="rId2188" ref="Q2128"/>
    <hyperlink r:id="rId2189" ref="Q2129"/>
    <hyperlink r:id="rId2190" ref="Q2130"/>
    <hyperlink r:id="rId2191" ref="Q2131"/>
    <hyperlink r:id="rId2192" ref="Q2132"/>
    <hyperlink r:id="rId2193" ref="Q2133"/>
    <hyperlink r:id="rId2194" ref="Q2134"/>
    <hyperlink r:id="rId2195" ref="Q2135"/>
    <hyperlink r:id="rId2196" ref="Q2136"/>
    <hyperlink r:id="rId2197" ref="Q2137"/>
    <hyperlink r:id="rId2198" ref="Q2138"/>
    <hyperlink r:id="rId2199" ref="Q2139"/>
    <hyperlink r:id="rId2200" ref="Q2140"/>
    <hyperlink r:id="rId2201" ref="Q2141"/>
    <hyperlink r:id="rId2202" ref="Q2142"/>
    <hyperlink r:id="rId2203" ref="Q2143"/>
    <hyperlink r:id="rId2204" ref="Q2144"/>
    <hyperlink r:id="rId2205" ref="Q2145"/>
    <hyperlink r:id="rId2206" ref="Q2146"/>
    <hyperlink r:id="rId2207" ref="Q2147"/>
    <hyperlink r:id="rId2208" ref="Q2148"/>
    <hyperlink r:id="rId2209" ref="Q2149"/>
    <hyperlink r:id="rId2210" ref="Q2150"/>
    <hyperlink r:id="rId2211" ref="Q2151"/>
    <hyperlink r:id="rId2212" ref="Q2152"/>
    <hyperlink r:id="rId2213" ref="Q2153"/>
    <hyperlink r:id="rId2214" ref="Q2154"/>
    <hyperlink r:id="rId2215" ref="Q2155"/>
    <hyperlink r:id="rId2216" ref="Q2156"/>
    <hyperlink r:id="rId2217" ref="Q2157"/>
    <hyperlink r:id="rId2218" ref="Q2158"/>
    <hyperlink r:id="rId2219" ref="Q2159"/>
    <hyperlink r:id="rId2220" ref="Q2160"/>
    <hyperlink r:id="rId2221" ref="Q2161"/>
    <hyperlink r:id="rId2222" ref="Q2162"/>
    <hyperlink r:id="rId2223" ref="Q2163"/>
    <hyperlink r:id="rId2224" ref="Q2164"/>
    <hyperlink r:id="rId2225" ref="Q2165"/>
    <hyperlink r:id="rId2226" ref="Q2166"/>
    <hyperlink r:id="rId2227" ref="Q2167"/>
    <hyperlink r:id="rId2228" ref="Q2168"/>
    <hyperlink r:id="rId2229" ref="Q2169"/>
    <hyperlink r:id="rId2230" ref="Q2170"/>
    <hyperlink r:id="rId2231" ref="Q2171"/>
    <hyperlink r:id="rId2232" ref="Q2172"/>
    <hyperlink r:id="rId2233" ref="Q2173"/>
    <hyperlink r:id="rId2234" ref="Q2174"/>
    <hyperlink r:id="rId2235" ref="Q2175"/>
    <hyperlink r:id="rId2236" ref="Q2176"/>
    <hyperlink r:id="rId2237" ref="Q2177"/>
    <hyperlink r:id="rId2238" ref="Q2178"/>
    <hyperlink r:id="rId2239" ref="Q2179"/>
    <hyperlink r:id="rId2240" ref="Q2180"/>
    <hyperlink r:id="rId2241" ref="Q2181"/>
    <hyperlink r:id="rId2242" ref="Q2182"/>
    <hyperlink r:id="rId2243" ref="Q2183"/>
    <hyperlink r:id="rId2244" ref="Q2184"/>
    <hyperlink r:id="rId2245" ref="Q2185"/>
    <hyperlink r:id="rId2246" ref="Q2186"/>
    <hyperlink r:id="rId2247" ref="Q2187"/>
    <hyperlink r:id="rId2248" ref="Q2188"/>
    <hyperlink r:id="rId2249" ref="Q2189"/>
    <hyperlink r:id="rId2250" ref="Q2190"/>
    <hyperlink r:id="rId2251" ref="Q2191"/>
    <hyperlink r:id="rId2252" ref="Q2192"/>
    <hyperlink r:id="rId2253" ref="Q2193"/>
    <hyperlink r:id="rId2254" ref="Q2194"/>
    <hyperlink r:id="rId2255" ref="Q2195"/>
    <hyperlink r:id="rId2256" ref="Q2196"/>
    <hyperlink r:id="rId2257" ref="Q2197"/>
    <hyperlink r:id="rId2258" ref="Q2198"/>
    <hyperlink r:id="rId2259" ref="Q2199"/>
    <hyperlink r:id="rId2260" ref="Q2200"/>
    <hyperlink r:id="rId2261" ref="Q2201"/>
    <hyperlink r:id="rId2262" ref="Q2202"/>
    <hyperlink r:id="rId2263" ref="Q2203"/>
    <hyperlink r:id="rId2264" ref="Q2204"/>
    <hyperlink r:id="rId2265" ref="Q2205"/>
    <hyperlink r:id="rId2266" ref="Q2206"/>
    <hyperlink r:id="rId2267" ref="Q2207"/>
    <hyperlink r:id="rId2268" ref="Q2208"/>
    <hyperlink r:id="rId2269" ref="Q2209"/>
    <hyperlink r:id="rId2270" ref="Q2210"/>
    <hyperlink r:id="rId2271" ref="Q2211"/>
    <hyperlink r:id="rId2272" ref="Q2212"/>
    <hyperlink r:id="rId2273" ref="Q2213"/>
    <hyperlink r:id="rId2274" ref="K2214"/>
    <hyperlink r:id="rId2275" ref="Q2214"/>
    <hyperlink r:id="rId2276" ref="K2215"/>
    <hyperlink r:id="rId2277" ref="Q2215"/>
    <hyperlink r:id="rId2278" ref="Q2216"/>
    <hyperlink r:id="rId2279" ref="Q2217"/>
    <hyperlink r:id="rId2280" ref="Q2218"/>
    <hyperlink r:id="rId2281" ref="Q2219"/>
    <hyperlink r:id="rId2282" ref="Q2220"/>
    <hyperlink r:id="rId2283" ref="Q2221"/>
    <hyperlink r:id="rId2284" ref="Q2222"/>
    <hyperlink r:id="rId2285" ref="Q2223"/>
    <hyperlink r:id="rId2286" ref="Q2224"/>
    <hyperlink r:id="rId2287" ref="Q2225"/>
    <hyperlink r:id="rId2288" ref="Q2226"/>
    <hyperlink r:id="rId2289" ref="Q2227"/>
    <hyperlink r:id="rId2290" ref="Q2228"/>
    <hyperlink r:id="rId2291" ref="Q2229"/>
    <hyperlink r:id="rId2292" ref="Q2230"/>
    <hyperlink r:id="rId2293" ref="Q2231"/>
    <hyperlink r:id="rId2294" ref="Q2232"/>
    <hyperlink r:id="rId2295" ref="Q2233"/>
    <hyperlink r:id="rId2296" ref="Q2234"/>
    <hyperlink r:id="rId2297" ref="Q2235"/>
    <hyperlink r:id="rId2298" ref="Q2236"/>
    <hyperlink r:id="rId2299" ref="Q2237"/>
    <hyperlink r:id="rId2300" ref="Q2238"/>
    <hyperlink r:id="rId2301" ref="Q2240"/>
    <hyperlink r:id="rId2302" ref="Q2241"/>
    <hyperlink r:id="rId2303" ref="Q2242"/>
    <hyperlink r:id="rId2304" ref="Q2243"/>
    <hyperlink r:id="rId2305" ref="Q2244"/>
    <hyperlink r:id="rId2306" ref="Q2245"/>
    <hyperlink r:id="rId2307" ref="Q2246"/>
    <hyperlink r:id="rId2308" ref="Q2247"/>
    <hyperlink r:id="rId2309" ref="Q2248"/>
    <hyperlink r:id="rId2310" ref="Q2249"/>
    <hyperlink r:id="rId2311" ref="Q2250"/>
    <hyperlink r:id="rId2312" ref="Q2251"/>
    <hyperlink r:id="rId2313" ref="Q2252"/>
    <hyperlink r:id="rId2314" ref="Q2253"/>
    <hyperlink r:id="rId2315" ref="Q2254"/>
    <hyperlink r:id="rId2316" ref="Q2255"/>
    <hyperlink r:id="rId2317" ref="Q2256"/>
    <hyperlink r:id="rId2318" ref="Q2257"/>
    <hyperlink r:id="rId2319" ref="Q2258"/>
    <hyperlink r:id="rId2320" ref="Q2259"/>
    <hyperlink r:id="rId2321" ref="Q2260"/>
    <hyperlink r:id="rId2322" ref="Q2261"/>
    <hyperlink r:id="rId2323" ref="Q2262"/>
    <hyperlink r:id="rId2324" ref="Q2263"/>
    <hyperlink r:id="rId2325" ref="Q2264"/>
    <hyperlink r:id="rId2326" ref="Q2265"/>
    <hyperlink r:id="rId2327" ref="Q2266"/>
    <hyperlink r:id="rId2328" ref="Q2267"/>
    <hyperlink r:id="rId2329" ref="Q2268"/>
    <hyperlink r:id="rId2330" ref="Q2269"/>
    <hyperlink r:id="rId2331" ref="Q2270"/>
    <hyperlink r:id="rId2332" ref="Q2271"/>
    <hyperlink r:id="rId2333" ref="Q2272"/>
    <hyperlink r:id="rId2334" ref="Q2273"/>
    <hyperlink r:id="rId2335" ref="Q2274"/>
    <hyperlink r:id="rId2336" ref="Q2275"/>
    <hyperlink r:id="rId2337" ref="Q2276"/>
    <hyperlink r:id="rId2338" ref="Q2277"/>
    <hyperlink r:id="rId2339" ref="Q2278"/>
    <hyperlink r:id="rId2340" ref="Q2279"/>
    <hyperlink r:id="rId2341" ref="Q2280"/>
    <hyperlink r:id="rId2342" ref="Q2281"/>
    <hyperlink r:id="rId2343" ref="Q2282"/>
    <hyperlink r:id="rId2344" ref="Q2283"/>
    <hyperlink r:id="rId2345" ref="Q2284"/>
    <hyperlink r:id="rId2346" ref="Q2285"/>
    <hyperlink r:id="rId2347" ref="Q2286"/>
    <hyperlink r:id="rId2348" ref="Q2287"/>
    <hyperlink r:id="rId2349" ref="Q2288"/>
    <hyperlink r:id="rId2350" ref="Q2289"/>
    <hyperlink r:id="rId2351" ref="Q2290"/>
    <hyperlink r:id="rId2352" ref="Q2291"/>
    <hyperlink r:id="rId2353" ref="Q2292"/>
    <hyperlink r:id="rId2354" ref="Q2293"/>
    <hyperlink r:id="rId2355" ref="Q2294"/>
    <hyperlink r:id="rId2356" ref="Q2295"/>
    <hyperlink r:id="rId2357" ref="Q2296"/>
    <hyperlink r:id="rId2358" ref="Q2297"/>
    <hyperlink r:id="rId2359" ref="Q2298"/>
    <hyperlink r:id="rId2360" ref="Q2299"/>
    <hyperlink r:id="rId2361" ref="Q2300"/>
    <hyperlink r:id="rId2362" ref="Q2301"/>
    <hyperlink r:id="rId2363" ref="Q2302"/>
    <hyperlink r:id="rId2364" ref="Q2303"/>
    <hyperlink r:id="rId2365" ref="Q2304"/>
    <hyperlink r:id="rId2366" ref="Q2305"/>
    <hyperlink r:id="rId2367" ref="Q2306"/>
    <hyperlink r:id="rId2368" ref="K2307"/>
    <hyperlink r:id="rId2369" ref="Q2307"/>
    <hyperlink r:id="rId2370" ref="Q2308"/>
    <hyperlink r:id="rId2371" ref="Q2309"/>
    <hyperlink r:id="rId2372" ref="Q2310"/>
    <hyperlink r:id="rId2373" ref="Q2311"/>
    <hyperlink r:id="rId2374" ref="Q2312"/>
    <hyperlink r:id="rId2375" ref="Q2313"/>
    <hyperlink r:id="rId2376" ref="Q2314"/>
    <hyperlink r:id="rId2377" ref="Q2315"/>
    <hyperlink r:id="rId2378" ref="Q2316"/>
    <hyperlink r:id="rId2379" ref="Q2317"/>
    <hyperlink r:id="rId2380" ref="Q2318"/>
    <hyperlink r:id="rId2381" ref="Q2319"/>
    <hyperlink r:id="rId2382" ref="Q2320"/>
    <hyperlink r:id="rId2383" ref="Q2321"/>
    <hyperlink r:id="rId2384" ref="Q2322"/>
    <hyperlink r:id="rId2385" ref="Q2323"/>
    <hyperlink r:id="rId2386" ref="Q2324"/>
    <hyperlink r:id="rId2387" ref="Q2325"/>
    <hyperlink r:id="rId2388" ref="Q2326"/>
    <hyperlink r:id="rId2389" ref="Q2327"/>
    <hyperlink r:id="rId2390" ref="Q2328"/>
    <hyperlink r:id="rId2391" ref="Q2329"/>
    <hyperlink r:id="rId2392" ref="Q2330"/>
    <hyperlink r:id="rId2393" ref="Q2331"/>
    <hyperlink r:id="rId2394" ref="Q2332"/>
    <hyperlink r:id="rId2395" ref="Q2333"/>
    <hyperlink r:id="rId2396" ref="Q2334"/>
    <hyperlink r:id="rId2397" ref="Q2335"/>
    <hyperlink r:id="rId2398" ref="Q2336"/>
    <hyperlink r:id="rId2399" ref="K2337"/>
    <hyperlink r:id="rId2400" ref="Q2337"/>
    <hyperlink r:id="rId2401" ref="Q2338"/>
    <hyperlink r:id="rId2402" ref="Q2339"/>
    <hyperlink r:id="rId2403" ref="K2340"/>
    <hyperlink r:id="rId2404" ref="Q2340"/>
    <hyperlink r:id="rId2405" ref="Q2341"/>
    <hyperlink r:id="rId2406" ref="Q2342"/>
    <hyperlink r:id="rId2407" ref="Q2343"/>
    <hyperlink r:id="rId2408" ref="Q2344"/>
    <hyperlink r:id="rId2409" ref="Q2345"/>
    <hyperlink r:id="rId2410" ref="Q2346"/>
    <hyperlink r:id="rId2411" ref="Q2347"/>
    <hyperlink r:id="rId2412" ref="Q2348"/>
    <hyperlink r:id="rId2413" ref="Q2349"/>
    <hyperlink r:id="rId2414" ref="Q2350"/>
    <hyperlink r:id="rId2415" ref="Q2351"/>
    <hyperlink r:id="rId2416" ref="Q2352"/>
    <hyperlink r:id="rId2417" ref="Q2353"/>
    <hyperlink r:id="rId2418" ref="Q2354"/>
    <hyperlink r:id="rId2419" ref="Q2355"/>
    <hyperlink r:id="rId2420" ref="Q2356"/>
    <hyperlink r:id="rId2421" ref="Q2357"/>
    <hyperlink r:id="rId2422" ref="Q2358"/>
    <hyperlink r:id="rId2423" ref="Q2359"/>
    <hyperlink r:id="rId2424" ref="Q2360"/>
    <hyperlink r:id="rId2425" ref="Q2361"/>
    <hyperlink r:id="rId2426" ref="Q2362"/>
    <hyperlink r:id="rId2427" ref="Q2363"/>
    <hyperlink r:id="rId2428" ref="K2364"/>
    <hyperlink r:id="rId2429" ref="Q2364"/>
    <hyperlink r:id="rId2430" ref="Q2365"/>
    <hyperlink r:id="rId2431" ref="Q2366"/>
    <hyperlink r:id="rId2432" ref="Q2367"/>
    <hyperlink r:id="rId2433" ref="Q2368"/>
    <hyperlink r:id="rId2434" ref="Q2369"/>
    <hyperlink r:id="rId2435" ref="Q2370"/>
    <hyperlink r:id="rId2436" ref="Q2371"/>
    <hyperlink r:id="rId2437" ref="Q2372"/>
    <hyperlink r:id="rId2438" ref="Q2373"/>
    <hyperlink r:id="rId2439" ref="Q2374"/>
    <hyperlink r:id="rId2440" ref="Q2375"/>
    <hyperlink r:id="rId2441" ref="Q2376"/>
    <hyperlink r:id="rId2442" ref="Q2377"/>
    <hyperlink r:id="rId2443" ref="Q2378"/>
    <hyperlink r:id="rId2444" ref="Q2379"/>
    <hyperlink r:id="rId2445" ref="Q2380"/>
    <hyperlink r:id="rId2446" ref="K2381"/>
    <hyperlink r:id="rId2447" ref="Q2381"/>
    <hyperlink r:id="rId2448" ref="Q2382"/>
    <hyperlink r:id="rId2449" ref="Q2383"/>
    <hyperlink r:id="rId2450" ref="Q2384"/>
    <hyperlink r:id="rId2451" ref="Q2385"/>
    <hyperlink r:id="rId2452" ref="Q2386"/>
    <hyperlink r:id="rId2453" ref="Q2387"/>
    <hyperlink r:id="rId2454" ref="Q2388"/>
    <hyperlink r:id="rId2455" ref="Q2389"/>
    <hyperlink r:id="rId2456" ref="K2390"/>
    <hyperlink r:id="rId2457" ref="Q2390"/>
    <hyperlink r:id="rId2458" ref="Q2391"/>
    <hyperlink r:id="rId2459" ref="Q2392"/>
    <hyperlink r:id="rId2460" ref="Q2393"/>
    <hyperlink r:id="rId2461" ref="Q2394"/>
    <hyperlink r:id="rId2462" ref="Q2395"/>
    <hyperlink r:id="rId2463" ref="Q2396"/>
    <hyperlink r:id="rId2464" ref="Q2397"/>
    <hyperlink r:id="rId2465" ref="Q2398"/>
    <hyperlink r:id="rId2466" ref="Q2399"/>
    <hyperlink r:id="rId2467" ref="Q2400"/>
    <hyperlink r:id="rId2468" ref="Q2401"/>
    <hyperlink r:id="rId2469" ref="Q2402"/>
    <hyperlink r:id="rId2470" ref="Q2403"/>
    <hyperlink r:id="rId2471" ref="Q2404"/>
    <hyperlink r:id="rId2472" ref="Q2405"/>
    <hyperlink r:id="rId2473" ref="Q2406"/>
    <hyperlink r:id="rId2474" ref="Q2407"/>
    <hyperlink r:id="rId2475" ref="Q2408"/>
    <hyperlink r:id="rId2476" ref="Q2409"/>
    <hyperlink r:id="rId2477" ref="Q2410"/>
    <hyperlink r:id="rId2478" ref="Q2411"/>
    <hyperlink r:id="rId2479" ref="Q2412"/>
    <hyperlink r:id="rId2480" ref="Q2413"/>
    <hyperlink r:id="rId2481" ref="Q2414"/>
    <hyperlink r:id="rId2482" ref="Q2415"/>
    <hyperlink r:id="rId2483" ref="Q2416"/>
    <hyperlink r:id="rId2484" ref="Q2417"/>
    <hyperlink r:id="rId2485" ref="Q2418"/>
    <hyperlink r:id="rId2486" ref="Q2419"/>
    <hyperlink r:id="rId2487" ref="Q2420"/>
    <hyperlink r:id="rId2488" ref="Q2421"/>
    <hyperlink r:id="rId2489" ref="Q2422"/>
    <hyperlink r:id="rId2490" ref="Q2423"/>
    <hyperlink r:id="rId2491" ref="Q2424"/>
    <hyperlink r:id="rId2492" ref="Q2425"/>
    <hyperlink r:id="rId2493" ref="Q2426"/>
    <hyperlink r:id="rId2494" ref="Q2427"/>
    <hyperlink r:id="rId2495" ref="Q2428"/>
    <hyperlink r:id="rId2496" ref="Q2429"/>
    <hyperlink r:id="rId2497" ref="Q2430"/>
    <hyperlink r:id="rId2498" ref="Q2431"/>
    <hyperlink r:id="rId2499" ref="Q2432"/>
    <hyperlink r:id="rId2500" ref="Q2433"/>
    <hyperlink r:id="rId2501" ref="K2434"/>
    <hyperlink r:id="rId2502" ref="Q2434"/>
    <hyperlink r:id="rId2503" ref="Q2435"/>
    <hyperlink r:id="rId2504" ref="Q2436"/>
    <hyperlink r:id="rId2505" ref="Q2437"/>
    <hyperlink r:id="rId2506" ref="K2438"/>
    <hyperlink r:id="rId2507" ref="Q2438"/>
    <hyperlink r:id="rId2508" ref="Q2439"/>
    <hyperlink r:id="rId2509" ref="Q2440"/>
    <hyperlink r:id="rId2510" ref="Q2441"/>
    <hyperlink r:id="rId2511" ref="Q2442"/>
    <hyperlink r:id="rId2512" ref="Q2443"/>
    <hyperlink r:id="rId2513" ref="Q2444"/>
    <hyperlink r:id="rId2514" ref="Q2445"/>
    <hyperlink r:id="rId2515" ref="Q2446"/>
    <hyperlink r:id="rId2516" ref="Q2447"/>
    <hyperlink r:id="rId2517" ref="K2448"/>
    <hyperlink r:id="rId2518" ref="Q2448"/>
    <hyperlink r:id="rId2519" ref="Q2449"/>
    <hyperlink r:id="rId2520" ref="Q2450"/>
    <hyperlink r:id="rId2521" ref="Q2451"/>
    <hyperlink r:id="rId2522" ref="Q2452"/>
    <hyperlink r:id="rId2523" ref="Q2453"/>
    <hyperlink r:id="rId2524" ref="Q2454"/>
    <hyperlink r:id="rId2525" ref="Q2455"/>
    <hyperlink r:id="rId2526" ref="Q2456"/>
    <hyperlink r:id="rId2527" ref="Q2457"/>
    <hyperlink r:id="rId2528" ref="Q2458"/>
    <hyperlink r:id="rId2529" ref="Q2459"/>
    <hyperlink r:id="rId2530" ref="Q2460"/>
    <hyperlink r:id="rId2531" ref="Q2461"/>
    <hyperlink r:id="rId2532" ref="Q2462"/>
    <hyperlink r:id="rId2533" ref="Q2463"/>
    <hyperlink r:id="rId2534" ref="Q2464"/>
    <hyperlink r:id="rId2535" ref="Q2465"/>
    <hyperlink r:id="rId2536" ref="Q2466"/>
    <hyperlink r:id="rId2537" ref="Q2467"/>
    <hyperlink r:id="rId2538" ref="Q2468"/>
    <hyperlink r:id="rId2539" ref="Q2469"/>
    <hyperlink r:id="rId2540" ref="Q2470"/>
    <hyperlink r:id="rId2541" ref="Q2471"/>
    <hyperlink r:id="rId2542" ref="Q2472"/>
    <hyperlink r:id="rId2543" ref="Q2473"/>
    <hyperlink r:id="rId2544" ref="Q2474"/>
    <hyperlink r:id="rId2545" ref="Q2475"/>
    <hyperlink r:id="rId2546" ref="Q2476"/>
    <hyperlink r:id="rId2547" ref="Q2477"/>
    <hyperlink r:id="rId2548" ref="Q2478"/>
    <hyperlink r:id="rId2549" ref="Q2479"/>
    <hyperlink r:id="rId2550" ref="Q2480"/>
    <hyperlink r:id="rId2551" ref="Q2481"/>
    <hyperlink r:id="rId2552" ref="Q2482"/>
    <hyperlink r:id="rId2553" ref="Q2483"/>
    <hyperlink r:id="rId2554" ref="Q2484"/>
    <hyperlink r:id="rId2555" ref="Q2485"/>
    <hyperlink r:id="rId2556" ref="Q2486"/>
    <hyperlink r:id="rId2557" ref="Q2487"/>
    <hyperlink r:id="rId2558" ref="Q2488"/>
    <hyperlink r:id="rId2559" ref="Q2489"/>
    <hyperlink r:id="rId2560" ref="Q2490"/>
    <hyperlink r:id="rId2561" ref="Q2491"/>
    <hyperlink r:id="rId2562" ref="Q2492"/>
    <hyperlink r:id="rId2563" ref="Q2493"/>
    <hyperlink r:id="rId2564" ref="Q2494"/>
    <hyperlink r:id="rId2565" ref="Q2495"/>
    <hyperlink r:id="rId2566" ref="Q2496"/>
    <hyperlink r:id="rId2567" ref="Q2497"/>
    <hyperlink r:id="rId2568" ref="Q2498"/>
    <hyperlink r:id="rId2569" ref="Q2499"/>
    <hyperlink r:id="rId2570" ref="Q2500"/>
    <hyperlink r:id="rId2571" ref="Q2501"/>
    <hyperlink r:id="rId2572" ref="Q2502"/>
    <hyperlink r:id="rId2573" ref="Q2503"/>
    <hyperlink r:id="rId2574" ref="Q2504"/>
    <hyperlink r:id="rId2575" ref="Q2505"/>
    <hyperlink r:id="rId2576" ref="Q2506"/>
    <hyperlink r:id="rId2577" ref="Q2507"/>
    <hyperlink r:id="rId2578" ref="Q2508"/>
    <hyperlink r:id="rId2579" ref="Q2509"/>
    <hyperlink r:id="rId2580" ref="Q2510"/>
    <hyperlink r:id="rId2581" ref="Q2511"/>
    <hyperlink r:id="rId2582" ref="Q2512"/>
    <hyperlink r:id="rId2583" ref="Q2513"/>
    <hyperlink r:id="rId2584" ref="Q2514"/>
    <hyperlink r:id="rId2585" ref="Q2515"/>
    <hyperlink r:id="rId2586" ref="Q2516"/>
    <hyperlink r:id="rId2587" ref="Q2517"/>
    <hyperlink r:id="rId2588" ref="Q2518"/>
    <hyperlink r:id="rId2589" ref="Q2519"/>
    <hyperlink r:id="rId2590" ref="Q2520"/>
    <hyperlink r:id="rId2591" ref="Q2521"/>
    <hyperlink r:id="rId2592" ref="Q2522"/>
    <hyperlink r:id="rId2593" ref="Q2523"/>
    <hyperlink r:id="rId2594" ref="Q2524"/>
    <hyperlink r:id="rId2595" ref="Q2525"/>
    <hyperlink r:id="rId2596" ref="Q2526"/>
    <hyperlink r:id="rId2597" ref="Q2527"/>
    <hyperlink r:id="rId2598" ref="Q2528"/>
    <hyperlink r:id="rId2599" ref="Q2529"/>
    <hyperlink r:id="rId2600" ref="Q2530"/>
    <hyperlink r:id="rId2601" ref="Q2531"/>
    <hyperlink r:id="rId2602" ref="Q2532"/>
    <hyperlink r:id="rId2603" ref="Q2533"/>
    <hyperlink r:id="rId2604" ref="Q2534"/>
    <hyperlink r:id="rId2605" ref="Q2535"/>
    <hyperlink r:id="rId2606" ref="Q2536"/>
    <hyperlink r:id="rId2607" ref="Q2537"/>
    <hyperlink r:id="rId2608" ref="Q2538"/>
    <hyperlink r:id="rId2609" ref="Q2539"/>
    <hyperlink r:id="rId2610" ref="Q2540"/>
    <hyperlink r:id="rId2611" ref="Q2541"/>
    <hyperlink r:id="rId2612" ref="Q2542"/>
    <hyperlink r:id="rId2613" ref="Q2543"/>
    <hyperlink r:id="rId2614" ref="Q2544"/>
    <hyperlink r:id="rId2615" ref="Q2545"/>
    <hyperlink r:id="rId2616" ref="Q2546"/>
    <hyperlink r:id="rId2617" ref="Q2547"/>
    <hyperlink r:id="rId2618" ref="Q2548"/>
    <hyperlink r:id="rId2619" ref="Q2549"/>
    <hyperlink r:id="rId2620" ref="Q2550"/>
    <hyperlink r:id="rId2621" ref="Q2551"/>
    <hyperlink r:id="rId2622" ref="Q2552"/>
    <hyperlink r:id="rId2623" ref="Q2553"/>
    <hyperlink r:id="rId2624" ref="Q2554"/>
    <hyperlink r:id="rId2625" ref="Q2555"/>
    <hyperlink r:id="rId2626" ref="Q2556"/>
    <hyperlink r:id="rId2627" ref="Q2557"/>
    <hyperlink r:id="rId2628" ref="Q2558"/>
    <hyperlink r:id="rId2629" ref="Q2559"/>
    <hyperlink r:id="rId2630" ref="Q2560"/>
    <hyperlink r:id="rId2631" ref="Q2561"/>
    <hyperlink r:id="rId2632" ref="Q2562"/>
    <hyperlink r:id="rId2633" ref="Q2563"/>
    <hyperlink r:id="rId2634" ref="Q2564"/>
    <hyperlink r:id="rId2635" ref="Q2565"/>
    <hyperlink r:id="rId2636" ref="Q2566"/>
    <hyperlink r:id="rId2637" ref="Q2567"/>
    <hyperlink r:id="rId2638" ref="Q2568"/>
    <hyperlink r:id="rId2639" ref="Q2569"/>
    <hyperlink r:id="rId2640" ref="Q2570"/>
    <hyperlink r:id="rId2641" ref="Q2571"/>
    <hyperlink r:id="rId2642" ref="Q2572"/>
    <hyperlink r:id="rId2643" ref="Q2573"/>
    <hyperlink r:id="rId2644" ref="Q2574"/>
    <hyperlink r:id="rId2645" ref="Q2575"/>
    <hyperlink r:id="rId2646" ref="Q2576"/>
    <hyperlink r:id="rId2647" ref="Q2577"/>
    <hyperlink r:id="rId2648" ref="Q2578"/>
    <hyperlink r:id="rId2649" ref="Q2579"/>
    <hyperlink r:id="rId2650" ref="Q2580"/>
    <hyperlink r:id="rId2651" ref="Q2581"/>
    <hyperlink r:id="rId2652" ref="Q2582"/>
    <hyperlink r:id="rId2653" ref="Q2583"/>
    <hyperlink r:id="rId2654" ref="Q2584"/>
    <hyperlink r:id="rId2655" ref="Q2585"/>
    <hyperlink r:id="rId2656" ref="Q2586"/>
    <hyperlink r:id="rId2657" ref="Q2587"/>
    <hyperlink r:id="rId2658" ref="Q2588"/>
    <hyperlink r:id="rId2659" ref="Q2589"/>
    <hyperlink r:id="rId2660" ref="Q2590"/>
    <hyperlink r:id="rId2661" ref="Q2591"/>
    <hyperlink r:id="rId2662" ref="Q2592"/>
    <hyperlink r:id="rId2663" ref="Q2593"/>
    <hyperlink r:id="rId2664" ref="Q2594"/>
    <hyperlink r:id="rId2665" ref="Q2595"/>
    <hyperlink r:id="rId2666" ref="Q2596"/>
    <hyperlink r:id="rId2667" ref="Q2597"/>
    <hyperlink r:id="rId2668" ref="Q2598"/>
    <hyperlink r:id="rId2669" ref="Q2599"/>
    <hyperlink r:id="rId2670" ref="Q2600"/>
    <hyperlink r:id="rId2671" ref="Q2601"/>
    <hyperlink r:id="rId2672" ref="Q2602"/>
    <hyperlink r:id="rId2673" ref="Q2603"/>
    <hyperlink r:id="rId2674" ref="Q2604"/>
    <hyperlink r:id="rId2675" ref="Q2605"/>
    <hyperlink r:id="rId2676" ref="Q2606"/>
    <hyperlink r:id="rId2677" ref="Q2607"/>
    <hyperlink r:id="rId2678" ref="Q2608"/>
    <hyperlink r:id="rId2679" ref="Q2609"/>
    <hyperlink r:id="rId2680" ref="Q2610"/>
    <hyperlink r:id="rId2681" ref="Q2611"/>
    <hyperlink r:id="rId2682" ref="Q2612"/>
    <hyperlink r:id="rId2683" ref="Q2613"/>
    <hyperlink r:id="rId2684" ref="Q2614"/>
    <hyperlink r:id="rId2685" ref="Q2615"/>
    <hyperlink r:id="rId2686" ref="Q2616"/>
    <hyperlink r:id="rId2687" ref="Q2617"/>
    <hyperlink r:id="rId2688" ref="Q2618"/>
    <hyperlink r:id="rId2689" ref="Q2619"/>
    <hyperlink r:id="rId2690" ref="Q2620"/>
    <hyperlink r:id="rId2691" ref="Q2621"/>
    <hyperlink r:id="rId2692" ref="Q2622"/>
    <hyperlink r:id="rId2693" ref="Q2623"/>
    <hyperlink r:id="rId2694" ref="Q2624"/>
    <hyperlink r:id="rId2695" ref="Q2625"/>
    <hyperlink r:id="rId2696" ref="Q2626"/>
    <hyperlink r:id="rId2697" ref="Q2627"/>
    <hyperlink r:id="rId2698" ref="Q2628"/>
    <hyperlink r:id="rId2699" ref="Q2629"/>
    <hyperlink r:id="rId2700" ref="Q2630"/>
    <hyperlink r:id="rId2701" ref="Q2631"/>
    <hyperlink r:id="rId2702" ref="Q2632"/>
    <hyperlink r:id="rId2703" ref="Q2633"/>
    <hyperlink r:id="rId2704" ref="Q2634"/>
    <hyperlink r:id="rId2705" ref="Q2635"/>
    <hyperlink r:id="rId2706" ref="Q2636"/>
    <hyperlink r:id="rId2707" ref="Q2637"/>
    <hyperlink r:id="rId2708" ref="Q2638"/>
    <hyperlink r:id="rId2709" ref="Q2639"/>
    <hyperlink r:id="rId2710" ref="Q2640"/>
    <hyperlink r:id="rId2711" ref="Q2641"/>
    <hyperlink r:id="rId2712" ref="Q2642"/>
    <hyperlink r:id="rId2713" ref="K2643"/>
    <hyperlink r:id="rId2714" ref="Q2643"/>
    <hyperlink r:id="rId2715" ref="Q2644"/>
    <hyperlink r:id="rId2716" ref="Q2645"/>
    <hyperlink r:id="rId2717" ref="Q2646"/>
    <hyperlink r:id="rId2718" ref="Q2647"/>
    <hyperlink r:id="rId2719" ref="Q2648"/>
    <hyperlink r:id="rId2720" ref="Q2649"/>
    <hyperlink r:id="rId2721" ref="Q2650"/>
    <hyperlink r:id="rId2722" ref="Q2651"/>
    <hyperlink r:id="rId2723" ref="Q2652"/>
    <hyperlink r:id="rId2724" ref="Q2653"/>
    <hyperlink r:id="rId2725" ref="Q2654"/>
    <hyperlink r:id="rId2726" ref="Q2655"/>
    <hyperlink r:id="rId2727" ref="Q2656"/>
    <hyperlink r:id="rId2728" ref="Q2657"/>
    <hyperlink r:id="rId2729" ref="Q2658"/>
    <hyperlink r:id="rId2730" ref="Q2659"/>
    <hyperlink r:id="rId2731" ref="Q2660"/>
    <hyperlink r:id="rId2732" ref="Q2661"/>
    <hyperlink r:id="rId2733" ref="Q2662"/>
    <hyperlink r:id="rId2734" ref="Q2663"/>
    <hyperlink r:id="rId2735" ref="Q2664"/>
    <hyperlink r:id="rId2736" ref="Q2665"/>
    <hyperlink r:id="rId2737" ref="Q2666"/>
    <hyperlink r:id="rId2738" ref="Q2667"/>
    <hyperlink r:id="rId2739" ref="G2668"/>
    <hyperlink r:id="rId2740" ref="Q2668"/>
    <hyperlink r:id="rId2741" ref="Q2669"/>
    <hyperlink r:id="rId2742" ref="Q2670"/>
    <hyperlink r:id="rId2743" ref="Q2671"/>
    <hyperlink r:id="rId2744" ref="Q2672"/>
    <hyperlink r:id="rId2745" ref="Q2673"/>
    <hyperlink r:id="rId2746" ref="K2674"/>
    <hyperlink r:id="rId2747" ref="Q2674"/>
    <hyperlink r:id="rId2748" ref="Q2675"/>
    <hyperlink r:id="rId2749" ref="K2676"/>
    <hyperlink r:id="rId2750" ref="Q2676"/>
    <hyperlink r:id="rId2751" ref="Q2677"/>
    <hyperlink r:id="rId2752" ref="Q2678"/>
    <hyperlink r:id="rId2753" ref="Q2679"/>
    <hyperlink r:id="rId2754" ref="Q2680"/>
    <hyperlink r:id="rId2755" ref="Q2681"/>
    <hyperlink r:id="rId2756" ref="Q2682"/>
    <hyperlink r:id="rId2757" ref="Q2683"/>
    <hyperlink r:id="rId2758" ref="Q2684"/>
    <hyperlink r:id="rId2759" ref="Q2685"/>
    <hyperlink r:id="rId2760" ref="Q2686"/>
    <hyperlink r:id="rId2761" ref="Q2687"/>
    <hyperlink r:id="rId2762" ref="Q2688"/>
    <hyperlink r:id="rId2763" ref="Q2689"/>
    <hyperlink r:id="rId2764" ref="Q2690"/>
    <hyperlink r:id="rId2765" ref="Q2691"/>
    <hyperlink r:id="rId2766" ref="Q2692"/>
    <hyperlink r:id="rId2767" ref="Q2693"/>
    <hyperlink r:id="rId2768" ref="Q2694"/>
    <hyperlink r:id="rId2769" ref="Q2695"/>
    <hyperlink r:id="rId2770" ref="Q2696"/>
    <hyperlink r:id="rId2771" ref="Q2697"/>
    <hyperlink r:id="rId2772" ref="Q2698"/>
    <hyperlink r:id="rId2773" ref="Q2699"/>
    <hyperlink r:id="rId2774" ref="Q2700"/>
    <hyperlink r:id="rId2775" ref="Q2701"/>
    <hyperlink r:id="rId2776" ref="Q2702"/>
    <hyperlink r:id="rId2777" ref="Q2703"/>
    <hyperlink r:id="rId2778" ref="Q2704"/>
    <hyperlink r:id="rId2779" ref="Q2705"/>
    <hyperlink r:id="rId2780" ref="Q2706"/>
    <hyperlink r:id="rId2781" ref="Q2707"/>
    <hyperlink r:id="rId2782" ref="Q2708"/>
    <hyperlink r:id="rId2783" ref="Q2709"/>
    <hyperlink r:id="rId2784" ref="Q2710"/>
    <hyperlink r:id="rId2785" ref="Q2711"/>
    <hyperlink r:id="rId2786" ref="Q2712"/>
    <hyperlink r:id="rId2787" ref="Q2713"/>
    <hyperlink r:id="rId2788" ref="Q2714"/>
    <hyperlink r:id="rId2789" ref="Q2715"/>
    <hyperlink r:id="rId2790" ref="Q2716"/>
    <hyperlink r:id="rId2791" ref="Q2717"/>
    <hyperlink r:id="rId2792" ref="Q2718"/>
    <hyperlink r:id="rId2793" ref="Q2719"/>
    <hyperlink r:id="rId2794" ref="Q2720"/>
    <hyperlink r:id="rId2795" ref="Q2721"/>
    <hyperlink r:id="rId2796" ref="Q2722"/>
    <hyperlink r:id="rId2797" ref="Q2723"/>
    <hyperlink r:id="rId2798" ref="Q2724"/>
    <hyperlink r:id="rId2799" ref="Q2725"/>
    <hyperlink r:id="rId2800" ref="Q2726"/>
    <hyperlink r:id="rId2801" ref="Q2727"/>
    <hyperlink r:id="rId2802" ref="Q2728"/>
    <hyperlink r:id="rId2803" ref="Q2729"/>
    <hyperlink r:id="rId2804" ref="Q2730"/>
    <hyperlink r:id="rId2805" ref="Q2731"/>
    <hyperlink r:id="rId2806" ref="Q2732"/>
    <hyperlink r:id="rId2807" ref="Q2733"/>
    <hyperlink r:id="rId2808" ref="Q2734"/>
    <hyperlink r:id="rId2809" ref="Q2735"/>
    <hyperlink r:id="rId2810" ref="Q2736"/>
    <hyperlink r:id="rId2811" ref="Q2737"/>
    <hyperlink r:id="rId2812" ref="Q2738"/>
    <hyperlink r:id="rId2813" ref="Q2739"/>
    <hyperlink r:id="rId2814" ref="Q2740"/>
    <hyperlink r:id="rId2815" ref="Q2741"/>
    <hyperlink r:id="rId2816" ref="Q2742"/>
    <hyperlink r:id="rId2817" ref="Q2743"/>
    <hyperlink r:id="rId2818" ref="Q2744"/>
    <hyperlink r:id="rId2819" ref="Q2745"/>
    <hyperlink r:id="rId2820" ref="Q2746"/>
    <hyperlink r:id="rId2821" ref="Q2747"/>
    <hyperlink r:id="rId2822" ref="Q2748"/>
    <hyperlink r:id="rId2823" ref="Q2749"/>
    <hyperlink r:id="rId2824" ref="Q2750"/>
    <hyperlink r:id="rId2825" ref="Q2751"/>
    <hyperlink r:id="rId2826" ref="K2752"/>
    <hyperlink r:id="rId2827" ref="Q2752"/>
    <hyperlink r:id="rId2828" ref="Q2753"/>
    <hyperlink r:id="rId2829" ref="Q2754"/>
    <hyperlink r:id="rId2830" ref="Q2755"/>
    <hyperlink r:id="rId2831" ref="Q2756"/>
    <hyperlink r:id="rId2832" ref="Q2757"/>
    <hyperlink r:id="rId2833" ref="Q2758"/>
    <hyperlink r:id="rId2834" ref="K2759"/>
    <hyperlink r:id="rId2835" ref="Q2759"/>
    <hyperlink r:id="rId2836" ref="Q2760"/>
    <hyperlink r:id="rId2837" ref="Q2761"/>
    <hyperlink r:id="rId2838" ref="Q2762"/>
    <hyperlink r:id="rId2839" ref="K2763"/>
    <hyperlink r:id="rId2840" ref="Q2763"/>
    <hyperlink r:id="rId2841" ref="Q2764"/>
    <hyperlink r:id="rId2842" ref="Q2765"/>
    <hyperlink r:id="rId2843" ref="Q2766"/>
    <hyperlink r:id="rId2844" ref="Q2767"/>
    <hyperlink r:id="rId2845" ref="Q2768"/>
    <hyperlink r:id="rId2846" ref="Q2769"/>
    <hyperlink r:id="rId2847" ref="Q2770"/>
    <hyperlink r:id="rId2848" ref="Q2771"/>
    <hyperlink r:id="rId2849" ref="Q2772"/>
    <hyperlink r:id="rId2850" ref="Q2773"/>
    <hyperlink r:id="rId2851" ref="Q2774"/>
    <hyperlink r:id="rId2852" ref="Q2775"/>
    <hyperlink r:id="rId2853" ref="Q2776"/>
    <hyperlink r:id="rId2854" ref="Q2777"/>
    <hyperlink r:id="rId2855" ref="Q2778"/>
    <hyperlink r:id="rId2856" ref="Q2779"/>
    <hyperlink r:id="rId2857" ref="Q2780"/>
    <hyperlink r:id="rId2858" ref="Q2781"/>
    <hyperlink r:id="rId2859" ref="Q2782"/>
    <hyperlink r:id="rId2860" ref="Q2783"/>
    <hyperlink r:id="rId2861" ref="Q2784"/>
    <hyperlink r:id="rId2862" ref="Q2785"/>
    <hyperlink r:id="rId2863" ref="Q2786"/>
    <hyperlink r:id="rId2864" ref="Q2787"/>
    <hyperlink r:id="rId2865" ref="Q2788"/>
    <hyperlink r:id="rId2866" ref="Q2789"/>
    <hyperlink r:id="rId2867" ref="Q2790"/>
    <hyperlink r:id="rId2868" ref="Q2791"/>
    <hyperlink r:id="rId2869" ref="Q2792"/>
    <hyperlink r:id="rId2870" ref="Q2793"/>
    <hyperlink r:id="rId2871" ref="Q2794"/>
    <hyperlink r:id="rId2872" ref="Q2795"/>
    <hyperlink r:id="rId2873" ref="Q2796"/>
    <hyperlink r:id="rId2874" ref="Q2797"/>
    <hyperlink r:id="rId2875" ref="Q2798"/>
    <hyperlink r:id="rId2876" ref="Q2799"/>
    <hyperlink r:id="rId2877" ref="Q2800"/>
    <hyperlink r:id="rId2878" ref="Q2801"/>
    <hyperlink r:id="rId2879" ref="Q2802"/>
    <hyperlink r:id="rId2880" ref="Q2803"/>
    <hyperlink r:id="rId2881" ref="Q2804"/>
    <hyperlink r:id="rId2882" ref="Q2805"/>
    <hyperlink r:id="rId2883" ref="Q2806"/>
    <hyperlink r:id="rId2884" ref="Q2807"/>
    <hyperlink r:id="rId2885" ref="Q2808"/>
    <hyperlink r:id="rId2886" ref="Q2809"/>
    <hyperlink r:id="rId2887" ref="Q2810"/>
    <hyperlink r:id="rId2888" ref="Q2811"/>
    <hyperlink r:id="rId2889" ref="Q2812"/>
    <hyperlink r:id="rId2890" ref="Q2813"/>
    <hyperlink r:id="rId2891" ref="Q2814"/>
    <hyperlink r:id="rId2892" ref="Q2815"/>
    <hyperlink r:id="rId2893" ref="Q2816"/>
    <hyperlink r:id="rId2894" ref="Q2817"/>
    <hyperlink r:id="rId2895" ref="Q2818"/>
    <hyperlink r:id="rId2896" ref="Q2819"/>
    <hyperlink r:id="rId2897" ref="Q2820"/>
    <hyperlink r:id="rId2898" ref="Q2821"/>
    <hyperlink r:id="rId2899" ref="Q2822"/>
    <hyperlink r:id="rId2900" ref="Q2823"/>
    <hyperlink r:id="rId2901" ref="Q2824"/>
    <hyperlink r:id="rId2902" ref="Q2825"/>
    <hyperlink r:id="rId2903" ref="K2826"/>
    <hyperlink r:id="rId2904" ref="Q2826"/>
    <hyperlink r:id="rId2905" ref="Q2827"/>
    <hyperlink r:id="rId2906" ref="Q2828"/>
    <hyperlink r:id="rId2907" ref="Q2829"/>
    <hyperlink r:id="rId2908" ref="Q2830"/>
    <hyperlink r:id="rId2909" ref="Q2831"/>
    <hyperlink r:id="rId2910" ref="Q2832"/>
    <hyperlink r:id="rId2911" ref="Q2833"/>
    <hyperlink r:id="rId2912" ref="Q2834"/>
    <hyperlink r:id="rId2913" ref="Q2835"/>
    <hyperlink r:id="rId2914" ref="Q2836"/>
    <hyperlink r:id="rId2915" ref="Q2837"/>
    <hyperlink r:id="rId2916" ref="Q2838"/>
    <hyperlink r:id="rId2917" ref="Q2839"/>
    <hyperlink r:id="rId2918" ref="Q2840"/>
    <hyperlink r:id="rId2919" ref="Q2841"/>
    <hyperlink r:id="rId2920" ref="Q2842"/>
    <hyperlink r:id="rId2921" ref="Q2843"/>
    <hyperlink r:id="rId2922" ref="Q2844"/>
    <hyperlink r:id="rId2923" ref="K2845"/>
    <hyperlink r:id="rId2924" ref="Q2845"/>
    <hyperlink r:id="rId2925" ref="Q2846"/>
    <hyperlink r:id="rId2926" ref="Q2847"/>
    <hyperlink r:id="rId2927" ref="Q2848"/>
    <hyperlink r:id="rId2928" ref="Q2849"/>
    <hyperlink r:id="rId2929" ref="Q2850"/>
    <hyperlink r:id="rId2930" ref="Q2851"/>
    <hyperlink r:id="rId2931" ref="Q2852"/>
    <hyperlink r:id="rId2932" ref="Q2853"/>
    <hyperlink r:id="rId2933" ref="Q2854"/>
    <hyperlink r:id="rId2934" ref="Q2855"/>
    <hyperlink r:id="rId2935" ref="Q2856"/>
    <hyperlink r:id="rId2936" ref="Q2857"/>
    <hyperlink r:id="rId2937" ref="Q2858"/>
    <hyperlink r:id="rId2938" ref="Q2859"/>
    <hyperlink r:id="rId2939" ref="Q2860"/>
    <hyperlink r:id="rId2940" ref="Q2861"/>
    <hyperlink r:id="rId2941" ref="Q2862"/>
    <hyperlink r:id="rId2942" ref="Q2863"/>
    <hyperlink r:id="rId2943" ref="Q2864"/>
    <hyperlink r:id="rId2944" ref="Q2865"/>
    <hyperlink r:id="rId2945" ref="Q2866"/>
    <hyperlink r:id="rId2946" ref="Q2867"/>
    <hyperlink r:id="rId2947" ref="Q2868"/>
    <hyperlink r:id="rId2948" ref="Q2869"/>
    <hyperlink r:id="rId2949" ref="Q2870"/>
    <hyperlink r:id="rId2950" ref="Q2871"/>
    <hyperlink r:id="rId2951" ref="Q2872"/>
    <hyperlink r:id="rId2952" ref="Q2873"/>
    <hyperlink r:id="rId2953" ref="Q2874"/>
    <hyperlink r:id="rId2954" ref="Q2875"/>
    <hyperlink r:id="rId2955" ref="Q2876"/>
    <hyperlink r:id="rId2956" ref="Q2877"/>
    <hyperlink r:id="rId2957" ref="Q2878"/>
    <hyperlink r:id="rId2958" ref="Q2879"/>
    <hyperlink r:id="rId2959" ref="Q2880"/>
    <hyperlink r:id="rId2960" ref="Q2881"/>
    <hyperlink r:id="rId2961" ref="Q2882"/>
    <hyperlink r:id="rId2962" ref="Q2883"/>
    <hyperlink r:id="rId2963" ref="Q2884"/>
    <hyperlink r:id="rId2964" ref="Q2885"/>
    <hyperlink r:id="rId2965" ref="Q2886"/>
    <hyperlink r:id="rId2966" ref="Q2887"/>
    <hyperlink r:id="rId2967" ref="Q2888"/>
    <hyperlink r:id="rId2968" ref="Q2889"/>
    <hyperlink r:id="rId2969" ref="Q2890"/>
    <hyperlink r:id="rId2970" ref="Q2891"/>
    <hyperlink r:id="rId2971" ref="Q2892"/>
    <hyperlink r:id="rId2972" ref="Q2893"/>
    <hyperlink r:id="rId2973" ref="Q2894"/>
    <hyperlink r:id="rId2974" ref="Q2895"/>
    <hyperlink r:id="rId2975" ref="Q2896"/>
    <hyperlink r:id="rId2976" ref="Q2897"/>
    <hyperlink r:id="rId2977" ref="Q2898"/>
    <hyperlink r:id="rId2978" ref="Q2899"/>
    <hyperlink r:id="rId2979" ref="Q2900"/>
    <hyperlink r:id="rId2980" ref="Q2901"/>
    <hyperlink r:id="rId2981" ref="Q2902"/>
    <hyperlink r:id="rId2982" ref="Q2903"/>
    <hyperlink r:id="rId2983" ref="Q2904"/>
    <hyperlink r:id="rId2984" ref="Q2905"/>
    <hyperlink r:id="rId2985" ref="Q2906"/>
    <hyperlink r:id="rId2986" ref="Q2907"/>
    <hyperlink r:id="rId2987" ref="Q2908"/>
    <hyperlink r:id="rId2988" ref="Q2909"/>
    <hyperlink r:id="rId2989" ref="Q2910"/>
    <hyperlink r:id="rId2990" ref="Q2911"/>
    <hyperlink r:id="rId2991" ref="Q2912"/>
    <hyperlink r:id="rId2992" ref="Q2913"/>
    <hyperlink r:id="rId2993" ref="Q2914"/>
    <hyperlink r:id="rId2994" ref="Q2915"/>
    <hyperlink r:id="rId2995" ref="Q2916"/>
    <hyperlink r:id="rId2996" ref="Q2917"/>
    <hyperlink r:id="rId2997" ref="Q2918"/>
    <hyperlink r:id="rId2998" ref="Q2919"/>
    <hyperlink r:id="rId2999" ref="Q2920"/>
    <hyperlink r:id="rId3000" ref="Q2921"/>
    <hyperlink r:id="rId3001" ref="Q2922"/>
    <hyperlink r:id="rId3002" ref="Q2923"/>
    <hyperlink r:id="rId3003" ref="Q2924"/>
    <hyperlink r:id="rId3004" ref="Q2925"/>
    <hyperlink r:id="rId3005" ref="Q2926"/>
    <hyperlink r:id="rId3006" ref="Q2927"/>
    <hyperlink r:id="rId3007" ref="Q2928"/>
    <hyperlink r:id="rId3008" ref="Q2929"/>
    <hyperlink r:id="rId3009" ref="Q2930"/>
    <hyperlink r:id="rId3010" ref="Q2931"/>
    <hyperlink r:id="rId3011" ref="Q2932"/>
    <hyperlink r:id="rId3012" ref="Q2933"/>
    <hyperlink r:id="rId3013" ref="Q2934"/>
    <hyperlink r:id="rId3014" ref="Q2935"/>
    <hyperlink r:id="rId3015" ref="Q2936"/>
    <hyperlink r:id="rId3016" ref="Q2937"/>
    <hyperlink r:id="rId3017" ref="Q2938"/>
    <hyperlink r:id="rId3018" ref="Q2939"/>
    <hyperlink r:id="rId3019" ref="Q2940"/>
    <hyperlink r:id="rId3020" ref="Q2941"/>
    <hyperlink r:id="rId3021" ref="Q2942"/>
    <hyperlink r:id="rId3022" ref="Q2943"/>
    <hyperlink r:id="rId3023" ref="Q2944"/>
    <hyperlink r:id="rId3024" ref="Q2945"/>
    <hyperlink r:id="rId3025" ref="Q2946"/>
    <hyperlink r:id="rId3026" ref="Q2947"/>
    <hyperlink r:id="rId3027" ref="Q2948"/>
    <hyperlink r:id="rId3028" ref="Q2949"/>
    <hyperlink r:id="rId3029" ref="Q2950"/>
    <hyperlink r:id="rId3030" ref="Q2951"/>
    <hyperlink r:id="rId3031" ref="Q2952"/>
    <hyperlink r:id="rId3032" ref="Q2953"/>
    <hyperlink r:id="rId3033" ref="Q2954"/>
    <hyperlink r:id="rId3034" ref="Q2955"/>
    <hyperlink r:id="rId3035" ref="Q2956"/>
    <hyperlink r:id="rId3036" ref="Q2957"/>
    <hyperlink r:id="rId3037" ref="Q2958"/>
    <hyperlink r:id="rId3038" ref="Q2959"/>
    <hyperlink r:id="rId3039" ref="Q2960"/>
    <hyperlink r:id="rId3040" ref="Q2961"/>
    <hyperlink r:id="rId3041" ref="Q2962"/>
    <hyperlink r:id="rId3042" ref="Q2963"/>
    <hyperlink r:id="rId3043" ref="Q2964"/>
    <hyperlink r:id="rId3044" ref="Q2965"/>
    <hyperlink r:id="rId3045" ref="Q2966"/>
    <hyperlink r:id="rId3046" ref="Q2967"/>
    <hyperlink r:id="rId3047" ref="Q2968"/>
    <hyperlink r:id="rId3048" ref="Q2969"/>
    <hyperlink r:id="rId3049" ref="Q2970"/>
    <hyperlink r:id="rId3050" ref="Q2971"/>
    <hyperlink r:id="rId3051" ref="Q2972"/>
    <hyperlink r:id="rId3052" ref="Q2973"/>
    <hyperlink r:id="rId3053" ref="Q2974"/>
    <hyperlink r:id="rId3054" ref="Q2975"/>
    <hyperlink r:id="rId3055" ref="Q2976"/>
    <hyperlink r:id="rId3056" ref="Q2977"/>
    <hyperlink r:id="rId3057" ref="Q2978"/>
    <hyperlink r:id="rId3058" ref="Q2979"/>
    <hyperlink r:id="rId3059" ref="Q2980"/>
    <hyperlink r:id="rId3060" ref="Q2981"/>
    <hyperlink r:id="rId3061" ref="Q2982"/>
    <hyperlink r:id="rId3062" ref="Q2983"/>
    <hyperlink r:id="rId3063" ref="Q2984"/>
    <hyperlink r:id="rId3064" ref="Q2985"/>
    <hyperlink r:id="rId3065" ref="Q2986"/>
    <hyperlink r:id="rId3066" ref="Q2987"/>
    <hyperlink r:id="rId3067" ref="Q2988"/>
    <hyperlink r:id="rId3068" ref="Q2989"/>
    <hyperlink r:id="rId3069" ref="Q2990"/>
    <hyperlink r:id="rId3070" ref="Q2991"/>
    <hyperlink r:id="rId3071" ref="Q2992"/>
    <hyperlink r:id="rId3072" ref="Q2993"/>
    <hyperlink r:id="rId3073" ref="Q2994"/>
    <hyperlink r:id="rId3074" ref="Q2995"/>
    <hyperlink r:id="rId3075" ref="Q2996"/>
    <hyperlink r:id="rId3076" ref="Q2997"/>
    <hyperlink r:id="rId3077" ref="Q2998"/>
    <hyperlink r:id="rId3078" ref="Q2999"/>
    <hyperlink r:id="rId3079" ref="Q3000"/>
    <hyperlink r:id="rId3080" ref="Q3001"/>
    <hyperlink r:id="rId3081" ref="Q3002"/>
    <hyperlink r:id="rId3082" ref="Q3003"/>
    <hyperlink r:id="rId3083" ref="Q3004"/>
    <hyperlink r:id="rId3084" ref="Q3005"/>
    <hyperlink r:id="rId3085" ref="Q3006"/>
    <hyperlink r:id="rId3086" ref="Q3007"/>
    <hyperlink r:id="rId3087" ref="Q3008"/>
    <hyperlink r:id="rId3088" ref="Q3009"/>
    <hyperlink r:id="rId3089" ref="Q3010"/>
    <hyperlink r:id="rId3090" ref="Q3011"/>
    <hyperlink r:id="rId3091" ref="Q3012"/>
    <hyperlink r:id="rId3092" ref="Q3013"/>
    <hyperlink r:id="rId3093" ref="Q3014"/>
    <hyperlink r:id="rId3094" ref="Q3015"/>
    <hyperlink r:id="rId3095" ref="Q3016"/>
    <hyperlink r:id="rId3096" ref="K3017"/>
    <hyperlink r:id="rId3097" ref="Q3017"/>
    <hyperlink r:id="rId3098" ref="Q3018"/>
    <hyperlink r:id="rId3099" ref="Q3019"/>
    <hyperlink r:id="rId3100" ref="Q3020"/>
    <hyperlink r:id="rId3101" ref="Q3021"/>
    <hyperlink r:id="rId3102" ref="Q3022"/>
    <hyperlink r:id="rId3103" ref="Q3023"/>
    <hyperlink r:id="rId3104" ref="Q3024"/>
    <hyperlink r:id="rId3105" ref="Q3025"/>
    <hyperlink r:id="rId3106" ref="Q3026"/>
    <hyperlink r:id="rId3107" ref="K3027"/>
    <hyperlink r:id="rId3108" ref="Q3027"/>
    <hyperlink r:id="rId3109" ref="Q3028"/>
    <hyperlink r:id="rId3110" ref="Q3029"/>
    <hyperlink r:id="rId3111" ref="Q3030"/>
    <hyperlink r:id="rId3112" ref="Q3031"/>
    <hyperlink r:id="rId3113" ref="Q3032"/>
    <hyperlink r:id="rId3114" ref="Q3033"/>
    <hyperlink r:id="rId3115" ref="Q3034"/>
    <hyperlink r:id="rId3116" ref="Q3035"/>
    <hyperlink r:id="rId3117" ref="Q3036"/>
    <hyperlink r:id="rId3118" ref="Q3037"/>
    <hyperlink r:id="rId3119" ref="Q3038"/>
    <hyperlink r:id="rId3120" ref="Q3039"/>
    <hyperlink r:id="rId3121" ref="Q3040"/>
    <hyperlink r:id="rId3122" ref="Q3041"/>
    <hyperlink r:id="rId3123" ref="Q3042"/>
    <hyperlink r:id="rId3124" ref="Q3043"/>
    <hyperlink r:id="rId3125" ref="Q3044"/>
    <hyperlink r:id="rId3126" ref="Q3045"/>
    <hyperlink r:id="rId3127" ref="Q3046"/>
    <hyperlink r:id="rId3128" ref="Q3047"/>
    <hyperlink r:id="rId3129" ref="Q3048"/>
    <hyperlink r:id="rId3130" ref="Q3049"/>
    <hyperlink r:id="rId3131" ref="Q3050"/>
    <hyperlink r:id="rId3132" ref="Q3051"/>
    <hyperlink r:id="rId3133" ref="Q3052"/>
    <hyperlink r:id="rId3134" ref="Q3053"/>
    <hyperlink r:id="rId3135" ref="Q3054"/>
    <hyperlink r:id="rId3136" ref="Q3055"/>
    <hyperlink r:id="rId3137" ref="Q3056"/>
    <hyperlink r:id="rId3138" ref="Q3057"/>
    <hyperlink r:id="rId3139" ref="Q3058"/>
    <hyperlink r:id="rId3140" ref="Q3059"/>
    <hyperlink r:id="rId3141" ref="Q3060"/>
    <hyperlink r:id="rId3142" ref="Q3061"/>
    <hyperlink r:id="rId3143" ref="Q3062"/>
    <hyperlink r:id="rId3144" ref="Q3063"/>
    <hyperlink r:id="rId3145" ref="Q3064"/>
    <hyperlink r:id="rId3146" ref="Q3065"/>
    <hyperlink r:id="rId3147" ref="Q3066"/>
    <hyperlink r:id="rId3148" ref="Q3067"/>
    <hyperlink r:id="rId3149" ref="Q3068"/>
    <hyperlink r:id="rId3150" ref="Q3069"/>
    <hyperlink r:id="rId3151" ref="Q3070"/>
    <hyperlink r:id="rId3152" ref="Q3071"/>
    <hyperlink r:id="rId3153" ref="Q3072"/>
    <hyperlink r:id="rId3154" ref="Q3073"/>
    <hyperlink r:id="rId3155" ref="Q3074"/>
    <hyperlink r:id="rId3156" ref="Q3075"/>
    <hyperlink r:id="rId3157" ref="Q3076"/>
    <hyperlink r:id="rId3158" ref="Q3077"/>
    <hyperlink r:id="rId3159" ref="Q3078"/>
    <hyperlink r:id="rId3160" ref="Q3079"/>
    <hyperlink r:id="rId3161" ref="Q3080"/>
    <hyperlink r:id="rId3162" ref="Q3081"/>
    <hyperlink r:id="rId3163" ref="Q3082"/>
    <hyperlink r:id="rId3164" ref="Q3083"/>
    <hyperlink r:id="rId3165" ref="Q3084"/>
    <hyperlink r:id="rId3166" ref="Q3085"/>
    <hyperlink r:id="rId3167" ref="Q3086"/>
    <hyperlink r:id="rId3168" ref="Q3087"/>
    <hyperlink r:id="rId3169" ref="Q3088"/>
    <hyperlink r:id="rId3170" ref="Q3089"/>
    <hyperlink r:id="rId3171" ref="Q3090"/>
    <hyperlink r:id="rId3172" ref="Q3091"/>
    <hyperlink r:id="rId3173" ref="Q3092"/>
    <hyperlink r:id="rId3174" ref="Q3093"/>
    <hyperlink r:id="rId3175" ref="Q3094"/>
    <hyperlink r:id="rId3176" ref="Q3095"/>
    <hyperlink r:id="rId3177" ref="Q3096"/>
    <hyperlink r:id="rId3178" ref="Q3097"/>
    <hyperlink r:id="rId3179" ref="Q3098"/>
    <hyperlink r:id="rId3180" ref="Q3099"/>
    <hyperlink r:id="rId3181" ref="Q3100"/>
    <hyperlink r:id="rId3182" ref="Q3101"/>
    <hyperlink r:id="rId3183" ref="Q3102"/>
    <hyperlink r:id="rId3184" ref="Q3103"/>
    <hyperlink r:id="rId3185" ref="Q3104"/>
    <hyperlink r:id="rId3186" ref="Q3105"/>
    <hyperlink r:id="rId3187" ref="Q3106"/>
    <hyperlink r:id="rId3188" ref="Q3107"/>
    <hyperlink r:id="rId3189" ref="Q3108"/>
    <hyperlink r:id="rId3190" ref="Q3109"/>
    <hyperlink r:id="rId3191" ref="Q3110"/>
    <hyperlink r:id="rId3192" ref="Q3111"/>
    <hyperlink r:id="rId3193" ref="Q3112"/>
    <hyperlink r:id="rId3194" ref="Q3113"/>
    <hyperlink r:id="rId3195" ref="Q3114"/>
    <hyperlink r:id="rId3196" ref="Q3115"/>
    <hyperlink r:id="rId3197" ref="Q3116"/>
    <hyperlink r:id="rId3198" ref="Q3117"/>
    <hyperlink r:id="rId3199" ref="Q3118"/>
    <hyperlink r:id="rId3200" ref="Q3119"/>
    <hyperlink r:id="rId3201" ref="Q3120"/>
    <hyperlink r:id="rId3202" ref="Q3121"/>
    <hyperlink r:id="rId3203" ref="Q3122"/>
    <hyperlink r:id="rId3204" ref="Q3123"/>
    <hyperlink r:id="rId3205" ref="Q3124"/>
    <hyperlink r:id="rId3206" ref="Q3125"/>
    <hyperlink r:id="rId3207" ref="Q3126"/>
    <hyperlink r:id="rId3208" ref="Q3127"/>
    <hyperlink r:id="rId3209" ref="Q3128"/>
    <hyperlink r:id="rId3210" ref="Q3129"/>
    <hyperlink r:id="rId3211" ref="Q3130"/>
    <hyperlink r:id="rId3212" ref="Q3131"/>
    <hyperlink r:id="rId3213" ref="Q3132"/>
    <hyperlink r:id="rId3214" ref="Q3133"/>
    <hyperlink r:id="rId3215" ref="Q3134"/>
    <hyperlink r:id="rId3216" ref="Q3135"/>
    <hyperlink r:id="rId3217" ref="Q3136"/>
    <hyperlink r:id="rId3218" ref="Q3137"/>
    <hyperlink r:id="rId3219" ref="Q3138"/>
    <hyperlink r:id="rId3220" ref="Q3139"/>
    <hyperlink r:id="rId3221" ref="Q3140"/>
    <hyperlink r:id="rId3222" ref="Q3141"/>
    <hyperlink r:id="rId3223" ref="Q3142"/>
    <hyperlink r:id="rId3224" ref="Q3143"/>
    <hyperlink r:id="rId3225" ref="Q3144"/>
    <hyperlink r:id="rId3226" ref="Q3145"/>
    <hyperlink r:id="rId3227" ref="Q3146"/>
    <hyperlink r:id="rId3228" ref="Q3147"/>
    <hyperlink r:id="rId3229" ref="Q3148"/>
    <hyperlink r:id="rId3230" ref="Q3149"/>
    <hyperlink r:id="rId3231" ref="Q3150"/>
    <hyperlink r:id="rId3232" ref="Q3151"/>
    <hyperlink r:id="rId3233" ref="Q3152"/>
    <hyperlink r:id="rId3234" ref="Q3153"/>
    <hyperlink r:id="rId3235" ref="Q3154"/>
    <hyperlink r:id="rId3236" ref="Q3155"/>
    <hyperlink r:id="rId3237" ref="Q3156"/>
    <hyperlink r:id="rId3238" ref="Q3157"/>
    <hyperlink r:id="rId3239" ref="Q3158"/>
    <hyperlink r:id="rId3240" ref="Q3159"/>
    <hyperlink r:id="rId3241" ref="Q3160"/>
    <hyperlink r:id="rId3242" ref="Q3161"/>
    <hyperlink r:id="rId3243" ref="Q3162"/>
    <hyperlink r:id="rId3244" ref="Q3163"/>
    <hyperlink r:id="rId3245" ref="Q3164"/>
    <hyperlink r:id="rId3246" ref="Q3165"/>
    <hyperlink r:id="rId3247" ref="Q3166"/>
    <hyperlink r:id="rId3248" ref="Q3167"/>
    <hyperlink r:id="rId3249" ref="Q3168"/>
    <hyperlink r:id="rId3250" ref="Q3169"/>
    <hyperlink r:id="rId3251" ref="Q3170"/>
    <hyperlink r:id="rId3252" ref="Q3171"/>
    <hyperlink r:id="rId3253" ref="Q3172"/>
    <hyperlink r:id="rId3254" ref="Q3173"/>
    <hyperlink r:id="rId3255" ref="Q3174"/>
    <hyperlink r:id="rId3256" ref="Q3175"/>
    <hyperlink r:id="rId3257" ref="Q3176"/>
    <hyperlink r:id="rId3258" ref="Q3177"/>
    <hyperlink r:id="rId3259" ref="Q3178"/>
    <hyperlink r:id="rId3260" ref="Q3179"/>
    <hyperlink r:id="rId3261" ref="Q3180"/>
    <hyperlink r:id="rId3262" ref="Q3181"/>
    <hyperlink r:id="rId3263" ref="Q3182"/>
    <hyperlink r:id="rId3264" ref="Q3183"/>
    <hyperlink r:id="rId3265" ref="Q3184"/>
    <hyperlink r:id="rId3266" ref="Q3185"/>
    <hyperlink r:id="rId3267" ref="Q3186"/>
    <hyperlink r:id="rId3268" ref="Q3187"/>
    <hyperlink r:id="rId3269" ref="Q3188"/>
    <hyperlink r:id="rId3270" ref="Q3189"/>
    <hyperlink r:id="rId3271" ref="Q3190"/>
    <hyperlink r:id="rId3272" ref="Q3191"/>
    <hyperlink r:id="rId3273" ref="Q3192"/>
    <hyperlink r:id="rId3274" ref="Q3193"/>
    <hyperlink r:id="rId3275" ref="Q3194"/>
    <hyperlink r:id="rId3276" ref="Q3195"/>
    <hyperlink r:id="rId3277" ref="Q3196"/>
    <hyperlink r:id="rId3278" ref="Q3197"/>
    <hyperlink r:id="rId3279" ref="Q3198"/>
    <hyperlink r:id="rId3280" ref="Q3199"/>
    <hyperlink r:id="rId3281" ref="Q3200"/>
    <hyperlink r:id="rId3282" ref="Q3201"/>
    <hyperlink r:id="rId3283" ref="Q3202"/>
    <hyperlink r:id="rId3284" ref="Q3203"/>
    <hyperlink r:id="rId3285" ref="Q3204"/>
    <hyperlink r:id="rId3286" ref="Q3205"/>
    <hyperlink r:id="rId3287" ref="Q3206"/>
    <hyperlink r:id="rId3288" ref="Q3207"/>
    <hyperlink r:id="rId3289" ref="Q3208"/>
    <hyperlink r:id="rId3290" ref="Q3209"/>
    <hyperlink r:id="rId3291" ref="Q3210"/>
    <hyperlink r:id="rId3292" ref="Q3211"/>
    <hyperlink r:id="rId3293" ref="Q3212"/>
    <hyperlink r:id="rId3294" ref="Q3213"/>
    <hyperlink r:id="rId3295" ref="Q3214"/>
    <hyperlink r:id="rId3296" ref="Q3215"/>
    <hyperlink r:id="rId3297" ref="Q3216"/>
    <hyperlink r:id="rId3298" ref="Q3217"/>
    <hyperlink r:id="rId3299" ref="Q3218"/>
    <hyperlink r:id="rId3300" ref="Q3219"/>
    <hyperlink r:id="rId3301" ref="Q3220"/>
    <hyperlink r:id="rId3302" ref="Q3221"/>
    <hyperlink r:id="rId3303" ref="Q3222"/>
    <hyperlink r:id="rId3304" ref="Q3223"/>
    <hyperlink r:id="rId3305" ref="Q3224"/>
    <hyperlink r:id="rId3306" ref="Q3225"/>
    <hyperlink r:id="rId3307" ref="Q3226"/>
    <hyperlink r:id="rId3308" ref="Q3227"/>
    <hyperlink r:id="rId3309" ref="Q3228"/>
    <hyperlink r:id="rId3310" ref="Q3229"/>
    <hyperlink r:id="rId3311" ref="Q3230"/>
    <hyperlink r:id="rId3312" ref="Q3231"/>
    <hyperlink r:id="rId3313" ref="Q3232"/>
    <hyperlink r:id="rId3314" ref="Q3233"/>
    <hyperlink r:id="rId3315" ref="Q3234"/>
    <hyperlink r:id="rId3316" ref="Q3235"/>
    <hyperlink r:id="rId3317" ref="Q3236"/>
    <hyperlink r:id="rId3318" ref="Q3237"/>
    <hyperlink r:id="rId3319" ref="Q3238"/>
    <hyperlink r:id="rId3320" ref="Q3239"/>
    <hyperlink r:id="rId3321" ref="Q3240"/>
    <hyperlink r:id="rId3322" ref="Q3241"/>
    <hyperlink r:id="rId3323" ref="Q3242"/>
    <hyperlink r:id="rId3324" ref="Q3243"/>
    <hyperlink r:id="rId3325" ref="Q3244"/>
    <hyperlink r:id="rId3326" ref="Q3245"/>
    <hyperlink r:id="rId3327" ref="Q3246"/>
    <hyperlink r:id="rId3328" ref="Q3247"/>
    <hyperlink r:id="rId3329" ref="Q3248"/>
    <hyperlink r:id="rId3330" ref="Q3249"/>
    <hyperlink r:id="rId3331" ref="Q3250"/>
    <hyperlink r:id="rId3332" ref="Q3251"/>
    <hyperlink r:id="rId3333" ref="Q3252"/>
    <hyperlink r:id="rId3334" ref="Q3253"/>
    <hyperlink r:id="rId3335" ref="Q3254"/>
    <hyperlink r:id="rId3336" ref="Q3255"/>
    <hyperlink r:id="rId3337" ref="Q3256"/>
    <hyperlink r:id="rId3338" ref="Q3257"/>
    <hyperlink r:id="rId3339" ref="Q3258"/>
    <hyperlink r:id="rId3340" ref="Q3259"/>
    <hyperlink r:id="rId3341" ref="Q3260"/>
    <hyperlink r:id="rId3342" ref="Q3261"/>
    <hyperlink r:id="rId3343" ref="Q3262"/>
    <hyperlink r:id="rId3344" ref="Q3263"/>
  </hyperlinks>
  <drawing r:id="rId3345"/>
  <tableParts count="1">
    <tablePart r:id="rId334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c r="A2" s="1" t="s">
        <v>29</v>
      </c>
      <c r="B2" s="1" t="s">
        <v>30</v>
      </c>
      <c r="C2" s="1" t="s">
        <v>31</v>
      </c>
      <c r="D2" s="2">
        <v>3.14651263E8</v>
      </c>
      <c r="E2" s="2">
        <v>1.0</v>
      </c>
      <c r="F2" s="2">
        <v>2.0</v>
      </c>
      <c r="G2" s="1" t="s">
        <v>30</v>
      </c>
      <c r="H2" s="1" t="s">
        <v>32</v>
      </c>
      <c r="I2" s="1" t="s">
        <v>32</v>
      </c>
      <c r="J2" s="1" t="s">
        <v>33</v>
      </c>
      <c r="K2" s="1" t="s">
        <v>34</v>
      </c>
      <c r="L2" s="1" t="s">
        <v>34</v>
      </c>
      <c r="M2" s="1" t="s">
        <v>35</v>
      </c>
      <c r="N2" s="1" t="b">
        <v>1</v>
      </c>
      <c r="O2" s="1" t="s">
        <v>36</v>
      </c>
      <c r="P2" s="1" t="b">
        <v>0</v>
      </c>
      <c r="R2" s="1" t="b">
        <v>1</v>
      </c>
      <c r="S2" s="1" t="b">
        <v>1</v>
      </c>
      <c r="T2" s="1" t="s">
        <v>37</v>
      </c>
      <c r="X2" s="1" t="b">
        <v>0</v>
      </c>
      <c r="Y2" s="1" t="s">
        <v>38</v>
      </c>
      <c r="Z2" s="1" t="s">
        <v>39</v>
      </c>
      <c r="AA2" s="1" t="b">
        <v>0</v>
      </c>
      <c r="AC2" s="1" t="s">
        <v>40</v>
      </c>
    </row>
  </sheetData>
  <drawing r:id="rId1"/>
</worksheet>
</file>